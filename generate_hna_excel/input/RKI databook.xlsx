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M:\Jobs\1000_Resource_Centre\(8) Planning Division\Data\R - API Statistics Canada\"/>
    </mc:Choice>
  </mc:AlternateContent>
  <xr:revisionPtr revIDLastSave="0" documentId="13_ncr:1_{3CD8698B-1CB1-4CE4-AB1D-A7E424FC2651}" xr6:coauthVersionLast="47" xr6:coauthVersionMax="47" xr10:uidLastSave="{00000000-0000-0000-0000-000000000000}"/>
  <bookViews>
    <workbookView xWindow="28680" yWindow="-180" windowWidth="29040" windowHeight="15720" tabRatio="867" xr2:uid="{00000000-000D-0000-FFFF-FFFF00000000}"/>
  </bookViews>
  <sheets>
    <sheet name="cover" sheetId="2594" r:id="rId1"/>
    <sheet name="priorities" sheetId="4367" r:id="rId2"/>
    <sheet name="summary" sheetId="2885" r:id="rId3"/>
    <sheet name="projection" sheetId="4" r:id="rId4"/>
    <sheet name="federal_req" sheetId="3033" r:id="rId5"/>
    <sheet name="popn_now" sheetId="161" r:id="rId6"/>
    <sheet name="popn_fut" sheetId="352" r:id="rId7"/>
    <sheet name="hh" sheetId="950" r:id="rId8"/>
    <sheet name="econ" sheetId="677" r:id="rId9"/>
    <sheet name="income" sheetId="1465" r:id="rId10"/>
    <sheet name="dwell" sheetId="951" r:id="rId11"/>
    <sheet name="rental" sheetId="1940" r:id="rId12"/>
    <sheet name="sales" sheetId="2210" r:id="rId13"/>
    <sheet name="need" sheetId="1261" r:id="rId14"/>
    <sheet name="vuln" sheetId="2543" r:id="rId15"/>
    <sheet name="vuln_profile" sheetId="2544" r:id="rId16"/>
    <sheet name="textlib" sheetId="4366" state="hidden" r:id="rId17"/>
    <sheet name="dem" sheetId="5" state="hidden" r:id="rId18"/>
    <sheet name="nos" sheetId="6" state="hidden" r:id="rId19"/>
    <sheet name="df_geo" sheetId="4368" r:id="rId20"/>
    <sheet name="df_wfh" sheetId="4369" r:id="rId21"/>
    <sheet name="df_commute" sheetId="4370" r:id="rId22"/>
    <sheet name="df_commute_infl" sheetId="4371" r:id="rId23"/>
    <sheet name="df_lf" sheetId="4372" r:id="rId24"/>
    <sheet name="df_naics" sheetId="4373" r:id="rId25"/>
    <sheet name="df_hh_ten" sheetId="4374" r:id="rId26"/>
    <sheet name="df_pop" sheetId="4375" r:id="rId27"/>
    <sheet name="df_est_csd" sheetId="4376" r:id="rId28"/>
    <sheet name="df_est_cd" sheetId="4377" r:id="rId29"/>
    <sheet name="df_est_pr" sheetId="4378" r:id="rId30"/>
    <sheet name="df_comp_cd" sheetId="4379" r:id="rId31"/>
    <sheet name="df_disa" sheetId="4380" r:id="rId32"/>
    <sheet name="df_proj" sheetId="4381" r:id="rId33"/>
    <sheet name="df_proj_in" sheetId="4382" r:id="rId34"/>
    <sheet name="df_proj_out" sheetId="4383" r:id="rId35"/>
    <sheet name="df_comm_latent" sheetId="4384" r:id="rId36"/>
    <sheet name="df_census_misc" sheetId="4385" r:id="rId37"/>
    <sheet name="df_main" sheetId="4386" r:id="rId38"/>
    <sheet name="df_cost_index" sheetId="4387" r:id="rId39"/>
    <sheet name="df_cmhc_rms" sheetId="4388" r:id="rId40"/>
    <sheet name="df_avg_rent" sheetId="4389" r:id="rId41"/>
    <sheet name="df_sales" sheetId="4390" r:id="rId42"/>
    <sheet name="df_cimd" sheetId="4391" r:id="rId43"/>
    <sheet name="df_cisr" sheetId="4392" r:id="rId44"/>
    <sheet name="df_cisv" sheetId="4393" r:id="rId45"/>
    <sheet name="df_msdi" sheetId="4394" r:id="rId46"/>
    <sheet name="df_permits" sheetId="4395" r:id="rId47"/>
    <sheet name="df_wage" sheetId="4396" r:id="rId48"/>
    <sheet name="df_inc_char" sheetId="4397" r:id="rId49"/>
    <sheet name="df_inc_source" sheetId="4398" r:id="rId50"/>
    <sheet name="df_inc_hart" sheetId="4399" r:id="rId51"/>
    <sheet name="df_inc_cat" sheetId="4400" r:id="rId52"/>
    <sheet name="df_lwage" sheetId="4401" r:id="rId53"/>
    <sheet name="df_incdist" sheetId="4402" r:id="rId54"/>
    <sheet name="df_mbm" sheetId="4403" r:id="rId55"/>
    <sheet name="df_dwell_aff" sheetId="4404" r:id="rId56"/>
    <sheet name="df_dwell16_aff" sheetId="4405" r:id="rId57"/>
    <sheet name="df_cmhc_scss" sheetId="4406" r:id="rId58"/>
    <sheet name="df_dwell" sheetId="4407" r:id="rId59"/>
    <sheet name="df_dwell_ten" sheetId="4408" r:id="rId60"/>
    <sheet name="df_dwell_coll" sheetId="4409" r:id="rId61"/>
    <sheet name="df_dwell_str" sheetId="4410" r:id="rId62"/>
    <sheet name="df_nm" sheetId="4411" r:id="rId63"/>
    <sheet name="df_shelter" sheetId="4412" r:id="rId64"/>
    <sheet name="df_unhoused" sheetId="4413" r:id="rId65"/>
    <sheet name="df_transit" sheetId="4414" r:id="rId66"/>
    <sheet name="df_prop_res" sheetId="4415" r:id="rId67"/>
    <sheet name="df_prop_own" sheetId="4416" r:id="rId68"/>
    <sheet name="df_chn_census" sheetId="4417" r:id="rId69"/>
    <sheet name="df_chn_hart" sheetId="4418" r:id="rId70"/>
    <sheet name="df_stir_ppl" sheetId="4419" r:id="rId71"/>
    <sheet name="df_stir" sheetId="4420" r:id="rId72"/>
    <sheet name="df_cond" sheetId="4421" r:id="rId73"/>
    <sheet name="df_echn" sheetId="4422" r:id="rId74"/>
    <sheet name="df_flood" sheetId="4423" r:id="rId75"/>
    <sheet name="df_coastal" sheetId="4424" r:id="rId76"/>
    <sheet name="df_humid" sheetId="4425" r:id="rId77"/>
    <sheet name="df_hot" sheetId="4426" r:id="rId78"/>
    <sheet name="df_cold" sheetId="4427" r:id="rId79"/>
    <sheet name="df_rain" sheetId="4428" r:id="rId80"/>
    <sheet name="df_clim_vuln" sheetId="4429" r:id="rId81"/>
  </sheets>
  <calcPr calcId="191029"/>
</workbook>
</file>

<file path=xl/calcChain.xml><?xml version="1.0" encoding="utf-8"?>
<calcChain xmlns="http://schemas.openxmlformats.org/spreadsheetml/2006/main">
  <c r="O60" i="3033" l="1"/>
  <c r="O53" i="3033"/>
  <c r="O52" i="3033"/>
  <c r="O51" i="3033"/>
  <c r="O50" i="3033"/>
  <c r="O49" i="3033"/>
  <c r="O47" i="3033"/>
  <c r="O46" i="3033"/>
  <c r="O45" i="3033"/>
  <c r="O44" i="3033"/>
  <c r="O43" i="3033"/>
  <c r="O42" i="3033"/>
  <c r="O41" i="3033"/>
  <c r="O40" i="3033"/>
  <c r="O33" i="3033"/>
  <c r="O32" i="3033"/>
  <c r="O31" i="3033"/>
  <c r="O30" i="3033"/>
  <c r="O29" i="3033"/>
  <c r="O28" i="3033"/>
  <c r="O25" i="3033"/>
  <c r="O24" i="3033"/>
  <c r="O23" i="3033"/>
  <c r="N7" i="3033"/>
  <c r="N6" i="3033"/>
  <c r="N5" i="3033"/>
  <c r="N4" i="3033"/>
  <c r="M4" i="3033" a="1"/>
  <c r="M4" i="3033" s="1"/>
  <c r="J19" i="3033"/>
  <c r="J20" i="3033"/>
  <c r="J21" i="3033"/>
  <c r="J22" i="3033"/>
  <c r="J23" i="3033"/>
  <c r="J24" i="3033"/>
  <c r="J25" i="3033"/>
  <c r="J18" i="3033"/>
  <c r="J12" i="3033"/>
  <c r="J11" i="3033"/>
  <c r="J10" i="3033"/>
  <c r="J9" i="3033"/>
  <c r="J8" i="3033"/>
  <c r="J7" i="3033"/>
  <c r="J6" i="3033"/>
  <c r="J5" i="3033"/>
  <c r="J4" i="3033"/>
  <c r="E87" i="3033"/>
  <c r="E88" i="3033"/>
  <c r="E89" i="3033"/>
  <c r="E90" i="3033"/>
  <c r="E86" i="3033"/>
  <c r="E83" i="3033"/>
  <c r="E84" i="3033"/>
  <c r="E85" i="3033"/>
  <c r="E82" i="3033"/>
  <c r="E76" i="3033" a="1"/>
  <c r="E76" i="3033" s="1"/>
  <c r="E77" i="3033" a="1"/>
  <c r="E77" i="3033" s="1"/>
  <c r="E78" i="3033" a="1"/>
  <c r="E78" i="3033" s="1"/>
  <c r="E79" i="3033" a="1"/>
  <c r="E79" i="3033" s="1"/>
  <c r="E80" i="3033" a="1"/>
  <c r="E80" i="3033" s="1"/>
  <c r="E81" i="3033" a="1"/>
  <c r="E81" i="3033" s="1"/>
  <c r="E75" i="3033" a="1"/>
  <c r="E75" i="3033" s="1"/>
  <c r="E62" i="3033"/>
  <c r="E63" i="3033" a="1"/>
  <c r="E63" i="3033" s="1"/>
  <c r="E71" i="3033"/>
  <c r="E72" i="3033"/>
  <c r="E47" i="3033"/>
  <c r="E46" i="3033"/>
  <c r="E45" i="3033"/>
  <c r="E44" i="3033"/>
  <c r="E37" i="3033"/>
  <c r="E24" i="3033"/>
  <c r="E23" i="3033"/>
  <c r="E22" i="3033"/>
  <c r="E21" i="3033"/>
  <c r="E20" i="3033"/>
  <c r="E15" i="3033"/>
  <c r="E14" i="3033"/>
  <c r="E13" i="3033"/>
  <c r="E12" i="3033"/>
  <c r="E11" i="3033"/>
  <c r="E10" i="3033"/>
  <c r="E5" i="3033"/>
  <c r="G12" i="4367"/>
  <c r="G11" i="4367"/>
  <c r="G10" i="4367"/>
  <c r="G9" i="4367"/>
  <c r="G8" i="4367"/>
  <c r="G7" i="4367"/>
  <c r="G6" i="4367"/>
  <c r="G5" i="4367"/>
  <c r="F9" i="4367"/>
  <c r="F8" i="4367"/>
  <c r="F7" i="4367"/>
  <c r="F6" i="4367"/>
  <c r="F5" i="4367"/>
  <c r="C12" i="4367"/>
  <c r="C11" i="4367"/>
  <c r="C10" i="4367"/>
  <c r="C9" i="4367"/>
  <c r="C8" i="4367"/>
  <c r="C7" i="4367"/>
  <c r="C6" i="4367"/>
  <c r="C5" i="4367"/>
  <c r="B37" i="2885"/>
  <c r="C18" i="2885"/>
  <c r="B18" i="2885"/>
  <c r="D529" i="4"/>
  <c r="C529" i="4"/>
  <c r="D528" i="4" a="1"/>
  <c r="D528" i="4" s="1"/>
  <c r="C528" i="4" a="1"/>
  <c r="C528" i="4" s="1"/>
  <c r="E460" i="4" a="1"/>
  <c r="E460" i="4" s="1"/>
  <c r="E459" i="4" a="1"/>
  <c r="E459" i="4" s="1"/>
  <c r="E458" i="4" a="1"/>
  <c r="E458" i="4" s="1"/>
  <c r="F368" i="4" a="1"/>
  <c r="F368" i="4" s="1"/>
  <c r="E368" i="4" a="1"/>
  <c r="E368" i="4" s="1"/>
  <c r="D368" i="4" a="1"/>
  <c r="D368" i="4" s="1"/>
  <c r="C368" i="4" a="1"/>
  <c r="C368" i="4" s="1"/>
  <c r="S327" i="4" a="1"/>
  <c r="S327" i="4" s="1"/>
  <c r="S328" i="4" a="1"/>
  <c r="S328" i="4" s="1"/>
  <c r="S329" i="4" a="1"/>
  <c r="S329" i="4" s="1"/>
  <c r="S330" i="4" a="1"/>
  <c r="S330" i="4" s="1"/>
  <c r="S326" i="4" a="1"/>
  <c r="S326" i="4" s="1"/>
  <c r="X329" i="4"/>
  <c r="X327" i="4"/>
  <c r="X326" i="4" a="1"/>
  <c r="X326" i="4" s="1"/>
  <c r="W326" i="4" a="1"/>
  <c r="W330" i="4" s="1"/>
  <c r="V329" i="4"/>
  <c r="V327" i="4"/>
  <c r="V326" i="4" a="1"/>
  <c r="V326" i="4" s="1"/>
  <c r="U326" i="4" a="1"/>
  <c r="U330" i="4" s="1"/>
  <c r="T329" i="4"/>
  <c r="T327" i="4"/>
  <c r="T326" i="4" a="1"/>
  <c r="T326" i="4" s="1"/>
  <c r="S325" i="4"/>
  <c r="F274" i="4"/>
  <c r="F275" i="4"/>
  <c r="F276" i="4"/>
  <c r="F277" i="4"/>
  <c r="F273" i="4"/>
  <c r="D274" i="4"/>
  <c r="D275" i="4"/>
  <c r="D276" i="4"/>
  <c r="D277" i="4"/>
  <c r="D273" i="4"/>
  <c r="C273" i="4" a="1"/>
  <c r="C273" i="4" s="1"/>
  <c r="E273" i="4" a="1"/>
  <c r="E273" i="4" s="1"/>
  <c r="C67" i="4"/>
  <c r="D24" i="2544" a="1"/>
  <c r="D24" i="2544" s="1"/>
  <c r="F19" i="2544"/>
  <c r="F13" i="2544"/>
  <c r="E13" i="2544"/>
  <c r="D13" i="2544" a="1"/>
  <c r="D13" i="2544" s="1"/>
  <c r="D6" i="2544" a="1"/>
  <c r="D6" i="2544" s="1"/>
  <c r="D5" i="2544" a="1"/>
  <c r="D5" i="2544"/>
  <c r="E5" i="2544"/>
  <c r="F5" i="2544"/>
  <c r="D4" i="2544" a="1"/>
  <c r="D4" i="2544" s="1"/>
  <c r="M43" i="2543"/>
  <c r="J43" i="2543"/>
  <c r="I43" i="2543"/>
  <c r="M42" i="2543"/>
  <c r="J42" i="2543"/>
  <c r="I42" i="2543"/>
  <c r="M41" i="2543"/>
  <c r="K41" i="2543"/>
  <c r="J41" i="2543"/>
  <c r="I41" i="2543"/>
  <c r="M40" i="2543"/>
  <c r="J40" i="2543"/>
  <c r="I40" i="2543"/>
  <c r="M39" i="2543"/>
  <c r="K39" i="2543"/>
  <c r="J39" i="2543"/>
  <c r="I39" i="2543"/>
  <c r="M38" i="2543"/>
  <c r="K38" i="2543"/>
  <c r="J38" i="2543"/>
  <c r="I38" i="2543"/>
  <c r="M37" i="2543"/>
  <c r="K37" i="2543"/>
  <c r="J37" i="2543"/>
  <c r="I37" i="2543"/>
  <c r="M36" i="2543" a="1"/>
  <c r="M36" i="2543" s="1"/>
  <c r="K36" i="2543"/>
  <c r="J36" i="2543"/>
  <c r="I36" i="2543" a="1"/>
  <c r="I36" i="2543" s="1"/>
  <c r="G49" i="2543" a="1"/>
  <c r="G49" i="2543" s="1"/>
  <c r="E49" i="2543" a="1"/>
  <c r="E49" i="2543" s="1"/>
  <c r="C49" i="2543" a="1"/>
  <c r="C49" i="2543" s="1"/>
  <c r="E44" i="2543"/>
  <c r="D44" i="2543"/>
  <c r="E42" i="2543" a="1"/>
  <c r="E42" i="2543" s="1"/>
  <c r="D42" i="2543" a="1"/>
  <c r="D42" i="2543" s="1"/>
  <c r="E40" i="2543" a="1"/>
  <c r="E40" i="2543" s="1"/>
  <c r="D40" i="2543" a="1"/>
  <c r="D40" i="2543" s="1"/>
  <c r="E36" i="2543" a="1"/>
  <c r="E36" i="2543" s="1"/>
  <c r="D36" i="2543" a="1"/>
  <c r="D38" i="2543" s="1"/>
  <c r="D36" i="2543"/>
  <c r="D37" i="2543"/>
  <c r="D39" i="2543"/>
  <c r="E214" i="1261" a="1"/>
  <c r="E214" i="1261" s="1"/>
  <c r="F214" i="1261" a="1"/>
  <c r="F214" i="1261" s="1"/>
  <c r="E215" i="1261"/>
  <c r="F215" i="1261"/>
  <c r="E216" i="1261" a="1"/>
  <c r="E216" i="1261" s="1"/>
  <c r="F216" i="1261" a="1"/>
  <c r="F216" i="1261"/>
  <c r="C200" i="1261" a="1"/>
  <c r="C200" i="1261" s="1"/>
  <c r="J173" i="1261" a="1"/>
  <c r="J173" i="1261" s="1"/>
  <c r="K173" i="1261" a="1"/>
  <c r="K173" i="1261" s="1"/>
  <c r="J174" i="1261" a="1"/>
  <c r="J174" i="1261"/>
  <c r="K174" i="1261" a="1"/>
  <c r="K174" i="1261" s="1"/>
  <c r="J175" i="1261" a="1"/>
  <c r="J175" i="1261" s="1"/>
  <c r="K175" i="1261" a="1"/>
  <c r="K175" i="1261"/>
  <c r="J176" i="1261" a="1"/>
  <c r="J176" i="1261" s="1"/>
  <c r="K176" i="1261" a="1"/>
  <c r="K176" i="1261" s="1"/>
  <c r="J177" i="1261" a="1"/>
  <c r="J177" i="1261"/>
  <c r="K177" i="1261" a="1"/>
  <c r="K177" i="1261" s="1"/>
  <c r="J178" i="1261" a="1"/>
  <c r="J178" i="1261" s="1"/>
  <c r="K178" i="1261" a="1"/>
  <c r="K178" i="1261"/>
  <c r="J179" i="1261" a="1"/>
  <c r="J179" i="1261" s="1"/>
  <c r="K179" i="1261" a="1"/>
  <c r="K179" i="1261" s="1"/>
  <c r="J180" i="1261" a="1"/>
  <c r="J180" i="1261"/>
  <c r="K180" i="1261" a="1"/>
  <c r="K180" i="1261" s="1"/>
  <c r="J181" i="1261" a="1"/>
  <c r="J181" i="1261" s="1"/>
  <c r="K181" i="1261" a="1"/>
  <c r="K181" i="1261"/>
  <c r="J182" i="1261" a="1"/>
  <c r="J182" i="1261" s="1"/>
  <c r="K182" i="1261" a="1"/>
  <c r="K182" i="1261" s="1"/>
  <c r="J183" i="1261" a="1"/>
  <c r="J183" i="1261"/>
  <c r="K183" i="1261" a="1"/>
  <c r="K183" i="1261" s="1"/>
  <c r="J184" i="1261" a="1"/>
  <c r="J184" i="1261" s="1"/>
  <c r="K184" i="1261" a="1"/>
  <c r="K184" i="1261"/>
  <c r="J185" i="1261" a="1"/>
  <c r="J185" i="1261" s="1"/>
  <c r="K185" i="1261" a="1"/>
  <c r="K185" i="1261" s="1"/>
  <c r="J186" i="1261" a="1"/>
  <c r="J186" i="1261"/>
  <c r="K186" i="1261" a="1"/>
  <c r="K186" i="1261" s="1"/>
  <c r="J187" i="1261" a="1"/>
  <c r="J187" i="1261" s="1"/>
  <c r="K187" i="1261" a="1"/>
  <c r="K187" i="1261"/>
  <c r="J188" i="1261" a="1"/>
  <c r="J188" i="1261" s="1"/>
  <c r="K188" i="1261" a="1"/>
  <c r="K188" i="1261" s="1"/>
  <c r="J189" i="1261" a="1"/>
  <c r="J189" i="1261"/>
  <c r="K189" i="1261" a="1"/>
  <c r="K189" i="1261" s="1"/>
  <c r="K172" i="1261" a="1"/>
  <c r="K172" i="1261" s="1"/>
  <c r="C171" i="1261" a="1"/>
  <c r="C171" i="1261"/>
  <c r="J172" i="1261" a="1"/>
  <c r="J172" i="1261"/>
  <c r="H106" i="1261" a="1"/>
  <c r="H106" i="1261" s="1"/>
  <c r="C106" i="1261" a="1"/>
  <c r="C106" i="1261" s="1"/>
  <c r="C44" i="2210" a="1"/>
  <c r="C44" i="2210" s="1"/>
  <c r="C42" i="2210" a="1"/>
  <c r="C42" i="2210" s="1"/>
  <c r="C41" i="2210" a="1"/>
  <c r="C41" i="2210" s="1"/>
  <c r="M67" i="1940" a="1"/>
  <c r="M67" i="1940" s="1"/>
  <c r="L67" i="1940" a="1"/>
  <c r="L67" i="1940" s="1"/>
  <c r="J66" i="1940" a="1"/>
  <c r="L66" i="1940" s="1"/>
  <c r="J66" i="1940"/>
  <c r="K66" i="1940"/>
  <c r="F35" i="1940"/>
  <c r="F36" i="1940"/>
  <c r="F37" i="1940"/>
  <c r="F38" i="1940"/>
  <c r="F34" i="1940"/>
  <c r="E35" i="1940"/>
  <c r="E36" i="1940"/>
  <c r="E37" i="1940"/>
  <c r="E38" i="1940"/>
  <c r="E34" i="1940"/>
  <c r="D349" i="951"/>
  <c r="D348" i="951"/>
  <c r="D347" i="951"/>
  <c r="D345" i="951"/>
  <c r="D344" i="951"/>
  <c r="D342" i="951"/>
  <c r="D341" i="951"/>
  <c r="D339" i="951"/>
  <c r="D338" i="951"/>
  <c r="D337" i="951"/>
  <c r="D336" i="951"/>
  <c r="D335" i="951"/>
  <c r="D334" i="951"/>
  <c r="D333" i="951"/>
  <c r="C349" i="951"/>
  <c r="C348" i="951"/>
  <c r="C347" i="951"/>
  <c r="C345" i="951"/>
  <c r="C344" i="951"/>
  <c r="C342" i="951"/>
  <c r="C341" i="951"/>
  <c r="C339" i="951"/>
  <c r="C338" i="951"/>
  <c r="C337" i="951"/>
  <c r="C336" i="951"/>
  <c r="C335" i="951"/>
  <c r="C334" i="951"/>
  <c r="C333" i="951" a="1"/>
  <c r="C333" i="951" s="1"/>
  <c r="H288" i="951"/>
  <c r="G288" i="951"/>
  <c r="H287" i="951"/>
  <c r="G287" i="951"/>
  <c r="H286" i="951"/>
  <c r="G286" i="951"/>
  <c r="F288" i="951"/>
  <c r="F287" i="951"/>
  <c r="F286" i="951"/>
  <c r="E287" i="951"/>
  <c r="E288" i="951"/>
  <c r="E286" i="951"/>
  <c r="J229" i="951"/>
  <c r="I229" i="951"/>
  <c r="J228" i="951"/>
  <c r="I228" i="951"/>
  <c r="E228" i="951"/>
  <c r="D228" i="951"/>
  <c r="J221" i="951"/>
  <c r="J222" i="951"/>
  <c r="J223" i="951" s="1"/>
  <c r="I223" i="951"/>
  <c r="I222" i="951"/>
  <c r="I221" i="951"/>
  <c r="E223" i="951"/>
  <c r="D223" i="951"/>
  <c r="E222" i="951"/>
  <c r="D222" i="951"/>
  <c r="E221" i="951"/>
  <c r="D221" i="951"/>
  <c r="E143" i="951"/>
  <c r="D143" i="951"/>
  <c r="I187" i="951"/>
  <c r="J187" i="951"/>
  <c r="I188" i="951"/>
  <c r="J188" i="951"/>
  <c r="I189" i="951"/>
  <c r="J189" i="951"/>
  <c r="J186" i="951"/>
  <c r="I186" i="951"/>
  <c r="D187" i="951"/>
  <c r="E187" i="951"/>
  <c r="D188" i="951"/>
  <c r="E188" i="951"/>
  <c r="E186" i="951"/>
  <c r="D186" i="951"/>
  <c r="J177" i="951"/>
  <c r="I177" i="951"/>
  <c r="E181" i="951"/>
  <c r="D181" i="951"/>
  <c r="E177" i="951"/>
  <c r="D177" i="951"/>
  <c r="F104" i="951"/>
  <c r="G104" i="951"/>
  <c r="H104" i="951"/>
  <c r="F105" i="951"/>
  <c r="G105" i="951"/>
  <c r="H105" i="951"/>
  <c r="F106" i="951"/>
  <c r="G106" i="951"/>
  <c r="H106" i="951"/>
  <c r="F107" i="951"/>
  <c r="G107" i="951"/>
  <c r="H107" i="951"/>
  <c r="F108" i="951"/>
  <c r="G108" i="951"/>
  <c r="H108" i="951"/>
  <c r="F109" i="951"/>
  <c r="G109" i="951"/>
  <c r="H109" i="951"/>
  <c r="F110" i="951"/>
  <c r="G110" i="951"/>
  <c r="H110" i="951"/>
  <c r="G103" i="951"/>
  <c r="H103" i="951"/>
  <c r="F103" i="951"/>
  <c r="G102" i="951"/>
  <c r="H102" i="951"/>
  <c r="F102" i="951"/>
  <c r="C103" i="951"/>
  <c r="C104" i="951"/>
  <c r="C105" i="951"/>
  <c r="C106" i="951"/>
  <c r="C107" i="951"/>
  <c r="C108" i="951"/>
  <c r="C109" i="951"/>
  <c r="C110" i="951"/>
  <c r="C102" i="951"/>
  <c r="I79" i="951" a="1"/>
  <c r="I79" i="951" s="1"/>
  <c r="J79" i="951" a="1"/>
  <c r="J79" i="951" s="1"/>
  <c r="K79" i="951" a="1"/>
  <c r="K79" i="951" s="1"/>
  <c r="I80" i="951" a="1"/>
  <c r="I80" i="951" s="1"/>
  <c r="J80" i="951" a="1"/>
  <c r="J80" i="951" s="1"/>
  <c r="K80" i="951" a="1"/>
  <c r="K80" i="951"/>
  <c r="I81" i="951" a="1"/>
  <c r="I81" i="951" s="1"/>
  <c r="J81" i="951" a="1"/>
  <c r="J81" i="951" s="1"/>
  <c r="K81" i="951" a="1"/>
  <c r="K81" i="951" s="1"/>
  <c r="I82" i="951" a="1"/>
  <c r="I82" i="951" s="1"/>
  <c r="J82" i="951" a="1"/>
  <c r="J82" i="951" s="1"/>
  <c r="K82" i="951" a="1"/>
  <c r="K82" i="951"/>
  <c r="I83" i="951" a="1"/>
  <c r="I83" i="951" s="1"/>
  <c r="J83" i="951" a="1"/>
  <c r="J83" i="951" s="1"/>
  <c r="K83" i="951" a="1"/>
  <c r="K83" i="951" s="1"/>
  <c r="I84" i="951" a="1"/>
  <c r="I84" i="951" s="1"/>
  <c r="J84" i="951" a="1"/>
  <c r="J84" i="951" s="1"/>
  <c r="K84" i="951" a="1"/>
  <c r="K84" i="951"/>
  <c r="I85" i="951" a="1"/>
  <c r="I85" i="951" s="1"/>
  <c r="J85" i="951" a="1"/>
  <c r="J85" i="951" s="1"/>
  <c r="K85" i="951" a="1"/>
  <c r="K85" i="951" s="1"/>
  <c r="I86" i="951" a="1"/>
  <c r="I86" i="951" s="1"/>
  <c r="J86" i="951" a="1"/>
  <c r="J86" i="951" s="1"/>
  <c r="K86" i="951" a="1"/>
  <c r="K86" i="951"/>
  <c r="J78" i="951" a="1"/>
  <c r="J78" i="951" s="1"/>
  <c r="K78" i="951" a="1"/>
  <c r="K78" i="951" s="1"/>
  <c r="I78" i="951" a="1"/>
  <c r="I78" i="951" s="1"/>
  <c r="D78" i="951" a="1"/>
  <c r="D78" i="951" s="1"/>
  <c r="D102" i="951" s="1"/>
  <c r="E78" i="951" a="1"/>
  <c r="E78" i="951" s="1"/>
  <c r="F78" i="951" a="1"/>
  <c r="F78" i="951" s="1"/>
  <c r="D79" i="951" a="1"/>
  <c r="D79" i="951" s="1"/>
  <c r="D92" i="951" s="1"/>
  <c r="E79" i="951" a="1"/>
  <c r="E79" i="951" s="1"/>
  <c r="F79" i="951" a="1"/>
  <c r="F79" i="951"/>
  <c r="D80" i="951" a="1"/>
  <c r="D80" i="951" s="1"/>
  <c r="E80" i="951" a="1"/>
  <c r="E80" i="951" s="1"/>
  <c r="F80" i="951" a="1"/>
  <c r="F80" i="951" s="1"/>
  <c r="D81" i="951" a="1"/>
  <c r="D81" i="951" s="1"/>
  <c r="E81" i="951" a="1"/>
  <c r="E81" i="951" s="1"/>
  <c r="F81" i="951" a="1"/>
  <c r="F81" i="951"/>
  <c r="D82" i="951" a="1"/>
  <c r="D82" i="951" s="1"/>
  <c r="E82" i="951" a="1"/>
  <c r="E82" i="951" s="1"/>
  <c r="F82" i="951" a="1"/>
  <c r="F82" i="951" s="1"/>
  <c r="D83" i="951" a="1"/>
  <c r="D83" i="951" s="1"/>
  <c r="E83" i="951" a="1"/>
  <c r="E83" i="951" s="1"/>
  <c r="F83" i="951" a="1"/>
  <c r="F83" i="951"/>
  <c r="D84" i="951" a="1"/>
  <c r="D84" i="951" s="1"/>
  <c r="D108" i="951" s="1"/>
  <c r="E84" i="951" a="1"/>
  <c r="E84" i="951" s="1"/>
  <c r="F84" i="951" a="1"/>
  <c r="F84" i="951" s="1"/>
  <c r="D85" i="951" a="1"/>
  <c r="D85" i="951" s="1"/>
  <c r="E85" i="951" a="1"/>
  <c r="E85" i="951" s="1"/>
  <c r="F85" i="951" a="1"/>
  <c r="F85" i="951"/>
  <c r="D86" i="951" a="1"/>
  <c r="D86" i="951" s="1"/>
  <c r="E86" i="951" a="1"/>
  <c r="E86" i="951" s="1"/>
  <c r="E110" i="951" s="1"/>
  <c r="F86" i="951" a="1"/>
  <c r="F86" i="951" s="1"/>
  <c r="C79" i="951" a="1"/>
  <c r="C79" i="951" s="1"/>
  <c r="C80" i="951" a="1"/>
  <c r="C80" i="951" s="1"/>
  <c r="C81" i="951" a="1"/>
  <c r="C81" i="951" s="1"/>
  <c r="C82" i="951" a="1"/>
  <c r="C82" i="951" s="1"/>
  <c r="C83" i="951" a="1"/>
  <c r="C83" i="951"/>
  <c r="C84" i="951" a="1"/>
  <c r="C84" i="951"/>
  <c r="C85" i="951" a="1"/>
  <c r="C85" i="951" s="1"/>
  <c r="C86" i="951" a="1"/>
  <c r="C86" i="951" s="1"/>
  <c r="C78" i="951" a="1"/>
  <c r="C78" i="951" s="1"/>
  <c r="D68" i="951" a="1"/>
  <c r="D68" i="951" s="1"/>
  <c r="K68" i="951"/>
  <c r="D67" i="951" a="1"/>
  <c r="F67" i="951" s="1"/>
  <c r="D67" i="951"/>
  <c r="E67" i="951"/>
  <c r="H67" i="951"/>
  <c r="J67" i="951"/>
  <c r="K67" i="951"/>
  <c r="D66" i="951" a="1"/>
  <c r="D66" i="951" s="1"/>
  <c r="C65" i="951" a="1"/>
  <c r="C65" i="951" s="1"/>
  <c r="D39" i="951"/>
  <c r="E39" i="951"/>
  <c r="F39" i="951"/>
  <c r="G39" i="951"/>
  <c r="H39" i="951"/>
  <c r="C39" i="951"/>
  <c r="J268" i="1465"/>
  <c r="H190" i="1465"/>
  <c r="G190" i="1465"/>
  <c r="H189" i="1465"/>
  <c r="G189" i="1465"/>
  <c r="H188" i="1465"/>
  <c r="G188" i="1465"/>
  <c r="H187" i="1465"/>
  <c r="G187" i="1465"/>
  <c r="H186" i="1465"/>
  <c r="G186" i="1465"/>
  <c r="F187" i="1465"/>
  <c r="F188" i="1465"/>
  <c r="F189" i="1465"/>
  <c r="F190" i="1465"/>
  <c r="F186" i="1465"/>
  <c r="E187" i="1465"/>
  <c r="E188" i="1465"/>
  <c r="E189" i="1465"/>
  <c r="E190" i="1465"/>
  <c r="E186" i="1465"/>
  <c r="G100" i="677"/>
  <c r="G101" i="677"/>
  <c r="C64" i="677" a="1"/>
  <c r="C64" i="677" s="1"/>
  <c r="D64" i="677" a="1"/>
  <c r="D64" i="677" s="1"/>
  <c r="E64" i="677" a="1"/>
  <c r="E64" i="677" s="1"/>
  <c r="C65" i="677" a="1"/>
  <c r="C65" i="677" s="1"/>
  <c r="D65" i="677" a="1"/>
  <c r="D65" i="677"/>
  <c r="E65" i="677" a="1"/>
  <c r="E65" i="677" s="1"/>
  <c r="C66" i="677" a="1"/>
  <c r="C66" i="677" s="1"/>
  <c r="D66" i="677" a="1"/>
  <c r="D66" i="677" s="1"/>
  <c r="E66" i="677" a="1"/>
  <c r="E66" i="677" s="1"/>
  <c r="C67" i="677" a="1"/>
  <c r="C67" i="677" s="1"/>
  <c r="D67" i="677" a="1"/>
  <c r="D67" i="677"/>
  <c r="E67" i="677" a="1"/>
  <c r="E67" i="677" s="1"/>
  <c r="C68" i="677" a="1"/>
  <c r="C68" i="677" s="1"/>
  <c r="D68" i="677" a="1"/>
  <c r="D68" i="677" s="1"/>
  <c r="E68" i="677" a="1"/>
  <c r="E68" i="677" s="1"/>
  <c r="C69" i="677" a="1"/>
  <c r="C69" i="677" s="1"/>
  <c r="D69" i="677" a="1"/>
  <c r="D69" i="677"/>
  <c r="E69" i="677" a="1"/>
  <c r="E69" i="677" s="1"/>
  <c r="C70" i="677" a="1"/>
  <c r="C70" i="677" s="1"/>
  <c r="D70" i="677" a="1"/>
  <c r="D70" i="677" s="1"/>
  <c r="E70" i="677" a="1"/>
  <c r="E70" i="677" s="1"/>
  <c r="C71" i="677" a="1"/>
  <c r="C71" i="677" s="1"/>
  <c r="D71" i="677" a="1"/>
  <c r="D71" i="677"/>
  <c r="E71" i="677" a="1"/>
  <c r="E71" i="677" s="1"/>
  <c r="C72" i="677" a="1"/>
  <c r="C72" i="677" s="1"/>
  <c r="D72" i="677" a="1"/>
  <c r="D72" i="677" s="1"/>
  <c r="E72" i="677" a="1"/>
  <c r="E72" i="677" s="1"/>
  <c r="D63" i="677" a="1"/>
  <c r="D63" i="677"/>
  <c r="E63" i="677" a="1"/>
  <c r="E63" i="677" s="1"/>
  <c r="C63" i="677" a="1"/>
  <c r="C63" i="677" s="1"/>
  <c r="C25" i="677"/>
  <c r="D25" i="677"/>
  <c r="E25" i="677"/>
  <c r="C26" i="677"/>
  <c r="D26" i="677"/>
  <c r="E26" i="677"/>
  <c r="D24" i="677"/>
  <c r="E24" i="677"/>
  <c r="C24" i="677"/>
  <c r="G89" i="950"/>
  <c r="G90" i="950"/>
  <c r="G95" i="950"/>
  <c r="G96" i="950"/>
  <c r="F90" i="950"/>
  <c r="F91" i="950"/>
  <c r="G91" i="950" s="1"/>
  <c r="F92" i="950"/>
  <c r="G92" i="950" s="1"/>
  <c r="F93" i="950"/>
  <c r="G93" i="950" s="1"/>
  <c r="F94" i="950"/>
  <c r="G94" i="950" s="1"/>
  <c r="F95" i="950"/>
  <c r="F96" i="950"/>
  <c r="F89" i="950"/>
  <c r="E89" i="950"/>
  <c r="E90" i="950"/>
  <c r="E91" i="950"/>
  <c r="E92" i="950"/>
  <c r="E93" i="950"/>
  <c r="E94" i="950"/>
  <c r="E95" i="950"/>
  <c r="E96" i="950"/>
  <c r="E88" i="950"/>
  <c r="C89" i="950"/>
  <c r="D89" i="950"/>
  <c r="C90" i="950"/>
  <c r="D90" i="950"/>
  <c r="C91" i="950"/>
  <c r="D91" i="950"/>
  <c r="C92" i="950"/>
  <c r="D92" i="950"/>
  <c r="C93" i="950"/>
  <c r="D93" i="950"/>
  <c r="C94" i="950"/>
  <c r="D94" i="950"/>
  <c r="C95" i="950"/>
  <c r="D95" i="950"/>
  <c r="C96" i="950"/>
  <c r="D96" i="950"/>
  <c r="D88" i="950"/>
  <c r="I74" i="950"/>
  <c r="I75" i="950"/>
  <c r="I76" i="950"/>
  <c r="I77" i="950"/>
  <c r="I78" i="950"/>
  <c r="I79" i="950"/>
  <c r="I80" i="950"/>
  <c r="I73" i="950"/>
  <c r="C88" i="950"/>
  <c r="G39" i="950"/>
  <c r="H39" i="950"/>
  <c r="G41" i="950"/>
  <c r="H41" i="950"/>
  <c r="G42" i="950"/>
  <c r="H42" i="950"/>
  <c r="G43" i="950"/>
  <c r="H43" i="950"/>
  <c r="G44" i="950"/>
  <c r="H44" i="950"/>
  <c r="G45" i="950"/>
  <c r="H45" i="950"/>
  <c r="G46" i="950"/>
  <c r="H46" i="950"/>
  <c r="G47" i="950"/>
  <c r="H47" i="950"/>
  <c r="G48" i="950"/>
  <c r="H48" i="950"/>
  <c r="G50" i="950"/>
  <c r="H50" i="950"/>
  <c r="G51" i="950"/>
  <c r="H51" i="950"/>
  <c r="G52" i="950"/>
  <c r="H52" i="950"/>
  <c r="G53" i="950"/>
  <c r="H53" i="950"/>
  <c r="G54" i="950"/>
  <c r="H54" i="950"/>
  <c r="G56" i="950"/>
  <c r="H56" i="950"/>
  <c r="G57" i="950"/>
  <c r="H57" i="950"/>
  <c r="G58" i="950"/>
  <c r="H58" i="950"/>
  <c r="G59" i="950"/>
  <c r="H59" i="950"/>
  <c r="G60" i="950"/>
  <c r="H60" i="950"/>
  <c r="G61" i="950"/>
  <c r="H61" i="950"/>
  <c r="F39" i="950"/>
  <c r="E39" i="950"/>
  <c r="D39" i="950"/>
  <c r="C39" i="950" a="1"/>
  <c r="C39" i="950" s="1"/>
  <c r="C111" i="352" a="1"/>
  <c r="C111" i="352" s="1"/>
  <c r="I111" i="352"/>
  <c r="J111" i="352"/>
  <c r="C110" i="352" a="1"/>
  <c r="C110" i="352" s="1"/>
  <c r="H110" i="352"/>
  <c r="I110" i="352"/>
  <c r="J110" i="352"/>
  <c r="C107" i="352" a="1"/>
  <c r="C107" i="352" s="1"/>
  <c r="D200" i="161"/>
  <c r="E200" i="161"/>
  <c r="D201" i="161"/>
  <c r="E201" i="161"/>
  <c r="D202" i="161"/>
  <c r="E202" i="161"/>
  <c r="C195" i="161"/>
  <c r="D195" i="161"/>
  <c r="E195" i="161"/>
  <c r="C196" i="161"/>
  <c r="D196" i="161"/>
  <c r="E196" i="161"/>
  <c r="C197" i="161"/>
  <c r="D197" i="161"/>
  <c r="E197" i="161"/>
  <c r="C198" i="161"/>
  <c r="D198" i="161"/>
  <c r="E198" i="161"/>
  <c r="C199" i="161"/>
  <c r="D199" i="161"/>
  <c r="E199" i="161"/>
  <c r="E194" i="161"/>
  <c r="C194" i="161"/>
  <c r="D194" i="161"/>
  <c r="C164" i="161" a="1"/>
  <c r="C164" i="161" s="1"/>
  <c r="E166" i="161"/>
  <c r="C163" i="161" a="1"/>
  <c r="C163" i="161" s="1"/>
  <c r="C59" i="161" a="1"/>
  <c r="C59" i="161" s="1"/>
  <c r="J59" i="161"/>
  <c r="D57" i="161" a="1"/>
  <c r="D57" i="161" s="1"/>
  <c r="E57" i="161" a="1"/>
  <c r="E57" i="161" s="1"/>
  <c r="F57" i="161" a="1"/>
  <c r="F57" i="161"/>
  <c r="G57" i="161" a="1"/>
  <c r="G57" i="161" s="1"/>
  <c r="H57" i="161" a="1"/>
  <c r="H57" i="161" s="1"/>
  <c r="I57" i="161" a="1"/>
  <c r="I57" i="161"/>
  <c r="J57" i="161" a="1"/>
  <c r="J57" i="161" s="1"/>
  <c r="C57" i="161" a="1"/>
  <c r="C57" i="161" s="1"/>
  <c r="C55" i="161" a="1"/>
  <c r="F55" i="161" s="1"/>
  <c r="C55" i="161"/>
  <c r="D55" i="161"/>
  <c r="E55" i="161"/>
  <c r="I55" i="161"/>
  <c r="J55" i="161"/>
  <c r="E37" i="161"/>
  <c r="C58" i="161" a="1"/>
  <c r="C58" i="161" s="1"/>
  <c r="J58" i="161"/>
  <c r="C54" i="161" a="1"/>
  <c r="C54" i="161" s="1"/>
  <c r="H50" i="6" a="1"/>
  <c r="H50" i="6" s="1"/>
  <c r="G50" i="6" a="1"/>
  <c r="G50" i="6" s="1"/>
  <c r="O50" i="6" s="1"/>
  <c r="F50" i="6" a="1"/>
  <c r="F50" i="6" s="1"/>
  <c r="E50" i="6" a="1"/>
  <c r="E50" i="6" s="1"/>
  <c r="D50" i="6" a="1"/>
  <c r="D50" i="6" s="1"/>
  <c r="C50" i="6" s="1"/>
  <c r="K50" i="6" s="1"/>
  <c r="H49" i="6" a="1"/>
  <c r="H49" i="6" s="1"/>
  <c r="G49" i="6" a="1"/>
  <c r="G49" i="6"/>
  <c r="O49" i="6" s="1"/>
  <c r="F49" i="6" a="1"/>
  <c r="F49" i="6"/>
  <c r="E49" i="6" a="1"/>
  <c r="E49" i="6" s="1"/>
  <c r="D49" i="6" a="1"/>
  <c r="D49" i="6" s="1"/>
  <c r="C49" i="6" s="1"/>
  <c r="K49" i="6" s="1"/>
  <c r="H48" i="6" a="1"/>
  <c r="H48" i="6" s="1"/>
  <c r="G48" i="6" a="1"/>
  <c r="G48" i="6" s="1"/>
  <c r="O48" i="6" s="1"/>
  <c r="F48" i="6" a="1"/>
  <c r="F48" i="6" s="1"/>
  <c r="E48" i="6" a="1"/>
  <c r="E48" i="6" s="1"/>
  <c r="D48" i="6" a="1"/>
  <c r="D48" i="6"/>
  <c r="H47" i="6" a="1"/>
  <c r="H47" i="6" s="1"/>
  <c r="G47" i="6" a="1"/>
  <c r="G47" i="6" s="1"/>
  <c r="F47" i="6" a="1"/>
  <c r="F47" i="6"/>
  <c r="M47" i="6" s="1"/>
  <c r="E47" i="6" a="1"/>
  <c r="E47" i="6" s="1"/>
  <c r="D47" i="6" a="1"/>
  <c r="D47" i="6"/>
  <c r="O46" i="6"/>
  <c r="H46" i="6" a="1"/>
  <c r="H46" i="6"/>
  <c r="G46" i="6" a="1"/>
  <c r="G46" i="6"/>
  <c r="F46" i="6" a="1"/>
  <c r="F46" i="6" s="1"/>
  <c r="M46" i="6" s="1"/>
  <c r="E46" i="6" a="1"/>
  <c r="E46" i="6" s="1"/>
  <c r="D46" i="6" a="1"/>
  <c r="D46" i="6" s="1"/>
  <c r="H45" i="6" a="1"/>
  <c r="H45" i="6" s="1"/>
  <c r="G45" i="6" a="1"/>
  <c r="G45" i="6"/>
  <c r="O45" i="6" s="1"/>
  <c r="F45" i="6" a="1"/>
  <c r="F45" i="6"/>
  <c r="E45" i="6" a="1"/>
  <c r="E45" i="6" s="1"/>
  <c r="D45" i="6" a="1"/>
  <c r="D45" i="6" s="1"/>
  <c r="H44" i="6" a="1"/>
  <c r="H44" i="6" s="1"/>
  <c r="G44" i="6" a="1"/>
  <c r="G44" i="6" s="1"/>
  <c r="F44" i="6" a="1"/>
  <c r="F44" i="6" s="1"/>
  <c r="E44" i="6" a="1"/>
  <c r="E44" i="6"/>
  <c r="D44" i="6" a="1"/>
  <c r="D44" i="6"/>
  <c r="L43" i="6"/>
  <c r="M42" i="6"/>
  <c r="H42" i="6" a="1"/>
  <c r="H42" i="6" s="1"/>
  <c r="G42" i="6" a="1"/>
  <c r="G42" i="6" s="1"/>
  <c r="O42" i="6" s="1"/>
  <c r="F42" i="6" a="1"/>
  <c r="F42" i="6"/>
  <c r="N42" i="6" s="1"/>
  <c r="E42" i="6" a="1"/>
  <c r="E42" i="6" s="1"/>
  <c r="D42" i="6" a="1"/>
  <c r="D42" i="6"/>
  <c r="H41" i="6" a="1"/>
  <c r="H41" i="6"/>
  <c r="G41" i="6" a="1"/>
  <c r="G41" i="6" s="1"/>
  <c r="O41" i="6" s="1"/>
  <c r="F41" i="6" a="1"/>
  <c r="F41" i="6"/>
  <c r="N41" i="6" s="1"/>
  <c r="E41" i="6" a="1"/>
  <c r="E41" i="6"/>
  <c r="M41" i="6" s="1"/>
  <c r="D41" i="6" a="1"/>
  <c r="D41" i="6" s="1"/>
  <c r="H40" i="6" a="1"/>
  <c r="H40" i="6"/>
  <c r="G40" i="6" a="1"/>
  <c r="G40" i="6"/>
  <c r="O40" i="6" s="1"/>
  <c r="F40" i="6" a="1"/>
  <c r="F40" i="6" s="1"/>
  <c r="N40" i="6" s="1"/>
  <c r="E40" i="6" a="1"/>
  <c r="E40" i="6" s="1"/>
  <c r="M40" i="6" s="1"/>
  <c r="D40" i="6" a="1"/>
  <c r="D40" i="6" s="1"/>
  <c r="H39" i="6" a="1"/>
  <c r="H39" i="6" s="1"/>
  <c r="G39" i="6" a="1"/>
  <c r="G39" i="6" s="1"/>
  <c r="O39" i="6" s="1"/>
  <c r="F39" i="6" a="1"/>
  <c r="F39" i="6" s="1"/>
  <c r="N39" i="6" s="1"/>
  <c r="E39" i="6" a="1"/>
  <c r="E39" i="6" s="1"/>
  <c r="M39" i="6" s="1"/>
  <c r="D39" i="6" a="1"/>
  <c r="D39" i="6"/>
  <c r="O38" i="6"/>
  <c r="N38" i="6"/>
  <c r="H38" i="6" a="1"/>
  <c r="H38" i="6" s="1"/>
  <c r="G38" i="6" a="1"/>
  <c r="G38" i="6" s="1"/>
  <c r="F38" i="6" a="1"/>
  <c r="F38" i="6"/>
  <c r="E38" i="6" a="1"/>
  <c r="E38" i="6"/>
  <c r="M38" i="6" s="1"/>
  <c r="D38" i="6" a="1"/>
  <c r="D38" i="6" s="1"/>
  <c r="H37" i="6" a="1"/>
  <c r="H37" i="6"/>
  <c r="G37" i="6" a="1"/>
  <c r="G37" i="6"/>
  <c r="O37" i="6" s="1"/>
  <c r="F37" i="6" a="1"/>
  <c r="F37" i="6" s="1"/>
  <c r="N37" i="6" s="1"/>
  <c r="E37" i="6" a="1"/>
  <c r="E37" i="6" s="1"/>
  <c r="M37" i="6" s="1"/>
  <c r="D37" i="6" a="1"/>
  <c r="D37" i="6"/>
  <c r="H36" i="6" a="1"/>
  <c r="H36" i="6" s="1"/>
  <c r="G36" i="6" a="1"/>
  <c r="G36" i="6" s="1"/>
  <c r="F36" i="6" a="1"/>
  <c r="F36" i="6" s="1"/>
  <c r="E36" i="6" a="1"/>
  <c r="E36" i="6" s="1"/>
  <c r="D36" i="6" a="1"/>
  <c r="D36" i="6"/>
  <c r="N34" i="6"/>
  <c r="M34" i="6"/>
  <c r="H34" i="6" a="1"/>
  <c r="H34" i="6" s="1"/>
  <c r="G34" i="6" a="1"/>
  <c r="G34" i="6" s="1"/>
  <c r="F34" i="6" a="1"/>
  <c r="F34" i="6" s="1"/>
  <c r="E34" i="6" a="1"/>
  <c r="E34" i="6"/>
  <c r="D34" i="6" a="1"/>
  <c r="D34" i="6"/>
  <c r="H33" i="6" a="1"/>
  <c r="H33" i="6"/>
  <c r="H27" i="6" s="1"/>
  <c r="G33" i="6" a="1"/>
  <c r="G33" i="6"/>
  <c r="F33" i="6" a="1"/>
  <c r="F33" i="6" s="1"/>
  <c r="E33" i="6" a="1"/>
  <c r="E33" i="6" s="1"/>
  <c r="D33" i="6" a="1"/>
  <c r="D33" i="6" s="1"/>
  <c r="H32" i="6" a="1"/>
  <c r="H32" i="6"/>
  <c r="G32" i="6" a="1"/>
  <c r="G32" i="6"/>
  <c r="F32" i="6" a="1"/>
  <c r="F32" i="6" s="1"/>
  <c r="O32" i="6" s="1"/>
  <c r="E32" i="6" a="1"/>
  <c r="E32" i="6" s="1"/>
  <c r="D32" i="6" a="1"/>
  <c r="D32" i="6" s="1"/>
  <c r="C32" i="6" s="1"/>
  <c r="K32" i="6" s="1"/>
  <c r="H31" i="6" a="1"/>
  <c r="H31" i="6" s="1"/>
  <c r="G31" i="6" a="1"/>
  <c r="G31" i="6" s="1"/>
  <c r="F31" i="6" a="1"/>
  <c r="F31" i="6"/>
  <c r="E31" i="6" a="1"/>
  <c r="E31" i="6" s="1"/>
  <c r="D31" i="6" a="1"/>
  <c r="D31" i="6"/>
  <c r="M30" i="6"/>
  <c r="H30" i="6" a="1"/>
  <c r="H30" i="6" s="1"/>
  <c r="G30" i="6" a="1"/>
  <c r="G30" i="6" s="1"/>
  <c r="F30" i="6" a="1"/>
  <c r="F30" i="6" s="1"/>
  <c r="E30" i="6" a="1"/>
  <c r="E30" i="6"/>
  <c r="D30" i="6" a="1"/>
  <c r="D30" i="6"/>
  <c r="H29" i="6" a="1"/>
  <c r="H29" i="6"/>
  <c r="G29" i="6" a="1"/>
  <c r="G29" i="6"/>
  <c r="F29" i="6" a="1"/>
  <c r="F29" i="6" s="1"/>
  <c r="O29" i="6" s="1"/>
  <c r="E29" i="6" a="1"/>
  <c r="E29" i="6" s="1"/>
  <c r="D29" i="6" a="1"/>
  <c r="D29" i="6" s="1"/>
  <c r="H28" i="6" a="1"/>
  <c r="H28" i="6"/>
  <c r="G28" i="6" a="1"/>
  <c r="G28" i="6"/>
  <c r="F28" i="6" a="1"/>
  <c r="F28" i="6" s="1"/>
  <c r="E28" i="6" a="1"/>
  <c r="E28" i="6" s="1"/>
  <c r="N28" i="6" s="1"/>
  <c r="D28" i="6" a="1"/>
  <c r="D28" i="6"/>
  <c r="L27" i="6"/>
  <c r="H26" i="6" a="1"/>
  <c r="H26" i="6" s="1"/>
  <c r="O26" i="6" s="1"/>
  <c r="G26" i="6" a="1"/>
  <c r="G26" i="6" s="1"/>
  <c r="N26" i="6" s="1"/>
  <c r="F26" i="6" a="1"/>
  <c r="F26" i="6"/>
  <c r="M26" i="6" s="1"/>
  <c r="E26" i="6" a="1"/>
  <c r="E26" i="6" s="1"/>
  <c r="C26" i="6" s="1"/>
  <c r="D26" i="6" a="1"/>
  <c r="D26" i="6"/>
  <c r="O25" i="6"/>
  <c r="M25" i="6"/>
  <c r="H25" i="6" a="1"/>
  <c r="H25" i="6"/>
  <c r="G25" i="6" a="1"/>
  <c r="G25" i="6"/>
  <c r="N25" i="6" s="1"/>
  <c r="F25" i="6" a="1"/>
  <c r="F25" i="6"/>
  <c r="E25" i="6" a="1"/>
  <c r="E25" i="6" s="1"/>
  <c r="D25" i="6" a="1"/>
  <c r="D25" i="6" s="1"/>
  <c r="H24" i="6" a="1"/>
  <c r="H24" i="6"/>
  <c r="O24" i="6" s="1"/>
  <c r="G24" i="6" a="1"/>
  <c r="G24" i="6" s="1"/>
  <c r="N24" i="6" s="1"/>
  <c r="F24" i="6" a="1"/>
  <c r="F24" i="6" s="1"/>
  <c r="M24" i="6" s="1"/>
  <c r="E24" i="6" a="1"/>
  <c r="E24" i="6" s="1"/>
  <c r="D24" i="6" a="1"/>
  <c r="D24" i="6"/>
  <c r="H23" i="6" a="1"/>
  <c r="H23" i="6" s="1"/>
  <c r="O23" i="6" s="1"/>
  <c r="G23" i="6" a="1"/>
  <c r="G23" i="6" s="1"/>
  <c r="N23" i="6" s="1"/>
  <c r="F23" i="6" a="1"/>
  <c r="F23" i="6"/>
  <c r="M23" i="6" s="1"/>
  <c r="E23" i="6" a="1"/>
  <c r="E23" i="6" s="1"/>
  <c r="D23" i="6" a="1"/>
  <c r="D23" i="6"/>
  <c r="M22" i="6"/>
  <c r="H22" i="6" a="1"/>
  <c r="H22" i="6"/>
  <c r="O22" i="6" s="1"/>
  <c r="G22" i="6" a="1"/>
  <c r="G22" i="6"/>
  <c r="N22" i="6" s="1"/>
  <c r="F22" i="6" a="1"/>
  <c r="F22" i="6"/>
  <c r="E22" i="6" a="1"/>
  <c r="E22" i="6"/>
  <c r="D22" i="6" a="1"/>
  <c r="D22" i="6" s="1"/>
  <c r="C22" i="6" s="1"/>
  <c r="M21" i="6"/>
  <c r="H21" i="6" a="1"/>
  <c r="H21" i="6"/>
  <c r="O21" i="6" s="1"/>
  <c r="O5" i="6" s="1"/>
  <c r="G21" i="6" a="1"/>
  <c r="G21" i="6"/>
  <c r="N21" i="6" s="1"/>
  <c r="F21" i="6" a="1"/>
  <c r="F21" i="6"/>
  <c r="E21" i="6" a="1"/>
  <c r="E21" i="6" s="1"/>
  <c r="D21" i="6" a="1"/>
  <c r="D21" i="6"/>
  <c r="C21" i="6" s="1"/>
  <c r="O20" i="6"/>
  <c r="H20" i="6" a="1"/>
  <c r="H20" i="6" s="1"/>
  <c r="G20" i="6" a="1"/>
  <c r="G20" i="6" s="1"/>
  <c r="F20" i="6" a="1"/>
  <c r="F20" i="6"/>
  <c r="M20" i="6" s="1"/>
  <c r="E20" i="6" a="1"/>
  <c r="E20" i="6" s="1"/>
  <c r="D20" i="6" a="1"/>
  <c r="D20" i="6"/>
  <c r="M19" i="6"/>
  <c r="M18" i="6"/>
  <c r="H18" i="6" a="1"/>
  <c r="H18" i="6" s="1"/>
  <c r="G18" i="6" a="1"/>
  <c r="G18" i="6" s="1"/>
  <c r="F18" i="6" a="1"/>
  <c r="F18" i="6"/>
  <c r="E18" i="6" a="1"/>
  <c r="E18" i="6" s="1"/>
  <c r="D18" i="6" a="1"/>
  <c r="D18" i="6"/>
  <c r="H17" i="6" a="1"/>
  <c r="H17" i="6" s="1"/>
  <c r="G17" i="6" a="1"/>
  <c r="G17" i="6"/>
  <c r="F17" i="6" a="1"/>
  <c r="F17" i="6" s="1"/>
  <c r="E17" i="6" a="1"/>
  <c r="E17" i="6" s="1"/>
  <c r="D17" i="6" a="1"/>
  <c r="D17" i="6" s="1"/>
  <c r="C17" i="6" s="1"/>
  <c r="H16" i="6" a="1"/>
  <c r="H16" i="6"/>
  <c r="G16" i="6" a="1"/>
  <c r="G16" i="6" s="1"/>
  <c r="F16" i="6" a="1"/>
  <c r="F16" i="6" s="1"/>
  <c r="E16" i="6" a="1"/>
  <c r="E16" i="6" s="1"/>
  <c r="D16" i="6" a="1"/>
  <c r="D16" i="6" s="1"/>
  <c r="H15" i="6" a="1"/>
  <c r="H15" i="6" s="1"/>
  <c r="G15" i="6" a="1"/>
  <c r="G15" i="6"/>
  <c r="G11" i="6" s="1"/>
  <c r="F15" i="6" a="1"/>
  <c r="F15" i="6"/>
  <c r="E15" i="6" a="1"/>
  <c r="E15" i="6" s="1"/>
  <c r="D15" i="6" a="1"/>
  <c r="D15" i="6" s="1"/>
  <c r="H14" i="6" a="1"/>
  <c r="H14" i="6"/>
  <c r="G14" i="6" a="1"/>
  <c r="G14" i="6" s="1"/>
  <c r="F14" i="6" a="1"/>
  <c r="F14" i="6" s="1"/>
  <c r="E14" i="6" a="1"/>
  <c r="E14" i="6" s="1"/>
  <c r="D14" i="6" a="1"/>
  <c r="D14" i="6"/>
  <c r="H13" i="6" a="1"/>
  <c r="H13" i="6"/>
  <c r="G13" i="6" a="1"/>
  <c r="G13" i="6"/>
  <c r="F13" i="6" a="1"/>
  <c r="F13" i="6" s="1"/>
  <c r="E13" i="6" a="1"/>
  <c r="E13" i="6"/>
  <c r="C13" i="6" s="1"/>
  <c r="D13" i="6" a="1"/>
  <c r="D13" i="6" s="1"/>
  <c r="H12" i="6" a="1"/>
  <c r="H12" i="6"/>
  <c r="G12" i="6" a="1"/>
  <c r="G12" i="6" s="1"/>
  <c r="F12" i="6" a="1"/>
  <c r="F12" i="6" s="1"/>
  <c r="E12" i="6" a="1"/>
  <c r="E12" i="6" s="1"/>
  <c r="D12" i="6" a="1"/>
  <c r="D12" i="6" s="1"/>
  <c r="O11" i="6"/>
  <c r="N11" i="6"/>
  <c r="O8" i="6"/>
  <c r="G19" i="2543"/>
  <c r="D11" i="2543"/>
  <c r="A2" i="2543"/>
  <c r="P161" i="1261" a="1"/>
  <c r="P161" i="1261" s="1"/>
  <c r="P139" i="1261" a="1"/>
  <c r="P139" i="1261" s="1"/>
  <c r="K130" i="1261" a="1"/>
  <c r="K130" i="1261" s="1"/>
  <c r="P78" i="1261" a="1"/>
  <c r="P78" i="1261" s="1"/>
  <c r="J75" i="1261" a="1"/>
  <c r="J75" i="1261" s="1"/>
  <c r="H109" i="1261" s="1"/>
  <c r="J58" i="1261" a="1"/>
  <c r="J58" i="1261" s="1"/>
  <c r="O55" i="1261"/>
  <c r="I55" i="1261"/>
  <c r="R40" i="1261" a="1"/>
  <c r="R40" i="1261" s="1"/>
  <c r="L40" i="1261" a="1"/>
  <c r="L40" i="1261" s="1"/>
  <c r="J39" i="1261" a="1"/>
  <c r="J39" i="1261" s="1"/>
  <c r="P38" i="1261" a="1"/>
  <c r="P38" i="1261" s="1"/>
  <c r="L38" i="1261" a="1"/>
  <c r="L38" i="1261" s="1"/>
  <c r="K37" i="1261" a="1"/>
  <c r="K37" i="1261" s="1"/>
  <c r="R36" i="1261" a="1"/>
  <c r="R36" i="1261" s="1"/>
  <c r="P36" i="1261" a="1"/>
  <c r="P36" i="1261" s="1"/>
  <c r="L36" i="1261" a="1"/>
  <c r="L36" i="1261" s="1"/>
  <c r="Q35" i="1261" a="1"/>
  <c r="Q35" i="1261" s="1"/>
  <c r="P35" i="1261" a="1"/>
  <c r="P35" i="1261" s="1"/>
  <c r="Q34" i="1261" a="1"/>
  <c r="Q34" i="1261" s="1"/>
  <c r="F34" i="1261" a="1"/>
  <c r="F34" i="1261" s="1"/>
  <c r="D34" i="1261" a="1"/>
  <c r="D34" i="1261" s="1"/>
  <c r="R33" i="1261" a="1"/>
  <c r="R33" i="1261" s="1"/>
  <c r="E33" i="1261" a="1"/>
  <c r="E33" i="1261" s="1"/>
  <c r="D33" i="1261" a="1"/>
  <c r="D33" i="1261" s="1"/>
  <c r="E32" i="1261" a="1"/>
  <c r="E32" i="1261" s="1"/>
  <c r="L31" i="1261" a="1"/>
  <c r="L31" i="1261" s="1"/>
  <c r="J31" i="1261" a="1"/>
  <c r="J31" i="1261" s="1"/>
  <c r="F31" i="1261" a="1"/>
  <c r="F31" i="1261" s="1"/>
  <c r="P30" i="1261" a="1"/>
  <c r="P30" i="1261" s="1"/>
  <c r="L30" i="1261" a="1"/>
  <c r="L30" i="1261" s="1"/>
  <c r="K30" i="1261" a="1"/>
  <c r="K30" i="1261" s="1"/>
  <c r="R29" i="1261" a="1"/>
  <c r="R29" i="1261" s="1"/>
  <c r="E111" i="1261" s="1"/>
  <c r="F171" i="1261" s="1"/>
  <c r="Q29" i="1261" a="1"/>
  <c r="Q29" i="1261" s="1"/>
  <c r="D111" i="1261" s="1"/>
  <c r="E171" i="1261" s="1"/>
  <c r="P29" i="1261" a="1"/>
  <c r="P29" i="1261" s="1"/>
  <c r="C111" i="1261" s="1"/>
  <c r="D171" i="1261" s="1"/>
  <c r="E29" i="1261" a="1"/>
  <c r="E29" i="1261" s="1"/>
  <c r="D29" i="1261" a="1"/>
  <c r="D29" i="1261" s="1"/>
  <c r="R24" i="1261" a="1"/>
  <c r="R24" i="1261" s="1"/>
  <c r="J24" i="1261" a="1"/>
  <c r="J24" i="1261" s="1"/>
  <c r="F24" i="1261" a="1"/>
  <c r="F24" i="1261" s="1"/>
  <c r="D24" i="1261" a="1"/>
  <c r="D24" i="1261" s="1"/>
  <c r="L23" i="1261" a="1"/>
  <c r="L23" i="1261" s="1"/>
  <c r="J23" i="1261" a="1"/>
  <c r="J23" i="1261" s="1"/>
  <c r="F23" i="1261" a="1"/>
  <c r="F23" i="1261" s="1"/>
  <c r="P22" i="1261" a="1"/>
  <c r="P22" i="1261" s="1"/>
  <c r="L22" i="1261" a="1"/>
  <c r="L22" i="1261" s="1"/>
  <c r="K22" i="1261" a="1"/>
  <c r="K22" i="1261" s="1"/>
  <c r="R21" i="1261" a="1"/>
  <c r="R21" i="1261" s="1"/>
  <c r="Q21" i="1261" a="1"/>
  <c r="Q21" i="1261" s="1"/>
  <c r="P21" i="1261" a="1"/>
  <c r="P21" i="1261" s="1"/>
  <c r="E21" i="1261" a="1"/>
  <c r="E21" i="1261" s="1"/>
  <c r="D21" i="1261" a="1"/>
  <c r="D21" i="1261" s="1"/>
  <c r="R20" i="1261" a="1"/>
  <c r="R20" i="1261" s="1"/>
  <c r="J20" i="1261" a="1"/>
  <c r="J20" i="1261" s="1"/>
  <c r="F20" i="1261" a="1"/>
  <c r="F20" i="1261" s="1"/>
  <c r="D20" i="1261" a="1"/>
  <c r="D20" i="1261" s="1"/>
  <c r="L19" i="1261" a="1"/>
  <c r="L19" i="1261" s="1"/>
  <c r="J19" i="1261" a="1"/>
  <c r="J19" i="1261" s="1"/>
  <c r="F19" i="1261" a="1"/>
  <c r="F19" i="1261" s="1"/>
  <c r="P18" i="1261" a="1"/>
  <c r="P18" i="1261" s="1"/>
  <c r="L18" i="1261" a="1"/>
  <c r="L18" i="1261" s="1"/>
  <c r="K18" i="1261" a="1"/>
  <c r="K18" i="1261" s="1"/>
  <c r="R17" i="1261" a="1"/>
  <c r="R17" i="1261" s="1"/>
  <c r="Q17" i="1261" a="1"/>
  <c r="Q17" i="1261" s="1"/>
  <c r="P17" i="1261" a="1"/>
  <c r="P17" i="1261" s="1"/>
  <c r="E17" i="1261" a="1"/>
  <c r="E17" i="1261" s="1"/>
  <c r="D17" i="1261" a="1"/>
  <c r="D17" i="1261" s="1"/>
  <c r="R16" i="1261" a="1"/>
  <c r="R16" i="1261" s="1"/>
  <c r="J16" i="1261" a="1"/>
  <c r="J16" i="1261" s="1"/>
  <c r="F16" i="1261" a="1"/>
  <c r="F16" i="1261" s="1"/>
  <c r="D16" i="1261" a="1"/>
  <c r="D16" i="1261" s="1"/>
  <c r="L15" i="1261" a="1"/>
  <c r="L15" i="1261" s="1"/>
  <c r="J15" i="1261" a="1"/>
  <c r="J15" i="1261" s="1"/>
  <c r="F15" i="1261" a="1"/>
  <c r="F15" i="1261" s="1"/>
  <c r="P14" i="1261" a="1"/>
  <c r="P14" i="1261" s="1"/>
  <c r="L14" i="1261" a="1"/>
  <c r="L14" i="1261" s="1"/>
  <c r="K14" i="1261" a="1"/>
  <c r="K14" i="1261" s="1"/>
  <c r="R13" i="1261" a="1"/>
  <c r="R13" i="1261" s="1"/>
  <c r="Q13" i="1261" a="1"/>
  <c r="Q13" i="1261" s="1"/>
  <c r="P13" i="1261" a="1"/>
  <c r="P13" i="1261" s="1"/>
  <c r="K12" i="1261" a="1"/>
  <c r="K12" i="1261" s="1"/>
  <c r="J12" i="1261" a="1"/>
  <c r="J12" i="1261" s="1"/>
  <c r="F12" i="1261" a="1"/>
  <c r="F12" i="1261" s="1"/>
  <c r="K11" i="1261" a="1"/>
  <c r="K11" i="1261" s="1"/>
  <c r="D107" i="1261" s="1"/>
  <c r="D11" i="1261" a="1"/>
  <c r="D11" i="1261" s="1"/>
  <c r="O9" i="1261"/>
  <c r="I9" i="1261"/>
  <c r="A2" i="1261"/>
  <c r="L136" i="1261" s="1" a="1"/>
  <c r="L136" i="1261" s="1"/>
  <c r="B2" i="2210"/>
  <c r="A2" i="2210"/>
  <c r="E26" i="2210" s="1" a="1"/>
  <c r="E26" i="2210" s="1"/>
  <c r="D57" i="1940" a="1"/>
  <c r="D57" i="1940" s="1"/>
  <c r="D70" i="1940" s="1"/>
  <c r="D26" i="1940" a="1"/>
  <c r="D26" i="1940" s="1"/>
  <c r="E22" i="1940" a="1"/>
  <c r="E22" i="1940" s="1"/>
  <c r="D34" i="1940" s="1"/>
  <c r="D18" i="2544" s="1"/>
  <c r="D16" i="1940" a="1"/>
  <c r="D16" i="1940" s="1"/>
  <c r="E13" i="1940" a="1"/>
  <c r="E13" i="1940" s="1"/>
  <c r="E12" i="1940" a="1"/>
  <c r="E12" i="1940" s="1"/>
  <c r="D12" i="1940" a="1"/>
  <c r="D12" i="1940" s="1"/>
  <c r="A2" i="1940"/>
  <c r="E366" i="951" a="1"/>
  <c r="E366" i="951" s="1"/>
  <c r="D381" i="951" s="1"/>
  <c r="F363" i="951" a="1"/>
  <c r="F363" i="951" s="1"/>
  <c r="E378" i="951" s="1"/>
  <c r="E363" i="951" a="1"/>
  <c r="E363" i="951" s="1"/>
  <c r="D378" i="951" s="1"/>
  <c r="F362" i="951" a="1"/>
  <c r="F362" i="951" s="1"/>
  <c r="E377" i="951" s="1"/>
  <c r="D362" i="951" a="1"/>
  <c r="D362" i="951" s="1"/>
  <c r="C377" i="951" s="1"/>
  <c r="E361" i="951" a="1"/>
  <c r="E361" i="951" s="1"/>
  <c r="D376" i="951" s="1"/>
  <c r="D360" i="951" a="1"/>
  <c r="D360" i="951" s="1"/>
  <c r="C375" i="951" s="1"/>
  <c r="F325" i="951"/>
  <c r="F324" i="951" a="1"/>
  <c r="F324" i="951" s="1"/>
  <c r="F325" i="951" s="1" a="1"/>
  <c r="L319" i="951"/>
  <c r="K319" i="951"/>
  <c r="H319" i="951"/>
  <c r="G319" i="951"/>
  <c r="E319" i="951"/>
  <c r="C319" i="951"/>
  <c r="I318" i="951"/>
  <c r="D313" i="951"/>
  <c r="C313" i="951"/>
  <c r="D312" i="951"/>
  <c r="N307" i="951"/>
  <c r="F307" i="951"/>
  <c r="D307" i="951"/>
  <c r="H278" i="951"/>
  <c r="H277" i="951"/>
  <c r="C271" i="951"/>
  <c r="E270" i="951"/>
  <c r="C270" i="951"/>
  <c r="F269" i="951"/>
  <c r="E248" i="951" a="1"/>
  <c r="E248" i="951" s="1"/>
  <c r="D248" i="951" a="1"/>
  <c r="D248" i="951" s="1"/>
  <c r="C247" i="951" a="1"/>
  <c r="C247" i="951" s="1"/>
  <c r="E246" i="951" a="1"/>
  <c r="E246" i="951" s="1"/>
  <c r="D246" i="951" a="1"/>
  <c r="D246" i="951" s="1"/>
  <c r="F245" i="951" a="1"/>
  <c r="F245" i="951" s="1"/>
  <c r="D244" i="951" a="1"/>
  <c r="D244" i="951" s="1"/>
  <c r="F243" i="951" a="1"/>
  <c r="F243" i="951" s="1"/>
  <c r="F242" i="951" a="1"/>
  <c r="F242" i="951" s="1"/>
  <c r="D242" i="951" a="1"/>
  <c r="D242" i="951" s="1"/>
  <c r="F240" i="951" a="1"/>
  <c r="F240" i="951" s="1"/>
  <c r="D240" i="951" a="1"/>
  <c r="D240" i="951" s="1"/>
  <c r="C240" i="951" a="1"/>
  <c r="C240" i="951" s="1"/>
  <c r="C222" i="951" a="1"/>
  <c r="C222" i="951" s="1"/>
  <c r="L214" i="951" a="1"/>
  <c r="L214" i="951" s="1"/>
  <c r="M212" i="951" a="1"/>
  <c r="M212" i="951" s="1"/>
  <c r="L210" i="951" a="1"/>
  <c r="L210" i="951" s="1"/>
  <c r="M209" i="951" a="1"/>
  <c r="M209" i="951" s="1"/>
  <c r="F209" i="951" a="1"/>
  <c r="F209" i="951" s="1"/>
  <c r="L204" i="951" a="1"/>
  <c r="L204" i="951" s="1"/>
  <c r="E203" i="951" a="1"/>
  <c r="E203" i="951" s="1"/>
  <c r="M202" i="951" a="1"/>
  <c r="M202" i="951" s="1"/>
  <c r="L202" i="951" a="1"/>
  <c r="L202" i="951" s="1"/>
  <c r="F200" i="951" a="1"/>
  <c r="F200" i="951" s="1"/>
  <c r="E200" i="951" a="1"/>
  <c r="E200" i="951" s="1"/>
  <c r="F199" i="951" a="1"/>
  <c r="F199" i="951" s="1"/>
  <c r="L170" i="951" a="1"/>
  <c r="L170" i="951" s="1"/>
  <c r="F170" i="951" a="1"/>
  <c r="F170" i="951"/>
  <c r="L169" i="951" a="1"/>
  <c r="L169" i="951" s="1"/>
  <c r="L168" i="951" a="1"/>
  <c r="L168" i="951" s="1"/>
  <c r="E168" i="951" a="1"/>
  <c r="E168" i="951" s="1"/>
  <c r="F167" i="951" a="1"/>
  <c r="F167" i="951" s="1"/>
  <c r="F166" i="951" a="1"/>
  <c r="F166" i="951" s="1"/>
  <c r="L160" i="951" a="1"/>
  <c r="L160" i="951" s="1"/>
  <c r="M159" i="951" a="1"/>
  <c r="M159" i="951" s="1"/>
  <c r="L158" i="951" a="1"/>
  <c r="L158" i="951" s="1"/>
  <c r="E157" i="951" a="1"/>
  <c r="E157" i="951" s="1"/>
  <c r="L156" i="951" a="1"/>
  <c r="L156" i="951" s="1"/>
  <c r="F155" i="951" a="1"/>
  <c r="F155" i="951"/>
  <c r="E135" i="951" a="1"/>
  <c r="E135" i="951" s="1"/>
  <c r="E125" i="951" a="1"/>
  <c r="E125" i="951" s="1"/>
  <c r="D125" i="951" a="1"/>
  <c r="D125" i="951" s="1"/>
  <c r="C125" i="951" a="1"/>
  <c r="C125" i="951" s="1"/>
  <c r="F124" i="951" a="1"/>
  <c r="F124" i="951" s="1"/>
  <c r="D123" i="951" a="1"/>
  <c r="D123" i="951" s="1"/>
  <c r="F122" i="951" a="1"/>
  <c r="F122" i="951" s="1"/>
  <c r="C122" i="951" a="1"/>
  <c r="C122" i="951" s="1"/>
  <c r="E121" i="951" a="1"/>
  <c r="E121" i="951" s="1"/>
  <c r="C120" i="951" a="1"/>
  <c r="C120" i="951" s="1"/>
  <c r="B109" i="951"/>
  <c r="B102" i="951"/>
  <c r="C57" i="951" a="1"/>
  <c r="C57" i="951" s="1"/>
  <c r="D55" i="951" a="1"/>
  <c r="D55" i="951" s="1"/>
  <c r="D53" i="951" a="1"/>
  <c r="D53" i="951" s="1"/>
  <c r="C52" i="951" a="1"/>
  <c r="C52" i="951" s="1"/>
  <c r="C50" i="951" a="1"/>
  <c r="C50" i="951" s="1"/>
  <c r="E16" i="951" a="1"/>
  <c r="E16" i="951" s="1"/>
  <c r="C16" i="951" a="1"/>
  <c r="C16" i="951" s="1"/>
  <c r="H15" i="951" a="1"/>
  <c r="H15" i="951"/>
  <c r="F15" i="951" a="1"/>
  <c r="F15" i="951" s="1"/>
  <c r="C15" i="951" a="1"/>
  <c r="C15" i="951" s="1"/>
  <c r="G14" i="951" a="1"/>
  <c r="G14" i="951"/>
  <c r="H13" i="951" a="1"/>
  <c r="H13" i="951" s="1"/>
  <c r="D13" i="951" a="1"/>
  <c r="D13" i="951" s="1"/>
  <c r="C13" i="951" a="1"/>
  <c r="C13" i="951"/>
  <c r="F12" i="951" a="1"/>
  <c r="F12" i="951" s="1"/>
  <c r="G11" i="951" a="1"/>
  <c r="G11" i="951" s="1"/>
  <c r="B2" i="951"/>
  <c r="A2" i="951"/>
  <c r="J319" i="951" s="1"/>
  <c r="I249" i="1465" a="1"/>
  <c r="I249" i="1465" s="1"/>
  <c r="G249" i="1465" a="1"/>
  <c r="G249" i="1465" s="1"/>
  <c r="H246" i="1465" a="1"/>
  <c r="H246" i="1465" s="1"/>
  <c r="F246" i="1465" a="1"/>
  <c r="F246" i="1465" s="1"/>
  <c r="E245" i="1465" a="1"/>
  <c r="E245" i="1465" s="1"/>
  <c r="E242" i="1465" a="1"/>
  <c r="E242" i="1465" s="1"/>
  <c r="I241" i="1465" a="1"/>
  <c r="I241" i="1465" s="1"/>
  <c r="D238" i="1465" a="1"/>
  <c r="D238" i="1465" s="1"/>
  <c r="H237" i="1465" a="1"/>
  <c r="H237" i="1465" s="1"/>
  <c r="E234" i="1465" a="1"/>
  <c r="E234" i="1465" s="1"/>
  <c r="F228" i="1465" a="1"/>
  <c r="F228" i="1465" s="1"/>
  <c r="G223" i="1465" a="1"/>
  <c r="G223" i="1465" s="1"/>
  <c r="I221" i="1465" a="1"/>
  <c r="I221" i="1465" s="1"/>
  <c r="F221" i="1465" a="1"/>
  <c r="F221" i="1465" s="1"/>
  <c r="E221" i="1465" a="1"/>
  <c r="E221" i="1465" s="1"/>
  <c r="R218" i="1465" a="1"/>
  <c r="R218" i="1465" s="1"/>
  <c r="F213" i="1465" a="1"/>
  <c r="F213" i="1465" s="1"/>
  <c r="S202" i="1465" a="1"/>
  <c r="S202" i="1465" s="1"/>
  <c r="D178" i="1465" a="1"/>
  <c r="D178" i="1465" s="1"/>
  <c r="E176" i="1465" a="1"/>
  <c r="E176" i="1465" s="1"/>
  <c r="D189" i="1465" s="1" a="1"/>
  <c r="D189" i="1465" s="1"/>
  <c r="G175" i="1465" a="1"/>
  <c r="G175" i="1465" s="1"/>
  <c r="G173" i="1465" a="1"/>
  <c r="G173" i="1465" s="1"/>
  <c r="G170" i="1465" a="1"/>
  <c r="G170" i="1465" s="1"/>
  <c r="D169" i="1465" a="1"/>
  <c r="D169" i="1465" s="1"/>
  <c r="E168" i="1465" a="1"/>
  <c r="E168" i="1465" s="1"/>
  <c r="D135" i="1465" a="1"/>
  <c r="D135" i="1465" s="1"/>
  <c r="O134" i="1465" a="1"/>
  <c r="O134" i="1465" s="1"/>
  <c r="P133" i="1465" a="1"/>
  <c r="P133" i="1465" s="1"/>
  <c r="N133" i="1465" a="1"/>
  <c r="N133" i="1465" s="1"/>
  <c r="D132" i="1465" a="1"/>
  <c r="D132" i="1465" s="1"/>
  <c r="E131" i="1465" a="1"/>
  <c r="E131" i="1465" s="1"/>
  <c r="D131" i="1465" a="1"/>
  <c r="D131" i="1465" s="1"/>
  <c r="O130" i="1465" a="1"/>
  <c r="O130" i="1465" s="1"/>
  <c r="M130" i="1465" a="1"/>
  <c r="M130" i="1465" s="1"/>
  <c r="G130" i="1465" a="1"/>
  <c r="G130" i="1465" s="1"/>
  <c r="H129" i="1465" a="1"/>
  <c r="H129" i="1465" s="1"/>
  <c r="E129" i="1465" a="1"/>
  <c r="E129" i="1465" s="1"/>
  <c r="D129" i="1465" a="1"/>
  <c r="D129" i="1465" s="1"/>
  <c r="P128" i="1465" a="1"/>
  <c r="P128" i="1465" s="1"/>
  <c r="D148" i="1465" s="1"/>
  <c r="G128" i="1465" a="1"/>
  <c r="G128" i="1465" s="1"/>
  <c r="D128" i="1465" a="1"/>
  <c r="D128" i="1465" s="1"/>
  <c r="G127" i="1465" a="1"/>
  <c r="G127" i="1465" s="1"/>
  <c r="M126" i="1465" a="1"/>
  <c r="M126" i="1465" s="1"/>
  <c r="D126" i="1465" a="1"/>
  <c r="D126" i="1465" s="1"/>
  <c r="P125" i="1465" a="1"/>
  <c r="P125" i="1465" s="1"/>
  <c r="O125" i="1465" a="1"/>
  <c r="O125" i="1465"/>
  <c r="P124" i="1465" a="1"/>
  <c r="P124" i="1465" s="1"/>
  <c r="M124" i="1465" a="1"/>
  <c r="M124" i="1465" s="1"/>
  <c r="G124" i="1465" a="1"/>
  <c r="G124" i="1465" s="1"/>
  <c r="O123" i="1465" a="1"/>
  <c r="O123" i="1465" s="1"/>
  <c r="P122" i="1465" a="1"/>
  <c r="P122" i="1465" s="1"/>
  <c r="E122" i="1465" a="1"/>
  <c r="E122" i="1465" s="1"/>
  <c r="D122" i="1465" a="1"/>
  <c r="D122" i="1465" s="1"/>
  <c r="G121" i="1465" a="1"/>
  <c r="G121" i="1465" s="1"/>
  <c r="F121" i="1465" a="1"/>
  <c r="F121" i="1465"/>
  <c r="E121" i="1465" a="1"/>
  <c r="E121" i="1465" s="1"/>
  <c r="P120" i="1465" a="1"/>
  <c r="P120" i="1465" s="1"/>
  <c r="M120" i="1465" a="1"/>
  <c r="M120" i="1465" s="1"/>
  <c r="D120" i="1465" a="1"/>
  <c r="D120" i="1465" s="1"/>
  <c r="E89" i="1465" a="1"/>
  <c r="E89" i="1465"/>
  <c r="D88" i="1465" a="1"/>
  <c r="D88" i="1465" s="1"/>
  <c r="D87" i="1465" a="1"/>
  <c r="D87" i="1465" s="1"/>
  <c r="E85" i="1465" a="1"/>
  <c r="E85" i="1465" s="1"/>
  <c r="D84" i="1465" a="1"/>
  <c r="D84" i="1465" s="1"/>
  <c r="I74" i="1465"/>
  <c r="F74" i="1465"/>
  <c r="F69" i="1465" a="1"/>
  <c r="F69" i="1465" s="1"/>
  <c r="F79" i="1465" s="1"/>
  <c r="G68" i="1465" a="1"/>
  <c r="G68" i="1465"/>
  <c r="D68" i="1465" a="1"/>
  <c r="D68" i="1465" s="1"/>
  <c r="H67" i="1465" a="1"/>
  <c r="H67" i="1465" s="1"/>
  <c r="D67" i="1465" a="1"/>
  <c r="D67" i="1465" s="1"/>
  <c r="H66" i="1465" a="1"/>
  <c r="H66" i="1465" s="1"/>
  <c r="F66" i="1465" a="1"/>
  <c r="F66" i="1465"/>
  <c r="F76" i="1465" s="1"/>
  <c r="G65" i="1465" a="1"/>
  <c r="G65" i="1465" s="1"/>
  <c r="F65" i="1465" a="1"/>
  <c r="F65" i="1465" s="1"/>
  <c r="F75" i="1465" s="1"/>
  <c r="I64" i="1465" a="1"/>
  <c r="I64" i="1465"/>
  <c r="H64" i="1465" a="1"/>
  <c r="H64" i="1465" s="1"/>
  <c r="F64" i="1465" a="1"/>
  <c r="F64" i="1465" s="1"/>
  <c r="K31" i="1465" a="1"/>
  <c r="K31" i="1465" s="1"/>
  <c r="J31" i="1465" a="1"/>
  <c r="J31" i="1465" s="1"/>
  <c r="K26" i="1465" a="1"/>
  <c r="K26" i="1465"/>
  <c r="J26" i="1465" a="1"/>
  <c r="J26" i="1465" s="1"/>
  <c r="K25" i="1465" a="1"/>
  <c r="K25" i="1465"/>
  <c r="J25" i="1465" a="1"/>
  <c r="J25" i="1465" s="1"/>
  <c r="K24" i="1465" a="1"/>
  <c r="K24" i="1465" s="1"/>
  <c r="J24" i="1465" a="1"/>
  <c r="J24" i="1465" s="1"/>
  <c r="E24" i="1465" a="1"/>
  <c r="E24" i="1465" s="1"/>
  <c r="J23" i="1465" a="1"/>
  <c r="J23" i="1465" s="1"/>
  <c r="J22" i="1465" a="1"/>
  <c r="J22" i="1465" s="1"/>
  <c r="E22" i="1465" a="1"/>
  <c r="E22" i="1465" s="1"/>
  <c r="E21" i="1465" a="1"/>
  <c r="E21" i="1465"/>
  <c r="F15" i="1465" a="1"/>
  <c r="F15" i="1465" s="1"/>
  <c r="K14" i="1465" a="1"/>
  <c r="K14" i="1465" s="1"/>
  <c r="J14" i="1465" a="1"/>
  <c r="J14" i="1465"/>
  <c r="D14" i="1465" a="1"/>
  <c r="D14" i="1465" s="1"/>
  <c r="C14" i="1465" s="1" a="1"/>
  <c r="C14" i="1465" s="1"/>
  <c r="J12" i="1465" a="1"/>
  <c r="J12" i="1465" s="1"/>
  <c r="D12" i="1465" a="1"/>
  <c r="D12" i="1465" s="1"/>
  <c r="K11" i="1465" a="1"/>
  <c r="K11" i="1465"/>
  <c r="E11" i="1465" a="1"/>
  <c r="E11" i="1465" s="1"/>
  <c r="E31" i="1465" s="1"/>
  <c r="D11" i="1465" a="1"/>
  <c r="D11" i="1465"/>
  <c r="C11" i="1465" s="1" a="1"/>
  <c r="C11" i="1465" s="1"/>
  <c r="C2" i="1465"/>
  <c r="R129" i="1465" s="1" a="1"/>
  <c r="R129" i="1465" s="1"/>
  <c r="B2" i="1465"/>
  <c r="G129" i="1465" s="1" a="1"/>
  <c r="G129" i="1465" s="1"/>
  <c r="A2" i="1465"/>
  <c r="F244" i="1465" s="1" a="1"/>
  <c r="F244" i="1465" s="1"/>
  <c r="I92" i="677"/>
  <c r="D92" i="677"/>
  <c r="I91" i="677" a="1"/>
  <c r="I91" i="677" s="1"/>
  <c r="D91" i="677"/>
  <c r="I90" i="677" a="1"/>
  <c r="I90" i="677"/>
  <c r="D90" i="677"/>
  <c r="I89" i="677" a="1"/>
  <c r="I89" i="677" s="1"/>
  <c r="D89" i="677"/>
  <c r="I88" i="677" a="1"/>
  <c r="I88" i="677"/>
  <c r="D88" i="677"/>
  <c r="I87" i="677" a="1"/>
  <c r="I87" i="677"/>
  <c r="D87" i="677"/>
  <c r="I86" i="677" a="1"/>
  <c r="I86" i="677"/>
  <c r="D86" i="677"/>
  <c r="C104" i="677" s="1"/>
  <c r="I85" i="677" a="1"/>
  <c r="I85" i="677"/>
  <c r="D85" i="677"/>
  <c r="C103" i="677" s="1"/>
  <c r="I84" i="677" a="1"/>
  <c r="I84" i="677" s="1"/>
  <c r="D84" i="677"/>
  <c r="C102" i="677" s="1"/>
  <c r="I83" i="677" a="1"/>
  <c r="I83" i="677"/>
  <c r="D83" i="677"/>
  <c r="C101" i="677" s="1"/>
  <c r="I82" i="677" a="1"/>
  <c r="I82" i="677" s="1"/>
  <c r="G82" i="677" a="1"/>
  <c r="G82" i="677" s="1"/>
  <c r="D82" i="677"/>
  <c r="D51" i="677" a="1"/>
  <c r="D51" i="677" s="1"/>
  <c r="D50" i="677" a="1"/>
  <c r="D50" i="677" s="1"/>
  <c r="D40" i="677" a="1"/>
  <c r="D40" i="677" s="1"/>
  <c r="D39" i="677" a="1"/>
  <c r="D39" i="677" s="1"/>
  <c r="D36" i="677" a="1"/>
  <c r="D36" i="677" s="1"/>
  <c r="A2" i="677"/>
  <c r="M80" i="950" a="1"/>
  <c r="M80" i="950" s="1"/>
  <c r="E78" i="950" a="1"/>
  <c r="E78" i="950" s="1"/>
  <c r="N76" i="950" a="1"/>
  <c r="N76" i="950" s="1"/>
  <c r="D76" i="950" a="1"/>
  <c r="D76" i="950" s="1"/>
  <c r="E75" i="950" a="1"/>
  <c r="E75" i="950" s="1"/>
  <c r="E72" i="950" a="1"/>
  <c r="E72" i="950" s="1"/>
  <c r="F30" i="950" a="1"/>
  <c r="F30" i="950" s="1"/>
  <c r="E61" i="950" s="1"/>
  <c r="K28" i="950" a="1"/>
  <c r="K28" i="950" s="1"/>
  <c r="E26" i="950" a="1"/>
  <c r="E26" i="950" s="1"/>
  <c r="D57" i="950" s="1"/>
  <c r="L25" i="950" a="1"/>
  <c r="L25" i="950" s="1"/>
  <c r="K25" i="950" a="1"/>
  <c r="K25" i="950" s="1"/>
  <c r="E25" i="950" a="1"/>
  <c r="E25" i="950" s="1"/>
  <c r="D56" i="950" s="1"/>
  <c r="D25" i="950" a="1"/>
  <c r="D25" i="950" s="1"/>
  <c r="C56" i="950" s="1"/>
  <c r="D24" i="950" a="1"/>
  <c r="D24" i="950" s="1"/>
  <c r="C54" i="950" s="1"/>
  <c r="D23" i="950" a="1"/>
  <c r="D23" i="950" s="1"/>
  <c r="C53" i="950" s="1"/>
  <c r="K22" i="950" a="1"/>
  <c r="K22" i="950" s="1"/>
  <c r="K20" i="950" a="1"/>
  <c r="K20" i="950" s="1"/>
  <c r="K19" i="950" a="1"/>
  <c r="K19" i="950" s="1"/>
  <c r="F19" i="950" a="1"/>
  <c r="F19" i="950" s="1"/>
  <c r="E18" i="950" a="1"/>
  <c r="E18" i="950" s="1"/>
  <c r="D47" i="950" s="1"/>
  <c r="K17" i="950" a="1"/>
  <c r="K17" i="950"/>
  <c r="D17" i="950" a="1"/>
  <c r="D17" i="950" s="1"/>
  <c r="C46" i="950" s="1"/>
  <c r="K16" i="950" a="1"/>
  <c r="K16" i="950" s="1"/>
  <c r="G16" i="950" a="1"/>
  <c r="G16" i="950" s="1"/>
  <c r="K15" i="950" a="1"/>
  <c r="K15" i="950" s="1"/>
  <c r="F15" i="950" a="1"/>
  <c r="F15" i="950" s="1"/>
  <c r="F13" i="950" a="1"/>
  <c r="F13" i="950" s="1"/>
  <c r="F12" i="950" a="1"/>
  <c r="F12" i="950" s="1"/>
  <c r="D12" i="950" a="1"/>
  <c r="D12" i="950"/>
  <c r="C41" i="950" s="1"/>
  <c r="D11" i="950" a="1"/>
  <c r="D11" i="950" s="1"/>
  <c r="B2" i="950"/>
  <c r="M78" i="950" s="1" a="1"/>
  <c r="M78" i="950" s="1"/>
  <c r="A2" i="950"/>
  <c r="D27" i="950" s="1" a="1"/>
  <c r="D27" i="950" s="1"/>
  <c r="C58" i="950" s="1"/>
  <c r="R39" i="352" a="1"/>
  <c r="R39" i="352" s="1"/>
  <c r="M35" i="352" a="1"/>
  <c r="M35" i="352" s="1"/>
  <c r="J35" i="352" a="1"/>
  <c r="J35" i="352"/>
  <c r="J50" i="352" s="1"/>
  <c r="I35" i="352" a="1"/>
  <c r="I35" i="352" s="1"/>
  <c r="I50" i="352" s="1"/>
  <c r="H35" i="352" a="1"/>
  <c r="H35" i="352" s="1"/>
  <c r="H50" i="352" s="1"/>
  <c r="G35" i="352" a="1"/>
  <c r="G35" i="352"/>
  <c r="G50" i="352" s="1"/>
  <c r="E35" i="352" a="1"/>
  <c r="E35" i="352" s="1"/>
  <c r="E50" i="352" s="1"/>
  <c r="T28" i="352"/>
  <c r="W19" i="352" a="1"/>
  <c r="W19" i="352" s="1"/>
  <c r="S19" i="352" a="1"/>
  <c r="S19" i="352" s="1"/>
  <c r="Q19" i="352" a="1"/>
  <c r="Q19" i="352"/>
  <c r="P19" i="352" a="1"/>
  <c r="P19" i="352"/>
  <c r="T18" i="352" a="1"/>
  <c r="T18" i="352" s="1"/>
  <c r="S18" i="352" a="1"/>
  <c r="S18" i="352" s="1"/>
  <c r="Q18" i="352" a="1"/>
  <c r="Q18" i="352" s="1"/>
  <c r="M18" i="352" a="1"/>
  <c r="M18" i="352" s="1"/>
  <c r="R17" i="352" a="1"/>
  <c r="R17" i="352"/>
  <c r="Q17" i="352" a="1"/>
  <c r="Q17" i="352" s="1"/>
  <c r="N17" i="352" a="1"/>
  <c r="N17" i="352" s="1"/>
  <c r="T16" i="352" a="1"/>
  <c r="T16" i="352" s="1"/>
  <c r="S16" i="352" a="1"/>
  <c r="S16" i="352"/>
  <c r="Q16" i="352" a="1"/>
  <c r="Q16" i="352" s="1"/>
  <c r="O16" i="352" a="1"/>
  <c r="O16" i="352" s="1"/>
  <c r="M16" i="352" a="1"/>
  <c r="M16" i="352" s="1"/>
  <c r="T15" i="352" a="1"/>
  <c r="T15" i="352" s="1"/>
  <c r="S15" i="352" a="1"/>
  <c r="S15" i="352" s="1"/>
  <c r="R15" i="352" a="1"/>
  <c r="R15" i="352" s="1"/>
  <c r="O15" i="352" a="1"/>
  <c r="O15" i="352" s="1"/>
  <c r="N15" i="352" a="1"/>
  <c r="N15" i="352" s="1"/>
  <c r="V14" i="352" a="1"/>
  <c r="V14" i="352" s="1"/>
  <c r="S14" i="352" a="1"/>
  <c r="S14" i="352" s="1"/>
  <c r="R14" i="352" a="1"/>
  <c r="R14" i="352" s="1"/>
  <c r="P14" i="352" a="1"/>
  <c r="P14" i="352" s="1"/>
  <c r="W13" i="352" a="1"/>
  <c r="W13" i="352" s="1"/>
  <c r="U13" i="352" a="1"/>
  <c r="U13" i="352" s="1"/>
  <c r="T13" i="352" a="1"/>
  <c r="T13" i="352" s="1"/>
  <c r="R13" i="352" a="1"/>
  <c r="R13" i="352" s="1"/>
  <c r="N13" i="352" a="1"/>
  <c r="N13" i="352" s="1"/>
  <c r="V12" i="352" a="1"/>
  <c r="V12" i="352" s="1"/>
  <c r="V28" i="352" s="1"/>
  <c r="T12" i="352" a="1"/>
  <c r="T12" i="352" s="1"/>
  <c r="S12" i="352" a="1"/>
  <c r="S12" i="352" s="1"/>
  <c r="S28" i="352" s="1"/>
  <c r="R12" i="352" a="1"/>
  <c r="R12" i="352" s="1"/>
  <c r="M12" i="352" a="1"/>
  <c r="M12" i="352" s="1"/>
  <c r="M29" i="352" s="1"/>
  <c r="M11" i="352" a="1"/>
  <c r="M11" i="352" s="1"/>
  <c r="M26" i="352" s="1"/>
  <c r="L11" i="352" a="1"/>
  <c r="L11" i="352" s="1"/>
  <c r="L26" i="352" s="1"/>
  <c r="K11" i="352" a="1"/>
  <c r="K11" i="352"/>
  <c r="K26" i="352" s="1"/>
  <c r="F11" i="352" a="1"/>
  <c r="F11" i="352" s="1"/>
  <c r="F26" i="352" s="1"/>
  <c r="E11" i="352" a="1"/>
  <c r="E11" i="352"/>
  <c r="E26" i="352" s="1"/>
  <c r="D11" i="352" a="1"/>
  <c r="D11" i="352"/>
  <c r="D26" i="352" s="1"/>
  <c r="C2" i="352"/>
  <c r="B2" i="352"/>
  <c r="A2" i="352"/>
  <c r="H42" i="161"/>
  <c r="H41" i="161"/>
  <c r="H38" i="161"/>
  <c r="P29" i="161"/>
  <c r="O29" i="161"/>
  <c r="N29" i="161"/>
  <c r="M29" i="161"/>
  <c r="P28" i="161"/>
  <c r="O28" i="161"/>
  <c r="N28" i="161"/>
  <c r="M28" i="161"/>
  <c r="D28" i="161" a="1"/>
  <c r="D28" i="161" s="1"/>
  <c r="G79" i="950" s="1"/>
  <c r="P27" i="161"/>
  <c r="O27" i="161"/>
  <c r="N27" i="161"/>
  <c r="M27" i="161"/>
  <c r="P26" i="161"/>
  <c r="O26" i="161"/>
  <c r="M44" i="161" s="1"/>
  <c r="N26" i="161"/>
  <c r="M26" i="161"/>
  <c r="F26" i="161" a="1"/>
  <c r="F26" i="161" s="1"/>
  <c r="O78" i="950" s="1"/>
  <c r="D26" i="161" a="1"/>
  <c r="D26" i="161" s="1"/>
  <c r="P25" i="161"/>
  <c r="O25" i="161"/>
  <c r="N25" i="161"/>
  <c r="M25" i="161"/>
  <c r="P24" i="161"/>
  <c r="O24" i="161"/>
  <c r="N24" i="161"/>
  <c r="M24" i="161"/>
  <c r="P23" i="161"/>
  <c r="O23" i="161"/>
  <c r="N23" i="161"/>
  <c r="M23" i="161"/>
  <c r="P22" i="161"/>
  <c r="O22" i="161"/>
  <c r="N22" i="161"/>
  <c r="M22" i="161"/>
  <c r="P21" i="161"/>
  <c r="O21" i="161"/>
  <c r="N21" i="161"/>
  <c r="M21" i="161"/>
  <c r="P20" i="161"/>
  <c r="H40" i="161" s="1"/>
  <c r="O20" i="161"/>
  <c r="N20" i="161"/>
  <c r="M20" i="161"/>
  <c r="D20" i="161" a="1"/>
  <c r="D20" i="161" s="1"/>
  <c r="G75" i="950" s="1"/>
  <c r="C20" i="161" a="1"/>
  <c r="C20" i="161" s="1"/>
  <c r="F75" i="950" s="1"/>
  <c r="P19" i="161"/>
  <c r="O19" i="161"/>
  <c r="N19" i="161"/>
  <c r="M19" i="161"/>
  <c r="C19" i="161" a="1"/>
  <c r="C19" i="161" s="1"/>
  <c r="P18" i="161"/>
  <c r="M40" i="161" s="1"/>
  <c r="O18" i="161"/>
  <c r="N18" i="161"/>
  <c r="M18" i="161"/>
  <c r="F18" i="161" a="1"/>
  <c r="F18" i="161" s="1"/>
  <c r="O74" i="950" s="1"/>
  <c r="D18" i="161" a="1"/>
  <c r="D18" i="161" s="1"/>
  <c r="G74" i="950" s="1"/>
  <c r="C18" i="161" a="1"/>
  <c r="C18" i="161" s="1"/>
  <c r="F74" i="950" s="1"/>
  <c r="P17" i="161"/>
  <c r="O17" i="161"/>
  <c r="N17" i="161"/>
  <c r="M17" i="161"/>
  <c r="P16" i="161"/>
  <c r="O16" i="161"/>
  <c r="N16" i="161"/>
  <c r="G38" i="161" s="1"/>
  <c r="M16" i="161"/>
  <c r="D16" i="161" a="1"/>
  <c r="D16" i="161" s="1"/>
  <c r="P15" i="161"/>
  <c r="O15" i="161"/>
  <c r="N15" i="161"/>
  <c r="M15" i="161"/>
  <c r="C15" i="161" a="1"/>
  <c r="C15" i="161"/>
  <c r="P14" i="161"/>
  <c r="O14" i="161"/>
  <c r="N14" i="161"/>
  <c r="M14" i="161"/>
  <c r="F14" i="161" a="1"/>
  <c r="F14" i="161" s="1"/>
  <c r="D14" i="161" a="1"/>
  <c r="D14" i="161"/>
  <c r="P13" i="161"/>
  <c r="H37" i="161" s="1"/>
  <c r="O13" i="161"/>
  <c r="N13" i="161"/>
  <c r="G37" i="161" s="1"/>
  <c r="M13" i="161"/>
  <c r="D13" i="161" a="1"/>
  <c r="D13" i="161" s="1"/>
  <c r="P12" i="161"/>
  <c r="O12" i="161"/>
  <c r="M36" i="161" s="1"/>
  <c r="N12" i="161"/>
  <c r="M12" i="161"/>
  <c r="K12" i="161"/>
  <c r="J12" i="161"/>
  <c r="C12" i="161" a="1"/>
  <c r="C12" i="161"/>
  <c r="F72" i="950" s="1"/>
  <c r="C2" i="161"/>
  <c r="B2" i="161"/>
  <c r="A2" i="161"/>
  <c r="D30" i="161" s="1" a="1"/>
  <c r="D30" i="161" s="1"/>
  <c r="G80" i="950" s="1"/>
  <c r="J130" i="3033"/>
  <c r="J129" i="3033"/>
  <c r="J128" i="3033"/>
  <c r="J125" i="3033"/>
  <c r="L92" i="3033"/>
  <c r="E56" i="3033"/>
  <c r="E55" i="3033"/>
  <c r="E41" i="3033"/>
  <c r="J40" i="3033"/>
  <c r="J39" i="3033"/>
  <c r="E39" i="3033"/>
  <c r="E38" i="3033"/>
  <c r="E30" i="3033"/>
  <c r="J26" i="3033"/>
  <c r="J17" i="3033"/>
  <c r="J14" i="3033"/>
  <c r="D527" i="4"/>
  <c r="C460" i="4"/>
  <c r="C459" i="4" a="1"/>
  <c r="C459" i="4"/>
  <c r="C458" i="4"/>
  <c r="I433" i="4" a="1"/>
  <c r="I433" i="4" s="1"/>
  <c r="AJ432" i="4"/>
  <c r="AH432" i="4"/>
  <c r="AG432" i="4"/>
  <c r="X432" i="4"/>
  <c r="W432" i="4"/>
  <c r="U432" i="4"/>
  <c r="I432" i="4" a="1"/>
  <c r="I432" i="4"/>
  <c r="I431" i="4" a="1"/>
  <c r="I431" i="4" s="1"/>
  <c r="N430" i="4"/>
  <c r="I430" i="4" a="1"/>
  <c r="I430" i="4" s="1"/>
  <c r="I429" i="4" a="1"/>
  <c r="I429" i="4" s="1"/>
  <c r="I428" i="4" a="1"/>
  <c r="I428" i="4" s="1"/>
  <c r="I424" i="4" a="1"/>
  <c r="I424" i="4" s="1"/>
  <c r="I423" i="4" a="1"/>
  <c r="I423" i="4" s="1"/>
  <c r="I422" i="4" a="1"/>
  <c r="I422" i="4" s="1"/>
  <c r="AL421" i="4"/>
  <c r="AJ421" i="4"/>
  <c r="AC421" i="4"/>
  <c r="I421" i="4" a="1"/>
  <c r="I421" i="4"/>
  <c r="R421" i="4" s="1"/>
  <c r="M420" i="4"/>
  <c r="I420" i="4" a="1"/>
  <c r="I420" i="4" s="1"/>
  <c r="I419" i="4" a="1"/>
  <c r="I419" i="4" s="1"/>
  <c r="AL415" i="4"/>
  <c r="AK415" i="4"/>
  <c r="AJ415" i="4"/>
  <c r="AI415" i="4"/>
  <c r="AH415" i="4"/>
  <c r="AG415" i="4"/>
  <c r="AF415" i="4"/>
  <c r="AE415" i="4"/>
  <c r="AD415" i="4"/>
  <c r="AC415" i="4"/>
  <c r="AB415" i="4"/>
  <c r="AA415" i="4"/>
  <c r="Z415" i="4"/>
  <c r="Y415" i="4"/>
  <c r="X415" i="4"/>
  <c r="W415" i="4"/>
  <c r="V415" i="4"/>
  <c r="U415" i="4"/>
  <c r="T415" i="4"/>
  <c r="S415" i="4"/>
  <c r="S433" i="4" s="1"/>
  <c r="R415" i="4"/>
  <c r="Q415" i="4"/>
  <c r="P415" i="4"/>
  <c r="O415" i="4"/>
  <c r="N415" i="4"/>
  <c r="M415" i="4"/>
  <c r="I415" i="4" a="1"/>
  <c r="I415" i="4"/>
  <c r="AL414" i="4"/>
  <c r="AL432" i="4" s="1"/>
  <c r="AK414" i="4"/>
  <c r="AJ414" i="4"/>
  <c r="AI414" i="4"/>
  <c r="AH414" i="4"/>
  <c r="AG414" i="4"/>
  <c r="AF414" i="4"/>
  <c r="AF432" i="4" s="1"/>
  <c r="AE414" i="4"/>
  <c r="AD414" i="4"/>
  <c r="AC414" i="4"/>
  <c r="AB414" i="4"/>
  <c r="AA414" i="4"/>
  <c r="Z414" i="4"/>
  <c r="Z432" i="4" s="1"/>
  <c r="Y414" i="4"/>
  <c r="X414" i="4"/>
  <c r="W414" i="4"/>
  <c r="V414" i="4"/>
  <c r="U414" i="4"/>
  <c r="T414" i="4"/>
  <c r="S414" i="4"/>
  <c r="R414" i="4"/>
  <c r="R432" i="4" s="1"/>
  <c r="Q414" i="4"/>
  <c r="P414" i="4"/>
  <c r="O414" i="4"/>
  <c r="N414" i="4"/>
  <c r="N432" i="4" s="1"/>
  <c r="M414" i="4"/>
  <c r="I414" i="4" a="1"/>
  <c r="I414" i="4"/>
  <c r="AL413" i="4"/>
  <c r="AK413" i="4"/>
  <c r="AJ413" i="4"/>
  <c r="AI413" i="4"/>
  <c r="AH413" i="4"/>
  <c r="AG413" i="4"/>
  <c r="AF413" i="4"/>
  <c r="AE413" i="4"/>
  <c r="AD413" i="4"/>
  <c r="AC413" i="4"/>
  <c r="AC431" i="4" s="1"/>
  <c r="AB413" i="4"/>
  <c r="AA413" i="4"/>
  <c r="Z413" i="4"/>
  <c r="Y413" i="4"/>
  <c r="X413" i="4"/>
  <c r="W413" i="4"/>
  <c r="V413" i="4"/>
  <c r="U413" i="4"/>
  <c r="T413" i="4"/>
  <c r="S413" i="4"/>
  <c r="R413" i="4"/>
  <c r="Q413" i="4"/>
  <c r="P413" i="4"/>
  <c r="O413" i="4"/>
  <c r="O431" i="4" s="1"/>
  <c r="N413" i="4"/>
  <c r="M413" i="4"/>
  <c r="I413" i="4" a="1"/>
  <c r="I413" i="4" s="1"/>
  <c r="AL412" i="4"/>
  <c r="AL430" i="4" s="1"/>
  <c r="AK412" i="4"/>
  <c r="AJ412" i="4"/>
  <c r="AI412" i="4"/>
  <c r="AH412" i="4"/>
  <c r="AG412" i="4"/>
  <c r="AF412" i="4"/>
  <c r="AE412" i="4"/>
  <c r="AD412" i="4"/>
  <c r="AC412" i="4"/>
  <c r="AB412" i="4"/>
  <c r="AA412" i="4"/>
  <c r="Z412" i="4"/>
  <c r="Y412" i="4"/>
  <c r="X412" i="4"/>
  <c r="X430" i="4" s="1"/>
  <c r="W412" i="4"/>
  <c r="V412" i="4"/>
  <c r="U412" i="4"/>
  <c r="U421" i="4" s="1"/>
  <c r="T412" i="4"/>
  <c r="S412" i="4"/>
  <c r="R412" i="4"/>
  <c r="Q412" i="4"/>
  <c r="P412" i="4"/>
  <c r="P430" i="4" s="1"/>
  <c r="O412" i="4"/>
  <c r="N412" i="4"/>
  <c r="N421" i="4" s="1"/>
  <c r="M412" i="4"/>
  <c r="I412" i="4" a="1"/>
  <c r="I412" i="4"/>
  <c r="AL411" i="4"/>
  <c r="AK411" i="4"/>
  <c r="AJ411" i="4"/>
  <c r="AI411" i="4"/>
  <c r="AH411" i="4"/>
  <c r="AG411" i="4"/>
  <c r="AF411" i="4"/>
  <c r="AE411" i="4"/>
  <c r="AD411" i="4"/>
  <c r="AC411" i="4"/>
  <c r="AB411" i="4"/>
  <c r="AA411" i="4"/>
  <c r="Z411" i="4"/>
  <c r="Y411" i="4"/>
  <c r="X411" i="4"/>
  <c r="W411" i="4"/>
  <c r="V411" i="4"/>
  <c r="U411" i="4"/>
  <c r="T411" i="4"/>
  <c r="T429" i="4" s="1"/>
  <c r="S411" i="4"/>
  <c r="R411" i="4"/>
  <c r="Q411" i="4"/>
  <c r="P411" i="4"/>
  <c r="O411" i="4"/>
  <c r="N411" i="4"/>
  <c r="N429" i="4" s="1"/>
  <c r="M411" i="4"/>
  <c r="I411" i="4" a="1"/>
  <c r="I411" i="4" s="1"/>
  <c r="AL410" i="4"/>
  <c r="AK410" i="4"/>
  <c r="AJ410" i="4"/>
  <c r="AI410" i="4"/>
  <c r="AH410" i="4"/>
  <c r="AG410" i="4"/>
  <c r="AF410" i="4"/>
  <c r="AF409" i="4" s="1"/>
  <c r="AE410" i="4"/>
  <c r="AD410" i="4"/>
  <c r="AC410" i="4"/>
  <c r="AB410" i="4"/>
  <c r="AA410" i="4"/>
  <c r="Z410" i="4"/>
  <c r="Y410" i="4"/>
  <c r="X410" i="4"/>
  <c r="W410" i="4"/>
  <c r="V410" i="4"/>
  <c r="U410" i="4"/>
  <c r="T410" i="4"/>
  <c r="S410" i="4"/>
  <c r="R410" i="4"/>
  <c r="Q410" i="4"/>
  <c r="P410" i="4"/>
  <c r="O410" i="4"/>
  <c r="N410" i="4"/>
  <c r="N409" i="4" s="1"/>
  <c r="M410" i="4"/>
  <c r="I410" i="4" a="1"/>
  <c r="I410" i="4" s="1"/>
  <c r="AL409" i="4"/>
  <c r="AK409" i="4"/>
  <c r="AI409" i="4"/>
  <c r="AG409" i="4"/>
  <c r="AE409" i="4"/>
  <c r="AA409" i="4"/>
  <c r="Y409" i="4"/>
  <c r="W409" i="4"/>
  <c r="V409" i="4"/>
  <c r="U409" i="4"/>
  <c r="T409" i="4"/>
  <c r="S409" i="4"/>
  <c r="R409" i="4"/>
  <c r="O409" i="4"/>
  <c r="M409" i="4"/>
  <c r="AI404" i="4"/>
  <c r="W404" i="4"/>
  <c r="U404" i="4"/>
  <c r="I404" i="4" a="1"/>
  <c r="I404" i="4" s="1"/>
  <c r="I455" i="4" s="1"/>
  <c r="AI403" i="4"/>
  <c r="AA403" i="4"/>
  <c r="T403" i="4"/>
  <c r="S403" i="4"/>
  <c r="I403" i="4" a="1"/>
  <c r="I403" i="4"/>
  <c r="I402" i="4" a="1"/>
  <c r="I402" i="4" s="1"/>
  <c r="I401" i="4" a="1"/>
  <c r="I401" i="4" s="1"/>
  <c r="I400" i="4" a="1"/>
  <c r="I400" i="4" s="1"/>
  <c r="I399" i="4" a="1"/>
  <c r="I399" i="4" s="1"/>
  <c r="AA398" i="4"/>
  <c r="O395" i="4"/>
  <c r="I395" i="4" a="1"/>
  <c r="I395" i="4" s="1"/>
  <c r="AA394" i="4"/>
  <c r="W394" i="4"/>
  <c r="T394" i="4"/>
  <c r="I394" i="4" a="1"/>
  <c r="I394" i="4"/>
  <c r="I393" i="4" a="1"/>
  <c r="I393" i="4" s="1"/>
  <c r="AB392" i="4"/>
  <c r="I392" i="4" a="1"/>
  <c r="I392" i="4" s="1"/>
  <c r="AI391" i="4"/>
  <c r="I391" i="4" a="1"/>
  <c r="I391" i="4" s="1"/>
  <c r="AI390" i="4"/>
  <c r="AF390" i="4"/>
  <c r="I390" i="4" a="1"/>
  <c r="I390" i="4" s="1"/>
  <c r="AL386" i="4"/>
  <c r="AL404" i="4" s="1"/>
  <c r="AK386" i="4"/>
  <c r="AJ386" i="4"/>
  <c r="AI386" i="4"/>
  <c r="AH386" i="4"/>
  <c r="AH404" i="4" s="1"/>
  <c r="AG386" i="4"/>
  <c r="AF386" i="4"/>
  <c r="AE386" i="4"/>
  <c r="AE404" i="4" s="1"/>
  <c r="AD386" i="4"/>
  <c r="AC386" i="4"/>
  <c r="AC404" i="4" s="1"/>
  <c r="AB386" i="4"/>
  <c r="AB404" i="4" s="1"/>
  <c r="AA386" i="4"/>
  <c r="Z386" i="4"/>
  <c r="Z404" i="4" s="1"/>
  <c r="Y386" i="4"/>
  <c r="X386" i="4"/>
  <c r="W386" i="4"/>
  <c r="V386" i="4"/>
  <c r="V404" i="4" s="1"/>
  <c r="U386" i="4"/>
  <c r="T386" i="4"/>
  <c r="S386" i="4"/>
  <c r="R386" i="4"/>
  <c r="R404" i="4" s="1"/>
  <c r="Q386" i="4"/>
  <c r="Q404" i="4" s="1"/>
  <c r="P386" i="4"/>
  <c r="P404" i="4" s="1"/>
  <c r="O386" i="4"/>
  <c r="O404" i="4" s="1"/>
  <c r="N386" i="4"/>
  <c r="N404" i="4" s="1"/>
  <c r="M386" i="4"/>
  <c r="I386" i="4" a="1"/>
  <c r="I386" i="4"/>
  <c r="AL385" i="4"/>
  <c r="AK385" i="4"/>
  <c r="AK394" i="4" s="1"/>
  <c r="AJ385" i="4"/>
  <c r="AI385" i="4"/>
  <c r="AI394" i="4" s="1"/>
  <c r="AH385" i="4"/>
  <c r="AG385" i="4"/>
  <c r="AG394" i="4" s="1"/>
  <c r="AF385" i="4"/>
  <c r="AF403" i="4" s="1"/>
  <c r="AF454" i="4" s="1"/>
  <c r="AE385" i="4"/>
  <c r="AD385" i="4"/>
  <c r="AD403" i="4" s="1"/>
  <c r="AC385" i="4"/>
  <c r="AB385" i="4"/>
  <c r="AA385" i="4"/>
  <c r="Z385" i="4"/>
  <c r="Y385" i="4"/>
  <c r="Y403" i="4" s="1"/>
  <c r="X385" i="4"/>
  <c r="W385" i="4"/>
  <c r="V385" i="4"/>
  <c r="V403" i="4" s="1"/>
  <c r="U385" i="4"/>
  <c r="T385" i="4"/>
  <c r="S385" i="4"/>
  <c r="S394" i="4" s="1"/>
  <c r="R385" i="4"/>
  <c r="R403" i="4" s="1"/>
  <c r="R454" i="4" s="1"/>
  <c r="Q385" i="4"/>
  <c r="P385" i="4"/>
  <c r="O385" i="4"/>
  <c r="N385" i="4"/>
  <c r="M385" i="4"/>
  <c r="M394" i="4" s="1"/>
  <c r="I385" i="4" a="1"/>
  <c r="I385" i="4"/>
  <c r="P403" i="4" s="1"/>
  <c r="AL384" i="4"/>
  <c r="AK384" i="4"/>
  <c r="AJ384" i="4"/>
  <c r="AI384" i="4"/>
  <c r="AH384" i="4"/>
  <c r="AG384" i="4"/>
  <c r="AF384" i="4"/>
  <c r="AE384" i="4"/>
  <c r="AD384" i="4"/>
  <c r="AD393" i="4" s="1"/>
  <c r="AC384" i="4"/>
  <c r="AB384" i="4"/>
  <c r="AA384" i="4"/>
  <c r="Z384" i="4"/>
  <c r="Y384" i="4"/>
  <c r="X384" i="4"/>
  <c r="W384" i="4"/>
  <c r="V384" i="4"/>
  <c r="U384" i="4"/>
  <c r="T384" i="4"/>
  <c r="S384" i="4"/>
  <c r="R384" i="4"/>
  <c r="Q384" i="4"/>
  <c r="P384" i="4"/>
  <c r="O384" i="4"/>
  <c r="O402" i="4" s="1"/>
  <c r="O453" i="4" s="1"/>
  <c r="N384" i="4"/>
  <c r="N402" i="4" s="1"/>
  <c r="M384" i="4"/>
  <c r="I384" i="4" a="1"/>
  <c r="I384" i="4"/>
  <c r="AA402" i="4" s="1"/>
  <c r="AL383" i="4"/>
  <c r="AK383" i="4"/>
  <c r="AJ383" i="4"/>
  <c r="AI383" i="4"/>
  <c r="AH383" i="4"/>
  <c r="AG383" i="4"/>
  <c r="AF383" i="4"/>
  <c r="AE383" i="4"/>
  <c r="AD383" i="4"/>
  <c r="AC383" i="4"/>
  <c r="AB383" i="4"/>
  <c r="AA383" i="4"/>
  <c r="AA392" i="4" s="1"/>
  <c r="Z383" i="4"/>
  <c r="Y383" i="4"/>
  <c r="X383" i="4"/>
  <c r="W383" i="4"/>
  <c r="V383" i="4"/>
  <c r="V392" i="4" s="1"/>
  <c r="U383" i="4"/>
  <c r="T383" i="4"/>
  <c r="S383" i="4"/>
  <c r="S392" i="4" s="1"/>
  <c r="R383" i="4"/>
  <c r="Q383" i="4"/>
  <c r="P383" i="4"/>
  <c r="P392" i="4" s="1"/>
  <c r="O383" i="4"/>
  <c r="N383" i="4"/>
  <c r="M383" i="4"/>
  <c r="I383" i="4" a="1"/>
  <c r="I383" i="4"/>
  <c r="AL382" i="4"/>
  <c r="AK382" i="4"/>
  <c r="AJ382" i="4"/>
  <c r="AI382" i="4"/>
  <c r="AH382" i="4"/>
  <c r="AH400" i="4" s="1"/>
  <c r="AG382" i="4"/>
  <c r="AF382" i="4"/>
  <c r="AE382" i="4"/>
  <c r="AD382" i="4"/>
  <c r="AC382" i="4"/>
  <c r="AB382" i="4"/>
  <c r="AA382" i="4"/>
  <c r="Z382" i="4"/>
  <c r="Y382" i="4"/>
  <c r="X382" i="4"/>
  <c r="W382" i="4"/>
  <c r="V382" i="4"/>
  <c r="U382" i="4"/>
  <c r="T382" i="4"/>
  <c r="S382" i="4"/>
  <c r="R382" i="4"/>
  <c r="Q382" i="4"/>
  <c r="P382" i="4"/>
  <c r="O382" i="4"/>
  <c r="N382" i="4"/>
  <c r="M382" i="4"/>
  <c r="I382" i="4" a="1"/>
  <c r="I382" i="4"/>
  <c r="AL381" i="4"/>
  <c r="AK381" i="4"/>
  <c r="AJ381" i="4"/>
  <c r="AI381" i="4"/>
  <c r="AH381" i="4"/>
  <c r="AG381" i="4"/>
  <c r="AF381" i="4"/>
  <c r="AF380" i="4" s="1"/>
  <c r="AE381" i="4"/>
  <c r="AE399" i="4" s="1"/>
  <c r="AD381" i="4"/>
  <c r="AD390" i="4" s="1"/>
  <c r="AC381" i="4"/>
  <c r="AB381" i="4"/>
  <c r="AA381" i="4"/>
  <c r="AA399" i="4" s="1"/>
  <c r="Z381" i="4"/>
  <c r="Y381" i="4"/>
  <c r="X381" i="4"/>
  <c r="W381" i="4"/>
  <c r="V381" i="4"/>
  <c r="U381" i="4"/>
  <c r="T381" i="4"/>
  <c r="T380" i="4" s="1"/>
  <c r="S381" i="4"/>
  <c r="R381" i="4"/>
  <c r="R399" i="4" s="1"/>
  <c r="Q381" i="4"/>
  <c r="P381" i="4"/>
  <c r="O381" i="4"/>
  <c r="O399" i="4" s="1"/>
  <c r="N381" i="4"/>
  <c r="N390" i="4" s="1"/>
  <c r="M381" i="4"/>
  <c r="I381" i="4" a="1"/>
  <c r="I381" i="4"/>
  <c r="AK380" i="4"/>
  <c r="AI380" i="4"/>
  <c r="AH380" i="4"/>
  <c r="AE380" i="4"/>
  <c r="AB380" i="4"/>
  <c r="AA380" i="4"/>
  <c r="Y380" i="4"/>
  <c r="V380" i="4"/>
  <c r="U380" i="4"/>
  <c r="S380" i="4"/>
  <c r="P380" i="4"/>
  <c r="O380" i="4"/>
  <c r="F330" i="4" a="1"/>
  <c r="F330" i="4" s="1"/>
  <c r="C326" i="4" a="1"/>
  <c r="C326" i="4" s="1"/>
  <c r="Y219" i="4"/>
  <c r="U219" i="4"/>
  <c r="W218" i="4"/>
  <c r="C215" i="4"/>
  <c r="S214" i="4"/>
  <c r="B214" i="4"/>
  <c r="Z211" i="4" a="1"/>
  <c r="Z211" i="4" s="1"/>
  <c r="Y211" i="4" a="1"/>
  <c r="Y211" i="4" s="1"/>
  <c r="X211" i="4" a="1"/>
  <c r="X211" i="4" s="1"/>
  <c r="W211" i="4" a="1"/>
  <c r="W211" i="4"/>
  <c r="V211" i="4" a="1"/>
  <c r="V211" i="4"/>
  <c r="U211" i="4" a="1"/>
  <c r="U211" i="4"/>
  <c r="T211" i="4" a="1"/>
  <c r="T211" i="4" s="1"/>
  <c r="I211" i="4" a="1"/>
  <c r="I211" i="4" s="1"/>
  <c r="H211" i="4" a="1"/>
  <c r="H211" i="4" s="1"/>
  <c r="G211" i="4" a="1"/>
  <c r="G211" i="4" s="1"/>
  <c r="F211" i="4" a="1"/>
  <c r="F211" i="4"/>
  <c r="E211" i="4" a="1"/>
  <c r="E211" i="4"/>
  <c r="D211" i="4" a="1"/>
  <c r="D211" i="4" s="1"/>
  <c r="D219" i="4" s="1"/>
  <c r="C211" i="4" a="1"/>
  <c r="C211" i="4"/>
  <c r="Z210" i="4" a="1"/>
  <c r="Z210" i="4" s="1"/>
  <c r="Y210" i="4" a="1"/>
  <c r="Y210" i="4"/>
  <c r="X210" i="4" a="1"/>
  <c r="X210" i="4" s="1"/>
  <c r="W210" i="4" a="1"/>
  <c r="W210" i="4"/>
  <c r="V210" i="4" a="1"/>
  <c r="V210" i="4" s="1"/>
  <c r="U210" i="4" a="1"/>
  <c r="U210" i="4"/>
  <c r="T210" i="4" a="1"/>
  <c r="T210" i="4" s="1"/>
  <c r="I210" i="4" a="1"/>
  <c r="I210" i="4" s="1"/>
  <c r="I218" i="4" s="1"/>
  <c r="H210" i="4" a="1"/>
  <c r="H210" i="4"/>
  <c r="H218" i="4" s="1"/>
  <c r="G210" i="4" a="1"/>
  <c r="G210" i="4" s="1"/>
  <c r="G218" i="4" s="1"/>
  <c r="F210" i="4" a="1"/>
  <c r="F210" i="4" s="1"/>
  <c r="E210" i="4" a="1"/>
  <c r="E210" i="4" s="1"/>
  <c r="E218" i="4" s="1"/>
  <c r="D210" i="4" a="1"/>
  <c r="D210" i="4" s="1"/>
  <c r="C210" i="4" a="1"/>
  <c r="C210" i="4" s="1"/>
  <c r="C218" i="4" s="1"/>
  <c r="Z209" i="4" a="1"/>
  <c r="Z209" i="4" s="1"/>
  <c r="Y209" i="4" a="1"/>
  <c r="Y209" i="4"/>
  <c r="X209" i="4" a="1"/>
  <c r="X209" i="4" s="1"/>
  <c r="W209" i="4" a="1"/>
  <c r="W209" i="4"/>
  <c r="V209" i="4" a="1"/>
  <c r="V209" i="4" s="1"/>
  <c r="V217" i="4" s="1"/>
  <c r="U209" i="4" a="1"/>
  <c r="U209" i="4"/>
  <c r="T209" i="4" a="1"/>
  <c r="T209" i="4" s="1"/>
  <c r="T217" i="4" s="1"/>
  <c r="I209" i="4" a="1"/>
  <c r="I209" i="4" s="1"/>
  <c r="H209" i="4" a="1"/>
  <c r="H209" i="4" s="1"/>
  <c r="G209" i="4" a="1"/>
  <c r="G209" i="4" s="1"/>
  <c r="F209" i="4" a="1"/>
  <c r="F209" i="4" s="1"/>
  <c r="E209" i="4" a="1"/>
  <c r="E209" i="4"/>
  <c r="E217" i="4" s="1"/>
  <c r="D209" i="4" a="1"/>
  <c r="D209" i="4"/>
  <c r="C209" i="4" a="1"/>
  <c r="C209" i="4"/>
  <c r="Z208" i="4" a="1"/>
  <c r="Z208" i="4" s="1"/>
  <c r="Y208" i="4" a="1"/>
  <c r="Y208" i="4"/>
  <c r="X208" i="4" a="1"/>
  <c r="X208" i="4" s="1"/>
  <c r="W208" i="4" a="1"/>
  <c r="W208" i="4" s="1"/>
  <c r="W216" i="4" s="1"/>
  <c r="V208" i="4" a="1"/>
  <c r="V208" i="4"/>
  <c r="U208" i="4" a="1"/>
  <c r="U208" i="4"/>
  <c r="U216" i="4" s="1"/>
  <c r="T208" i="4" a="1"/>
  <c r="T208" i="4" s="1"/>
  <c r="I208" i="4" a="1"/>
  <c r="I208" i="4"/>
  <c r="H208" i="4" a="1"/>
  <c r="H208" i="4" s="1"/>
  <c r="G208" i="4" a="1"/>
  <c r="G208" i="4"/>
  <c r="F208" i="4" a="1"/>
  <c r="F208" i="4" s="1"/>
  <c r="E208" i="4" a="1"/>
  <c r="E208" i="4"/>
  <c r="D208" i="4" a="1"/>
  <c r="D208" i="4" s="1"/>
  <c r="C208" i="4" a="1"/>
  <c r="C208" i="4"/>
  <c r="C216" i="4" s="1"/>
  <c r="Z207" i="4" a="1"/>
  <c r="Z207" i="4" s="1"/>
  <c r="Y207" i="4" a="1"/>
  <c r="Y207" i="4" s="1"/>
  <c r="Y215" i="4" s="1"/>
  <c r="X207" i="4" a="1"/>
  <c r="X207" i="4"/>
  <c r="X215" i="4" s="1"/>
  <c r="W207" i="4" a="1"/>
  <c r="W207" i="4" s="1"/>
  <c r="W215" i="4" s="1"/>
  <c r="V207" i="4" a="1"/>
  <c r="V207" i="4" s="1"/>
  <c r="U207" i="4" a="1"/>
  <c r="U207" i="4" s="1"/>
  <c r="T207" i="4" a="1"/>
  <c r="T207" i="4" s="1"/>
  <c r="I207" i="4" a="1"/>
  <c r="I207" i="4" s="1"/>
  <c r="H207" i="4" a="1"/>
  <c r="H207" i="4" s="1"/>
  <c r="H217" i="4" s="1"/>
  <c r="G207" i="4" a="1"/>
  <c r="G207" i="4"/>
  <c r="F207" i="4" a="1"/>
  <c r="F207" i="4" s="1"/>
  <c r="F215" i="4" s="1"/>
  <c r="E207" i="4" a="1"/>
  <c r="E207" i="4"/>
  <c r="E215" i="4" s="1"/>
  <c r="D207" i="4" a="1"/>
  <c r="D207" i="4" s="1"/>
  <c r="C207" i="4" a="1"/>
  <c r="C207" i="4"/>
  <c r="Y187" i="4"/>
  <c r="S183" i="4"/>
  <c r="F183" i="4"/>
  <c r="B181" i="4"/>
  <c r="Z180" i="4"/>
  <c r="Z188" i="4" s="1"/>
  <c r="Y180" i="4"/>
  <c r="X180" i="4"/>
  <c r="X188" i="4" s="1"/>
  <c r="W180" i="4"/>
  <c r="V180" i="4"/>
  <c r="U180" i="4"/>
  <c r="T180" i="4"/>
  <c r="Z179" i="4"/>
  <c r="Y179" i="4"/>
  <c r="X179" i="4"/>
  <c r="W179" i="4"/>
  <c r="V179" i="4"/>
  <c r="V187" i="4" s="1"/>
  <c r="U179" i="4"/>
  <c r="U187" i="4" s="1"/>
  <c r="T179" i="4"/>
  <c r="Z178" i="4"/>
  <c r="Y178" i="4"/>
  <c r="X178" i="4"/>
  <c r="X186" i="4" s="1"/>
  <c r="W178" i="4"/>
  <c r="W186" i="4" s="1"/>
  <c r="V178" i="4"/>
  <c r="V186" i="4" s="1"/>
  <c r="U178" i="4"/>
  <c r="T178" i="4"/>
  <c r="I178" i="4" a="1"/>
  <c r="I178" i="4"/>
  <c r="H178" i="4" a="1"/>
  <c r="H178" i="4" s="1"/>
  <c r="G178" i="4" a="1"/>
  <c r="G178" i="4"/>
  <c r="G184" i="4" s="1"/>
  <c r="F178" i="4" a="1"/>
  <c r="F178" i="4"/>
  <c r="F184" i="4" s="1"/>
  <c r="E178" i="4" a="1"/>
  <c r="E178" i="4" s="1"/>
  <c r="E184" i="4" s="1"/>
  <c r="D178" i="4" a="1"/>
  <c r="D178" i="4"/>
  <c r="C178" i="4" a="1"/>
  <c r="C178" i="4"/>
  <c r="Z177" i="4"/>
  <c r="Z185" i="4" s="1"/>
  <c r="Y177" i="4"/>
  <c r="Y185" i="4" s="1"/>
  <c r="X177" i="4"/>
  <c r="X185" i="4" s="1"/>
  <c r="W177" i="4"/>
  <c r="V177" i="4"/>
  <c r="U177" i="4"/>
  <c r="U185" i="4" s="1"/>
  <c r="T177" i="4"/>
  <c r="T185" i="4" s="1"/>
  <c r="I177" i="4" a="1"/>
  <c r="I177" i="4" s="1"/>
  <c r="I183" i="4" s="1"/>
  <c r="H177" i="4" a="1"/>
  <c r="H177" i="4" s="1"/>
  <c r="G177" i="4" a="1"/>
  <c r="G177" i="4" s="1"/>
  <c r="F177" i="4" a="1"/>
  <c r="F177" i="4" s="1"/>
  <c r="E177" i="4" a="1"/>
  <c r="E177" i="4"/>
  <c r="D177" i="4" a="1"/>
  <c r="D177" i="4"/>
  <c r="C177" i="4" a="1"/>
  <c r="C177" i="4" s="1"/>
  <c r="C183" i="4" s="1"/>
  <c r="Z176" i="4"/>
  <c r="Z184" i="4" s="1"/>
  <c r="Y176" i="4"/>
  <c r="X176" i="4"/>
  <c r="W176" i="4"/>
  <c r="V176" i="4"/>
  <c r="V188" i="4" s="1"/>
  <c r="U176" i="4"/>
  <c r="U184" i="4" s="1"/>
  <c r="T176" i="4"/>
  <c r="I176" i="4" a="1"/>
  <c r="I176" i="4"/>
  <c r="H176" i="4" a="1"/>
  <c r="H176" i="4" s="1"/>
  <c r="G176" i="4" a="1"/>
  <c r="G176" i="4" s="1"/>
  <c r="G182" i="4" s="1"/>
  <c r="F176" i="4" a="1"/>
  <c r="F176" i="4"/>
  <c r="F182" i="4" s="1"/>
  <c r="E176" i="4" a="1"/>
  <c r="E176" i="4"/>
  <c r="D176" i="4" a="1"/>
  <c r="D176" i="4" s="1"/>
  <c r="D182" i="4" s="1"/>
  <c r="C176" i="4" a="1"/>
  <c r="C176" i="4"/>
  <c r="V151" i="4"/>
  <c r="V159" i="4" s="1"/>
  <c r="X150" i="4"/>
  <c r="X158" i="4" s="1"/>
  <c r="B148" i="4"/>
  <c r="Z145" i="4" a="1"/>
  <c r="Z145" i="4" s="1"/>
  <c r="Z154" i="4" s="1"/>
  <c r="Z162" i="4" s="1"/>
  <c r="Y145" i="4" a="1"/>
  <c r="Y145" i="4"/>
  <c r="Y154" i="4" s="1"/>
  <c r="Y162" i="4" s="1"/>
  <c r="X145" i="4" a="1"/>
  <c r="X145" i="4"/>
  <c r="X154" i="4" s="1"/>
  <c r="X162" i="4" s="1"/>
  <c r="W145" i="4" a="1"/>
  <c r="W145" i="4"/>
  <c r="W154" i="4" s="1"/>
  <c r="W162" i="4" s="1"/>
  <c r="V145" i="4" a="1"/>
  <c r="V145" i="4" s="1"/>
  <c r="V154" i="4" s="1"/>
  <c r="V162" i="4" s="1"/>
  <c r="U145" i="4" a="1"/>
  <c r="U145" i="4"/>
  <c r="T145" i="4" a="1"/>
  <c r="T145" i="4" s="1"/>
  <c r="I145" i="4" a="1"/>
  <c r="I145" i="4"/>
  <c r="H145" i="4" a="1"/>
  <c r="H145" i="4" s="1"/>
  <c r="G145" i="4" a="1"/>
  <c r="G145" i="4"/>
  <c r="F145" i="4" a="1"/>
  <c r="F145" i="4" s="1"/>
  <c r="F154" i="4" s="1"/>
  <c r="E145" i="4" a="1"/>
  <c r="E145" i="4"/>
  <c r="D145" i="4" a="1"/>
  <c r="D145" i="4" s="1"/>
  <c r="C145" i="4" a="1"/>
  <c r="C145" i="4" s="1"/>
  <c r="Z144" i="4" a="1"/>
  <c r="Z144" i="4" s="1"/>
  <c r="Z153" i="4" s="1"/>
  <c r="Z161" i="4" s="1"/>
  <c r="Y144" i="4" a="1"/>
  <c r="Y144" i="4"/>
  <c r="X144" i="4" a="1"/>
  <c r="X144" i="4" s="1"/>
  <c r="X153" i="4" s="1"/>
  <c r="X161" i="4" s="1"/>
  <c r="W144" i="4" a="1"/>
  <c r="W144" i="4"/>
  <c r="V144" i="4" a="1"/>
  <c r="V144" i="4" s="1"/>
  <c r="U144" i="4" a="1"/>
  <c r="U144" i="4"/>
  <c r="T144" i="4" a="1"/>
  <c r="T144" i="4" s="1"/>
  <c r="I144" i="4" a="1"/>
  <c r="I144" i="4"/>
  <c r="H144" i="4" a="1"/>
  <c r="H144" i="4" s="1"/>
  <c r="H153" i="4" s="1"/>
  <c r="G144" i="4" a="1"/>
  <c r="G144" i="4" s="1"/>
  <c r="F144" i="4" a="1"/>
  <c r="F144" i="4" s="1"/>
  <c r="E144" i="4" a="1"/>
  <c r="E144" i="4" s="1"/>
  <c r="E153" i="4" s="1"/>
  <c r="D144" i="4" a="1"/>
  <c r="D144" i="4" s="1"/>
  <c r="C144" i="4" a="1"/>
  <c r="C144" i="4"/>
  <c r="Z143" i="4" a="1"/>
  <c r="Z143" i="4" s="1"/>
  <c r="Y143" i="4" a="1"/>
  <c r="Y143" i="4" s="1"/>
  <c r="X143" i="4" a="1"/>
  <c r="X143" i="4" s="1"/>
  <c r="W143" i="4" a="1"/>
  <c r="W143" i="4" s="1"/>
  <c r="W152" i="4" s="1"/>
  <c r="W160" i="4" s="1"/>
  <c r="V143" i="4" a="1"/>
  <c r="V143" i="4" s="1"/>
  <c r="V152" i="4" s="1"/>
  <c r="V160" i="4" s="1"/>
  <c r="U143" i="4" a="1"/>
  <c r="U143" i="4"/>
  <c r="U152" i="4" s="1"/>
  <c r="U160" i="4" s="1"/>
  <c r="T143" i="4" a="1"/>
  <c r="T143" i="4" s="1"/>
  <c r="T152" i="4" s="1"/>
  <c r="T160" i="4" s="1"/>
  <c r="I143" i="4" a="1"/>
  <c r="I143" i="4" s="1"/>
  <c r="H143" i="4" a="1"/>
  <c r="H143" i="4" s="1"/>
  <c r="G143" i="4" a="1"/>
  <c r="G143" i="4" s="1"/>
  <c r="F143" i="4" a="1"/>
  <c r="F143" i="4" s="1"/>
  <c r="E143" i="4" a="1"/>
  <c r="E143" i="4"/>
  <c r="D143" i="4" a="1"/>
  <c r="D143" i="4" s="1"/>
  <c r="C143" i="4" a="1"/>
  <c r="C143" i="4" s="1"/>
  <c r="Z142" i="4" a="1"/>
  <c r="Z142" i="4" s="1"/>
  <c r="Z151" i="4" s="1"/>
  <c r="Z159" i="4" s="1"/>
  <c r="Y142" i="4" a="1"/>
  <c r="Y142" i="4" s="1"/>
  <c r="X142" i="4" a="1"/>
  <c r="X142" i="4" s="1"/>
  <c r="W142" i="4" a="1"/>
  <c r="W142" i="4"/>
  <c r="W151" i="4" s="1"/>
  <c r="W159" i="4" s="1"/>
  <c r="V142" i="4" a="1"/>
  <c r="V142" i="4" s="1"/>
  <c r="U142" i="4" a="1"/>
  <c r="U142" i="4" s="1"/>
  <c r="T142" i="4" a="1"/>
  <c r="T142" i="4" s="1"/>
  <c r="I142" i="4" a="1"/>
  <c r="I142" i="4" s="1"/>
  <c r="H142" i="4" a="1"/>
  <c r="H142" i="4" s="1"/>
  <c r="G142" i="4" a="1"/>
  <c r="G142" i="4" s="1"/>
  <c r="G151" i="4" s="1"/>
  <c r="F142" i="4" a="1"/>
  <c r="F142" i="4" s="1"/>
  <c r="E142" i="4" a="1"/>
  <c r="E142" i="4" s="1"/>
  <c r="D142" i="4" a="1"/>
  <c r="D142" i="4" s="1"/>
  <c r="D151" i="4" s="1"/>
  <c r="C142" i="4" a="1"/>
  <c r="C142" i="4" s="1"/>
  <c r="Z141" i="4" a="1"/>
  <c r="Z141" i="4" s="1"/>
  <c r="Y141" i="4" a="1"/>
  <c r="Y141" i="4"/>
  <c r="Y150" i="4" s="1"/>
  <c r="Y158" i="4" s="1"/>
  <c r="X141" i="4" a="1"/>
  <c r="X141" i="4" s="1"/>
  <c r="W141" i="4" a="1"/>
  <c r="W141" i="4" s="1"/>
  <c r="W150" i="4" s="1"/>
  <c r="W158" i="4" s="1"/>
  <c r="V141" i="4" a="1"/>
  <c r="V141" i="4" s="1"/>
  <c r="V150" i="4" s="1"/>
  <c r="V158" i="4" s="1"/>
  <c r="U141" i="4" a="1"/>
  <c r="U141" i="4" s="1"/>
  <c r="T141" i="4" a="1"/>
  <c r="T141" i="4" s="1"/>
  <c r="I141" i="4" a="1"/>
  <c r="I141" i="4"/>
  <c r="I150" i="4" s="1"/>
  <c r="H141" i="4" a="1"/>
  <c r="H141" i="4" s="1"/>
  <c r="G141" i="4" a="1"/>
  <c r="G141" i="4" s="1"/>
  <c r="F141" i="4" a="1"/>
  <c r="F141" i="4" s="1"/>
  <c r="E141" i="4" a="1"/>
  <c r="E141" i="4" s="1"/>
  <c r="D141" i="4" a="1"/>
  <c r="D141" i="4" s="1"/>
  <c r="C141" i="4" a="1"/>
  <c r="C141" i="4" s="1"/>
  <c r="C150" i="4" s="1"/>
  <c r="Z140" i="4" a="1"/>
  <c r="Z140" i="4" s="1"/>
  <c r="Z149" i="4" s="1"/>
  <c r="Z157" i="4" s="1"/>
  <c r="Y140" i="4" a="1"/>
  <c r="Y140" i="4" s="1"/>
  <c r="X140" i="4" a="1"/>
  <c r="X140" i="4" s="1"/>
  <c r="W140" i="4" a="1"/>
  <c r="W140" i="4" s="1"/>
  <c r="V140" i="4" a="1"/>
  <c r="V140" i="4" s="1"/>
  <c r="V149" i="4" s="1"/>
  <c r="V157" i="4" s="1"/>
  <c r="U140" i="4" a="1"/>
  <c r="U140" i="4" s="1"/>
  <c r="U149" i="4" s="1"/>
  <c r="U157" i="4" s="1"/>
  <c r="T140" i="4" a="1"/>
  <c r="T140" i="4" s="1"/>
  <c r="I140" i="4" a="1"/>
  <c r="I140" i="4"/>
  <c r="H140" i="4" a="1"/>
  <c r="H140" i="4"/>
  <c r="H149" i="4" s="1"/>
  <c r="G140" i="4" a="1"/>
  <c r="G140" i="4"/>
  <c r="F140" i="4" a="1"/>
  <c r="F140" i="4"/>
  <c r="F149" i="4" s="1"/>
  <c r="E140" i="4" a="1"/>
  <c r="E140" i="4"/>
  <c r="D140" i="4" a="1"/>
  <c r="D140" i="4"/>
  <c r="C140" i="4" a="1"/>
  <c r="C140" i="4"/>
  <c r="S139" i="4"/>
  <c r="Z112" i="4"/>
  <c r="N112" i="4"/>
  <c r="M112" i="4"/>
  <c r="L112" i="4"/>
  <c r="M9" i="4" a="1"/>
  <c r="M9" i="4" s="1"/>
  <c r="L9" i="4" a="1"/>
  <c r="L9" i="4"/>
  <c r="K9" i="4" a="1"/>
  <c r="K9" i="4" s="1"/>
  <c r="J9" i="4" a="1"/>
  <c r="J9" i="4" s="1"/>
  <c r="I9" i="4" a="1"/>
  <c r="I9" i="4" s="1"/>
  <c r="H9" i="4" a="1"/>
  <c r="H9" i="4" s="1"/>
  <c r="G9" i="4" a="1"/>
  <c r="G9" i="4" s="1"/>
  <c r="F9" i="4" a="1"/>
  <c r="F9" i="4" s="1"/>
  <c r="E9" i="4" a="1"/>
  <c r="E9" i="4" s="1"/>
  <c r="D9" i="4" a="1"/>
  <c r="D9" i="4" s="1"/>
  <c r="C9" i="4" a="1"/>
  <c r="C9" i="4" s="1"/>
  <c r="B2" i="4"/>
  <c r="C2" i="4" s="1"/>
  <c r="A2" i="4"/>
  <c r="G326" i="4" s="1" a="1"/>
  <c r="G326" i="4" s="1"/>
  <c r="C23" i="2885"/>
  <c r="H20" i="2885"/>
  <c r="G20" i="2885"/>
  <c r="F20" i="2885"/>
  <c r="B5" i="2885"/>
  <c r="F12" i="4367"/>
  <c r="E12" i="4367"/>
  <c r="F11" i="4367"/>
  <c r="E11" i="4367"/>
  <c r="F10" i="4367"/>
  <c r="E10" i="4367"/>
  <c r="E9" i="4367"/>
  <c r="E8" i="4367"/>
  <c r="E7" i="4367"/>
  <c r="E6" i="4367"/>
  <c r="E5" i="4367"/>
  <c r="C9" i="2594"/>
  <c r="C7" i="2594"/>
  <c r="C6" i="2594"/>
  <c r="C4" i="2594"/>
  <c r="C3" i="2594"/>
  <c r="M8" i="3033" l="1"/>
  <c r="M7" i="3033"/>
  <c r="M6" i="3033"/>
  <c r="M5" i="3033"/>
  <c r="E70" i="3033"/>
  <c r="E69" i="3033"/>
  <c r="E68" i="3033"/>
  <c r="E67" i="3033"/>
  <c r="E66" i="3033"/>
  <c r="E65" i="3033"/>
  <c r="E64" i="3033"/>
  <c r="F372" i="4"/>
  <c r="F371" i="4"/>
  <c r="F370" i="4"/>
  <c r="F369" i="4"/>
  <c r="E372" i="4"/>
  <c r="E371" i="4"/>
  <c r="E370" i="4"/>
  <c r="E369" i="4"/>
  <c r="D372" i="4"/>
  <c r="D371" i="4"/>
  <c r="D370" i="4"/>
  <c r="D369" i="4"/>
  <c r="C372" i="4"/>
  <c r="C371" i="4"/>
  <c r="C370" i="4"/>
  <c r="C369" i="4"/>
  <c r="T328" i="4"/>
  <c r="V328" i="4"/>
  <c r="V325" i="4" s="1"/>
  <c r="X328" i="4"/>
  <c r="T330" i="4"/>
  <c r="T325" i="4" s="1"/>
  <c r="V330" i="4"/>
  <c r="X330" i="4"/>
  <c r="X325" i="4" s="1"/>
  <c r="U326" i="4"/>
  <c r="W326" i="4"/>
  <c r="W325" i="4" s="1"/>
  <c r="U327" i="4"/>
  <c r="W327" i="4"/>
  <c r="U328" i="4"/>
  <c r="W328" i="4"/>
  <c r="U329" i="4"/>
  <c r="W329" i="4"/>
  <c r="C277" i="4"/>
  <c r="C276" i="4"/>
  <c r="C275" i="4"/>
  <c r="C274" i="4"/>
  <c r="E277" i="4"/>
  <c r="E276" i="4"/>
  <c r="E275" i="4"/>
  <c r="E274" i="4"/>
  <c r="F24" i="2544"/>
  <c r="E24" i="2544"/>
  <c r="F6" i="2544"/>
  <c r="E6" i="2544"/>
  <c r="F4" i="2544"/>
  <c r="E4" i="2544"/>
  <c r="G50" i="2543"/>
  <c r="E50" i="2543"/>
  <c r="C52" i="2543"/>
  <c r="C51" i="2543"/>
  <c r="C50" i="2543"/>
  <c r="E43" i="2543"/>
  <c r="D43" i="2543"/>
  <c r="E41" i="2543"/>
  <c r="D41" i="2543"/>
  <c r="E39" i="2543"/>
  <c r="E38" i="2543"/>
  <c r="E37" i="2543"/>
  <c r="C203" i="1261"/>
  <c r="C202" i="1261"/>
  <c r="C201" i="1261"/>
  <c r="J106" i="1261"/>
  <c r="I106" i="1261"/>
  <c r="E106" i="1261"/>
  <c r="D106" i="1261"/>
  <c r="C41" i="1940" a="1"/>
  <c r="C41" i="1940" s="1"/>
  <c r="M70" i="1940"/>
  <c r="M69" i="1940"/>
  <c r="M68" i="1940"/>
  <c r="L70" i="1940"/>
  <c r="L69" i="1940"/>
  <c r="L68" i="1940"/>
  <c r="M66" i="1940"/>
  <c r="E108" i="951"/>
  <c r="E102" i="951"/>
  <c r="C92" i="951"/>
  <c r="J68" i="951"/>
  <c r="I68" i="951"/>
  <c r="H68" i="951"/>
  <c r="G68" i="951"/>
  <c r="F68" i="951"/>
  <c r="E68" i="951"/>
  <c r="I67" i="951"/>
  <c r="G67" i="951"/>
  <c r="K66" i="951"/>
  <c r="J66" i="951"/>
  <c r="I66" i="951"/>
  <c r="H66" i="951"/>
  <c r="G66" i="951"/>
  <c r="F66" i="951"/>
  <c r="E66" i="951"/>
  <c r="K65" i="951"/>
  <c r="J65" i="951"/>
  <c r="I65" i="951"/>
  <c r="H65" i="951"/>
  <c r="G65" i="951"/>
  <c r="F65" i="951"/>
  <c r="E65" i="951"/>
  <c r="D65" i="951"/>
  <c r="H111" i="352"/>
  <c r="G111" i="352"/>
  <c r="F111" i="352"/>
  <c r="E111" i="352"/>
  <c r="D111" i="352"/>
  <c r="G110" i="352"/>
  <c r="F110" i="352"/>
  <c r="E110" i="352"/>
  <c r="D110" i="352"/>
  <c r="J107" i="352"/>
  <c r="I107" i="352"/>
  <c r="H107" i="352"/>
  <c r="G107" i="352"/>
  <c r="F107" i="352"/>
  <c r="E107" i="352"/>
  <c r="D107" i="352"/>
  <c r="D166" i="161"/>
  <c r="C166" i="161"/>
  <c r="E165" i="161"/>
  <c r="D165" i="161"/>
  <c r="C165" i="161"/>
  <c r="E164" i="161"/>
  <c r="D164" i="161"/>
  <c r="E163" i="161"/>
  <c r="D163" i="161"/>
  <c r="I59" i="161"/>
  <c r="H59" i="161"/>
  <c r="G59" i="161"/>
  <c r="F59" i="161"/>
  <c r="E59" i="161"/>
  <c r="D59" i="161"/>
  <c r="H55" i="161"/>
  <c r="G55" i="161"/>
  <c r="I58" i="161"/>
  <c r="H58" i="161"/>
  <c r="G58" i="161"/>
  <c r="F58" i="161"/>
  <c r="E58" i="161"/>
  <c r="D58" i="161"/>
  <c r="J54" i="161"/>
  <c r="I54" i="161"/>
  <c r="H54" i="161"/>
  <c r="G54" i="161"/>
  <c r="F54" i="161"/>
  <c r="E54" i="161"/>
  <c r="D54" i="161"/>
  <c r="H182" i="4"/>
  <c r="H183" i="4"/>
  <c r="G154" i="4"/>
  <c r="C325" i="4"/>
  <c r="K326" i="4"/>
  <c r="R49" i="4"/>
  <c r="C151" i="4"/>
  <c r="H152" i="4"/>
  <c r="C153" i="4"/>
  <c r="V153" i="4"/>
  <c r="V161" i="4" s="1"/>
  <c r="D216" i="4"/>
  <c r="G149" i="4"/>
  <c r="T150" i="4"/>
  <c r="T158" i="4" s="1"/>
  <c r="X151" i="4"/>
  <c r="X159" i="4" s="1"/>
  <c r="I152" i="4"/>
  <c r="T219" i="4"/>
  <c r="AF389" i="4"/>
  <c r="U150" i="4"/>
  <c r="U158" i="4" s="1"/>
  <c r="E151" i="4"/>
  <c r="Y151" i="4"/>
  <c r="Y159" i="4" s="1"/>
  <c r="D153" i="4"/>
  <c r="N389" i="4"/>
  <c r="G325" i="4"/>
  <c r="O326" i="4"/>
  <c r="F151" i="4"/>
  <c r="Z215" i="4"/>
  <c r="Z219" i="4"/>
  <c r="T216" i="4"/>
  <c r="D217" i="4"/>
  <c r="D215" i="4"/>
  <c r="O112" i="4"/>
  <c r="T149" i="4"/>
  <c r="T157" i="4" s="1"/>
  <c r="W153" i="4"/>
  <c r="W161" i="4" s="1"/>
  <c r="F153" i="4"/>
  <c r="Y153" i="4"/>
  <c r="Y161" i="4" s="1"/>
  <c r="H154" i="4"/>
  <c r="W185" i="4"/>
  <c r="G215" i="4"/>
  <c r="S112" i="4" a="1"/>
  <c r="C149" i="4"/>
  <c r="I149" i="4"/>
  <c r="G153" i="4"/>
  <c r="I154" i="4"/>
  <c r="D183" i="4"/>
  <c r="H184" i="4"/>
  <c r="T218" i="4"/>
  <c r="H513" i="4" a="1"/>
  <c r="H513" i="4" s="1"/>
  <c r="F512" i="4" a="1"/>
  <c r="F512" i="4" s="1"/>
  <c r="D511" i="4" a="1"/>
  <c r="D511" i="4" s="1"/>
  <c r="H510" i="4" a="1"/>
  <c r="H510" i="4" s="1"/>
  <c r="F509" i="4" a="1"/>
  <c r="F509" i="4" s="1"/>
  <c r="N509" i="4" s="1" a="1"/>
  <c r="N509" i="4" s="1"/>
  <c r="F511" i="4" a="1"/>
  <c r="F511" i="4" s="1"/>
  <c r="N511" i="4" s="1" a="1"/>
  <c r="N511" i="4" s="1"/>
  <c r="D513" i="4" a="1"/>
  <c r="D513" i="4" s="1"/>
  <c r="L513" i="4" s="1" a="1"/>
  <c r="L513" i="4" s="1"/>
  <c r="G512" i="4" a="1"/>
  <c r="G512" i="4" s="1"/>
  <c r="G510" i="4" a="1"/>
  <c r="G510" i="4" s="1"/>
  <c r="D509" i="4" a="1"/>
  <c r="D509" i="4" s="1"/>
  <c r="L509" i="4" s="1" a="1"/>
  <c r="L509" i="4" s="1"/>
  <c r="F510" i="4" a="1"/>
  <c r="F510" i="4" s="1"/>
  <c r="N510" i="4" s="1" a="1"/>
  <c r="N510" i="4" s="1"/>
  <c r="N514" i="4" s="1"/>
  <c r="E512" i="4" a="1"/>
  <c r="E512" i="4" s="1"/>
  <c r="H511" i="4" a="1"/>
  <c r="H511" i="4" s="1"/>
  <c r="E510" i="4" a="1"/>
  <c r="E510" i="4" s="1"/>
  <c r="G513" i="4" a="1"/>
  <c r="G513" i="4" s="1"/>
  <c r="D512" i="4" a="1"/>
  <c r="D512" i="4" s="1"/>
  <c r="L512" i="4" s="1" a="1"/>
  <c r="L512" i="4" s="1"/>
  <c r="H509" i="4" a="1"/>
  <c r="H509" i="4" s="1"/>
  <c r="P509" i="4" s="1" a="1"/>
  <c r="P509" i="4" s="1"/>
  <c r="E511" i="4" a="1"/>
  <c r="E511" i="4" s="1"/>
  <c r="E509" i="4" a="1"/>
  <c r="E509" i="4" s="1"/>
  <c r="M509" i="4" s="1" a="1"/>
  <c r="M509" i="4" s="1"/>
  <c r="H512" i="4" a="1"/>
  <c r="H512" i="4" s="1"/>
  <c r="D510" i="4" a="1"/>
  <c r="D510" i="4" s="1"/>
  <c r="L510" i="4" s="1" a="1"/>
  <c r="L510" i="4" s="1"/>
  <c r="L514" i="4" s="1"/>
  <c r="G511" i="4" a="1"/>
  <c r="G511" i="4" s="1"/>
  <c r="O511" i="4" s="1" a="1"/>
  <c r="O511" i="4" s="1"/>
  <c r="F513" i="4" a="1"/>
  <c r="F513" i="4" s="1"/>
  <c r="N513" i="4" s="1" a="1"/>
  <c r="N513" i="4" s="1"/>
  <c r="G509" i="4" a="1"/>
  <c r="G509" i="4" s="1"/>
  <c r="O509" i="4" s="1" a="1"/>
  <c r="O509" i="4" s="1"/>
  <c r="E513" i="4" a="1"/>
  <c r="E513" i="4" s="1"/>
  <c r="M513" i="4" s="1" a="1"/>
  <c r="M513" i="4" s="1"/>
  <c r="D150" i="4"/>
  <c r="H151" i="4"/>
  <c r="C152" i="4"/>
  <c r="V216" i="4"/>
  <c r="R398" i="4"/>
  <c r="AD441" i="4"/>
  <c r="AD389" i="4"/>
  <c r="G152" i="4"/>
  <c r="D149" i="4"/>
  <c r="E150" i="4"/>
  <c r="I151" i="4"/>
  <c r="D152" i="4"/>
  <c r="X152" i="4"/>
  <c r="X160" i="4" s="1"/>
  <c r="T154" i="4"/>
  <c r="T162" i="4" s="1"/>
  <c r="I182" i="4"/>
  <c r="E183" i="4"/>
  <c r="I215" i="4"/>
  <c r="I219" i="4"/>
  <c r="I444" i="4"/>
  <c r="AF393" i="4"/>
  <c r="T393" i="4"/>
  <c r="V393" i="4"/>
  <c r="P393" i="4"/>
  <c r="AH393" i="4"/>
  <c r="O393" i="4"/>
  <c r="AB393" i="4"/>
  <c r="AJ393" i="4"/>
  <c r="AJ444" i="4" s="1"/>
  <c r="R393" i="4"/>
  <c r="W149" i="4"/>
  <c r="W157" i="4" s="1"/>
  <c r="F150" i="4"/>
  <c r="Z150" i="4"/>
  <c r="Z158" i="4" s="1"/>
  <c r="T151" i="4"/>
  <c r="T159" i="4" s="1"/>
  <c r="E152" i="4"/>
  <c r="Y152" i="4"/>
  <c r="Y160" i="4" s="1"/>
  <c r="T186" i="4"/>
  <c r="O109" i="3033" a="1"/>
  <c r="O109" i="3033" s="1"/>
  <c r="P107" i="3033" a="1"/>
  <c r="P107" i="3033" s="1"/>
  <c r="Q105" i="3033" a="1"/>
  <c r="Q105" i="3033" s="1"/>
  <c r="O97" i="3033" a="1"/>
  <c r="O97" i="3033" s="1"/>
  <c r="Q109" i="3033" a="1"/>
  <c r="Q109" i="3033" s="1"/>
  <c r="O104" i="3033" a="1"/>
  <c r="O104" i="3033" s="1"/>
  <c r="O102" i="3033" a="1"/>
  <c r="O102" i="3033" s="1"/>
  <c r="P98" i="3033" a="1"/>
  <c r="P98" i="3033" s="1"/>
  <c r="J82" i="3033" a="1"/>
  <c r="J82" i="3033" s="1"/>
  <c r="E31" i="3033" a="1"/>
  <c r="E31" i="3033" s="1"/>
  <c r="P105" i="3033" a="1"/>
  <c r="P105" i="3033" s="1"/>
  <c r="Q101" i="3033" a="1"/>
  <c r="Q101" i="3033" s="1"/>
  <c r="O96" i="3033" a="1"/>
  <c r="O96" i="3033" s="1"/>
  <c r="J78" i="3033" a="1"/>
  <c r="J78" i="3033" s="1"/>
  <c r="E8" i="3033" a="1"/>
  <c r="E8" i="3033" s="1"/>
  <c r="O107" i="3033" a="1"/>
  <c r="O107" i="3033" s="1"/>
  <c r="P103" i="3033" a="1"/>
  <c r="P103" i="3033" s="1"/>
  <c r="Q99" i="3033" a="1"/>
  <c r="Q99" i="3033" s="1"/>
  <c r="J81" i="3033" a="1"/>
  <c r="J81" i="3033" s="1"/>
  <c r="O105" i="3033" a="1"/>
  <c r="O105" i="3033" s="1"/>
  <c r="P101" i="3033" a="1"/>
  <c r="P101" i="3033" s="1"/>
  <c r="Q97" i="3033" a="1"/>
  <c r="Q97" i="3033" s="1"/>
  <c r="J84" i="3033" a="1"/>
  <c r="J84" i="3033" s="1"/>
  <c r="Q108" i="3033" a="1"/>
  <c r="Q108" i="3033" s="1"/>
  <c r="O103" i="3033" a="1"/>
  <c r="O103" i="3033" s="1"/>
  <c r="P99" i="3033" a="1"/>
  <c r="P99" i="3033" s="1"/>
  <c r="J87" i="3033" a="1"/>
  <c r="J87" i="3033" s="1"/>
  <c r="J77" i="3033" a="1"/>
  <c r="J77" i="3033" s="1"/>
  <c r="Q106" i="3033" a="1"/>
  <c r="Q106" i="3033" s="1"/>
  <c r="O101" i="3033" a="1"/>
  <c r="O101" i="3033" s="1"/>
  <c r="P97" i="3033" a="1"/>
  <c r="P97" i="3033" s="1"/>
  <c r="J80" i="3033" a="1"/>
  <c r="J80" i="3033" s="1"/>
  <c r="P108" i="3033" a="1"/>
  <c r="P108" i="3033" s="1"/>
  <c r="Q104" i="3033" a="1"/>
  <c r="Q104" i="3033" s="1"/>
  <c r="O99" i="3033" a="1"/>
  <c r="O99" i="3033" s="1"/>
  <c r="J83" i="3033" a="1"/>
  <c r="J83" i="3033" s="1"/>
  <c r="J46" i="3033" a="1"/>
  <c r="J46" i="3033" s="1"/>
  <c r="E32" i="3033" a="1"/>
  <c r="E32" i="3033" s="1"/>
  <c r="P106" i="3033" a="1"/>
  <c r="P106" i="3033" s="1"/>
  <c r="Q102" i="3033" a="1"/>
  <c r="Q102" i="3033" s="1"/>
  <c r="J86" i="3033" a="1"/>
  <c r="J86" i="3033" s="1"/>
  <c r="Q107" i="3033" a="1"/>
  <c r="Q107" i="3033" s="1"/>
  <c r="P96" i="3033" a="1"/>
  <c r="P96" i="3033" s="1"/>
  <c r="E9" i="3033" a="1"/>
  <c r="E9" i="3033" s="1"/>
  <c r="Q100" i="3033" a="1"/>
  <c r="Q100" i="3033" s="1"/>
  <c r="O106" i="3033" a="1"/>
  <c r="O106" i="3033" s="1"/>
  <c r="P100" i="3033" a="1"/>
  <c r="P100" i="3033" s="1"/>
  <c r="J79" i="3033" a="1"/>
  <c r="J79" i="3033" s="1"/>
  <c r="O100" i="3033" a="1"/>
  <c r="O100" i="3033" s="1"/>
  <c r="P104" i="3033" a="1"/>
  <c r="P104" i="3033" s="1"/>
  <c r="Q98" i="3033" a="1"/>
  <c r="Q98" i="3033" s="1"/>
  <c r="J76" i="3033" a="1"/>
  <c r="J76" i="3033" s="1"/>
  <c r="J85" i="3033" a="1"/>
  <c r="J85" i="3033" s="1"/>
  <c r="P109" i="3033" a="1"/>
  <c r="P109" i="3033" s="1"/>
  <c r="Q103" i="3033" a="1"/>
  <c r="Q103" i="3033" s="1"/>
  <c r="O98" i="3033" a="1"/>
  <c r="O98" i="3033" s="1"/>
  <c r="J75" i="3033" a="1"/>
  <c r="J75" i="3033" s="1"/>
  <c r="O108" i="3033" a="1"/>
  <c r="O108" i="3033" s="1"/>
  <c r="P102" i="3033" a="1"/>
  <c r="P102" i="3033" s="1"/>
  <c r="Q96" i="3033" a="1"/>
  <c r="Q96" i="3033" s="1"/>
  <c r="L139" i="4" a="1"/>
  <c r="E154" i="4"/>
  <c r="X149" i="4"/>
  <c r="X157" i="4" s="1"/>
  <c r="G150" i="4"/>
  <c r="U151" i="4"/>
  <c r="U159" i="4" s="1"/>
  <c r="Z152" i="4"/>
  <c r="Z160" i="4" s="1"/>
  <c r="T153" i="4"/>
  <c r="T161" i="4" s="1"/>
  <c r="C154" i="4"/>
  <c r="T187" i="4"/>
  <c r="Y149" i="4"/>
  <c r="Y157" i="4" s="1"/>
  <c r="H150" i="4"/>
  <c r="F152" i="4"/>
  <c r="U153" i="4"/>
  <c r="U161" i="4" s="1"/>
  <c r="U154" i="4"/>
  <c r="U162" i="4" s="1"/>
  <c r="D154" i="4"/>
  <c r="I153" i="4"/>
  <c r="G183" i="4"/>
  <c r="T188" i="4"/>
  <c r="E182" i="4"/>
  <c r="I184" i="4"/>
  <c r="U215" i="4"/>
  <c r="F216" i="4"/>
  <c r="X216" i="4"/>
  <c r="Z217" i="4"/>
  <c r="I441" i="4"/>
  <c r="V390" i="4"/>
  <c r="AH390" i="4"/>
  <c r="P390" i="4"/>
  <c r="AB390" i="4"/>
  <c r="AH391" i="4"/>
  <c r="I452" i="4"/>
  <c r="T401" i="4"/>
  <c r="AL401" i="4"/>
  <c r="AL452" i="4" s="1"/>
  <c r="N401" i="4"/>
  <c r="N452" i="4" s="1"/>
  <c r="AJ401" i="4"/>
  <c r="AJ452" i="4" s="1"/>
  <c r="AF401" i="4"/>
  <c r="X401" i="4"/>
  <c r="X452" i="4" s="1"/>
  <c r="E149" i="4"/>
  <c r="W184" i="4"/>
  <c r="C184" i="4"/>
  <c r="W187" i="4"/>
  <c r="V215" i="4"/>
  <c r="G216" i="4"/>
  <c r="I217" i="4"/>
  <c r="F219" i="4"/>
  <c r="X219" i="4"/>
  <c r="H216" i="4"/>
  <c r="H329" i="4" a="1"/>
  <c r="H329" i="4" s="1"/>
  <c r="AA401" i="4"/>
  <c r="X184" i="4"/>
  <c r="V184" i="4"/>
  <c r="U399" i="4"/>
  <c r="U390" i="4"/>
  <c r="AG390" i="4"/>
  <c r="AG399" i="4"/>
  <c r="AG380" i="4"/>
  <c r="Q391" i="4"/>
  <c r="AC400" i="4"/>
  <c r="AC391" i="4"/>
  <c r="M401" i="4"/>
  <c r="M392" i="4"/>
  <c r="Y401" i="4"/>
  <c r="AK401" i="4"/>
  <c r="AK452" i="4" s="1"/>
  <c r="AK392" i="4"/>
  <c r="U393" i="4"/>
  <c r="U402" i="4"/>
  <c r="AG402" i="4"/>
  <c r="Q403" i="4"/>
  <c r="Q454" i="4" s="1"/>
  <c r="Q394" i="4"/>
  <c r="AC394" i="4"/>
  <c r="AC403" i="4"/>
  <c r="M395" i="4"/>
  <c r="M404" i="4"/>
  <c r="Y404" i="4"/>
  <c r="Y395" i="4"/>
  <c r="AK395" i="4"/>
  <c r="AK404" i="4"/>
  <c r="O390" i="4"/>
  <c r="I443" i="4"/>
  <c r="AJ392" i="4"/>
  <c r="AJ443" i="4" s="1"/>
  <c r="X392" i="4"/>
  <c r="N392" i="4"/>
  <c r="N443" i="4" s="1"/>
  <c r="Z392" i="4"/>
  <c r="T392" i="4"/>
  <c r="AL392" i="4"/>
  <c r="AL443" i="4" s="1"/>
  <c r="AF392" i="4"/>
  <c r="T445" i="4"/>
  <c r="AE398" i="4"/>
  <c r="AB401" i="4"/>
  <c r="D184" i="4"/>
  <c r="Y184" i="4"/>
  <c r="Z216" i="4"/>
  <c r="D218" i="4"/>
  <c r="G219" i="4"/>
  <c r="C330" i="4" a="1"/>
  <c r="C330" i="4" s="1"/>
  <c r="K330" i="4" s="1"/>
  <c r="AH399" i="4"/>
  <c r="Z401" i="4"/>
  <c r="N455" i="4"/>
  <c r="AL455" i="4"/>
  <c r="T390" i="4"/>
  <c r="V394" i="4"/>
  <c r="U186" i="4"/>
  <c r="Z187" i="4"/>
  <c r="I216" i="4"/>
  <c r="C217" i="4"/>
  <c r="U217" i="4"/>
  <c r="X218" i="4"/>
  <c r="H219" i="4"/>
  <c r="W217" i="4"/>
  <c r="E328" i="4" a="1"/>
  <c r="E328" i="4" s="1"/>
  <c r="I380" i="4"/>
  <c r="T399" i="4"/>
  <c r="S399" i="4"/>
  <c r="W399" i="4"/>
  <c r="W380" i="4"/>
  <c r="W390" i="4"/>
  <c r="AI399" i="4"/>
  <c r="S400" i="4"/>
  <c r="AE391" i="4"/>
  <c r="O401" i="4"/>
  <c r="O452" i="4" s="1"/>
  <c r="O392" i="4"/>
  <c r="O443" i="4" s="1"/>
  <c r="W393" i="4"/>
  <c r="AI402" i="4"/>
  <c r="AI393" i="4"/>
  <c r="AI444" i="4" s="1"/>
  <c r="AE403" i="4"/>
  <c r="AE394" i="4"/>
  <c r="AE445" i="4" s="1"/>
  <c r="AA395" i="4"/>
  <c r="AA404" i="4"/>
  <c r="AA455" i="4" s="1"/>
  <c r="I389" i="4"/>
  <c r="I440" i="4" s="1"/>
  <c r="X390" i="4"/>
  <c r="Y392" i="4"/>
  <c r="P399" i="4"/>
  <c r="V402" i="4"/>
  <c r="X187" i="4"/>
  <c r="F218" i="4"/>
  <c r="Y218" i="4"/>
  <c r="V218" i="4"/>
  <c r="D330" i="4" a="1"/>
  <c r="D330" i="4" s="1"/>
  <c r="T400" i="4"/>
  <c r="T451" i="4" s="1"/>
  <c r="AF391" i="4"/>
  <c r="X393" i="4"/>
  <c r="AJ402" i="4"/>
  <c r="W402" i="4"/>
  <c r="Q424" i="4"/>
  <c r="O424" i="4"/>
  <c r="R424" i="4"/>
  <c r="P424" i="4"/>
  <c r="AC424" i="4"/>
  <c r="Z424" i="4"/>
  <c r="AH424" i="4"/>
  <c r="AF424" i="4"/>
  <c r="AE424" i="4"/>
  <c r="I446" i="4"/>
  <c r="AJ395" i="4"/>
  <c r="AJ446" i="4" s="1"/>
  <c r="AI395" i="4"/>
  <c r="W395" i="4"/>
  <c r="V399" i="4"/>
  <c r="V419" i="4"/>
  <c r="V418" i="4" s="1"/>
  <c r="Z218" i="4"/>
  <c r="H328" i="4" a="1"/>
  <c r="H328" i="4" s="1"/>
  <c r="N380" i="4"/>
  <c r="N399" i="4"/>
  <c r="Z399" i="4"/>
  <c r="Z380" i="4"/>
  <c r="Z390" i="4"/>
  <c r="AL399" i="4"/>
  <c r="AL380" i="4"/>
  <c r="AL390" i="4"/>
  <c r="V400" i="4"/>
  <c r="V451" i="4" s="1"/>
  <c r="V391" i="4"/>
  <c r="V442" i="4" s="1"/>
  <c r="R401" i="4"/>
  <c r="R392" i="4"/>
  <c r="R443" i="4" s="1"/>
  <c r="AD392" i="4"/>
  <c r="AD401" i="4"/>
  <c r="Z402" i="4"/>
  <c r="Z393" i="4"/>
  <c r="Z444" i="4" s="1"/>
  <c r="AL402" i="4"/>
  <c r="AL393" i="4"/>
  <c r="AH394" i="4"/>
  <c r="AH445" i="4" s="1"/>
  <c r="AH403" i="4"/>
  <c r="AH454" i="4" s="1"/>
  <c r="AD404" i="4"/>
  <c r="AD395" i="4"/>
  <c r="AI441" i="4"/>
  <c r="AI389" i="4"/>
  <c r="N393" i="4"/>
  <c r="N444" i="4" s="1"/>
  <c r="O446" i="4"/>
  <c r="I451" i="4"/>
  <c r="AJ400" i="4"/>
  <c r="R400" i="4"/>
  <c r="P400" i="4"/>
  <c r="AD400" i="4"/>
  <c r="AE419" i="4"/>
  <c r="AE418" i="4" s="1"/>
  <c r="C182" i="4"/>
  <c r="V185" i="4"/>
  <c r="Y186" i="4"/>
  <c r="W188" i="4"/>
  <c r="C219" i="4"/>
  <c r="H215" i="4"/>
  <c r="O398" i="4"/>
  <c r="AA393" i="4"/>
  <c r="AA444" i="4" s="1"/>
  <c r="I442" i="4"/>
  <c r="X391" i="4"/>
  <c r="AJ391" i="4"/>
  <c r="AJ442" i="4" s="1"/>
  <c r="P391" i="4"/>
  <c r="AD391" i="4"/>
  <c r="AB391" i="4"/>
  <c r="AB442" i="4" s="1"/>
  <c r="R395" i="4"/>
  <c r="M400" i="4"/>
  <c r="I409" i="4"/>
  <c r="AG428" i="4"/>
  <c r="AG427" i="4" s="1"/>
  <c r="AF428" i="4"/>
  <c r="AF427" i="4" s="1"/>
  <c r="R428" i="4"/>
  <c r="R427" i="4" s="1"/>
  <c r="AL419" i="4"/>
  <c r="AL418" i="4" s="1"/>
  <c r="O428" i="4"/>
  <c r="O427" i="4" s="1"/>
  <c r="N428" i="4"/>
  <c r="N427" i="4" s="1"/>
  <c r="S419" i="4"/>
  <c r="S418" i="4" s="1"/>
  <c r="X428" i="4"/>
  <c r="X427" i="4" s="1"/>
  <c r="X419" i="4"/>
  <c r="X418" i="4" s="1"/>
  <c r="X409" i="4"/>
  <c r="AJ428" i="4"/>
  <c r="AJ427" i="4" s="1"/>
  <c r="AJ419" i="4"/>
  <c r="AJ418" i="4" s="1"/>
  <c r="AJ409" i="4"/>
  <c r="V420" i="4"/>
  <c r="U420" i="4"/>
  <c r="S420" i="4"/>
  <c r="AG420" i="4"/>
  <c r="AE420" i="4"/>
  <c r="W420" i="4"/>
  <c r="AD420" i="4"/>
  <c r="AB420" i="4"/>
  <c r="AA420" i="4"/>
  <c r="T420" i="4"/>
  <c r="G330" i="4" a="1"/>
  <c r="G330" i="4" s="1"/>
  <c r="O330" i="4" s="1"/>
  <c r="E329" i="4" a="1"/>
  <c r="E329" i="4" s="1"/>
  <c r="C328" i="4" a="1"/>
  <c r="C328" i="4" s="1"/>
  <c r="K328" i="4" s="1"/>
  <c r="G327" i="4" a="1"/>
  <c r="G327" i="4" s="1"/>
  <c r="O327" i="4" s="1"/>
  <c r="E330" i="4" a="1"/>
  <c r="E330" i="4" s="1"/>
  <c r="C329" i="4" a="1"/>
  <c r="C329" i="4" s="1"/>
  <c r="K329" i="4" s="1"/>
  <c r="G328" i="4" a="1"/>
  <c r="G328" i="4" s="1"/>
  <c r="O328" i="4" s="1"/>
  <c r="E327" i="4" a="1"/>
  <c r="E327" i="4" s="1"/>
  <c r="H330" i="4" a="1"/>
  <c r="H330" i="4" s="1"/>
  <c r="F329" i="4" a="1"/>
  <c r="F329" i="4" s="1"/>
  <c r="D328" i="4" a="1"/>
  <c r="D328" i="4" s="1"/>
  <c r="H327" i="4" a="1"/>
  <c r="H327" i="4" s="1"/>
  <c r="F326" i="4" a="1"/>
  <c r="F326" i="4" s="1"/>
  <c r="E326" i="4" a="1"/>
  <c r="E326" i="4" s="1"/>
  <c r="D326" i="4" a="1"/>
  <c r="D326" i="4" s="1"/>
  <c r="G329" i="4" a="1"/>
  <c r="G329" i="4" s="1"/>
  <c r="O329" i="4" s="1"/>
  <c r="C327" i="4" a="1"/>
  <c r="C327" i="4" s="1"/>
  <c r="K327" i="4" s="1"/>
  <c r="D329" i="4" a="1"/>
  <c r="D329" i="4" s="1"/>
  <c r="F328" i="4" a="1"/>
  <c r="F328" i="4" s="1"/>
  <c r="H326" i="4" a="1"/>
  <c r="H326" i="4" s="1"/>
  <c r="F327" i="4" a="1"/>
  <c r="F327" i="4" s="1"/>
  <c r="Z186" i="4"/>
  <c r="X217" i="4"/>
  <c r="F217" i="4"/>
  <c r="R391" i="4"/>
  <c r="AE395" i="4"/>
  <c r="AE446" i="4" s="1"/>
  <c r="Q400" i="4"/>
  <c r="T184" i="4"/>
  <c r="Y188" i="4"/>
  <c r="E216" i="4"/>
  <c r="Y217" i="4"/>
  <c r="D327" i="4" a="1"/>
  <c r="D327" i="4" s="1"/>
  <c r="AK445" i="4"/>
  <c r="U395" i="4"/>
  <c r="S391" i="4"/>
  <c r="AG393" i="4"/>
  <c r="AH395" i="4"/>
  <c r="AH446" i="4" s="1"/>
  <c r="AE400" i="4"/>
  <c r="U188" i="4"/>
  <c r="T215" i="4"/>
  <c r="G217" i="4"/>
  <c r="U218" i="4"/>
  <c r="E219" i="4"/>
  <c r="W219" i="4"/>
  <c r="R390" i="4"/>
  <c r="R380" i="4"/>
  <c r="AD399" i="4"/>
  <c r="AD380" i="4"/>
  <c r="N400" i="4"/>
  <c r="N451" i="4" s="1"/>
  <c r="N391" i="4"/>
  <c r="Z391" i="4"/>
  <c r="Z400" i="4"/>
  <c r="Z451" i="4" s="1"/>
  <c r="AL391" i="4"/>
  <c r="AL400" i="4"/>
  <c r="V401" i="4"/>
  <c r="AH401" i="4"/>
  <c r="AH392" i="4"/>
  <c r="R402" i="4"/>
  <c r="AD402" i="4"/>
  <c r="N403" i="4"/>
  <c r="N454" i="4" s="1"/>
  <c r="N394" i="4"/>
  <c r="Z394" i="4"/>
  <c r="Z403" i="4"/>
  <c r="Z454" i="4" s="1"/>
  <c r="AL403" i="4"/>
  <c r="AL454" i="4" s="1"/>
  <c r="AL394" i="4"/>
  <c r="AL445" i="4" s="1"/>
  <c r="V395" i="4"/>
  <c r="W391" i="4"/>
  <c r="AL395" i="4"/>
  <c r="Q390" i="4"/>
  <c r="Q399" i="4"/>
  <c r="AC390" i="4"/>
  <c r="M391" i="4"/>
  <c r="M442" i="4" s="1"/>
  <c r="Y391" i="4"/>
  <c r="Y442" i="4" s="1"/>
  <c r="AK391" i="4"/>
  <c r="AK400" i="4"/>
  <c r="U392" i="4"/>
  <c r="U443" i="4" s="1"/>
  <c r="U401" i="4"/>
  <c r="AG392" i="4"/>
  <c r="AG401" i="4"/>
  <c r="Q393" i="4"/>
  <c r="AC402" i="4"/>
  <c r="AC453" i="4" s="1"/>
  <c r="AC393" i="4"/>
  <c r="AC444" i="4" s="1"/>
  <c r="M445" i="4"/>
  <c r="Y454" i="4"/>
  <c r="AG395" i="4"/>
  <c r="AG404" i="4"/>
  <c r="AF394" i="4"/>
  <c r="AC399" i="4"/>
  <c r="Y400" i="4"/>
  <c r="P401" i="4"/>
  <c r="P452" i="4" s="1"/>
  <c r="P402" i="4"/>
  <c r="I453" i="4"/>
  <c r="AF402" i="4"/>
  <c r="S428" i="4"/>
  <c r="S427" i="4" s="1"/>
  <c r="AE428" i="4"/>
  <c r="AE427" i="4" s="1"/>
  <c r="P420" i="4"/>
  <c r="V423" i="4"/>
  <c r="S423" i="4"/>
  <c r="S445" i="4" s="1"/>
  <c r="AE423" i="4"/>
  <c r="X423" i="4"/>
  <c r="AJ423" i="4"/>
  <c r="AH423" i="4"/>
  <c r="AG423" i="4"/>
  <c r="AG445" i="4" s="1"/>
  <c r="S401" i="4"/>
  <c r="AK403" i="4"/>
  <c r="T428" i="4"/>
  <c r="T427" i="4" s="1"/>
  <c r="V431" i="4"/>
  <c r="T419" i="4"/>
  <c r="T418" i="4" s="1"/>
  <c r="P421" i="4"/>
  <c r="P443" i="4" s="1"/>
  <c r="T423" i="4"/>
  <c r="Y216" i="4"/>
  <c r="Q380" i="4"/>
  <c r="S390" i="4"/>
  <c r="AE390" i="4"/>
  <c r="O400" i="4"/>
  <c r="O451" i="4" s="1"/>
  <c r="O391" i="4"/>
  <c r="AA391" i="4"/>
  <c r="AA442" i="4" s="1"/>
  <c r="W392" i="4"/>
  <c r="W443" i="4" s="1"/>
  <c r="AI401" i="4"/>
  <c r="AI392" i="4"/>
  <c r="S402" i="4"/>
  <c r="S453" i="4" s="1"/>
  <c r="S393" i="4"/>
  <c r="S444" i="4" s="1"/>
  <c r="AE402" i="4"/>
  <c r="AE393" i="4"/>
  <c r="O394" i="4"/>
  <c r="AB395" i="4"/>
  <c r="I450" i="4"/>
  <c r="I398" i="4"/>
  <c r="AF399" i="4"/>
  <c r="AA400" i="4"/>
  <c r="AA451" i="4" s="1"/>
  <c r="W401" i="4"/>
  <c r="W452" i="4" s="1"/>
  <c r="R420" i="4"/>
  <c r="R429" i="4"/>
  <c r="AD429" i="4"/>
  <c r="Z430" i="4"/>
  <c r="Z421" i="4"/>
  <c r="AA433" i="4"/>
  <c r="Q421" i="4"/>
  <c r="U423" i="4"/>
  <c r="AB400" i="4"/>
  <c r="T402" i="4"/>
  <c r="T453" i="4" s="1"/>
  <c r="AB403" i="4"/>
  <c r="AB454" i="4" s="1"/>
  <c r="X395" i="4"/>
  <c r="X446" i="4" s="1"/>
  <c r="AA390" i="4"/>
  <c r="R394" i="4"/>
  <c r="R445" i="4" s="1"/>
  <c r="AC395" i="4"/>
  <c r="AC446" i="4" s="1"/>
  <c r="Q402" i="4"/>
  <c r="M403" i="4"/>
  <c r="V428" i="4"/>
  <c r="V427" i="4" s="1"/>
  <c r="AH428" i="4"/>
  <c r="AH427" i="4" s="1"/>
  <c r="AH419" i="4"/>
  <c r="AH418" i="4" s="1"/>
  <c r="AH409" i="4"/>
  <c r="X431" i="4"/>
  <c r="P433" i="4"/>
  <c r="P455" i="4" s="1"/>
  <c r="AB433" i="4"/>
  <c r="W423" i="4"/>
  <c r="O403" i="4"/>
  <c r="O454" i="4" s="1"/>
  <c r="W428" i="4"/>
  <c r="W427" i="4" s="1"/>
  <c r="AF420" i="4"/>
  <c r="AF429" i="4"/>
  <c r="AL423" i="4"/>
  <c r="V429" i="4"/>
  <c r="U429" i="4"/>
  <c r="AG429" i="4"/>
  <c r="S429" i="4"/>
  <c r="AE429" i="4"/>
  <c r="AC429" i="4"/>
  <c r="V219" i="4"/>
  <c r="X380" i="4"/>
  <c r="X399" i="4"/>
  <c r="AJ380" i="4"/>
  <c r="AJ399" i="4"/>
  <c r="AF400" i="4"/>
  <c r="AF451" i="4" s="1"/>
  <c r="X402" i="4"/>
  <c r="AB455" i="4"/>
  <c r="T391" i="4"/>
  <c r="T442" i="4" s="1"/>
  <c r="W445" i="4"/>
  <c r="P395" i="4"/>
  <c r="P446" i="4" s="1"/>
  <c r="W455" i="4"/>
  <c r="AK422" i="4"/>
  <c r="AL422" i="4"/>
  <c r="AJ422" i="4"/>
  <c r="AI422" i="4"/>
  <c r="N422" i="4"/>
  <c r="M422" i="4"/>
  <c r="Z422" i="4"/>
  <c r="Y422" i="4"/>
  <c r="W422" i="4"/>
  <c r="P429" i="4"/>
  <c r="M399" i="4"/>
  <c r="M390" i="4"/>
  <c r="Y399" i="4"/>
  <c r="Y390" i="4"/>
  <c r="AK399" i="4"/>
  <c r="AK390" i="4"/>
  <c r="U400" i="4"/>
  <c r="U391" i="4"/>
  <c r="U442" i="4" s="1"/>
  <c r="AG400" i="4"/>
  <c r="AG391" i="4"/>
  <c r="Q401" i="4"/>
  <c r="Q452" i="4" s="1"/>
  <c r="Q392" i="4"/>
  <c r="Q443" i="4" s="1"/>
  <c r="AC401" i="4"/>
  <c r="AC452" i="4" s="1"/>
  <c r="AC392" i="4"/>
  <c r="AC443" i="4" s="1"/>
  <c r="M402" i="4"/>
  <c r="M393" i="4"/>
  <c r="Y402" i="4"/>
  <c r="Y453" i="4" s="1"/>
  <c r="Y393" i="4"/>
  <c r="AK402" i="4"/>
  <c r="AK393" i="4"/>
  <c r="U403" i="4"/>
  <c r="U454" i="4" s="1"/>
  <c r="U394" i="4"/>
  <c r="AG403" i="4"/>
  <c r="AG454" i="4" s="1"/>
  <c r="Y394" i="4"/>
  <c r="Y445" i="4" s="1"/>
  <c r="Q395" i="4"/>
  <c r="Q446" i="4" s="1"/>
  <c r="AB402" i="4"/>
  <c r="AA428" i="4"/>
  <c r="AA427" i="4" s="1"/>
  <c r="AA449" i="4" s="1"/>
  <c r="V471" i="4" s="1"/>
  <c r="X429" i="4"/>
  <c r="X420" i="4"/>
  <c r="AJ429" i="4"/>
  <c r="AJ420" i="4"/>
  <c r="T430" i="4"/>
  <c r="T421" i="4"/>
  <c r="AF430" i="4"/>
  <c r="AF421" i="4"/>
  <c r="Q431" i="4"/>
  <c r="Q422" i="4"/>
  <c r="M432" i="4"/>
  <c r="M423" i="4"/>
  <c r="Y432" i="4"/>
  <c r="Y423" i="4"/>
  <c r="AK432" i="4"/>
  <c r="AK423" i="4"/>
  <c r="U433" i="4"/>
  <c r="U455" i="4" s="1"/>
  <c r="U424" i="4"/>
  <c r="AG433" i="4"/>
  <c r="AG424" i="4"/>
  <c r="V422" i="4"/>
  <c r="R430" i="4"/>
  <c r="Y430" i="4"/>
  <c r="Q430" i="4"/>
  <c r="O430" i="4"/>
  <c r="AK430" i="4"/>
  <c r="AD430" i="4"/>
  <c r="AC430" i="4"/>
  <c r="AB430" i="4"/>
  <c r="AA430" i="4"/>
  <c r="AA454" i="4"/>
  <c r="P428" i="4"/>
  <c r="P427" i="4" s="1"/>
  <c r="P409" i="4"/>
  <c r="P419" i="4"/>
  <c r="P418" i="4" s="1"/>
  <c r="AB428" i="4"/>
  <c r="AB427" i="4" s="1"/>
  <c r="AB419" i="4"/>
  <c r="AB418" i="4" s="1"/>
  <c r="AB409" i="4"/>
  <c r="Y420" i="4"/>
  <c r="V424" i="4"/>
  <c r="AA422" i="4"/>
  <c r="W400" i="4"/>
  <c r="AI400" i="4"/>
  <c r="AI451" i="4" s="1"/>
  <c r="AE401" i="4"/>
  <c r="P454" i="4"/>
  <c r="W403" i="4"/>
  <c r="W454" i="4" s="1"/>
  <c r="S395" i="4"/>
  <c r="S404" i="4"/>
  <c r="S455" i="4" s="1"/>
  <c r="AE455" i="4"/>
  <c r="AJ390" i="4"/>
  <c r="AD394" i="4"/>
  <c r="AH402" i="4"/>
  <c r="Q419" i="4"/>
  <c r="Q418" i="4" s="1"/>
  <c r="AC419" i="4"/>
  <c r="AC418" i="4" s="1"/>
  <c r="N420" i="4"/>
  <c r="Z429" i="4"/>
  <c r="Z420" i="4"/>
  <c r="AL429" i="4"/>
  <c r="AL420" i="4"/>
  <c r="V421" i="4"/>
  <c r="V443" i="4" s="1"/>
  <c r="V430" i="4"/>
  <c r="AH430" i="4"/>
  <c r="AH421" i="4"/>
  <c r="S431" i="4"/>
  <c r="S422" i="4"/>
  <c r="AE422" i="4"/>
  <c r="AE431" i="4"/>
  <c r="O423" i="4"/>
  <c r="O432" i="4"/>
  <c r="AA423" i="4"/>
  <c r="AA445" i="4" s="1"/>
  <c r="AA432" i="4"/>
  <c r="AF433" i="4"/>
  <c r="AE433" i="4"/>
  <c r="W433" i="4"/>
  <c r="W424" i="4"/>
  <c r="AI424" i="4"/>
  <c r="AI433" i="4"/>
  <c r="AI455" i="4" s="1"/>
  <c r="M419" i="4"/>
  <c r="M418" i="4" s="1"/>
  <c r="AK419" i="4"/>
  <c r="AK418" i="4" s="1"/>
  <c r="I418" i="4" a="1"/>
  <c r="I418" i="4" s="1"/>
  <c r="N419" i="4"/>
  <c r="N418" i="4" s="1"/>
  <c r="AA419" i="4"/>
  <c r="AA418" i="4" s="1"/>
  <c r="Y419" i="4"/>
  <c r="Y418" i="4" s="1"/>
  <c r="AI419" i="4"/>
  <c r="AI418" i="4" s="1"/>
  <c r="AF419" i="4"/>
  <c r="AF418" i="4" s="1"/>
  <c r="AB422" i="4"/>
  <c r="AK431" i="4"/>
  <c r="W431" i="4"/>
  <c r="N431" i="4"/>
  <c r="N453" i="4" s="1"/>
  <c r="M431" i="4"/>
  <c r="AL431" i="4"/>
  <c r="AJ431" i="4"/>
  <c r="AI431" i="4"/>
  <c r="AB431" i="4"/>
  <c r="AA431" i="4"/>
  <c r="AA453" i="4" s="1"/>
  <c r="Z431" i="4"/>
  <c r="Y431" i="4"/>
  <c r="M380" i="4"/>
  <c r="AC380" i="4"/>
  <c r="X400" i="4"/>
  <c r="X451" i="4" s="1"/>
  <c r="AE392" i="4"/>
  <c r="I445" i="4"/>
  <c r="P394" i="4"/>
  <c r="P445" i="4" s="1"/>
  <c r="AB394" i="4"/>
  <c r="AB445" i="4" s="1"/>
  <c r="AB399" i="4"/>
  <c r="AJ404" i="4"/>
  <c r="AJ455" i="4" s="1"/>
  <c r="R419" i="4"/>
  <c r="R418" i="4" s="1"/>
  <c r="AD428" i="4"/>
  <c r="AD427" i="4" s="1"/>
  <c r="AD409" i="4"/>
  <c r="AD419" i="4"/>
  <c r="AD418" i="4" s="1"/>
  <c r="AA429" i="4"/>
  <c r="AJ424" i="4"/>
  <c r="O419" i="4"/>
  <c r="O418" i="4" s="1"/>
  <c r="AB421" i="4"/>
  <c r="AB443" i="4" s="1"/>
  <c r="AA421" i="4"/>
  <c r="AA443" i="4" s="1"/>
  <c r="O421" i="4"/>
  <c r="AE421" i="4"/>
  <c r="AD421" i="4"/>
  <c r="AC422" i="4"/>
  <c r="G40" i="161"/>
  <c r="G78" i="950"/>
  <c r="Z395" i="4"/>
  <c r="Z446" i="4" s="1"/>
  <c r="O429" i="4"/>
  <c r="W430" i="4"/>
  <c r="AI421" i="4"/>
  <c r="AI430" i="4"/>
  <c r="T422" i="4"/>
  <c r="T431" i="4"/>
  <c r="AF431" i="4"/>
  <c r="P423" i="4"/>
  <c r="P432" i="4"/>
  <c r="AB423" i="4"/>
  <c r="AB432" i="4"/>
  <c r="X433" i="4"/>
  <c r="X424" i="4"/>
  <c r="N395" i="4"/>
  <c r="N446" i="4" s="1"/>
  <c r="AB429" i="4"/>
  <c r="AJ430" i="4"/>
  <c r="U422" i="4"/>
  <c r="U431" i="4"/>
  <c r="AG422" i="4"/>
  <c r="AG431" i="4"/>
  <c r="Q423" i="4"/>
  <c r="Q432" i="4"/>
  <c r="AC423" i="4"/>
  <c r="AC432" i="4"/>
  <c r="M424" i="4"/>
  <c r="M433" i="4"/>
  <c r="Y424" i="4"/>
  <c r="Y433" i="4"/>
  <c r="AK424" i="4"/>
  <c r="AK433" i="4"/>
  <c r="N423" i="4"/>
  <c r="G73" i="950"/>
  <c r="U419" i="4"/>
  <c r="U418" i="4" s="1"/>
  <c r="AG419" i="4"/>
  <c r="AG418" i="4" s="1"/>
  <c r="Q420" i="4"/>
  <c r="AC420" i="4"/>
  <c r="M421" i="4"/>
  <c r="M430" i="4"/>
  <c r="Y421" i="4"/>
  <c r="AK421" i="4"/>
  <c r="AH431" i="4"/>
  <c r="AH422" i="4"/>
  <c r="AD432" i="4"/>
  <c r="AD454" i="4" s="1"/>
  <c r="AD423" i="4"/>
  <c r="N433" i="4"/>
  <c r="N424" i="4"/>
  <c r="Z433" i="4"/>
  <c r="Z455" i="4" s="1"/>
  <c r="AL433" i="4"/>
  <c r="R423" i="4"/>
  <c r="M428" i="4"/>
  <c r="M427" i="4" s="1"/>
  <c r="AL428" i="4"/>
  <c r="AL427" i="4" s="1"/>
  <c r="Y428" i="4"/>
  <c r="Y427" i="4" s="1"/>
  <c r="AK428" i="4"/>
  <c r="AK427" i="4" s="1"/>
  <c r="I427" i="4" a="1"/>
  <c r="I427" i="4" s="1"/>
  <c r="D459" i="4" s="1"/>
  <c r="AI428" i="4"/>
  <c r="AI427" i="4" s="1"/>
  <c r="AJ433" i="4"/>
  <c r="E179" i="161" a="1"/>
  <c r="E179" i="161" s="1"/>
  <c r="E93" i="161" a="1"/>
  <c r="E93" i="161" s="1"/>
  <c r="E91" i="161" a="1"/>
  <c r="E91" i="161" s="1"/>
  <c r="E89" i="161" a="1"/>
  <c r="E89" i="161" s="1"/>
  <c r="E87" i="161" a="1"/>
  <c r="E87" i="161" s="1"/>
  <c r="E85" i="161" a="1"/>
  <c r="E85" i="161" s="1"/>
  <c r="E83" i="161" a="1"/>
  <c r="E83" i="161" s="1"/>
  <c r="E81" i="161" a="1"/>
  <c r="E81" i="161" s="1"/>
  <c r="E79" i="161" a="1"/>
  <c r="E79" i="161" s="1"/>
  <c r="E77" i="161" a="1"/>
  <c r="E77" i="161" s="1"/>
  <c r="E75" i="161" a="1"/>
  <c r="E75" i="161" s="1"/>
  <c r="E73" i="161" a="1"/>
  <c r="E73" i="161" s="1"/>
  <c r="E71" i="161" a="1"/>
  <c r="E71" i="161" s="1"/>
  <c r="E69" i="161" a="1"/>
  <c r="E69" i="161" s="1"/>
  <c r="F29" i="161" a="1"/>
  <c r="F29" i="161" s="1"/>
  <c r="G19" i="161" a="1"/>
  <c r="G19" i="161" s="1"/>
  <c r="E183" i="161" a="1"/>
  <c r="E183" i="161" s="1"/>
  <c r="E156" i="161" a="1"/>
  <c r="E156" i="161" s="1"/>
  <c r="K156" i="161" s="1"/>
  <c r="E153" i="161" a="1"/>
  <c r="E153" i="161" s="1"/>
  <c r="G21" i="161" a="1"/>
  <c r="G21" i="161" s="1"/>
  <c r="F19" i="161" a="1"/>
  <c r="F19" i="161" s="1"/>
  <c r="E185" i="161" a="1"/>
  <c r="E185" i="161" s="1"/>
  <c r="E150" i="161" a="1"/>
  <c r="E150" i="161" s="1"/>
  <c r="W115" i="161" a="1"/>
  <c r="W115" i="161" s="1"/>
  <c r="Q115" i="161" a="1"/>
  <c r="Q115" i="161" s="1"/>
  <c r="K115" i="161" a="1"/>
  <c r="K115" i="161" s="1"/>
  <c r="E115" i="161" a="1"/>
  <c r="E115" i="161" s="1"/>
  <c r="W110" i="161" a="1"/>
  <c r="W110" i="161" s="1"/>
  <c r="W124" i="161" s="1"/>
  <c r="Q110" i="161" a="1"/>
  <c r="Q110" i="161" s="1"/>
  <c r="Q124" i="161" s="1"/>
  <c r="K110" i="161" a="1"/>
  <c r="K110" i="161" s="1"/>
  <c r="K124" i="161" s="1"/>
  <c r="E110" i="161" a="1"/>
  <c r="E110" i="161" s="1"/>
  <c r="W109" i="161" a="1"/>
  <c r="W109" i="161" s="1"/>
  <c r="W123" i="161" s="1"/>
  <c r="Q109" i="161" a="1"/>
  <c r="Q109" i="161" s="1"/>
  <c r="Q123" i="161" s="1"/>
  <c r="K109" i="161" a="1"/>
  <c r="K109" i="161" s="1"/>
  <c r="K123" i="161" s="1"/>
  <c r="E109" i="161" a="1"/>
  <c r="E109" i="161" s="1"/>
  <c r="W108" i="161" a="1"/>
  <c r="W108" i="161" s="1"/>
  <c r="W122" i="161" s="1"/>
  <c r="Q108" i="161" a="1"/>
  <c r="Q108" i="161" s="1"/>
  <c r="Q122" i="161" s="1"/>
  <c r="K108" i="161" a="1"/>
  <c r="K108" i="161" s="1"/>
  <c r="K122" i="161" s="1"/>
  <c r="E187" i="161" a="1"/>
  <c r="E187" i="161" s="1"/>
  <c r="G23" i="161" a="1"/>
  <c r="G23" i="161" s="1"/>
  <c r="E176" i="161" a="1"/>
  <c r="E176" i="161" s="1"/>
  <c r="V115" i="161" a="1"/>
  <c r="V115" i="161" s="1"/>
  <c r="P115" i="161" a="1"/>
  <c r="P115" i="161" s="1"/>
  <c r="J115" i="161" a="1"/>
  <c r="J115" i="161" s="1"/>
  <c r="D115" i="161" a="1"/>
  <c r="D115" i="161" s="1"/>
  <c r="V110" i="161" a="1"/>
  <c r="V110" i="161" s="1"/>
  <c r="P110" i="161" a="1"/>
  <c r="P110" i="161" s="1"/>
  <c r="J110" i="161" a="1"/>
  <c r="J110" i="161" s="1"/>
  <c r="D110" i="161" a="1"/>
  <c r="D110" i="161" s="1"/>
  <c r="V109" i="161" a="1"/>
  <c r="V109" i="161" s="1"/>
  <c r="P109" i="161" a="1"/>
  <c r="P109" i="161" s="1"/>
  <c r="P123" i="161" s="1"/>
  <c r="J109" i="161" a="1"/>
  <c r="J109" i="161" s="1"/>
  <c r="J123" i="161" s="1"/>
  <c r="D109" i="161" a="1"/>
  <c r="D109" i="161" s="1"/>
  <c r="V108" i="161" a="1"/>
  <c r="V108" i="161" s="1"/>
  <c r="V122" i="161" s="1"/>
  <c r="P108" i="161" a="1"/>
  <c r="P108" i="161" s="1"/>
  <c r="P122" i="161" s="1"/>
  <c r="J108" i="161" a="1"/>
  <c r="J108" i="161" s="1"/>
  <c r="J122" i="161" s="1"/>
  <c r="D108" i="161" a="1"/>
  <c r="D108" i="161" s="1"/>
  <c r="D122" i="161" s="1"/>
  <c r="V107" i="161" a="1"/>
  <c r="V107" i="161" s="1"/>
  <c r="P107" i="161" a="1"/>
  <c r="P107" i="161" s="1"/>
  <c r="J107" i="161" a="1"/>
  <c r="J107" i="161" s="1"/>
  <c r="D107" i="161" a="1"/>
  <c r="D107" i="161" s="1"/>
  <c r="V106" i="161" a="1"/>
  <c r="V106" i="161" s="1"/>
  <c r="P106" i="161" a="1"/>
  <c r="P106" i="161" s="1"/>
  <c r="J106" i="161" a="1"/>
  <c r="J106" i="161" s="1"/>
  <c r="J121" i="161" s="1"/>
  <c r="D106" i="161" a="1"/>
  <c r="D106" i="161" s="1"/>
  <c r="V105" i="161" a="1"/>
  <c r="V105" i="161" s="1"/>
  <c r="E178" i="161" a="1"/>
  <c r="E178" i="161" s="1"/>
  <c r="E154" i="161" a="1"/>
  <c r="E154" i="161" s="1"/>
  <c r="E92" i="161" a="1"/>
  <c r="E92" i="161" s="1"/>
  <c r="E90" i="161" a="1"/>
  <c r="E90" i="161" s="1"/>
  <c r="E88" i="161" a="1"/>
  <c r="E88" i="161" s="1"/>
  <c r="E86" i="161" a="1"/>
  <c r="E86" i="161" s="1"/>
  <c r="E84" i="161" a="1"/>
  <c r="E84" i="161" s="1"/>
  <c r="E82" i="161" a="1"/>
  <c r="E82" i="161" s="1"/>
  <c r="E80" i="161" a="1"/>
  <c r="E80" i="161" s="1"/>
  <c r="E78" i="161" a="1"/>
  <c r="E78" i="161" s="1"/>
  <c r="E76" i="161" a="1"/>
  <c r="E76" i="161" s="1"/>
  <c r="E74" i="161" a="1"/>
  <c r="E74" i="161" s="1"/>
  <c r="E72" i="161" a="1"/>
  <c r="E72" i="161" s="1"/>
  <c r="E70" i="161" a="1"/>
  <c r="E70" i="161" s="1"/>
  <c r="G25" i="161" a="1"/>
  <c r="G25" i="161" s="1"/>
  <c r="F23" i="161" a="1"/>
  <c r="F23" i="161" s="1"/>
  <c r="G13" i="161" a="1"/>
  <c r="G13" i="161" s="1"/>
  <c r="E180" i="161" a="1"/>
  <c r="E180" i="161" s="1"/>
  <c r="E151" i="161" a="1"/>
  <c r="E151" i="161" s="1"/>
  <c r="AA115" i="161" a="1"/>
  <c r="AA115" i="161" s="1"/>
  <c r="U115" i="161" a="1"/>
  <c r="U115" i="161" s="1"/>
  <c r="O115" i="161" a="1"/>
  <c r="O115" i="161" s="1"/>
  <c r="I115" i="161" a="1"/>
  <c r="I115" i="161" s="1"/>
  <c r="AA110" i="161" a="1"/>
  <c r="AA110" i="161" s="1"/>
  <c r="AA124" i="161" s="1"/>
  <c r="U110" i="161" a="1"/>
  <c r="U110" i="161" s="1"/>
  <c r="O110" i="161" a="1"/>
  <c r="O110" i="161" s="1"/>
  <c r="I110" i="161" a="1"/>
  <c r="I110" i="161" s="1"/>
  <c r="I124" i="161" s="1"/>
  <c r="AA109" i="161" a="1"/>
  <c r="AA109" i="161" s="1"/>
  <c r="AA123" i="161" s="1"/>
  <c r="U109" i="161" a="1"/>
  <c r="U109" i="161" s="1"/>
  <c r="O109" i="161" a="1"/>
  <c r="O109" i="161" s="1"/>
  <c r="I109" i="161" a="1"/>
  <c r="I109" i="161" s="1"/>
  <c r="AA108" i="161" a="1"/>
  <c r="AA108" i="161" s="1"/>
  <c r="AA122" i="161" s="1"/>
  <c r="U108" i="161" a="1"/>
  <c r="U108" i="161" s="1"/>
  <c r="U122" i="161" s="1"/>
  <c r="O108" i="161" a="1"/>
  <c r="O108" i="161" s="1"/>
  <c r="O122" i="161" s="1"/>
  <c r="I108" i="161" a="1"/>
  <c r="I108" i="161" s="1"/>
  <c r="I122" i="161" s="1"/>
  <c r="AA107" i="161" a="1"/>
  <c r="AA107" i="161" s="1"/>
  <c r="U107" i="161" a="1"/>
  <c r="U107" i="161" s="1"/>
  <c r="O107" i="161" a="1"/>
  <c r="O107" i="161" s="1"/>
  <c r="I107" i="161" a="1"/>
  <c r="I107" i="161" s="1"/>
  <c r="AA106" i="161" a="1"/>
  <c r="AA106" i="161" s="1"/>
  <c r="U106" i="161" a="1"/>
  <c r="U106" i="161" s="1"/>
  <c r="O106" i="161" a="1"/>
  <c r="O106" i="161" s="1"/>
  <c r="I106" i="161" a="1"/>
  <c r="I106" i="161" s="1"/>
  <c r="AA105" i="161" a="1"/>
  <c r="AA105" i="161" s="1"/>
  <c r="E182" i="161" a="1"/>
  <c r="E182" i="161" s="1"/>
  <c r="E148" i="161" a="1"/>
  <c r="E148" i="161" s="1"/>
  <c r="K148" i="161" s="1"/>
  <c r="G27" i="161" a="1"/>
  <c r="G27" i="161" s="1"/>
  <c r="E184" i="161" a="1"/>
  <c r="E184" i="161" s="1"/>
  <c r="Z115" i="161" a="1"/>
  <c r="Z115" i="161" s="1"/>
  <c r="T115" i="161" a="1"/>
  <c r="T115" i="161" s="1"/>
  <c r="N115" i="161" a="1"/>
  <c r="N115" i="161" s="1"/>
  <c r="H115" i="161" a="1"/>
  <c r="H115" i="161" s="1"/>
  <c r="Z110" i="161" a="1"/>
  <c r="Z110" i="161" s="1"/>
  <c r="Z124" i="161" s="1"/>
  <c r="T110" i="161" a="1"/>
  <c r="T110" i="161" s="1"/>
  <c r="N110" i="161" a="1"/>
  <c r="N110" i="161" s="1"/>
  <c r="H110" i="161" a="1"/>
  <c r="H110" i="161" s="1"/>
  <c r="Z109" i="161" a="1"/>
  <c r="Z109" i="161" s="1"/>
  <c r="Z123" i="161" s="1"/>
  <c r="T109" i="161" a="1"/>
  <c r="T109" i="161" s="1"/>
  <c r="T123" i="161" s="1"/>
  <c r="N109" i="161" a="1"/>
  <c r="N109" i="161" s="1"/>
  <c r="H109" i="161" a="1"/>
  <c r="H109" i="161" s="1"/>
  <c r="H123" i="161" s="1"/>
  <c r="Z108" i="161" a="1"/>
  <c r="Z108" i="161" s="1"/>
  <c r="Z122" i="161" s="1"/>
  <c r="T108" i="161" a="1"/>
  <c r="T108" i="161" s="1"/>
  <c r="T122" i="161" s="1"/>
  <c r="N108" i="161" a="1"/>
  <c r="N108" i="161" s="1"/>
  <c r="N122" i="161" s="1"/>
  <c r="H108" i="161" a="1"/>
  <c r="H108" i="161" s="1"/>
  <c r="H122" i="161" s="1"/>
  <c r="Z107" i="161" a="1"/>
  <c r="Z107" i="161" s="1"/>
  <c r="T107" i="161" a="1"/>
  <c r="T107" i="161" s="1"/>
  <c r="N107" i="161" a="1"/>
  <c r="N107" i="161" s="1"/>
  <c r="H107" i="161" a="1"/>
  <c r="H107" i="161" s="1"/>
  <c r="Z106" i="161" a="1"/>
  <c r="Z106" i="161" s="1"/>
  <c r="Z121" i="161" s="1"/>
  <c r="T106" i="161" a="1"/>
  <c r="T106" i="161" s="1"/>
  <c r="T121" i="161" s="1"/>
  <c r="N106" i="161" a="1"/>
  <c r="N106" i="161" s="1"/>
  <c r="H106" i="161" a="1"/>
  <c r="H106" i="161" s="1"/>
  <c r="H121" i="161" s="1"/>
  <c r="Z105" i="161" a="1"/>
  <c r="Z105" i="161" s="1"/>
  <c r="T105" i="161" a="1"/>
  <c r="T105" i="161" s="1"/>
  <c r="N105" i="161" a="1"/>
  <c r="N105" i="161" s="1"/>
  <c r="H105" i="161" a="1"/>
  <c r="H105" i="161" s="1"/>
  <c r="Z104" i="161" a="1"/>
  <c r="Z104" i="161" s="1"/>
  <c r="T104" i="161" a="1"/>
  <c r="T104" i="161" s="1"/>
  <c r="E186" i="161" a="1"/>
  <c r="E186" i="161" s="1"/>
  <c r="E155" i="161" a="1"/>
  <c r="E155" i="161" s="1"/>
  <c r="G29" i="161" a="1"/>
  <c r="G29" i="161" s="1"/>
  <c r="L115" i="161" a="1"/>
  <c r="L115" i="161" s="1"/>
  <c r="X109" i="161" a="1"/>
  <c r="X109" i="161" s="1"/>
  <c r="L108" i="161" a="1"/>
  <c r="L108" i="161" s="1"/>
  <c r="L122" i="161" s="1"/>
  <c r="K107" i="161" a="1"/>
  <c r="K107" i="161" s="1"/>
  <c r="K106" i="161" a="1"/>
  <c r="K106" i="161" s="1"/>
  <c r="K121" i="161" s="1"/>
  <c r="O105" i="161" a="1"/>
  <c r="O105" i="161" s="1"/>
  <c r="X104" i="161" a="1"/>
  <c r="X104" i="161" s="1"/>
  <c r="K104" i="161" a="1"/>
  <c r="K104" i="161" s="1"/>
  <c r="W103" i="161" a="1"/>
  <c r="W103" i="161" s="1"/>
  <c r="K103" i="161" a="1"/>
  <c r="K103" i="161" s="1"/>
  <c r="F25" i="161" a="1"/>
  <c r="F25" i="161" s="1"/>
  <c r="G17" i="161" a="1"/>
  <c r="G17" i="161" s="1"/>
  <c r="G115" i="161" a="1"/>
  <c r="G115" i="161" s="1"/>
  <c r="S109" i="161" a="1"/>
  <c r="S109" i="161" s="1"/>
  <c r="G108" i="161" a="1"/>
  <c r="G108" i="161" s="1"/>
  <c r="G122" i="161" s="1"/>
  <c r="G107" i="161" a="1"/>
  <c r="G107" i="161" s="1"/>
  <c r="G106" i="161" a="1"/>
  <c r="G106" i="161" s="1"/>
  <c r="M105" i="161" a="1"/>
  <c r="M105" i="161" s="1"/>
  <c r="W104" i="161" a="1"/>
  <c r="W104" i="161" s="1"/>
  <c r="J104" i="161" a="1"/>
  <c r="J104" i="161" s="1"/>
  <c r="V103" i="161" a="1"/>
  <c r="V103" i="161" s="1"/>
  <c r="J103" i="161" a="1"/>
  <c r="J103" i="161" s="1"/>
  <c r="G30" i="161" a="1"/>
  <c r="G30" i="161" s="1"/>
  <c r="P80" i="950" s="1"/>
  <c r="G24" i="161" a="1"/>
  <c r="G24" i="161" s="1"/>
  <c r="P77" i="950" s="1"/>
  <c r="F13" i="161" a="1"/>
  <c r="F13" i="161" s="1"/>
  <c r="F115" i="161" a="1"/>
  <c r="F115" i="161" s="1"/>
  <c r="R109" i="161" a="1"/>
  <c r="R109" i="161" s="1"/>
  <c r="R123" i="161" s="1"/>
  <c r="F108" i="161" a="1"/>
  <c r="F108" i="161" s="1"/>
  <c r="F107" i="161" a="1"/>
  <c r="F107" i="161" s="1"/>
  <c r="F106" i="161" a="1"/>
  <c r="F106" i="161" s="1"/>
  <c r="L105" i="161" a="1"/>
  <c r="L105" i="161" s="1"/>
  <c r="V104" i="161" a="1"/>
  <c r="V104" i="161" s="1"/>
  <c r="I104" i="161" a="1"/>
  <c r="I104" i="161" s="1"/>
  <c r="U103" i="161" a="1"/>
  <c r="U103" i="161" s="1"/>
  <c r="I103" i="161" a="1"/>
  <c r="I103" i="161" s="1"/>
  <c r="I120" i="161" s="1"/>
  <c r="F30" i="161" a="1"/>
  <c r="F30" i="161" s="1"/>
  <c r="O80" i="950" s="1"/>
  <c r="Q80" i="950" s="1"/>
  <c r="F24" i="161" a="1"/>
  <c r="F24" i="161" s="1"/>
  <c r="O77" i="950" s="1"/>
  <c r="G22" i="161" a="1"/>
  <c r="G22" i="161" s="1"/>
  <c r="P76" i="950" s="1"/>
  <c r="F17" i="161" a="1"/>
  <c r="F17" i="161" s="1"/>
  <c r="G16" i="161" a="1"/>
  <c r="G16" i="161" s="1"/>
  <c r="P73" i="950" s="1"/>
  <c r="Y110" i="161" a="1"/>
  <c r="Y110" i="161" s="1"/>
  <c r="M109" i="161" a="1"/>
  <c r="M109" i="161" s="1"/>
  <c r="E108" i="161" a="1"/>
  <c r="E108" i="161" s="1"/>
  <c r="E122" i="161" s="1"/>
  <c r="E107" i="161" a="1"/>
  <c r="E107" i="161" s="1"/>
  <c r="E106" i="161" a="1"/>
  <c r="E106" i="161" s="1"/>
  <c r="K105" i="161" a="1"/>
  <c r="K105" i="161" s="1"/>
  <c r="U104" i="161" a="1"/>
  <c r="U104" i="161" s="1"/>
  <c r="H104" i="161" a="1"/>
  <c r="H104" i="161" s="1"/>
  <c r="T103" i="161" a="1"/>
  <c r="T103" i="161" s="1"/>
  <c r="T120" i="161" s="1"/>
  <c r="H103" i="161" a="1"/>
  <c r="H103" i="161" s="1"/>
  <c r="G12" i="161" a="1"/>
  <c r="G12" i="161" s="1"/>
  <c r="P72" i="950" s="1"/>
  <c r="E181" i="161" a="1"/>
  <c r="E181" i="161" s="1"/>
  <c r="X110" i="161" a="1"/>
  <c r="X110" i="161" s="1"/>
  <c r="L109" i="161" a="1"/>
  <c r="L109" i="161" s="1"/>
  <c r="L123" i="161" s="1"/>
  <c r="Y107" i="161" a="1"/>
  <c r="Y107" i="161" s="1"/>
  <c r="Y106" i="161" a="1"/>
  <c r="Y106" i="161" s="1"/>
  <c r="Y105" i="161" a="1"/>
  <c r="Y105" i="161" s="1"/>
  <c r="J105" i="161" a="1"/>
  <c r="J105" i="161" s="1"/>
  <c r="S104" i="161" a="1"/>
  <c r="S104" i="161" s="1"/>
  <c r="G104" i="161" a="1"/>
  <c r="G104" i="161" s="1"/>
  <c r="S103" i="161" a="1"/>
  <c r="S103" i="161" s="1"/>
  <c r="G103" i="161" a="1"/>
  <c r="G103" i="161" s="1"/>
  <c r="F22" i="161" a="1"/>
  <c r="F22" i="161" s="1"/>
  <c r="O76" i="950" s="1"/>
  <c r="F21" i="161" a="1"/>
  <c r="F21" i="161" s="1"/>
  <c r="F16" i="161" a="1"/>
  <c r="F16" i="161" s="1"/>
  <c r="O73" i="950" s="1"/>
  <c r="E152" i="161" a="1"/>
  <c r="E152" i="161" s="1"/>
  <c r="K152" i="161" s="1"/>
  <c r="S110" i="161" a="1"/>
  <c r="S110" i="161" s="1"/>
  <c r="G109" i="161" a="1"/>
  <c r="G109" i="161" s="1"/>
  <c r="G123" i="161" s="1"/>
  <c r="X107" i="161" a="1"/>
  <c r="X107" i="161" s="1"/>
  <c r="X106" i="161" a="1"/>
  <c r="X106" i="161" s="1"/>
  <c r="X105" i="161" a="1"/>
  <c r="X105" i="161" s="1"/>
  <c r="I105" i="161" a="1"/>
  <c r="I105" i="161" s="1"/>
  <c r="R104" i="161" a="1"/>
  <c r="R104" i="161" s="1"/>
  <c r="F104" i="161" a="1"/>
  <c r="F104" i="161" s="1"/>
  <c r="R103" i="161" a="1"/>
  <c r="R103" i="161" s="1"/>
  <c r="R120" i="161" s="1"/>
  <c r="F103" i="161" a="1"/>
  <c r="F103" i="161" s="1"/>
  <c r="F120" i="161" s="1"/>
  <c r="G20" i="161" a="1"/>
  <c r="G20" i="161" s="1"/>
  <c r="P75" i="950" s="1"/>
  <c r="G15" i="161" a="1"/>
  <c r="G15" i="161" s="1"/>
  <c r="F12" i="161" a="1"/>
  <c r="F12" i="161" s="1"/>
  <c r="O72" i="950" s="1"/>
  <c r="R110" i="161" a="1"/>
  <c r="R110" i="161" s="1"/>
  <c r="F109" i="161" a="1"/>
  <c r="F109" i="161" s="1"/>
  <c r="W107" i="161" a="1"/>
  <c r="W107" i="161" s="1"/>
  <c r="W106" i="161" a="1"/>
  <c r="W106" i="161" s="1"/>
  <c r="W105" i="161" a="1"/>
  <c r="W105" i="161" s="1"/>
  <c r="G105" i="161" a="1"/>
  <c r="G105" i="161" s="1"/>
  <c r="Q104" i="161" a="1"/>
  <c r="Q104" i="161" s="1"/>
  <c r="E104" i="161" a="1"/>
  <c r="E104" i="161" s="1"/>
  <c r="Q103" i="161" a="1"/>
  <c r="Q103" i="161" s="1"/>
  <c r="Q120" i="161" s="1"/>
  <c r="E103" i="161" a="1"/>
  <c r="E103" i="161" s="1"/>
  <c r="E177" i="161" a="1"/>
  <c r="E177" i="161" s="1"/>
  <c r="Y115" i="161" a="1"/>
  <c r="Y115" i="161" s="1"/>
  <c r="M110" i="161" a="1"/>
  <c r="M110" i="161" s="1"/>
  <c r="Y108" i="161" a="1"/>
  <c r="Y108" i="161" s="1"/>
  <c r="S107" i="161" a="1"/>
  <c r="S107" i="161" s="1"/>
  <c r="S106" i="161" a="1"/>
  <c r="S106" i="161" s="1"/>
  <c r="U105" i="161" a="1"/>
  <c r="U105" i="161" s="1"/>
  <c r="F105" i="161" a="1"/>
  <c r="F105" i="161" s="1"/>
  <c r="P104" i="161" a="1"/>
  <c r="P104" i="161" s="1"/>
  <c r="D104" i="161" a="1"/>
  <c r="D104" i="161" s="1"/>
  <c r="P103" i="161" a="1"/>
  <c r="P103" i="161" s="1"/>
  <c r="P120" i="161" s="1"/>
  <c r="D103" i="161" a="1"/>
  <c r="D103" i="161" s="1"/>
  <c r="F20" i="161" a="1"/>
  <c r="F20" i="161" s="1"/>
  <c r="O75" i="950" s="1"/>
  <c r="F15" i="161" a="1"/>
  <c r="F15" i="161" s="1"/>
  <c r="X115" i="161" a="1"/>
  <c r="X115" i="161" s="1"/>
  <c r="L110" i="161" a="1"/>
  <c r="L110" i="161" s="1"/>
  <c r="X108" i="161" a="1"/>
  <c r="X108" i="161" s="1"/>
  <c r="R107" i="161" a="1"/>
  <c r="R107" i="161" s="1"/>
  <c r="R106" i="161" a="1"/>
  <c r="R106" i="161" s="1"/>
  <c r="S105" i="161" a="1"/>
  <c r="S105" i="161" s="1"/>
  <c r="E105" i="161" a="1"/>
  <c r="E105" i="161" s="1"/>
  <c r="O104" i="161" a="1"/>
  <c r="O104" i="161" s="1"/>
  <c r="AA103" i="161" a="1"/>
  <c r="AA103" i="161" s="1"/>
  <c r="O103" i="161" a="1"/>
  <c r="O103" i="161" s="1"/>
  <c r="E149" i="161" a="1"/>
  <c r="E149" i="161" s="1"/>
  <c r="K149" i="161" s="1"/>
  <c r="S115" i="161" a="1"/>
  <c r="S115" i="161" s="1"/>
  <c r="G110" i="161" a="1"/>
  <c r="G110" i="161" s="1"/>
  <c r="G124" i="161" s="1"/>
  <c r="S108" i="161" a="1"/>
  <c r="S108" i="161" s="1"/>
  <c r="Q107" i="161" a="1"/>
  <c r="Q107" i="161" s="1"/>
  <c r="Q106" i="161" a="1"/>
  <c r="Q106" i="161" s="1"/>
  <c r="R105" i="161" a="1"/>
  <c r="R105" i="161" s="1"/>
  <c r="D105" i="161" a="1"/>
  <c r="D105" i="161" s="1"/>
  <c r="N104" i="161" a="1"/>
  <c r="N104" i="161" s="1"/>
  <c r="Z103" i="161" a="1"/>
  <c r="Z103" i="161" s="1"/>
  <c r="Z120" i="161" s="1"/>
  <c r="N103" i="161" a="1"/>
  <c r="N103" i="161" s="1"/>
  <c r="N120" i="161" s="1"/>
  <c r="G18" i="161" a="1"/>
  <c r="G18" i="161" s="1"/>
  <c r="P74" i="950" s="1"/>
  <c r="G14" i="161" a="1"/>
  <c r="G14" i="161" s="1"/>
  <c r="R115" i="161" a="1"/>
  <c r="R115" i="161" s="1"/>
  <c r="F110" i="161" a="1"/>
  <c r="F110" i="161" s="1"/>
  <c r="F124" i="161" s="1"/>
  <c r="R108" i="161" a="1"/>
  <c r="R108" i="161" s="1"/>
  <c r="M107" i="161" a="1"/>
  <c r="M107" i="161" s="1"/>
  <c r="M106" i="161" a="1"/>
  <c r="M106" i="161" s="1"/>
  <c r="Q105" i="161" a="1"/>
  <c r="Q105" i="161" s="1"/>
  <c r="AA104" i="161" a="1"/>
  <c r="AA104" i="161" s="1"/>
  <c r="M104" i="161" a="1"/>
  <c r="M104" i="161" s="1"/>
  <c r="Y103" i="161" a="1"/>
  <c r="Y103" i="161" s="1"/>
  <c r="Y120" i="161" s="1"/>
  <c r="M103" i="161" a="1"/>
  <c r="M103" i="161" s="1"/>
  <c r="G28" i="161" a="1"/>
  <c r="G28" i="161" s="1"/>
  <c r="P79" i="950" s="1"/>
  <c r="G26" i="161" a="1"/>
  <c r="G26" i="161" s="1"/>
  <c r="P78" i="950" s="1"/>
  <c r="M115" i="161" a="1"/>
  <c r="M115" i="161" s="1"/>
  <c r="Y109" i="161" a="1"/>
  <c r="Y109" i="161" s="1"/>
  <c r="M108" i="161" a="1"/>
  <c r="M108" i="161" s="1"/>
  <c r="L107" i="161" a="1"/>
  <c r="L107" i="161" s="1"/>
  <c r="L106" i="161" a="1"/>
  <c r="L106" i="161" s="1"/>
  <c r="L121" i="161" s="1"/>
  <c r="P105" i="161" a="1"/>
  <c r="P105" i="161" s="1"/>
  <c r="Y104" i="161" a="1"/>
  <c r="Y104" i="161" s="1"/>
  <c r="L104" i="161" a="1"/>
  <c r="L104" i="161" s="1"/>
  <c r="X103" i="161" a="1"/>
  <c r="X103" i="161" s="1"/>
  <c r="X120" i="161" s="1"/>
  <c r="L103" i="161" a="1"/>
  <c r="L103" i="161" s="1"/>
  <c r="L120" i="161" s="1"/>
  <c r="F28" i="161" a="1"/>
  <c r="F28" i="161" s="1"/>
  <c r="O79" i="950" s="1"/>
  <c r="F27" i="161" a="1"/>
  <c r="F27" i="161" s="1"/>
  <c r="F183" i="161" a="1"/>
  <c r="F183" i="161" s="1"/>
  <c r="F156" i="161" a="1"/>
  <c r="F156" i="161" s="1"/>
  <c r="F187" i="161" a="1"/>
  <c r="F187" i="161" s="1"/>
  <c r="F176" i="161" a="1"/>
  <c r="F176" i="161" s="1"/>
  <c r="F178" i="161" a="1"/>
  <c r="F178" i="161" s="1"/>
  <c r="F154" i="161" a="1"/>
  <c r="F154" i="161" s="1"/>
  <c r="F92" i="161" a="1"/>
  <c r="F92" i="161" s="1"/>
  <c r="F90" i="161" a="1"/>
  <c r="F90" i="161" s="1"/>
  <c r="F88" i="161" a="1"/>
  <c r="F88" i="161" s="1"/>
  <c r="F86" i="161" a="1"/>
  <c r="F86" i="161" s="1"/>
  <c r="F84" i="161" a="1"/>
  <c r="F84" i="161" s="1"/>
  <c r="F82" i="161" a="1"/>
  <c r="F82" i="161" s="1"/>
  <c r="F80" i="161" a="1"/>
  <c r="F80" i="161" s="1"/>
  <c r="F78" i="161" a="1"/>
  <c r="F78" i="161" s="1"/>
  <c r="F76" i="161" a="1"/>
  <c r="F76" i="161" s="1"/>
  <c r="F74" i="161" a="1"/>
  <c r="F74" i="161" s="1"/>
  <c r="F72" i="161" a="1"/>
  <c r="F72" i="161" s="1"/>
  <c r="F70" i="161" a="1"/>
  <c r="F70" i="161" s="1"/>
  <c r="F180" i="161" a="1"/>
  <c r="F180" i="161" s="1"/>
  <c r="F151" i="161" a="1"/>
  <c r="F151" i="161" s="1"/>
  <c r="L151" i="161" s="1"/>
  <c r="F182" i="161" a="1"/>
  <c r="F182" i="161" s="1"/>
  <c r="F148" i="161" a="1"/>
  <c r="F148" i="161" s="1"/>
  <c r="L148" i="161" s="1"/>
  <c r="F184" i="161" a="1"/>
  <c r="F184" i="161" s="1"/>
  <c r="F186" i="161" a="1"/>
  <c r="F186" i="161" s="1"/>
  <c r="F155" i="161" a="1"/>
  <c r="F155" i="161" s="1"/>
  <c r="F177" i="161" a="1"/>
  <c r="F177" i="161" s="1"/>
  <c r="F152" i="161" a="1"/>
  <c r="F152" i="161" s="1"/>
  <c r="F179" i="161" a="1"/>
  <c r="F179" i="161" s="1"/>
  <c r="F149" i="161" a="1"/>
  <c r="F149" i="161" s="1"/>
  <c r="L149" i="161" s="1"/>
  <c r="F93" i="161" a="1"/>
  <c r="F93" i="161" s="1"/>
  <c r="F91" i="161" a="1"/>
  <c r="F91" i="161" s="1"/>
  <c r="F89" i="161" a="1"/>
  <c r="F89" i="161" s="1"/>
  <c r="F87" i="161" a="1"/>
  <c r="F87" i="161" s="1"/>
  <c r="F85" i="161" a="1"/>
  <c r="F85" i="161" s="1"/>
  <c r="F83" i="161" a="1"/>
  <c r="F83" i="161" s="1"/>
  <c r="F81" i="161" a="1"/>
  <c r="F81" i="161" s="1"/>
  <c r="F79" i="161" a="1"/>
  <c r="F79" i="161" s="1"/>
  <c r="F77" i="161" a="1"/>
  <c r="F77" i="161" s="1"/>
  <c r="F75" i="161" a="1"/>
  <c r="F75" i="161" s="1"/>
  <c r="F73" i="161" a="1"/>
  <c r="F73" i="161" s="1"/>
  <c r="F71" i="161" a="1"/>
  <c r="F71" i="161" s="1"/>
  <c r="F69" i="161" a="1"/>
  <c r="F69" i="161" s="1"/>
  <c r="F185" i="161" a="1"/>
  <c r="F185" i="161" s="1"/>
  <c r="F181" i="161" a="1"/>
  <c r="F181" i="161" s="1"/>
  <c r="F153" i="161" a="1"/>
  <c r="F153" i="161" s="1"/>
  <c r="F150" i="161" a="1"/>
  <c r="F150" i="161" s="1"/>
  <c r="L150" i="161" s="1"/>
  <c r="X403" i="4"/>
  <c r="X454" i="4" s="1"/>
  <c r="X394" i="4"/>
  <c r="X445" i="4" s="1"/>
  <c r="AJ403" i="4"/>
  <c r="AJ454" i="4" s="1"/>
  <c r="AJ394" i="4"/>
  <c r="AJ445" i="4" s="1"/>
  <c r="T404" i="4"/>
  <c r="T395" i="4"/>
  <c r="AF404" i="4"/>
  <c r="AF455" i="4" s="1"/>
  <c r="AF395" i="4"/>
  <c r="AF446" i="4" s="1"/>
  <c r="X404" i="4"/>
  <c r="X455" i="4" s="1"/>
  <c r="AD433" i="4"/>
  <c r="AF422" i="4"/>
  <c r="Q429" i="4"/>
  <c r="V432" i="4"/>
  <c r="V454" i="4" s="1"/>
  <c r="S432" i="4"/>
  <c r="S454" i="4" s="1"/>
  <c r="AE432" i="4"/>
  <c r="Q433" i="4"/>
  <c r="Q455" i="4" s="1"/>
  <c r="AC433" i="4"/>
  <c r="AC455" i="4" s="1"/>
  <c r="O433" i="4"/>
  <c r="O455" i="4" s="1"/>
  <c r="I454" i="4"/>
  <c r="J16" i="161"/>
  <c r="J20" i="161"/>
  <c r="J24" i="161"/>
  <c r="J15" i="161"/>
  <c r="J19" i="161"/>
  <c r="J18" i="161"/>
  <c r="J27" i="161"/>
  <c r="J29" i="161"/>
  <c r="J25" i="161"/>
  <c r="Z428" i="4"/>
  <c r="Z427" i="4" s="1"/>
  <c r="AH429" i="4"/>
  <c r="AH451" i="4" s="1"/>
  <c r="AI432" i="4"/>
  <c r="AI454" i="4" s="1"/>
  <c r="AI423" i="4"/>
  <c r="AI445" i="4" s="1"/>
  <c r="O420" i="4"/>
  <c r="W421" i="4"/>
  <c r="R433" i="4"/>
  <c r="R455" i="4" s="1"/>
  <c r="K21" i="161"/>
  <c r="K25" i="161"/>
  <c r="K27" i="161"/>
  <c r="K15" i="161"/>
  <c r="K29" i="161"/>
  <c r="K30" i="161"/>
  <c r="C43" i="161" s="1"/>
  <c r="K18" i="161"/>
  <c r="C39" i="161" s="1"/>
  <c r="K14" i="161"/>
  <c r="C36" i="161"/>
  <c r="K28" i="161"/>
  <c r="K26" i="161"/>
  <c r="C42" i="161" s="1"/>
  <c r="C46" i="161" s="1"/>
  <c r="K17" i="161"/>
  <c r="W429" i="4"/>
  <c r="AI429" i="4"/>
  <c r="AI420" i="4"/>
  <c r="AI442" i="4" s="1"/>
  <c r="S430" i="4"/>
  <c r="S421" i="4"/>
  <c r="S443" i="4" s="1"/>
  <c r="AE430" i="4"/>
  <c r="P431" i="4"/>
  <c r="T433" i="4"/>
  <c r="T424" i="4"/>
  <c r="X421" i="4"/>
  <c r="O422" i="4"/>
  <c r="Z423" i="4"/>
  <c r="S424" i="4"/>
  <c r="AL424" i="4"/>
  <c r="U428" i="4"/>
  <c r="U427" i="4" s="1"/>
  <c r="E4" i="3033"/>
  <c r="M30" i="161"/>
  <c r="P422" i="4"/>
  <c r="T432" i="4"/>
  <c r="T454" i="4" s="1"/>
  <c r="V433" i="4"/>
  <c r="V455" i="4" s="1"/>
  <c r="N30" i="161"/>
  <c r="G43" i="161" s="1"/>
  <c r="L36" i="161"/>
  <c r="G36" i="161"/>
  <c r="Q428" i="4"/>
  <c r="Q427" i="4" s="1"/>
  <c r="Q409" i="4"/>
  <c r="AC428" i="4"/>
  <c r="AC427" i="4" s="1"/>
  <c r="AC409" i="4"/>
  <c r="M429" i="4"/>
  <c r="Y429" i="4"/>
  <c r="AK429" i="4"/>
  <c r="AK420" i="4"/>
  <c r="U430" i="4"/>
  <c r="AG430" i="4"/>
  <c r="AG421" i="4"/>
  <c r="R422" i="4"/>
  <c r="R431" i="4"/>
  <c r="AD422" i="4"/>
  <c r="AD444" i="4" s="1"/>
  <c r="AD431" i="4"/>
  <c r="AH433" i="4"/>
  <c r="AH455" i="4" s="1"/>
  <c r="D186" i="161" a="1"/>
  <c r="D186" i="161" s="1"/>
  <c r="T29" i="352"/>
  <c r="T27" i="352"/>
  <c r="F45" i="950"/>
  <c r="O30" i="161"/>
  <c r="D149" i="161" a="1"/>
  <c r="D149" i="161" s="1"/>
  <c r="Q78" i="950"/>
  <c r="C16" i="161" a="1"/>
  <c r="C16" i="161" s="1"/>
  <c r="F73" i="950" s="1"/>
  <c r="C21" i="161" a="1"/>
  <c r="C21" i="161" s="1"/>
  <c r="J21" i="161" s="1"/>
  <c r="C70" i="161"/>
  <c r="C74" i="161"/>
  <c r="C78" i="161"/>
  <c r="D78" i="161" s="1"/>
  <c r="C82" i="161"/>
  <c r="D82" i="161" s="1"/>
  <c r="C86" i="161"/>
  <c r="D86" i="161" s="1"/>
  <c r="C90" i="161"/>
  <c r="D90" i="161" s="1"/>
  <c r="B11" i="2885" a="1"/>
  <c r="B11" i="2885" s="1"/>
  <c r="D12" i="161" a="1"/>
  <c r="D12" i="161" s="1"/>
  <c r="K24" i="161" s="1"/>
  <c r="C41" i="161" s="1"/>
  <c r="H36" i="161"/>
  <c r="P30" i="161"/>
  <c r="H43" i="161" s="1"/>
  <c r="C22" i="161" a="1"/>
  <c r="C22" i="161" s="1"/>
  <c r="F76" i="950" s="1"/>
  <c r="H76" i="950" s="1"/>
  <c r="G41" i="161"/>
  <c r="H39" i="161"/>
  <c r="M39" i="161" s="1"/>
  <c r="D177" i="161" a="1"/>
  <c r="D177" i="161" s="1"/>
  <c r="D21" i="161" a="1"/>
  <c r="D21" i="161" s="1"/>
  <c r="Z409" i="4"/>
  <c r="W419" i="4"/>
  <c r="W418" i="4" s="1"/>
  <c r="AH420" i="4"/>
  <c r="AA424" i="4"/>
  <c r="D22" i="161" a="1"/>
  <c r="D22" i="161" s="1"/>
  <c r="G76" i="950" s="1"/>
  <c r="L44" i="161"/>
  <c r="G42" i="161"/>
  <c r="C71" i="161"/>
  <c r="D71" i="161" s="1"/>
  <c r="C75" i="161"/>
  <c r="C79" i="161"/>
  <c r="C83" i="161"/>
  <c r="C87" i="161"/>
  <c r="C91" i="161"/>
  <c r="M50" i="352"/>
  <c r="Q40" i="352" a="1"/>
  <c r="Q40" i="352" s="1"/>
  <c r="S36" i="352" a="1"/>
  <c r="S36" i="352" s="1"/>
  <c r="M42" i="352" a="1"/>
  <c r="M42" i="352" s="1"/>
  <c r="O39" i="352" a="1"/>
  <c r="O39" i="352" s="1"/>
  <c r="P38" i="352" a="1"/>
  <c r="P38" i="352" s="1"/>
  <c r="W43" i="352" a="1"/>
  <c r="W43" i="352" s="1"/>
  <c r="M43" i="352" a="1"/>
  <c r="M43" i="352" s="1"/>
  <c r="M41" i="352" a="1"/>
  <c r="M41" i="352" s="1"/>
  <c r="M39" i="352" a="1"/>
  <c r="M39" i="352" s="1"/>
  <c r="N37" i="352" a="1"/>
  <c r="N37" i="352" s="1"/>
  <c r="O36" i="352" a="1"/>
  <c r="O36" i="352" s="1"/>
  <c r="S43" i="352" a="1"/>
  <c r="S43" i="352" s="1"/>
  <c r="T40" i="352" a="1"/>
  <c r="T40" i="352" s="1"/>
  <c r="M36" i="352" a="1"/>
  <c r="M36" i="352" s="1"/>
  <c r="S42" i="352" a="1"/>
  <c r="S42" i="352" s="1"/>
  <c r="U37" i="352" a="1"/>
  <c r="U37" i="352" s="1"/>
  <c r="V36" i="352" a="1"/>
  <c r="V36" i="352" s="1"/>
  <c r="Q41" i="352" a="1"/>
  <c r="Q41" i="352" s="1"/>
  <c r="S39" i="352" a="1"/>
  <c r="S39" i="352" s="1"/>
  <c r="T37" i="352" a="1"/>
  <c r="T37" i="352" s="1"/>
  <c r="U36" i="352" a="1"/>
  <c r="U36" i="352" s="1"/>
  <c r="AB424" i="4"/>
  <c r="D17" i="161" a="1"/>
  <c r="D17" i="161" s="1"/>
  <c r="L40" i="161"/>
  <c r="G39" i="161"/>
  <c r="D23" i="161" a="1"/>
  <c r="D23" i="161" s="1"/>
  <c r="K23" i="161" s="1"/>
  <c r="C24" i="161" a="1"/>
  <c r="C24" i="161" s="1"/>
  <c r="F77" i="950" s="1"/>
  <c r="C30" i="161" a="1"/>
  <c r="C30" i="161" s="1"/>
  <c r="F80" i="950" s="1"/>
  <c r="D24" i="161" a="1"/>
  <c r="D24" i="161" s="1"/>
  <c r="G77" i="950" s="1"/>
  <c r="P43" i="352" a="1"/>
  <c r="P43" i="352" s="1"/>
  <c r="E42" i="950"/>
  <c r="Z419" i="4"/>
  <c r="Z418" i="4" s="1"/>
  <c r="AF423" i="4"/>
  <c r="AD424" i="4"/>
  <c r="D156" i="161" a="1"/>
  <c r="D156" i="161" s="1"/>
  <c r="D152" i="161" a="1"/>
  <c r="D152" i="161" s="1"/>
  <c r="D148" i="161" a="1"/>
  <c r="D148" i="161" s="1"/>
  <c r="J148" i="161" s="1"/>
  <c r="D155" i="161" a="1"/>
  <c r="D155" i="161" s="1"/>
  <c r="D25" i="161" a="1"/>
  <c r="D25" i="161" s="1"/>
  <c r="C23" i="161" a="1"/>
  <c r="C23" i="161" s="1"/>
  <c r="J23" i="161" s="1"/>
  <c r="D179" i="161" a="1"/>
  <c r="D179" i="161" s="1"/>
  <c r="C69" i="161"/>
  <c r="D27" i="161" a="1"/>
  <c r="D27" i="161" s="1"/>
  <c r="C25" i="161" a="1"/>
  <c r="C25" i="161" s="1"/>
  <c r="D15" i="161" a="1"/>
  <c r="D15" i="161" s="1"/>
  <c r="C13" i="161" a="1"/>
  <c r="C13" i="161" s="1"/>
  <c r="J13" i="161" s="1"/>
  <c r="D181" i="161" a="1"/>
  <c r="D181" i="161" s="1"/>
  <c r="D183" i="161" a="1"/>
  <c r="D183" i="161" s="1"/>
  <c r="D153" i="161" a="1"/>
  <c r="D153" i="161" s="1"/>
  <c r="D29" i="161" a="1"/>
  <c r="D29" i="161" s="1"/>
  <c r="C27" i="161" a="1"/>
  <c r="C27" i="161" s="1"/>
  <c r="D185" i="161" a="1"/>
  <c r="D185" i="161" s="1"/>
  <c r="D150" i="161" a="1"/>
  <c r="D150" i="161" s="1"/>
  <c r="D187" i="161" a="1"/>
  <c r="D187" i="161" s="1"/>
  <c r="C202" i="161" s="1"/>
  <c r="D176" i="161" a="1"/>
  <c r="D176" i="161" s="1"/>
  <c r="C29" i="161" a="1"/>
  <c r="C29" i="161" s="1"/>
  <c r="D19" i="161" a="1"/>
  <c r="D19" i="161" s="1"/>
  <c r="K19" i="161" s="1"/>
  <c r="C17" i="161" a="1"/>
  <c r="C17" i="161" s="1"/>
  <c r="J17" i="161" s="1"/>
  <c r="D178" i="161" a="1"/>
  <c r="D178" i="161" s="1"/>
  <c r="D180" i="161" a="1"/>
  <c r="D180" i="161" s="1"/>
  <c r="D154" i="161" a="1"/>
  <c r="D154" i="161" s="1"/>
  <c r="D182" i="161" a="1"/>
  <c r="D182" i="161" s="1"/>
  <c r="D151" i="161" a="1"/>
  <c r="D151" i="161" s="1"/>
  <c r="D184" i="161" a="1"/>
  <c r="D184" i="161" s="1"/>
  <c r="C14" i="161" a="1"/>
  <c r="C14" i="161" s="1"/>
  <c r="J14" i="161" s="1"/>
  <c r="C26" i="161" a="1"/>
  <c r="C26" i="161" s="1"/>
  <c r="F78" i="950" s="1"/>
  <c r="C28" i="161" a="1"/>
  <c r="C28" i="161" s="1"/>
  <c r="F79" i="950" s="1"/>
  <c r="C72" i="161"/>
  <c r="C76" i="161"/>
  <c r="D76" i="161" s="1"/>
  <c r="C80" i="161"/>
  <c r="D80" i="161" s="1"/>
  <c r="C84" i="161"/>
  <c r="D84" i="161" s="1"/>
  <c r="C88" i="161"/>
  <c r="D88" i="161" s="1"/>
  <c r="C92" i="161"/>
  <c r="F59" i="950"/>
  <c r="P52" i="677"/>
  <c r="P40" i="677"/>
  <c r="P55" i="677"/>
  <c r="P45" i="677"/>
  <c r="P51" i="677"/>
  <c r="P44" i="677"/>
  <c r="P39" i="677"/>
  <c r="P47" i="677"/>
  <c r="P42" i="677"/>
  <c r="J36" i="677"/>
  <c r="P41" i="677"/>
  <c r="P38" i="677"/>
  <c r="P53" i="677"/>
  <c r="P46" i="677"/>
  <c r="P43" i="677"/>
  <c r="P57" i="677"/>
  <c r="P48" i="677"/>
  <c r="P54" i="677"/>
  <c r="P50" i="677"/>
  <c r="J40" i="677"/>
  <c r="P56" i="677"/>
  <c r="P49" i="677"/>
  <c r="J51" i="677"/>
  <c r="M30" i="352"/>
  <c r="E44" i="950"/>
  <c r="R29" i="352"/>
  <c r="R28" i="352"/>
  <c r="R27" i="352"/>
  <c r="F44" i="950"/>
  <c r="X422" i="4"/>
  <c r="C73" i="161"/>
  <c r="D73" i="161" s="1"/>
  <c r="C77" i="161"/>
  <c r="D77" i="161" s="1"/>
  <c r="C81" i="161"/>
  <c r="C85" i="161"/>
  <c r="C89" i="161"/>
  <c r="C93" i="161"/>
  <c r="F52" i="950"/>
  <c r="J39" i="677"/>
  <c r="E11" i="950" a="1"/>
  <c r="E11" i="950" s="1"/>
  <c r="D13" i="950" a="1"/>
  <c r="D13" i="950" s="1"/>
  <c r="C42" i="950" s="1"/>
  <c r="G18" i="950" a="1"/>
  <c r="G18" i="950" s="1"/>
  <c r="G20" i="950" a="1"/>
  <c r="G20" i="950" s="1"/>
  <c r="E22" i="950" a="1"/>
  <c r="E22" i="950" s="1"/>
  <c r="D52" i="950" s="1"/>
  <c r="L27" i="950" a="1"/>
  <c r="L27" i="950" s="1"/>
  <c r="E74" i="950" a="1"/>
  <c r="E74" i="950" s="1"/>
  <c r="N75" i="950" a="1"/>
  <c r="N75" i="950" s="1"/>
  <c r="R75" i="950" s="1"/>
  <c r="E122" i="677" a="1"/>
  <c r="E122" i="677" s="1"/>
  <c r="F118" i="677" a="1"/>
  <c r="F118" i="677" s="1"/>
  <c r="F116" i="677" a="1"/>
  <c r="F116" i="677" s="1"/>
  <c r="F121" i="677" a="1"/>
  <c r="F121" i="677" s="1"/>
  <c r="F119" i="677" a="1"/>
  <c r="F119" i="677" s="1"/>
  <c r="G115" i="677" a="1"/>
  <c r="G115" i="677" s="1"/>
  <c r="F129" i="677" s="1"/>
  <c r="F117" i="677" a="1"/>
  <c r="F117" i="677" s="1"/>
  <c r="E119" i="677" a="1"/>
  <c r="E119" i="677" s="1"/>
  <c r="G118" i="677" a="1"/>
  <c r="G118" i="677" s="1"/>
  <c r="F132" i="677" s="1"/>
  <c r="H117" i="677" a="1"/>
  <c r="H117" i="677" s="1"/>
  <c r="G131" i="677" s="1"/>
  <c r="D120" i="677" a="1"/>
  <c r="D120" i="677" s="1"/>
  <c r="C134" i="677" s="1"/>
  <c r="D54" i="677" a="1"/>
  <c r="D54" i="677" s="1"/>
  <c r="J54" i="677" s="1"/>
  <c r="D42" i="677" a="1"/>
  <c r="D42" i="677" s="1"/>
  <c r="J42" i="677" s="1"/>
  <c r="D37" i="677" a="1"/>
  <c r="D37" i="677" s="1"/>
  <c r="J37" i="677" s="1"/>
  <c r="D17" i="677" a="1"/>
  <c r="D17" i="677" s="1"/>
  <c r="D15" i="677" a="1"/>
  <c r="D15" i="677" s="1"/>
  <c r="D13" i="677" a="1"/>
  <c r="D13" i="677" s="1"/>
  <c r="D11" i="677" a="1"/>
  <c r="D11" i="677" s="1"/>
  <c r="F122" i="677" a="1"/>
  <c r="F122" i="677" s="1"/>
  <c r="H120" i="677" a="1"/>
  <c r="H120" i="677" s="1"/>
  <c r="G134" i="677" s="1"/>
  <c r="D117" i="677" a="1"/>
  <c r="D117" i="677" s="1"/>
  <c r="C131" i="677" s="1"/>
  <c r="E116" i="677" a="1"/>
  <c r="E116" i="677" s="1"/>
  <c r="F115" i="677" a="1"/>
  <c r="F115" i="677" s="1"/>
  <c r="G121" i="677" a="1"/>
  <c r="G121" i="677" s="1"/>
  <c r="F135" i="677" s="1"/>
  <c r="D122" i="677" a="1"/>
  <c r="D122" i="677" s="1"/>
  <c r="C136" i="677" s="1"/>
  <c r="H119" i="677" a="1"/>
  <c r="H119" i="677" s="1"/>
  <c r="G133" i="677" s="1"/>
  <c r="E118" i="677" a="1"/>
  <c r="E118" i="677" s="1"/>
  <c r="D118" i="677" a="1"/>
  <c r="D118" i="677" s="1"/>
  <c r="C132" i="677" s="1"/>
  <c r="H115" i="677" a="1"/>
  <c r="H115" i="677" s="1"/>
  <c r="G129" i="677" s="1"/>
  <c r="G119" i="677" a="1"/>
  <c r="G119" i="677" s="1"/>
  <c r="F133" i="677" s="1"/>
  <c r="D44" i="677" a="1"/>
  <c r="D44" i="677" s="1"/>
  <c r="J44" i="677" s="1"/>
  <c r="D115" i="677" a="1"/>
  <c r="D115" i="677" s="1"/>
  <c r="C129" i="677" s="1"/>
  <c r="F120" i="677" a="1"/>
  <c r="F120" i="677" s="1"/>
  <c r="G116" i="677" a="1"/>
  <c r="G116" i="677" s="1"/>
  <c r="F130" i="677" s="1"/>
  <c r="H122" i="677" a="1"/>
  <c r="H122" i="677" s="1"/>
  <c r="G136" i="677" s="1"/>
  <c r="E121" i="677" a="1"/>
  <c r="E121" i="677" s="1"/>
  <c r="G122" i="677" a="1"/>
  <c r="G122" i="677" s="1"/>
  <c r="F136" i="677" s="1"/>
  <c r="H116" i="677" a="1"/>
  <c r="H116" i="677" s="1"/>
  <c r="G130" i="677" s="1"/>
  <c r="D48" i="677" a="1"/>
  <c r="D48" i="677" s="1"/>
  <c r="J48" i="677" s="1"/>
  <c r="D119" i="677" a="1"/>
  <c r="D119" i="677" s="1"/>
  <c r="C133" i="677" s="1"/>
  <c r="D116" i="677" a="1"/>
  <c r="D116" i="677" s="1"/>
  <c r="C130" i="677" s="1"/>
  <c r="H121" i="677" a="1"/>
  <c r="H121" i="677" s="1"/>
  <c r="G135" i="677" s="1"/>
  <c r="H118" i="677" a="1"/>
  <c r="H118" i="677" s="1"/>
  <c r="G132" i="677" s="1"/>
  <c r="E115" i="677" a="1"/>
  <c r="E115" i="677" s="1"/>
  <c r="D55" i="677" a="1"/>
  <c r="D55" i="677" s="1"/>
  <c r="J55" i="677" s="1"/>
  <c r="B2" i="677"/>
  <c r="D121" i="677" a="1"/>
  <c r="D121" i="677" s="1"/>
  <c r="C135" i="677" s="1"/>
  <c r="G120" i="677" a="1"/>
  <c r="G120" i="677" s="1"/>
  <c r="F134" i="677" s="1"/>
  <c r="E120" i="677" a="1"/>
  <c r="E120" i="677" s="1"/>
  <c r="D53" i="677" a="1"/>
  <c r="D53" i="677" s="1"/>
  <c r="J53" i="677" s="1"/>
  <c r="D47" i="677" a="1"/>
  <c r="D47" i="677" s="1"/>
  <c r="J47" i="677" s="1"/>
  <c r="D46" i="677" a="1"/>
  <c r="D46" i="677" s="1"/>
  <c r="J46" i="677" s="1"/>
  <c r="D45" i="677" a="1"/>
  <c r="D45" i="677" s="1"/>
  <c r="J45" i="677" s="1"/>
  <c r="D43" i="677" a="1"/>
  <c r="D43" i="677" s="1"/>
  <c r="J43" i="677" s="1"/>
  <c r="D41" i="677" a="1"/>
  <c r="D41" i="677" s="1"/>
  <c r="J41" i="677" s="1"/>
  <c r="D38" i="677" a="1"/>
  <c r="D38" i="677" s="1"/>
  <c r="J38" i="677" s="1"/>
  <c r="D12" i="677" a="1"/>
  <c r="D12" i="677" s="1"/>
  <c r="G117" i="677" a="1"/>
  <c r="G117" i="677" s="1"/>
  <c r="F131" i="677" s="1"/>
  <c r="D49" i="677" a="1"/>
  <c r="D49" i="677" s="1"/>
  <c r="J49" i="677" s="1"/>
  <c r="E117" i="677" a="1"/>
  <c r="E117" i="677" s="1"/>
  <c r="D14" i="677" a="1"/>
  <c r="D14" i="677" s="1"/>
  <c r="D56" i="677" a="1"/>
  <c r="D56" i="677" s="1"/>
  <c r="J56" i="677" s="1"/>
  <c r="M13" i="352" a="1"/>
  <c r="M13" i="352" s="1"/>
  <c r="U15" i="352" a="1"/>
  <c r="U15" i="352" s="1"/>
  <c r="U39" i="352" s="1" a="1"/>
  <c r="U39" i="352" s="1"/>
  <c r="R19" i="352" a="1"/>
  <c r="R19" i="352" s="1"/>
  <c r="R43" i="352" s="1" a="1"/>
  <c r="R43" i="352" s="1"/>
  <c r="M27" i="352"/>
  <c r="S40" i="352" a="1"/>
  <c r="S40" i="352" s="1"/>
  <c r="Q43" i="352" a="1"/>
  <c r="Q43" i="352" s="1"/>
  <c r="G11" i="950" a="1"/>
  <c r="G11" i="950" s="1"/>
  <c r="L18" i="950" a="1"/>
  <c r="L18" i="950" s="1"/>
  <c r="G22" i="950" a="1"/>
  <c r="G22" i="950" s="1"/>
  <c r="E24" i="950" a="1"/>
  <c r="E24" i="950" s="1"/>
  <c r="D54" i="950" s="1"/>
  <c r="E79" i="950" a="1"/>
  <c r="E79" i="950" s="1"/>
  <c r="M77" i="950" a="1"/>
  <c r="M77" i="950" s="1"/>
  <c r="Q77" i="950" s="1"/>
  <c r="V15" i="352" a="1"/>
  <c r="V15" i="352" s="1"/>
  <c r="U16" i="352" a="1"/>
  <c r="U16" i="352" s="1"/>
  <c r="G15" i="950" a="1"/>
  <c r="G15" i="950" s="1"/>
  <c r="E17" i="950" a="1"/>
  <c r="E17" i="950" s="1"/>
  <c r="D46" i="950" s="1"/>
  <c r="L22" i="950" a="1"/>
  <c r="L22" i="950" s="1"/>
  <c r="E30" i="950" a="1"/>
  <c r="E30" i="950" s="1"/>
  <c r="D61" i="950" s="1"/>
  <c r="M74" i="950" a="1"/>
  <c r="M74" i="950" s="1"/>
  <c r="Q74" i="950" s="1"/>
  <c r="J82" i="677" a="1"/>
  <c r="J82" i="677" s="1"/>
  <c r="H100" i="677" s="1"/>
  <c r="G83" i="677" a="1"/>
  <c r="G83" i="677" s="1"/>
  <c r="F100" i="677"/>
  <c r="Q42" i="352" a="1"/>
  <c r="Q42" i="352" s="1"/>
  <c r="P41" i="352" a="1"/>
  <c r="P41" i="352" s="1"/>
  <c r="U40" i="352" a="1"/>
  <c r="U40" i="352" s="1"/>
  <c r="O40" i="352" a="1"/>
  <c r="O40" i="352" s="1"/>
  <c r="T39" i="352" a="1"/>
  <c r="T39" i="352" s="1"/>
  <c r="N39" i="352" a="1"/>
  <c r="N39" i="352" s="1"/>
  <c r="S38" i="352" a="1"/>
  <c r="S38" i="352" s="1"/>
  <c r="R37" i="352" a="1"/>
  <c r="R37" i="352" s="1"/>
  <c r="L35" i="352" a="1"/>
  <c r="L35" i="352" s="1"/>
  <c r="L50" i="352" s="1"/>
  <c r="F35" i="352" a="1"/>
  <c r="F35" i="352" s="1"/>
  <c r="F50" i="352" s="1"/>
  <c r="N41" i="352" a="1"/>
  <c r="N41" i="352" s="1"/>
  <c r="W39" i="352" a="1"/>
  <c r="W39" i="352" s="1"/>
  <c r="S37" i="352" a="1"/>
  <c r="S37" i="352" s="1"/>
  <c r="K35" i="352" a="1"/>
  <c r="K35" i="352" s="1"/>
  <c r="K50" i="352" s="1"/>
  <c r="T42" i="352" a="1"/>
  <c r="T42" i="352" s="1"/>
  <c r="R41" i="352" a="1"/>
  <c r="R41" i="352" s="1"/>
  <c r="R38" i="352" a="1"/>
  <c r="R38" i="352" s="1"/>
  <c r="P37" i="352" a="1"/>
  <c r="P37" i="352" s="1"/>
  <c r="T41" i="352" a="1"/>
  <c r="T41" i="352" s="1"/>
  <c r="V38" i="352" a="1"/>
  <c r="V38" i="352" s="1"/>
  <c r="T36" i="352" a="1"/>
  <c r="T36" i="352" s="1"/>
  <c r="T43" i="352" a="1"/>
  <c r="T43" i="352" s="1"/>
  <c r="O42" i="352" a="1"/>
  <c r="O42" i="352" s="1"/>
  <c r="Q39" i="352" a="1"/>
  <c r="Q39" i="352" s="1"/>
  <c r="T38" i="352" a="1"/>
  <c r="T38" i="352" s="1"/>
  <c r="W37" i="352" a="1"/>
  <c r="W37" i="352" s="1"/>
  <c r="O37" i="352" a="1"/>
  <c r="O37" i="352" s="1"/>
  <c r="M40" i="352" a="1"/>
  <c r="M40" i="352" s="1"/>
  <c r="R36" i="352" a="1"/>
  <c r="R36" i="352" s="1"/>
  <c r="C35" i="352" a="1"/>
  <c r="C35" i="352" s="1"/>
  <c r="C50" i="352" s="1"/>
  <c r="Q12" i="352" a="1"/>
  <c r="Q12" i="352" s="1"/>
  <c r="Q36" i="352" s="1" a="1"/>
  <c r="Q36" i="352" s="1"/>
  <c r="O13" i="352" a="1"/>
  <c r="O13" i="352" s="1"/>
  <c r="N14" i="352" a="1"/>
  <c r="N14" i="352" s="1"/>
  <c r="N38" i="352" s="1" a="1"/>
  <c r="N38" i="352" s="1"/>
  <c r="M15" i="352" a="1"/>
  <c r="M15" i="352" s="1"/>
  <c r="W15" i="352" a="1"/>
  <c r="W15" i="352" s="1"/>
  <c r="W16" i="352" a="1"/>
  <c r="W16" i="352" s="1"/>
  <c r="W40" i="352" s="1" a="1"/>
  <c r="W40" i="352" s="1"/>
  <c r="V17" i="352" a="1"/>
  <c r="V17" i="352" s="1"/>
  <c r="V41" i="352" s="1" a="1"/>
  <c r="V41" i="352" s="1"/>
  <c r="U18" i="352" a="1"/>
  <c r="U18" i="352" s="1"/>
  <c r="U42" i="352" s="1" a="1"/>
  <c r="U42" i="352" s="1"/>
  <c r="S27" i="352"/>
  <c r="D35" i="352" a="1"/>
  <c r="D35" i="352" s="1"/>
  <c r="D50" i="352" s="1"/>
  <c r="M37" i="352" a="1"/>
  <c r="M37" i="352" s="1"/>
  <c r="W38" i="352" a="1"/>
  <c r="W38" i="352" s="1"/>
  <c r="V39" i="352" a="1"/>
  <c r="V39" i="352" s="1"/>
  <c r="V40" i="352" a="1"/>
  <c r="V40" i="352" s="1"/>
  <c r="K13" i="950" a="1"/>
  <c r="K13" i="950" s="1"/>
  <c r="F42" i="950" s="1"/>
  <c r="F17" i="950" a="1"/>
  <c r="F17" i="950" s="1"/>
  <c r="E46" i="950" s="1"/>
  <c r="E19" i="950" a="1"/>
  <c r="E19" i="950" s="1"/>
  <c r="D48" i="950" s="1"/>
  <c r="K26" i="950" a="1"/>
  <c r="K26" i="950" s="1"/>
  <c r="F28" i="950" a="1"/>
  <c r="F28" i="950" s="1"/>
  <c r="E59" i="950" s="1"/>
  <c r="D73" i="950" a="1"/>
  <c r="D73" i="950" s="1"/>
  <c r="D16" i="677" a="1"/>
  <c r="D16" i="677" s="1"/>
  <c r="D52" i="677" a="1"/>
  <c r="D52" i="677" s="1"/>
  <c r="J52" i="677" s="1"/>
  <c r="N19" i="352" a="1"/>
  <c r="N19" i="352" s="1"/>
  <c r="N43" i="352" s="1" a="1"/>
  <c r="N43" i="352" s="1"/>
  <c r="W17" i="352" a="1"/>
  <c r="W17" i="352" s="1"/>
  <c r="W41" i="352" s="1" a="1"/>
  <c r="W41" i="352" s="1"/>
  <c r="P17" i="352" a="1"/>
  <c r="P17" i="352" s="1"/>
  <c r="N16" i="352" a="1"/>
  <c r="N16" i="352" s="1"/>
  <c r="N40" i="352" s="1" a="1"/>
  <c r="N40" i="352" s="1"/>
  <c r="W14" i="352" a="1"/>
  <c r="W14" i="352" s="1"/>
  <c r="Q14" i="352" a="1"/>
  <c r="Q14" i="352" s="1"/>
  <c r="Q38" i="352" s="1" a="1"/>
  <c r="Q38" i="352" s="1"/>
  <c r="V13" i="352" a="1"/>
  <c r="V13" i="352" s="1"/>
  <c r="V37" i="352" s="1" a="1"/>
  <c r="V37" i="352" s="1"/>
  <c r="P13" i="352" a="1"/>
  <c r="P13" i="352" s="1"/>
  <c r="U12" i="352" a="1"/>
  <c r="U12" i="352" s="1"/>
  <c r="O12" i="352" a="1"/>
  <c r="O12" i="352" s="1"/>
  <c r="J11" i="352" a="1"/>
  <c r="J11" i="352" s="1"/>
  <c r="J26" i="352" s="1"/>
  <c r="V18" i="352" a="1"/>
  <c r="V18" i="352" s="1"/>
  <c r="V42" i="352" s="1" a="1"/>
  <c r="V42" i="352" s="1"/>
  <c r="T17" i="352" a="1"/>
  <c r="T17" i="352" s="1"/>
  <c r="R16" i="352" a="1"/>
  <c r="R16" i="352" s="1"/>
  <c r="R40" i="352" s="1" a="1"/>
  <c r="R40" i="352" s="1"/>
  <c r="P15" i="352" a="1"/>
  <c r="P15" i="352" s="1"/>
  <c r="P39" i="352" s="1" a="1"/>
  <c r="P39" i="352" s="1"/>
  <c r="O19" i="352" a="1"/>
  <c r="O19" i="352" s="1"/>
  <c r="O43" i="352" s="1" a="1"/>
  <c r="O43" i="352" s="1"/>
  <c r="R18" i="352" a="1"/>
  <c r="R18" i="352" s="1"/>
  <c r="R42" i="352" s="1" a="1"/>
  <c r="R42" i="352" s="1"/>
  <c r="U17" i="352" a="1"/>
  <c r="U17" i="352" s="1"/>
  <c r="U41" i="352" s="1" a="1"/>
  <c r="U41" i="352" s="1"/>
  <c r="M17" i="352" a="1"/>
  <c r="M17" i="352" s="1"/>
  <c r="S13" i="352" a="1"/>
  <c r="S13" i="352" s="1"/>
  <c r="W12" i="352" a="1"/>
  <c r="W12" i="352" s="1"/>
  <c r="P12" i="352" a="1"/>
  <c r="P12" i="352" s="1"/>
  <c r="P36" i="352" s="1" a="1"/>
  <c r="P36" i="352" s="1"/>
  <c r="C11" i="352" a="1"/>
  <c r="C11" i="352" s="1"/>
  <c r="C26" i="352" s="1"/>
  <c r="U19" i="352" a="1"/>
  <c r="U19" i="352" s="1"/>
  <c r="U43" i="352" s="1" a="1"/>
  <c r="U43" i="352" s="1"/>
  <c r="M19" i="352" a="1"/>
  <c r="M19" i="352" s="1"/>
  <c r="P18" i="352" a="1"/>
  <c r="P18" i="352" s="1"/>
  <c r="P42" i="352" s="1" a="1"/>
  <c r="P42" i="352" s="1"/>
  <c r="S17" i="352" a="1"/>
  <c r="S17" i="352" s="1"/>
  <c r="S41" i="352" s="1" a="1"/>
  <c r="S41" i="352" s="1"/>
  <c r="U14" i="352" a="1"/>
  <c r="U14" i="352" s="1"/>
  <c r="U38" i="352" s="1" a="1"/>
  <c r="U38" i="352" s="1"/>
  <c r="N12" i="352" a="1"/>
  <c r="N12" i="352" s="1"/>
  <c r="H11" i="352" a="1"/>
  <c r="H11" i="352" s="1"/>
  <c r="H26" i="352" s="1"/>
  <c r="T19" i="352" a="1"/>
  <c r="T19" i="352" s="1"/>
  <c r="W18" i="352" a="1"/>
  <c r="W18" i="352" s="1"/>
  <c r="W42" i="352" s="1" a="1"/>
  <c r="W42" i="352" s="1"/>
  <c r="O18" i="352" a="1"/>
  <c r="O18" i="352" s="1"/>
  <c r="V16" i="352" a="1"/>
  <c r="V16" i="352" s="1"/>
  <c r="Q15" i="352" a="1"/>
  <c r="Q15" i="352" s="1"/>
  <c r="T14" i="352" a="1"/>
  <c r="T14" i="352" s="1"/>
  <c r="M14" i="352" a="1"/>
  <c r="M14" i="352" s="1"/>
  <c r="M38" i="352" s="1" a="1"/>
  <c r="M38" i="352" s="1"/>
  <c r="Q13" i="352" a="1"/>
  <c r="Q13" i="352" s="1"/>
  <c r="Q37" i="352" s="1" a="1"/>
  <c r="Q37" i="352" s="1"/>
  <c r="G11" i="352" a="1"/>
  <c r="G11" i="352" s="1"/>
  <c r="G26" i="352" s="1"/>
  <c r="I11" i="352" a="1"/>
  <c r="I11" i="352" s="1"/>
  <c r="I26" i="352" s="1"/>
  <c r="O14" i="352" a="1"/>
  <c r="O14" i="352" s="1"/>
  <c r="O38" i="352" s="1" a="1"/>
  <c r="O38" i="352" s="1"/>
  <c r="V19" i="352" a="1"/>
  <c r="V19" i="352" s="1"/>
  <c r="V43" i="352" s="1" a="1"/>
  <c r="V43" i="352" s="1"/>
  <c r="J50" i="677"/>
  <c r="S29" i="352"/>
  <c r="S30" i="352" s="1"/>
  <c r="L26" i="950" a="1"/>
  <c r="L26" i="950" s="1"/>
  <c r="R76" i="950"/>
  <c r="P16" i="352" a="1"/>
  <c r="P16" i="352" s="1"/>
  <c r="P40" i="352" s="1" a="1"/>
  <c r="P40" i="352" s="1"/>
  <c r="O17" i="352" a="1"/>
  <c r="O17" i="352" s="1"/>
  <c r="O41" i="352" s="1" a="1"/>
  <c r="O41" i="352" s="1"/>
  <c r="N18" i="352" a="1"/>
  <c r="N18" i="352" s="1"/>
  <c r="N42" i="352" s="1" a="1"/>
  <c r="N42" i="352" s="1"/>
  <c r="M28" i="352"/>
  <c r="D18" i="950" a="1"/>
  <c r="D18" i="950" s="1"/>
  <c r="C47" i="950" s="1"/>
  <c r="L30" i="950" a="1"/>
  <c r="L30" i="950" s="1"/>
  <c r="D78" i="950" a="1"/>
  <c r="D78" i="950" s="1"/>
  <c r="D75" i="950" a="1"/>
  <c r="D75" i="950" s="1"/>
  <c r="H75" i="950" s="1"/>
  <c r="D72" i="950" a="1"/>
  <c r="D72" i="950" s="1"/>
  <c r="K30" i="950" a="1"/>
  <c r="K30" i="950" s="1"/>
  <c r="D28" i="950" a="1"/>
  <c r="D28" i="950" s="1"/>
  <c r="E27" i="950" a="1"/>
  <c r="E27" i="950" s="1"/>
  <c r="D58" i="950" s="1"/>
  <c r="F26" i="950" a="1"/>
  <c r="F26" i="950" s="1"/>
  <c r="E57" i="950" s="1"/>
  <c r="G25" i="950" a="1"/>
  <c r="G25" i="950" s="1"/>
  <c r="K24" i="950" a="1"/>
  <c r="K24" i="950" s="1"/>
  <c r="F54" i="950" s="1"/>
  <c r="D22" i="950" a="1"/>
  <c r="D22" i="950" s="1"/>
  <c r="E21" i="950" a="1"/>
  <c r="E21" i="950" s="1"/>
  <c r="D51" i="950" s="1"/>
  <c r="F20" i="950" a="1"/>
  <c r="F20" i="950" s="1"/>
  <c r="G19" i="950" a="1"/>
  <c r="G19" i="950" s="1"/>
  <c r="K18" i="950" a="1"/>
  <c r="K18" i="950" s="1"/>
  <c r="D16" i="950" a="1"/>
  <c r="D16" i="950" s="1"/>
  <c r="C45" i="950" s="1"/>
  <c r="E15" i="950" a="1"/>
  <c r="E15" i="950" s="1"/>
  <c r="D44" i="950" s="1"/>
  <c r="F14" i="950" a="1"/>
  <c r="F14" i="950" s="1"/>
  <c r="E43" i="950" s="1"/>
  <c r="G13" i="950" a="1"/>
  <c r="G13" i="950" s="1"/>
  <c r="K12" i="950" a="1"/>
  <c r="K12" i="950" s="1"/>
  <c r="F41" i="950" s="1"/>
  <c r="E77" i="950" a="1"/>
  <c r="E77" i="950" s="1"/>
  <c r="D30" i="950" a="1"/>
  <c r="D30" i="950" s="1"/>
  <c r="E28" i="950" a="1"/>
  <c r="E28" i="950" s="1"/>
  <c r="D59" i="950" s="1"/>
  <c r="F25" i="950" a="1"/>
  <c r="F25" i="950" s="1"/>
  <c r="E56" i="950" s="1"/>
  <c r="G23" i="950" a="1"/>
  <c r="G23" i="950" s="1"/>
  <c r="K21" i="950" a="1"/>
  <c r="K21" i="950" s="1"/>
  <c r="D15" i="950" a="1"/>
  <c r="D15" i="950" s="1"/>
  <c r="C44" i="950" s="1"/>
  <c r="E13" i="950" a="1"/>
  <c r="E13" i="950" s="1"/>
  <c r="D42" i="950" s="1"/>
  <c r="F11" i="950" a="1"/>
  <c r="F11" i="950" s="1"/>
  <c r="D77" i="950" a="1"/>
  <c r="D77" i="950" s="1"/>
  <c r="H77" i="950" s="1"/>
  <c r="E76" i="950" a="1"/>
  <c r="E76" i="950" s="1"/>
  <c r="G30" i="950" a="1"/>
  <c r="G30" i="950" s="1"/>
  <c r="G29" i="950" a="1"/>
  <c r="G29" i="950" s="1"/>
  <c r="G28" i="950" a="1"/>
  <c r="G28" i="950" s="1"/>
  <c r="G27" i="950" a="1"/>
  <c r="G27" i="950" s="1"/>
  <c r="G26" i="950" a="1"/>
  <c r="G26" i="950" s="1"/>
  <c r="F24" i="950" a="1"/>
  <c r="F24" i="950" s="1"/>
  <c r="F23" i="950" a="1"/>
  <c r="F23" i="950" s="1"/>
  <c r="F22" i="950" a="1"/>
  <c r="F22" i="950" s="1"/>
  <c r="E52" i="950" s="1"/>
  <c r="F21" i="950" a="1"/>
  <c r="F21" i="950" s="1"/>
  <c r="E14" i="950" a="1"/>
  <c r="E14" i="950" s="1"/>
  <c r="D43" i="950" s="1"/>
  <c r="D74" i="950" a="1"/>
  <c r="D74" i="950" s="1"/>
  <c r="H74" i="950" s="1"/>
  <c r="E73" i="950" a="1"/>
  <c r="E73" i="950" s="1"/>
  <c r="D29" i="950" a="1"/>
  <c r="D29" i="950" s="1"/>
  <c r="K27" i="950" a="1"/>
  <c r="K27" i="950" s="1"/>
  <c r="F58" i="950" s="1"/>
  <c r="G21" i="950" a="1"/>
  <c r="G21" i="950" s="1"/>
  <c r="E20" i="950" a="1"/>
  <c r="E20" i="950" s="1"/>
  <c r="D50" i="950" s="1"/>
  <c r="D19" i="950" a="1"/>
  <c r="D19" i="950" s="1"/>
  <c r="C48" i="950" s="1"/>
  <c r="D14" i="950" a="1"/>
  <c r="D14" i="950" s="1"/>
  <c r="C43" i="950" s="1"/>
  <c r="K11" i="950" a="1"/>
  <c r="K11" i="950" s="1"/>
  <c r="F56" i="950" s="1"/>
  <c r="B13" i="2885" s="1"/>
  <c r="F27" i="950" a="1"/>
  <c r="F27" i="950" s="1"/>
  <c r="D26" i="950" a="1"/>
  <c r="D26" i="950" s="1"/>
  <c r="K23" i="950" a="1"/>
  <c r="K23" i="950" s="1"/>
  <c r="F53" i="950" s="1"/>
  <c r="G17" i="950" a="1"/>
  <c r="G17" i="950" s="1"/>
  <c r="F16" i="950" a="1"/>
  <c r="F16" i="950" s="1"/>
  <c r="D80" i="950" a="1"/>
  <c r="D80" i="950" s="1"/>
  <c r="H80" i="950" s="1"/>
  <c r="D79" i="950" a="1"/>
  <c r="D79" i="950" s="1"/>
  <c r="H79" i="950" s="1"/>
  <c r="K29" i="950" a="1"/>
  <c r="K29" i="950" s="1"/>
  <c r="F60" i="950" s="1"/>
  <c r="D21" i="950" a="1"/>
  <c r="D21" i="950" s="1"/>
  <c r="C51" i="950" s="1"/>
  <c r="E16" i="950" a="1"/>
  <c r="E16" i="950" s="1"/>
  <c r="D45" i="950" s="1"/>
  <c r="G12" i="950" a="1"/>
  <c r="G12" i="950" s="1"/>
  <c r="F29" i="950" a="1"/>
  <c r="F29" i="950" s="1"/>
  <c r="G24" i="950" a="1"/>
  <c r="G24" i="950" s="1"/>
  <c r="E23" i="950" a="1"/>
  <c r="E23" i="950" s="1"/>
  <c r="D53" i="950" s="1"/>
  <c r="F18" i="950" a="1"/>
  <c r="F18" i="950" s="1"/>
  <c r="E47" i="950" s="1"/>
  <c r="K14" i="950" a="1"/>
  <c r="K14" i="950" s="1"/>
  <c r="F43" i="950" s="1"/>
  <c r="E12" i="950" a="1"/>
  <c r="E12" i="950" s="1"/>
  <c r="D41" i="950" s="1"/>
  <c r="G14" i="950" a="1"/>
  <c r="G14" i="950" s="1"/>
  <c r="D20" i="950" a="1"/>
  <c r="D20" i="950" s="1"/>
  <c r="L21" i="950" a="1"/>
  <c r="L21" i="950" s="1"/>
  <c r="E29" i="950" a="1"/>
  <c r="E29" i="950" s="1"/>
  <c r="D60" i="950" s="1"/>
  <c r="K31" i="950" a="1"/>
  <c r="K31" i="950" s="1"/>
  <c r="E80" i="950" a="1"/>
  <c r="E80" i="950" s="1"/>
  <c r="V27" i="352"/>
  <c r="V29" i="352"/>
  <c r="M79" i="950" a="1"/>
  <c r="M79" i="950" s="1"/>
  <c r="Q79" i="950" s="1"/>
  <c r="M76" i="950" a="1"/>
  <c r="M76" i="950" s="1"/>
  <c r="M73" i="950" a="1"/>
  <c r="M73" i="950" s="1"/>
  <c r="Q73" i="950" s="1"/>
  <c r="L29" i="950" a="1"/>
  <c r="L29" i="950" s="1"/>
  <c r="L23" i="950" a="1"/>
  <c r="L23" i="950" s="1"/>
  <c r="L17" i="950" a="1"/>
  <c r="L17" i="950" s="1"/>
  <c r="L11" i="950" a="1"/>
  <c r="L11" i="950" s="1"/>
  <c r="C2" i="950"/>
  <c r="N79" i="950" a="1"/>
  <c r="N79" i="950" s="1"/>
  <c r="R79" i="950" s="1"/>
  <c r="M75" i="950" a="1"/>
  <c r="M75" i="950" s="1"/>
  <c r="Q75" i="950" s="1"/>
  <c r="L19" i="950" a="1"/>
  <c r="L19" i="950" s="1"/>
  <c r="N80" i="950" a="1"/>
  <c r="N80" i="950" s="1"/>
  <c r="R80" i="950" s="1"/>
  <c r="L16" i="950" a="1"/>
  <c r="L16" i="950" s="1"/>
  <c r="L15" i="950" a="1"/>
  <c r="L15" i="950" s="1"/>
  <c r="L14" i="950" a="1"/>
  <c r="L14" i="950" s="1"/>
  <c r="L13" i="950" a="1"/>
  <c r="L13" i="950" s="1"/>
  <c r="L12" i="950" a="1"/>
  <c r="L12" i="950" s="1"/>
  <c r="L28" i="950" a="1"/>
  <c r="L28" i="950" s="1"/>
  <c r="N72" i="950" a="1"/>
  <c r="N72" i="950" s="1"/>
  <c r="N74" i="950" a="1"/>
  <c r="N74" i="950" s="1"/>
  <c r="R74" i="950" s="1"/>
  <c r="N73" i="950" a="1"/>
  <c r="N73" i="950" s="1"/>
  <c r="R73" i="950" s="1"/>
  <c r="M72" i="950" a="1"/>
  <c r="M72" i="950" s="1"/>
  <c r="Q72" i="950" s="1"/>
  <c r="L24" i="950" a="1"/>
  <c r="L24" i="950" s="1"/>
  <c r="N78" i="950" a="1"/>
  <c r="N78" i="950" s="1"/>
  <c r="R78" i="950" s="1"/>
  <c r="N77" i="950" a="1"/>
  <c r="N77" i="950" s="1"/>
  <c r="R77" i="950" s="1"/>
  <c r="L20" i="950" a="1"/>
  <c r="L20" i="950" s="1"/>
  <c r="L31" i="950" a="1"/>
  <c r="L31" i="950" s="1"/>
  <c r="C100" i="677"/>
  <c r="B82" i="677" a="1"/>
  <c r="B82" i="677" s="1"/>
  <c r="H77" i="1465"/>
  <c r="D78" i="1465"/>
  <c r="C40" i="1465" a="1"/>
  <c r="D31" i="1465"/>
  <c r="H74" i="1465"/>
  <c r="H76" i="1465"/>
  <c r="I93" i="677" a="1"/>
  <c r="I93" i="677" s="1"/>
  <c r="G105" i="677" s="1"/>
  <c r="C12" i="1465" a="1"/>
  <c r="C12" i="1465" s="1"/>
  <c r="D33" i="1465"/>
  <c r="F14" i="1465" a="1"/>
  <c r="F14" i="1465" s="1"/>
  <c r="F16" i="1465" a="1"/>
  <c r="F16" i="1465" s="1"/>
  <c r="Q121" i="1465" a="1"/>
  <c r="Q121" i="1465" s="1"/>
  <c r="I124" i="1465" a="1"/>
  <c r="I124" i="1465" s="1"/>
  <c r="N255" i="1465"/>
  <c r="O255" i="1465"/>
  <c r="M255" i="1465"/>
  <c r="C154" i="1465"/>
  <c r="AA202" i="1465"/>
  <c r="U201" i="1465" a="1"/>
  <c r="U201" i="1465" s="1"/>
  <c r="O201" i="1465" a="1"/>
  <c r="O201" i="1465" s="1"/>
  <c r="I201" i="1465" a="1"/>
  <c r="I201" i="1465" s="1"/>
  <c r="C201" i="1465" a="1"/>
  <c r="C201" i="1465" s="1"/>
  <c r="Q202" i="1465" a="1"/>
  <c r="Q202" i="1465" s="1"/>
  <c r="D202" i="1465" a="1"/>
  <c r="D202" i="1465" s="1"/>
  <c r="V201" i="1465" a="1"/>
  <c r="V201" i="1465" s="1"/>
  <c r="T200" i="1465" a="1"/>
  <c r="T200" i="1465" s="1"/>
  <c r="G200" i="1465" a="1"/>
  <c r="G200" i="1465" s="1"/>
  <c r="H178" i="1465" a="1"/>
  <c r="H178" i="1465" s="1"/>
  <c r="U202" i="1465" a="1"/>
  <c r="U202" i="1465" s="1"/>
  <c r="N202" i="1465" a="1"/>
  <c r="N202" i="1465" s="1"/>
  <c r="S201" i="1465" a="1"/>
  <c r="S201" i="1465" s="1"/>
  <c r="F201" i="1465" a="1"/>
  <c r="F201" i="1465" s="1"/>
  <c r="X200" i="1465" a="1"/>
  <c r="X200" i="1465" s="1"/>
  <c r="K200" i="1465" a="1"/>
  <c r="K200" i="1465" s="1"/>
  <c r="I202" i="1465" a="1"/>
  <c r="I202" i="1465" s="1"/>
  <c r="Y201" i="1465" a="1"/>
  <c r="Y201" i="1465" s="1"/>
  <c r="J201" i="1465" a="1"/>
  <c r="J201" i="1465" s="1"/>
  <c r="Z200" i="1465" a="1"/>
  <c r="Z200" i="1465" s="1"/>
  <c r="H9" i="2885" s="1"/>
  <c r="I170" i="1465" a="1"/>
  <c r="I170" i="1465" s="1"/>
  <c r="H169" i="1465" a="1"/>
  <c r="H169" i="1465" s="1"/>
  <c r="T201" i="1465" a="1"/>
  <c r="T201" i="1465" s="1"/>
  <c r="S200" i="1465" a="1"/>
  <c r="S200" i="1465" s="1"/>
  <c r="J200" i="1465" a="1"/>
  <c r="J200" i="1465" s="1"/>
  <c r="I177" i="1465" a="1"/>
  <c r="I177" i="1465" s="1"/>
  <c r="H173" i="1465" a="1"/>
  <c r="H173" i="1465" s="1"/>
  <c r="I134" i="1465" a="1"/>
  <c r="I134" i="1465" s="1"/>
  <c r="Q133" i="1465" a="1"/>
  <c r="Q133" i="1465" s="1"/>
  <c r="J202" i="1465" a="1"/>
  <c r="J202" i="1465" s="1"/>
  <c r="Z201" i="1465" a="1"/>
  <c r="Z201" i="1465" s="1"/>
  <c r="Q201" i="1465" a="1"/>
  <c r="Q201" i="1465" s="1"/>
  <c r="H201" i="1465" a="1"/>
  <c r="H201" i="1465" s="1"/>
  <c r="P200" i="1465" a="1"/>
  <c r="P200" i="1465" s="1"/>
  <c r="AA200" i="1465" s="1"/>
  <c r="I178" i="1465" a="1"/>
  <c r="I178" i="1465" s="1"/>
  <c r="I171" i="1465" a="1"/>
  <c r="I171" i="1465" s="1"/>
  <c r="V202" i="1465" a="1"/>
  <c r="V202" i="1465" s="1"/>
  <c r="M202" i="1465" a="1"/>
  <c r="M202" i="1465" s="1"/>
  <c r="E202" i="1465" a="1"/>
  <c r="E202" i="1465" s="1"/>
  <c r="L201" i="1465" a="1"/>
  <c r="L201" i="1465" s="1"/>
  <c r="D201" i="1465" a="1"/>
  <c r="D201" i="1465" s="1"/>
  <c r="P202" i="1465" a="1"/>
  <c r="P202" i="1465" s="1"/>
  <c r="R201" i="1465" a="1"/>
  <c r="R201" i="1465" s="1"/>
  <c r="H200" i="1465" a="1"/>
  <c r="H200" i="1465" s="1"/>
  <c r="H175" i="1465" a="1"/>
  <c r="H175" i="1465" s="1"/>
  <c r="R134" i="1465" a="1"/>
  <c r="R134" i="1465" s="1"/>
  <c r="E155" i="1465" s="1"/>
  <c r="Q132" i="1465" a="1"/>
  <c r="Q132" i="1465" s="1"/>
  <c r="Z202" i="1465" a="1"/>
  <c r="Z202" i="1465" s="1"/>
  <c r="R200" i="1465" a="1"/>
  <c r="R200" i="1465" s="1"/>
  <c r="H167" i="1465" a="1"/>
  <c r="H167" i="1465" s="1"/>
  <c r="Q134" i="1465" a="1"/>
  <c r="Q134" i="1465" s="1"/>
  <c r="I133" i="1465" a="1"/>
  <c r="I133" i="1465" s="1"/>
  <c r="R130" i="1465" a="1"/>
  <c r="R130" i="1465" s="1"/>
  <c r="E151" i="1465" s="1"/>
  <c r="H130" i="1465" a="1"/>
  <c r="H130" i="1465" s="1"/>
  <c r="R127" i="1465" a="1"/>
  <c r="R127" i="1465" s="1"/>
  <c r="H127" i="1465" a="1"/>
  <c r="H127" i="1465" s="1"/>
  <c r="R124" i="1465" a="1"/>
  <c r="R124" i="1465" s="1"/>
  <c r="H124" i="1465" a="1"/>
  <c r="H124" i="1465" s="1"/>
  <c r="R121" i="1465" a="1"/>
  <c r="R121" i="1465" s="1"/>
  <c r="H121" i="1465" a="1"/>
  <c r="H121" i="1465" s="1"/>
  <c r="X202" i="1465" a="1"/>
  <c r="X202" i="1465" s="1"/>
  <c r="L202" i="1465" a="1"/>
  <c r="L202" i="1465" s="1"/>
  <c r="N201" i="1465" a="1"/>
  <c r="N201" i="1465" s="1"/>
  <c r="O200" i="1465" a="1"/>
  <c r="O200" i="1465" s="1"/>
  <c r="E200" i="1465" a="1"/>
  <c r="E200" i="1465" s="1"/>
  <c r="I176" i="1465" a="1"/>
  <c r="I176" i="1465" s="1"/>
  <c r="I168" i="1465" a="1"/>
  <c r="I168" i="1465" s="1"/>
  <c r="I135" i="1465" a="1"/>
  <c r="I135" i="1465" s="1"/>
  <c r="R133" i="1465" a="1"/>
  <c r="R133" i="1465" s="1"/>
  <c r="E154" i="1465" s="1"/>
  <c r="H202" i="1465" a="1"/>
  <c r="H202" i="1465" s="1"/>
  <c r="W200" i="1465" a="1"/>
  <c r="W200" i="1465" s="1"/>
  <c r="H174" i="1465" a="1"/>
  <c r="H174" i="1465" s="1"/>
  <c r="R135" i="1465" a="1"/>
  <c r="R135" i="1465" s="1"/>
  <c r="L14" i="1465" a="1"/>
  <c r="L14" i="1465" s="1"/>
  <c r="F11" i="1465" a="1"/>
  <c r="F11" i="1465" s="1"/>
  <c r="F31" i="1465" s="1"/>
  <c r="G201" i="1465" a="1"/>
  <c r="G201" i="1465" s="1"/>
  <c r="N200" i="1465" a="1"/>
  <c r="N200" i="1465" s="1"/>
  <c r="I175" i="1465" a="1"/>
  <c r="I175" i="1465" s="1"/>
  <c r="H168" i="1465" a="1"/>
  <c r="H168" i="1465" s="1"/>
  <c r="I200" i="1465" a="1"/>
  <c r="I200" i="1465" s="1"/>
  <c r="Q135" i="1465" a="1"/>
  <c r="Q135" i="1465" s="1"/>
  <c r="R128" i="1465" a="1"/>
  <c r="R128" i="1465" s="1"/>
  <c r="E148" i="1465" s="1"/>
  <c r="H125" i="1465" a="1"/>
  <c r="H125" i="1465" s="1"/>
  <c r="R120" i="1465" a="1"/>
  <c r="R120" i="1465" s="1"/>
  <c r="F88" i="1465" a="1"/>
  <c r="F88" i="1465" s="1"/>
  <c r="F25" i="1465" a="1"/>
  <c r="F25" i="1465" s="1"/>
  <c r="L11" i="1465" a="1"/>
  <c r="L11" i="1465" s="1"/>
  <c r="P201" i="1465" a="1"/>
  <c r="P201" i="1465" s="1"/>
  <c r="F200" i="1465" a="1"/>
  <c r="F200" i="1465" s="1"/>
  <c r="I132" i="1465" a="1"/>
  <c r="I132" i="1465" s="1"/>
  <c r="Q128" i="1465" a="1"/>
  <c r="Q128" i="1465" s="1"/>
  <c r="I123" i="1465" a="1"/>
  <c r="I123" i="1465" s="1"/>
  <c r="Q120" i="1465" a="1"/>
  <c r="Q120" i="1465" s="1"/>
  <c r="L21" i="1465" a="1"/>
  <c r="L21" i="1465" s="1"/>
  <c r="W202" i="1465" a="1"/>
  <c r="W202" i="1465" s="1"/>
  <c r="V200" i="1465" a="1"/>
  <c r="V200" i="1465" s="1"/>
  <c r="D200" i="1465" a="1"/>
  <c r="D200" i="1465" s="1"/>
  <c r="H135" i="1465" a="1"/>
  <c r="H135" i="1465" s="1"/>
  <c r="H131" i="1465" a="1"/>
  <c r="H131" i="1465" s="1"/>
  <c r="R125" i="1465" a="1"/>
  <c r="R125" i="1465" s="1"/>
  <c r="H122" i="1465" a="1"/>
  <c r="H122" i="1465" s="1"/>
  <c r="F87" i="1465" a="1"/>
  <c r="F87" i="1465" s="1"/>
  <c r="L23" i="1465" a="1"/>
  <c r="L23" i="1465" s="1"/>
  <c r="F13" i="1465" a="1"/>
  <c r="F13" i="1465" s="1"/>
  <c r="F202" i="1465" a="1"/>
  <c r="F202" i="1465" s="1"/>
  <c r="M201" i="1465" a="1"/>
  <c r="M201" i="1465" s="1"/>
  <c r="U200" i="1465" a="1"/>
  <c r="U200" i="1465" s="1"/>
  <c r="C200" i="1465" a="1"/>
  <c r="C200" i="1465" s="1"/>
  <c r="H176" i="1465" a="1"/>
  <c r="H176" i="1465" s="1"/>
  <c r="H171" i="1465" a="1"/>
  <c r="H171" i="1465" s="1"/>
  <c r="I130" i="1465" a="1"/>
  <c r="I130" i="1465" s="1"/>
  <c r="Q126" i="1465" a="1"/>
  <c r="Q126" i="1465" s="1"/>
  <c r="I121" i="1465" a="1"/>
  <c r="I121" i="1465" s="1"/>
  <c r="L24" i="1465" a="1"/>
  <c r="L24" i="1465" s="1"/>
  <c r="F12" i="1465" a="1"/>
  <c r="F12" i="1465" s="1"/>
  <c r="T202" i="1465" a="1"/>
  <c r="T202" i="1465" s="1"/>
  <c r="C202" i="1465" a="1"/>
  <c r="C202" i="1465" s="1"/>
  <c r="K201" i="1465" a="1"/>
  <c r="K201" i="1465" s="1"/>
  <c r="Q200" i="1465" a="1"/>
  <c r="Q200" i="1465" s="1"/>
  <c r="I173" i="1465" a="1"/>
  <c r="I173" i="1465" s="1"/>
  <c r="I129" i="1465" a="1"/>
  <c r="I129" i="1465" s="1"/>
  <c r="E149" i="1465" s="1"/>
  <c r="Q125" i="1465" a="1"/>
  <c r="Q125" i="1465" s="1"/>
  <c r="L25" i="1465" a="1"/>
  <c r="L25" i="1465" s="1"/>
  <c r="R202" i="1465" a="1"/>
  <c r="R202" i="1465" s="1"/>
  <c r="R132" i="1465" a="1"/>
  <c r="R132" i="1465" s="1"/>
  <c r="E153" i="1465" s="1"/>
  <c r="Q129" i="1465" a="1"/>
  <c r="Q129" i="1465" s="1"/>
  <c r="O202" i="1465" a="1"/>
  <c r="O202" i="1465" s="1"/>
  <c r="E201" i="1465" a="1"/>
  <c r="E201" i="1465" s="1"/>
  <c r="H170" i="1465" a="1"/>
  <c r="H170" i="1465" s="1"/>
  <c r="Q124" i="1465" a="1"/>
  <c r="Q124" i="1465" s="1"/>
  <c r="K84" i="1465"/>
  <c r="E224" i="951" s="1"/>
  <c r="K202" i="1465" a="1"/>
  <c r="K202" i="1465" s="1"/>
  <c r="Y200" i="1465" a="1"/>
  <c r="Y200" i="1465" s="1"/>
  <c r="I174" i="1465" a="1"/>
  <c r="I174" i="1465" s="1"/>
  <c r="Q127" i="1465" a="1"/>
  <c r="Q127" i="1465" s="1"/>
  <c r="H126" i="1465" a="1"/>
  <c r="H126" i="1465" s="1"/>
  <c r="H120" i="1465" a="1"/>
  <c r="H120" i="1465" s="1"/>
  <c r="F84" i="1465" a="1"/>
  <c r="F84" i="1465" s="1"/>
  <c r="F26" i="1465" a="1"/>
  <c r="F26" i="1465" s="1"/>
  <c r="G202" i="1465" a="1"/>
  <c r="G202" i="1465" s="1"/>
  <c r="I169" i="1465" a="1"/>
  <c r="I169" i="1465" s="1"/>
  <c r="H134" i="1465" a="1"/>
  <c r="H134" i="1465" s="1"/>
  <c r="H132" i="1465" a="1"/>
  <c r="H132" i="1465" s="1"/>
  <c r="Q130" i="1465" a="1"/>
  <c r="Q130" i="1465" s="1"/>
  <c r="R122" i="1465" a="1"/>
  <c r="R122" i="1465" s="1"/>
  <c r="F24" i="1465" a="1"/>
  <c r="F24" i="1465" s="1"/>
  <c r="F22" i="1465" a="1"/>
  <c r="F22" i="1465" s="1"/>
  <c r="F32" i="1465" s="1"/>
  <c r="AA201" i="1465"/>
  <c r="W201" i="1465" a="1"/>
  <c r="W201" i="1465" s="1"/>
  <c r="M200" i="1465" a="1"/>
  <c r="M200" i="1465" s="1"/>
  <c r="L200" i="1465" a="1"/>
  <c r="L200" i="1465" s="1"/>
  <c r="I172" i="1465" a="1"/>
  <c r="I172" i="1465" s="1"/>
  <c r="H177" i="1465" a="1"/>
  <c r="H177" i="1465" s="1"/>
  <c r="H172" i="1465" a="1"/>
  <c r="H172" i="1465" s="1"/>
  <c r="I167" i="1465" a="1"/>
  <c r="I167" i="1465" s="1"/>
  <c r="I128" i="1465" a="1"/>
  <c r="I128" i="1465" s="1"/>
  <c r="I122" i="1465" a="1"/>
  <c r="I122" i="1465" s="1"/>
  <c r="F86" i="1465" a="1"/>
  <c r="F86" i="1465" s="1"/>
  <c r="L12" i="1465" a="1"/>
  <c r="L12" i="1465" s="1"/>
  <c r="Y202" i="1465" a="1"/>
  <c r="Y202" i="1465" s="1"/>
  <c r="H133" i="1465" a="1"/>
  <c r="H133" i="1465" s="1"/>
  <c r="H128" i="1465" a="1"/>
  <c r="H128" i="1465" s="1"/>
  <c r="R126" i="1465" a="1"/>
  <c r="R126" i="1465" s="1"/>
  <c r="I125" i="1465" a="1"/>
  <c r="I125" i="1465" s="1"/>
  <c r="Q123" i="1465" a="1"/>
  <c r="Q123" i="1465" s="1"/>
  <c r="L26" i="1465" a="1"/>
  <c r="L26" i="1465" s="1"/>
  <c r="F23" i="1465" a="1"/>
  <c r="F23" i="1465" s="1"/>
  <c r="F21" i="1465" a="1"/>
  <c r="F21" i="1465" s="1"/>
  <c r="F85" i="1465" a="1"/>
  <c r="F85" i="1465" s="1"/>
  <c r="D145" i="1465"/>
  <c r="I127" i="1465" a="1"/>
  <c r="I127" i="1465" s="1"/>
  <c r="I120" i="1465" a="1"/>
  <c r="I120" i="1465" s="1"/>
  <c r="Q122" i="1465" a="1"/>
  <c r="Q122" i="1465" s="1"/>
  <c r="L31" i="1465" a="1"/>
  <c r="L31" i="1465" s="1"/>
  <c r="H123" i="1465" a="1"/>
  <c r="H123" i="1465" s="1"/>
  <c r="I131" i="1465" a="1"/>
  <c r="I131" i="1465" s="1"/>
  <c r="D77" i="1465"/>
  <c r="Q131" i="1465" a="1"/>
  <c r="Q131" i="1465" s="1"/>
  <c r="L13" i="1465" a="1"/>
  <c r="L13" i="1465" s="1"/>
  <c r="L15" i="1465" a="1"/>
  <c r="L15" i="1465" s="1"/>
  <c r="L22" i="1465" a="1"/>
  <c r="L22" i="1465" s="1"/>
  <c r="F33" i="1465" s="1" a="1"/>
  <c r="F33" i="1465" s="1"/>
  <c r="I126" i="1465" a="1"/>
  <c r="I126" i="1465" s="1"/>
  <c r="R131" i="1465" a="1"/>
  <c r="R131" i="1465" s="1"/>
  <c r="E152" i="1465" s="1"/>
  <c r="D93" i="677" a="1"/>
  <c r="D93" i="677" s="1"/>
  <c r="F89" i="1465" a="1"/>
  <c r="F89" i="1465" s="1"/>
  <c r="R123" i="1465" a="1"/>
  <c r="R123" i="1465" s="1"/>
  <c r="E144" i="1465" s="1"/>
  <c r="X201" i="1465" a="1"/>
  <c r="X201" i="1465" s="1"/>
  <c r="K12" i="1465" a="1"/>
  <c r="K12" i="1465" s="1"/>
  <c r="C51" i="1465" s="1" a="1"/>
  <c r="E64" i="1465" a="1"/>
  <c r="E64" i="1465" s="1"/>
  <c r="E74" i="1465" s="1"/>
  <c r="F67" i="1465" a="1"/>
  <c r="F67" i="1465" s="1"/>
  <c r="F77" i="1465" s="1"/>
  <c r="D69" i="1465" a="1"/>
  <c r="D69" i="1465" s="1"/>
  <c r="D130" i="1465" a="1"/>
  <c r="D130" i="1465" s="1"/>
  <c r="G167" i="1465" a="1"/>
  <c r="G167" i="1465" s="1"/>
  <c r="E172" i="1465" a="1"/>
  <c r="E172" i="1465" s="1"/>
  <c r="D236" i="1465" a="1"/>
  <c r="D236" i="1465" s="1"/>
  <c r="H65" i="1465" a="1"/>
  <c r="H65" i="1465" s="1"/>
  <c r="H75" i="1465" s="1"/>
  <c r="E69" i="1465" a="1"/>
  <c r="E69" i="1465" s="1"/>
  <c r="E79" i="1465" s="1"/>
  <c r="D121" i="1465" a="1"/>
  <c r="D121" i="1465" s="1"/>
  <c r="E127" i="1465" a="1"/>
  <c r="E127" i="1465" s="1"/>
  <c r="E130" i="1465" a="1"/>
  <c r="E130" i="1465" s="1"/>
  <c r="P131" i="1465" a="1"/>
  <c r="P131" i="1465" s="1"/>
  <c r="M133" i="1465" a="1"/>
  <c r="M133" i="1465" s="1"/>
  <c r="P135" i="1465" a="1"/>
  <c r="P135" i="1465" s="1"/>
  <c r="E212" i="1465" a="1"/>
  <c r="E212" i="1465" s="1"/>
  <c r="H236" i="1465" a="1"/>
  <c r="H236" i="1465" s="1"/>
  <c r="D249" i="1465" a="1"/>
  <c r="D249" i="1465" s="1"/>
  <c r="G248" i="1465" a="1"/>
  <c r="G248" i="1465" s="1"/>
  <c r="D247" i="1465" a="1"/>
  <c r="D247" i="1465" s="1"/>
  <c r="G246" i="1465" a="1"/>
  <c r="G246" i="1465" s="1"/>
  <c r="D245" i="1465" a="1"/>
  <c r="D245" i="1465" s="1"/>
  <c r="G244" i="1465" a="1"/>
  <c r="G244" i="1465" s="1"/>
  <c r="D243" i="1465" a="1"/>
  <c r="D243" i="1465" s="1"/>
  <c r="G242" i="1465" a="1"/>
  <c r="G242" i="1465" s="1"/>
  <c r="D241" i="1465" a="1"/>
  <c r="D241" i="1465" s="1"/>
  <c r="G240" i="1465" a="1"/>
  <c r="G240" i="1465" s="1"/>
  <c r="D239" i="1465" a="1"/>
  <c r="D239" i="1465" s="1"/>
  <c r="G238" i="1465" a="1"/>
  <c r="G238" i="1465" s="1"/>
  <c r="D237" i="1465" a="1"/>
  <c r="D237" i="1465" s="1"/>
  <c r="G236" i="1465" a="1"/>
  <c r="G236" i="1465" s="1"/>
  <c r="D235" i="1465" a="1"/>
  <c r="D235" i="1465" s="1"/>
  <c r="G234" i="1465" a="1"/>
  <c r="G234" i="1465" s="1"/>
  <c r="D233" i="1465" a="1"/>
  <c r="D233" i="1465" s="1"/>
  <c r="G232" i="1465" a="1"/>
  <c r="G232" i="1465" s="1"/>
  <c r="I248" i="1465" a="1"/>
  <c r="I248" i="1465" s="1"/>
  <c r="E247" i="1465" a="1"/>
  <c r="E247" i="1465" s="1"/>
  <c r="H243" i="1465" a="1"/>
  <c r="H243" i="1465" s="1"/>
  <c r="D242" i="1465" a="1"/>
  <c r="D242" i="1465" s="1"/>
  <c r="I240" i="1465" a="1"/>
  <c r="I240" i="1465" s="1"/>
  <c r="E239" i="1465" a="1"/>
  <c r="E239" i="1465" s="1"/>
  <c r="H235" i="1465" a="1"/>
  <c r="H235" i="1465" s="1"/>
  <c r="D234" i="1465" a="1"/>
  <c r="D234" i="1465" s="1"/>
  <c r="I232" i="1465" a="1"/>
  <c r="I232" i="1465" s="1"/>
  <c r="E240" i="1465" a="1"/>
  <c r="E240" i="1465" s="1"/>
  <c r="G239" i="1465" a="1"/>
  <c r="G239" i="1465" s="1"/>
  <c r="I238" i="1465" a="1"/>
  <c r="I238" i="1465" s="1"/>
  <c r="E236" i="1465" a="1"/>
  <c r="E236" i="1465" s="1"/>
  <c r="G235" i="1465" a="1"/>
  <c r="G235" i="1465" s="1"/>
  <c r="I234" i="1465" a="1"/>
  <c r="I234" i="1465" s="1"/>
  <c r="H231" i="1465" a="1"/>
  <c r="H231" i="1465" s="1"/>
  <c r="D230" i="1465" a="1"/>
  <c r="D230" i="1465" s="1"/>
  <c r="I228" i="1465" a="1"/>
  <c r="I228" i="1465" s="1"/>
  <c r="G226" i="1465" a="1"/>
  <c r="G226" i="1465" s="1"/>
  <c r="H223" i="1465" a="1"/>
  <c r="H223" i="1465" s="1"/>
  <c r="D222" i="1465" a="1"/>
  <c r="D222" i="1465" s="1"/>
  <c r="I220" i="1465" a="1"/>
  <c r="I220" i="1465" s="1"/>
  <c r="E219" i="1465" a="1"/>
  <c r="E219" i="1465" s="1"/>
  <c r="N218" i="1465" a="1"/>
  <c r="N218" i="1465" s="1"/>
  <c r="E218" i="1465" a="1"/>
  <c r="E218" i="1465" s="1"/>
  <c r="D213" i="1465" a="1"/>
  <c r="D213" i="1465" s="1"/>
  <c r="E248" i="1465" a="1"/>
  <c r="E248" i="1465" s="1"/>
  <c r="F247" i="1465" a="1"/>
  <c r="F247" i="1465" s="1"/>
  <c r="H245" i="1465" a="1"/>
  <c r="H245" i="1465" s="1"/>
  <c r="H239" i="1465" a="1"/>
  <c r="H239" i="1465" s="1"/>
  <c r="E235" i="1465" a="1"/>
  <c r="E235" i="1465" s="1"/>
  <c r="F234" i="1465" a="1"/>
  <c r="F234" i="1465" s="1"/>
  <c r="E230" i="1465" a="1"/>
  <c r="E230" i="1465" s="1"/>
  <c r="G229" i="1465" a="1"/>
  <c r="G229" i="1465" s="1"/>
  <c r="H228" i="1465" a="1"/>
  <c r="H228" i="1465" s="1"/>
  <c r="E226" i="1465" a="1"/>
  <c r="E226" i="1465" s="1"/>
  <c r="G225" i="1465" a="1"/>
  <c r="G225" i="1465" s="1"/>
  <c r="I224" i="1465" a="1"/>
  <c r="I224" i="1465" s="1"/>
  <c r="D219" i="1465" a="1"/>
  <c r="D219" i="1465" s="1"/>
  <c r="H213" i="1465" a="1"/>
  <c r="H213" i="1465" s="1"/>
  <c r="H249" i="1465" a="1"/>
  <c r="H249" i="1465" s="1"/>
  <c r="D246" i="1465" a="1"/>
  <c r="D246" i="1465" s="1"/>
  <c r="I242" i="1465" a="1"/>
  <c r="I242" i="1465" s="1"/>
  <c r="G237" i="1465" a="1"/>
  <c r="G237" i="1465" s="1"/>
  <c r="E232" i="1465" a="1"/>
  <c r="E232" i="1465" s="1"/>
  <c r="G231" i="1465" a="1"/>
  <c r="G231" i="1465" s="1"/>
  <c r="I230" i="1465" a="1"/>
  <c r="I230" i="1465" s="1"/>
  <c r="D225" i="1465" a="1"/>
  <c r="D225" i="1465" s="1"/>
  <c r="F224" i="1465" a="1"/>
  <c r="F224" i="1465" s="1"/>
  <c r="D221" i="1465" a="1"/>
  <c r="D221" i="1465" s="1"/>
  <c r="F220" i="1465" a="1"/>
  <c r="F220" i="1465" s="1"/>
  <c r="H219" i="1465" a="1"/>
  <c r="H219" i="1465" s="1"/>
  <c r="G218" i="1465" a="1"/>
  <c r="G218" i="1465" s="1"/>
  <c r="D212" i="1465" a="1"/>
  <c r="D212" i="1465" s="1"/>
  <c r="E178" i="1465" a="1"/>
  <c r="E178" i="1465" s="1"/>
  <c r="D176" i="1465" a="1"/>
  <c r="D176" i="1465" s="1"/>
  <c r="C189" i="1465" s="1" a="1"/>
  <c r="C189" i="1465" s="1"/>
  <c r="N135" i="1465" a="1"/>
  <c r="N135" i="1465" s="1"/>
  <c r="E135" i="1465" a="1"/>
  <c r="E135" i="1465" s="1"/>
  <c r="N134" i="1465" a="1"/>
  <c r="N134" i="1465" s="1"/>
  <c r="H238" i="1465" a="1"/>
  <c r="H238" i="1465" s="1"/>
  <c r="I245" i="1465" a="1"/>
  <c r="I245" i="1465" s="1"/>
  <c r="I244" i="1465" a="1"/>
  <c r="I244" i="1465" s="1"/>
  <c r="I243" i="1465" a="1"/>
  <c r="I243" i="1465" s="1"/>
  <c r="H242" i="1465" a="1"/>
  <c r="H242" i="1465" s="1"/>
  <c r="H241" i="1465" a="1"/>
  <c r="H241" i="1465" s="1"/>
  <c r="H240" i="1465" a="1"/>
  <c r="H240" i="1465" s="1"/>
  <c r="F235" i="1465" a="1"/>
  <c r="F235" i="1465" s="1"/>
  <c r="E231" i="1465" a="1"/>
  <c r="E231" i="1465" s="1"/>
  <c r="F230" i="1465" a="1"/>
  <c r="F230" i="1465" s="1"/>
  <c r="F229" i="1465" a="1"/>
  <c r="F229" i="1465" s="1"/>
  <c r="G227" i="1465" a="1"/>
  <c r="G227" i="1465" s="1"/>
  <c r="H225" i="1465" a="1"/>
  <c r="H225" i="1465" s="1"/>
  <c r="H224" i="1465" a="1"/>
  <c r="H224" i="1465" s="1"/>
  <c r="I223" i="1465" a="1"/>
  <c r="I223" i="1465" s="1"/>
  <c r="I222" i="1465" a="1"/>
  <c r="I222" i="1465" s="1"/>
  <c r="D177" i="1465" a="1"/>
  <c r="D177" i="1465" s="1"/>
  <c r="C190" i="1465" s="1" a="1"/>
  <c r="C190" i="1465" s="1"/>
  <c r="I247" i="1465" a="1"/>
  <c r="I247" i="1465" s="1"/>
  <c r="E249" i="1465" a="1"/>
  <c r="E249" i="1465" s="1"/>
  <c r="H247" i="1465" a="1"/>
  <c r="H247" i="1465" s="1"/>
  <c r="F241" i="1465" a="1"/>
  <c r="F241" i="1465" s="1"/>
  <c r="E238" i="1465" a="1"/>
  <c r="E238" i="1465" s="1"/>
  <c r="H234" i="1465" a="1"/>
  <c r="H234" i="1465" s="1"/>
  <c r="G233" i="1465" a="1"/>
  <c r="G233" i="1465" s="1"/>
  <c r="F232" i="1465" a="1"/>
  <c r="F232" i="1465" s="1"/>
  <c r="D229" i="1465" a="1"/>
  <c r="D229" i="1465" s="1"/>
  <c r="D228" i="1465" a="1"/>
  <c r="D228" i="1465" s="1"/>
  <c r="P218" i="1465" a="1"/>
  <c r="P218" i="1465" s="1"/>
  <c r="F212" i="1465" a="1"/>
  <c r="F212" i="1465" s="1"/>
  <c r="D175" i="1465" a="1"/>
  <c r="D175" i="1465" s="1"/>
  <c r="C188" i="1465" s="1" a="1"/>
  <c r="C188" i="1465" s="1"/>
  <c r="I69" i="1465" a="1"/>
  <c r="I69" i="1465" s="1"/>
  <c r="I79" i="1465" s="1"/>
  <c r="K68" i="1465" a="1"/>
  <c r="K68" i="1465" s="1"/>
  <c r="K78" i="1465" s="1"/>
  <c r="E68" i="1465" a="1"/>
  <c r="E68" i="1465" s="1"/>
  <c r="G67" i="1465" a="1"/>
  <c r="G67" i="1465" s="1"/>
  <c r="G77" i="1465" s="1"/>
  <c r="I66" i="1465" a="1"/>
  <c r="I66" i="1465" s="1"/>
  <c r="I76" i="1465" s="1"/>
  <c r="K65" i="1465" a="1"/>
  <c r="K65" i="1465" s="1"/>
  <c r="K75" i="1465" s="1"/>
  <c r="H248" i="1465" a="1"/>
  <c r="H248" i="1465" s="1"/>
  <c r="G245" i="1465" a="1"/>
  <c r="G245" i="1465" s="1"/>
  <c r="F242" i="1465" a="1"/>
  <c r="F242" i="1465" s="1"/>
  <c r="I236" i="1465" a="1"/>
  <c r="I236" i="1465" s="1"/>
  <c r="I225" i="1465" a="1"/>
  <c r="I225" i="1465" s="1"/>
  <c r="H221" i="1465" a="1"/>
  <c r="H221" i="1465" s="1"/>
  <c r="G220" i="1465" a="1"/>
  <c r="G220" i="1465" s="1"/>
  <c r="G219" i="1465" a="1"/>
  <c r="G219" i="1465" s="1"/>
  <c r="G213" i="1465" a="1"/>
  <c r="G213" i="1465" s="1"/>
  <c r="E173" i="1465" a="1"/>
  <c r="E173" i="1465" s="1"/>
  <c r="D186" i="1465" s="1" a="1"/>
  <c r="D186" i="1465" s="1"/>
  <c r="D168" i="1465" a="1"/>
  <c r="D168" i="1465" s="1"/>
  <c r="M135" i="1465" a="1"/>
  <c r="M135" i="1465" s="1"/>
  <c r="E133" i="1465" a="1"/>
  <c r="E133" i="1465" s="1"/>
  <c r="G69" i="1465" a="1"/>
  <c r="G69" i="1465" s="1"/>
  <c r="I68" i="1465" a="1"/>
  <c r="I68" i="1465" s="1"/>
  <c r="I78" i="1465" s="1"/>
  <c r="K67" i="1465" a="1"/>
  <c r="K67" i="1465" s="1"/>
  <c r="K77" i="1465" s="1"/>
  <c r="E67" i="1465" a="1"/>
  <c r="E67" i="1465" s="1"/>
  <c r="E77" i="1465" s="1"/>
  <c r="G66" i="1465" a="1"/>
  <c r="G66" i="1465" s="1"/>
  <c r="G76" i="1465" s="1"/>
  <c r="I65" i="1465" a="1"/>
  <c r="I65" i="1465" s="1"/>
  <c r="I75" i="1465" s="1"/>
  <c r="F249" i="1465" a="1"/>
  <c r="F249" i="1465" s="1"/>
  <c r="E246" i="1465" a="1"/>
  <c r="E246" i="1465" s="1"/>
  <c r="H244" i="1465" a="1"/>
  <c r="H244" i="1465" s="1"/>
  <c r="G241" i="1465" a="1"/>
  <c r="G241" i="1465" s="1"/>
  <c r="F238" i="1465" a="1"/>
  <c r="F238" i="1465" s="1"/>
  <c r="E237" i="1465" a="1"/>
  <c r="E237" i="1465" s="1"/>
  <c r="H233" i="1465" a="1"/>
  <c r="H233" i="1465" s="1"/>
  <c r="F231" i="1465" a="1"/>
  <c r="F231" i="1465" s="1"/>
  <c r="D227" i="1465" a="1"/>
  <c r="D227" i="1465" s="1"/>
  <c r="D226" i="1465" a="1"/>
  <c r="D226" i="1465" s="1"/>
  <c r="Q218" i="1465" a="1"/>
  <c r="Q218" i="1465" s="1"/>
  <c r="G212" i="1465" a="1"/>
  <c r="G212" i="1465" s="1"/>
  <c r="F248" i="1465" a="1"/>
  <c r="F248" i="1465" s="1"/>
  <c r="D244" i="1465" a="1"/>
  <c r="D244" i="1465" s="1"/>
  <c r="D240" i="1465" a="1"/>
  <c r="D240" i="1465" s="1"/>
  <c r="F236" i="1465" a="1"/>
  <c r="F236" i="1465" s="1"/>
  <c r="I231" i="1465" a="1"/>
  <c r="I231" i="1465" s="1"/>
  <c r="H227" i="1465" a="1"/>
  <c r="H227" i="1465" s="1"/>
  <c r="F223" i="1465" a="1"/>
  <c r="F223" i="1465" s="1"/>
  <c r="F218" i="1465" a="1"/>
  <c r="F218" i="1465" s="1"/>
  <c r="D171" i="1465" a="1"/>
  <c r="D171" i="1465" s="1"/>
  <c r="E134" i="1465" a="1"/>
  <c r="E134" i="1465" s="1"/>
  <c r="N131" i="1465" a="1"/>
  <c r="N131" i="1465" s="1"/>
  <c r="C152" i="1465" s="1"/>
  <c r="N128" i="1465" a="1"/>
  <c r="N128" i="1465" s="1"/>
  <c r="N125" i="1465" a="1"/>
  <c r="N125" i="1465" s="1"/>
  <c r="N122" i="1465" a="1"/>
  <c r="N122" i="1465" s="1"/>
  <c r="D248" i="1465" a="1"/>
  <c r="D248" i="1465" s="1"/>
  <c r="I237" i="1465" a="1"/>
  <c r="I237" i="1465" s="1"/>
  <c r="E223" i="1465" a="1"/>
  <c r="E223" i="1465" s="1"/>
  <c r="D218" i="1465" a="1"/>
  <c r="D218" i="1465" s="1"/>
  <c r="D174" i="1465" a="1"/>
  <c r="D174" i="1465" s="1"/>
  <c r="C187" i="1465" s="1" a="1"/>
  <c r="C187" i="1465" s="1"/>
  <c r="E169" i="1465" a="1"/>
  <c r="E169" i="1465" s="1"/>
  <c r="M131" i="1465" a="1"/>
  <c r="M131" i="1465" s="1"/>
  <c r="M128" i="1465" a="1"/>
  <c r="M128" i="1465" s="1"/>
  <c r="M125" i="1465" a="1"/>
  <c r="M125" i="1465" s="1"/>
  <c r="M122" i="1465" a="1"/>
  <c r="M122" i="1465" s="1"/>
  <c r="F243" i="1465" a="1"/>
  <c r="F243" i="1465" s="1"/>
  <c r="E241" i="1465" a="1"/>
  <c r="E241" i="1465" s="1"/>
  <c r="I235" i="1465" a="1"/>
  <c r="I235" i="1465" s="1"/>
  <c r="D231" i="1465" a="1"/>
  <c r="D231" i="1465" s="1"/>
  <c r="G228" i="1465" a="1"/>
  <c r="G228" i="1465" s="1"/>
  <c r="E224" i="1465" a="1"/>
  <c r="E224" i="1465" s="1"/>
  <c r="G221" i="1465" a="1"/>
  <c r="G221" i="1465" s="1"/>
  <c r="E175" i="1465" a="1"/>
  <c r="E175" i="1465" s="1"/>
  <c r="D188" i="1465" s="1" a="1"/>
  <c r="D188" i="1465" s="1"/>
  <c r="D172" i="1465" a="1"/>
  <c r="D172" i="1465" s="1"/>
  <c r="N132" i="1465" a="1"/>
  <c r="N132" i="1465" s="1"/>
  <c r="N129" i="1465" a="1"/>
  <c r="N129" i="1465" s="1"/>
  <c r="C149" i="1465" s="1"/>
  <c r="N126" i="1465" a="1"/>
  <c r="N126" i="1465" s="1"/>
  <c r="N123" i="1465" a="1"/>
  <c r="N123" i="1465" s="1"/>
  <c r="C144" i="1465" s="1"/>
  <c r="G247" i="1465" a="1"/>
  <c r="G247" i="1465" s="1"/>
  <c r="F245" i="1465" a="1"/>
  <c r="F245" i="1465" s="1"/>
  <c r="F237" i="1465" a="1"/>
  <c r="F237" i="1465" s="1"/>
  <c r="H232" i="1465" a="1"/>
  <c r="H232" i="1465" s="1"/>
  <c r="I229" i="1465" a="1"/>
  <c r="I229" i="1465" s="1"/>
  <c r="D232" i="1465" a="1"/>
  <c r="D232" i="1465" s="1"/>
  <c r="H229" i="1465" a="1"/>
  <c r="H229" i="1465" s="1"/>
  <c r="I226" i="1465" a="1"/>
  <c r="I226" i="1465" s="1"/>
  <c r="F225" i="1465" a="1"/>
  <c r="F225" i="1465" s="1"/>
  <c r="G222" i="1465" a="1"/>
  <c r="G222" i="1465" s="1"/>
  <c r="I219" i="1465" a="1"/>
  <c r="I219" i="1465" s="1"/>
  <c r="I233" i="1465" a="1"/>
  <c r="I233" i="1465" s="1"/>
  <c r="H226" i="1465" a="1"/>
  <c r="H226" i="1465" s="1"/>
  <c r="E225" i="1465" a="1"/>
  <c r="E225" i="1465" s="1"/>
  <c r="I218" i="1465" a="1"/>
  <c r="I218" i="1465" s="1"/>
  <c r="H212" i="1465" a="1"/>
  <c r="H212" i="1465" s="1"/>
  <c r="D173" i="1465" a="1"/>
  <c r="D173" i="1465" s="1"/>
  <c r="C186" i="1465" s="1" a="1"/>
  <c r="C186" i="1465" s="1"/>
  <c r="D170" i="1465" a="1"/>
  <c r="D170" i="1465" s="1"/>
  <c r="D133" i="1465" a="1"/>
  <c r="D133" i="1465" s="1"/>
  <c r="N130" i="1465" a="1"/>
  <c r="N130" i="1465" s="1"/>
  <c r="N127" i="1465" a="1"/>
  <c r="N127" i="1465" s="1"/>
  <c r="C147" i="1465" s="1"/>
  <c r="N124" i="1465" a="1"/>
  <c r="N124" i="1465" s="1"/>
  <c r="N121" i="1465" a="1"/>
  <c r="N121" i="1465" s="1"/>
  <c r="J67" i="1465" a="1"/>
  <c r="J67" i="1465" s="1"/>
  <c r="J77" i="1465" s="1"/>
  <c r="K66" i="1465" a="1"/>
  <c r="K66" i="1465" s="1"/>
  <c r="K76" i="1465" s="1"/>
  <c r="D66" i="1465" a="1"/>
  <c r="D66" i="1465" s="1"/>
  <c r="E65" i="1465" a="1"/>
  <c r="E65" i="1465" s="1"/>
  <c r="E75" i="1465" s="1"/>
  <c r="G64" i="1465" a="1"/>
  <c r="G64" i="1465" s="1"/>
  <c r="G75" i="1465" s="1"/>
  <c r="D26" i="1465" a="1"/>
  <c r="D26" i="1465" s="1"/>
  <c r="D25" i="1465" a="1"/>
  <c r="D25" i="1465" s="1"/>
  <c r="D24" i="1465" a="1"/>
  <c r="D24" i="1465" s="1"/>
  <c r="D23" i="1465" a="1"/>
  <c r="D23" i="1465" s="1"/>
  <c r="D22" i="1465" a="1"/>
  <c r="D22" i="1465" s="1"/>
  <c r="D32" i="1465" s="1" a="1"/>
  <c r="D32" i="1465" s="1"/>
  <c r="D21" i="1465" a="1"/>
  <c r="D21" i="1465" s="1"/>
  <c r="D13" i="1465" a="1"/>
  <c r="D13" i="1465" s="1"/>
  <c r="C13" i="1465" s="1" a="1"/>
  <c r="C13" i="1465" s="1"/>
  <c r="F226" i="1465" a="1"/>
  <c r="F226" i="1465" s="1"/>
  <c r="D224" i="1465" a="1"/>
  <c r="D224" i="1465" s="1"/>
  <c r="F219" i="1465" a="1"/>
  <c r="F219" i="1465" s="1"/>
  <c r="E213" i="1465" a="1"/>
  <c r="E213" i="1465" s="1"/>
  <c r="E171" i="1465" a="1"/>
  <c r="E171" i="1465" s="1"/>
  <c r="F240" i="1465" a="1"/>
  <c r="F240" i="1465" s="1"/>
  <c r="H230" i="1465" a="1"/>
  <c r="H230" i="1465" s="1"/>
  <c r="E228" i="1465" a="1"/>
  <c r="E228" i="1465" s="1"/>
  <c r="O218" i="1465" a="1"/>
  <c r="O218" i="1465" s="1"/>
  <c r="M132" i="1465" a="1"/>
  <c r="M132" i="1465" s="1"/>
  <c r="E128" i="1465" a="1"/>
  <c r="E128" i="1465" s="1"/>
  <c r="M123" i="1465" a="1"/>
  <c r="M123" i="1465" s="1"/>
  <c r="D86" i="1465" a="1"/>
  <c r="D86" i="1465" s="1"/>
  <c r="E66" i="1465" a="1"/>
  <c r="E66" i="1465" s="1"/>
  <c r="J15" i="1465" a="1"/>
  <c r="J15" i="1465" s="1"/>
  <c r="E244" i="1465" a="1"/>
  <c r="E244" i="1465" s="1"/>
  <c r="E233" i="1465" a="1"/>
  <c r="E233" i="1465" s="1"/>
  <c r="G230" i="1465" a="1"/>
  <c r="G230" i="1465" s="1"/>
  <c r="I227" i="1465" a="1"/>
  <c r="I227" i="1465" s="1"/>
  <c r="D223" i="1465" a="1"/>
  <c r="D223" i="1465" s="1"/>
  <c r="H220" i="1465" a="1"/>
  <c r="H220" i="1465" s="1"/>
  <c r="M218" i="1465" a="1"/>
  <c r="M218" i="1465" s="1"/>
  <c r="E177" i="1465" a="1"/>
  <c r="E177" i="1465" s="1"/>
  <c r="D190" i="1465" s="1" a="1"/>
  <c r="D190" i="1465" s="1"/>
  <c r="D127" i="1465" a="1"/>
  <c r="D127" i="1465" s="1"/>
  <c r="E126" i="1465" a="1"/>
  <c r="E126" i="1465" s="1"/>
  <c r="E120" i="1465" a="1"/>
  <c r="E120" i="1465" s="1"/>
  <c r="K69" i="1465" a="1"/>
  <c r="K69" i="1465" s="1"/>
  <c r="K79" i="1465" s="1"/>
  <c r="D65" i="1465" a="1"/>
  <c r="D65" i="1465" s="1"/>
  <c r="G243" i="1465" a="1"/>
  <c r="G243" i="1465" s="1"/>
  <c r="F239" i="1465" a="1"/>
  <c r="F239" i="1465" s="1"/>
  <c r="F227" i="1465" a="1"/>
  <c r="F227" i="1465" s="1"/>
  <c r="H222" i="1465" a="1"/>
  <c r="H222" i="1465" s="1"/>
  <c r="E220" i="1465" a="1"/>
  <c r="E220" i="1465" s="1"/>
  <c r="H218" i="1465" a="1"/>
  <c r="H218" i="1465" s="1"/>
  <c r="E167" i="1465" a="1"/>
  <c r="E167" i="1465" s="1"/>
  <c r="M129" i="1465" a="1"/>
  <c r="M129" i="1465" s="1"/>
  <c r="E125" i="1465" a="1"/>
  <c r="E125" i="1465" s="1"/>
  <c r="J69" i="1465" a="1"/>
  <c r="J69" i="1465" s="1"/>
  <c r="J79" i="1465" s="1"/>
  <c r="J68" i="1465" a="1"/>
  <c r="J68" i="1465" s="1"/>
  <c r="J78" i="1465" s="1"/>
  <c r="J66" i="1465" a="1"/>
  <c r="J66" i="1465" s="1"/>
  <c r="J76" i="1465" s="1"/>
  <c r="J65" i="1465" a="1"/>
  <c r="J65" i="1465" s="1"/>
  <c r="J75" i="1465" s="1"/>
  <c r="K64" i="1465" a="1"/>
  <c r="K64" i="1465" s="1"/>
  <c r="K74" i="1465" s="1"/>
  <c r="J11" i="1465" a="1"/>
  <c r="J11" i="1465" s="1"/>
  <c r="E243" i="1465" a="1"/>
  <c r="E243" i="1465" s="1"/>
  <c r="E227" i="1465" a="1"/>
  <c r="E227" i="1465" s="1"/>
  <c r="F222" i="1465" a="1"/>
  <c r="F222" i="1465" s="1"/>
  <c r="D220" i="1465" a="1"/>
  <c r="D220" i="1465" s="1"/>
  <c r="E174" i="1465" a="1"/>
  <c r="E174" i="1465" s="1"/>
  <c r="D187" i="1465" s="1" a="1"/>
  <c r="D187" i="1465" s="1"/>
  <c r="D167" i="1465" a="1"/>
  <c r="D167" i="1465" s="1"/>
  <c r="D125" i="1465" a="1"/>
  <c r="D125" i="1465" s="1"/>
  <c r="E124" i="1465" a="1"/>
  <c r="E124" i="1465" s="1"/>
  <c r="D85" i="1465" a="1"/>
  <c r="D85" i="1465" s="1"/>
  <c r="I67" i="1465" a="1"/>
  <c r="I67" i="1465" s="1"/>
  <c r="I77" i="1465" s="1"/>
  <c r="D64" i="1465" a="1"/>
  <c r="D64" i="1465" s="1"/>
  <c r="D16" i="1465" a="1"/>
  <c r="D16" i="1465" s="1"/>
  <c r="C16" i="1465" s="1" a="1"/>
  <c r="C16" i="1465" s="1"/>
  <c r="I246" i="1465" a="1"/>
  <c r="I246" i="1465" s="1"/>
  <c r="E229" i="1465" a="1"/>
  <c r="E229" i="1465" s="1"/>
  <c r="G224" i="1465" a="1"/>
  <c r="G224" i="1465" s="1"/>
  <c r="E222" i="1465" a="1"/>
  <c r="E222" i="1465" s="1"/>
  <c r="D134" i="1465" a="1"/>
  <c r="D134" i="1465" s="1"/>
  <c r="E132" i="1465" a="1"/>
  <c r="E132" i="1465" s="1"/>
  <c r="D124" i="1465" a="1"/>
  <c r="D124" i="1465" s="1"/>
  <c r="E123" i="1465" a="1"/>
  <c r="E123" i="1465" s="1"/>
  <c r="N120" i="1465" a="1"/>
  <c r="N120" i="1465" s="1"/>
  <c r="C142" i="1465" s="1"/>
  <c r="H69" i="1465" a="1"/>
  <c r="H69" i="1465" s="1"/>
  <c r="H79" i="1465" s="1"/>
  <c r="H68" i="1465" a="1"/>
  <c r="H68" i="1465" s="1"/>
  <c r="H78" i="1465" s="1"/>
  <c r="J64" i="1465" a="1"/>
  <c r="J64" i="1465" s="1"/>
  <c r="J74" i="1465" s="1"/>
  <c r="J21" i="1465" a="1"/>
  <c r="J21" i="1465" s="1"/>
  <c r="D15" i="1465" a="1"/>
  <c r="D15" i="1465" s="1"/>
  <c r="C15" i="1465" s="1" a="1"/>
  <c r="C15" i="1465" s="1"/>
  <c r="E16" i="1465" a="1"/>
  <c r="E16" i="1465" s="1"/>
  <c r="E26" i="1465" a="1"/>
  <c r="E26" i="1465" s="1"/>
  <c r="E88" i="1465" a="1"/>
  <c r="E88" i="1465" s="1"/>
  <c r="M121" i="1465" a="1"/>
  <c r="M121" i="1465" s="1"/>
  <c r="G126" i="1465" a="1"/>
  <c r="G126" i="1465" s="1"/>
  <c r="M127" i="1465" a="1"/>
  <c r="M127" i="1465" s="1"/>
  <c r="I239" i="1465" a="1"/>
  <c r="I239" i="1465" s="1"/>
  <c r="G176" i="1465" a="1"/>
  <c r="G176" i="1465" s="1"/>
  <c r="F175" i="1465" a="1"/>
  <c r="F175" i="1465" s="1"/>
  <c r="F174" i="1465" a="1"/>
  <c r="F174" i="1465" s="1"/>
  <c r="F173" i="1465" a="1"/>
  <c r="F173" i="1465" s="1"/>
  <c r="F172" i="1465" a="1"/>
  <c r="F172" i="1465" s="1"/>
  <c r="F171" i="1465" a="1"/>
  <c r="F171" i="1465" s="1"/>
  <c r="F170" i="1465" a="1"/>
  <c r="F170" i="1465" s="1"/>
  <c r="F169" i="1465" a="1"/>
  <c r="F169" i="1465" s="1"/>
  <c r="F168" i="1465" a="1"/>
  <c r="F168" i="1465" s="1"/>
  <c r="F167" i="1465" a="1"/>
  <c r="F167" i="1465" s="1"/>
  <c r="F178" i="1465" a="1"/>
  <c r="F178" i="1465" s="1"/>
  <c r="G174" i="1465" a="1"/>
  <c r="G174" i="1465" s="1"/>
  <c r="G168" i="1465" a="1"/>
  <c r="G168" i="1465" s="1"/>
  <c r="P134" i="1465" a="1"/>
  <c r="P134" i="1465" s="1"/>
  <c r="F134" i="1465" a="1"/>
  <c r="F134" i="1465" s="1"/>
  <c r="O133" i="1465" a="1"/>
  <c r="O133" i="1465" s="1"/>
  <c r="F133" i="1465" a="1"/>
  <c r="F133" i="1465" s="1"/>
  <c r="O132" i="1465" a="1"/>
  <c r="O132" i="1465" s="1"/>
  <c r="F176" i="1465" a="1"/>
  <c r="F176" i="1465" s="1"/>
  <c r="P132" i="1465" a="1"/>
  <c r="P132" i="1465" s="1"/>
  <c r="J84" i="1465"/>
  <c r="F177" i="1465" a="1"/>
  <c r="F177" i="1465" s="1"/>
  <c r="E84" i="1465" a="1"/>
  <c r="E84" i="1465" s="1"/>
  <c r="G177" i="1465" a="1"/>
  <c r="G177" i="1465" s="1"/>
  <c r="O135" i="1465" a="1"/>
  <c r="O135" i="1465" s="1"/>
  <c r="F132" i="1465" a="1"/>
  <c r="F132" i="1465" s="1"/>
  <c r="F129" i="1465" a="1"/>
  <c r="F129" i="1465" s="1"/>
  <c r="F126" i="1465" a="1"/>
  <c r="F126" i="1465" s="1"/>
  <c r="F123" i="1465" a="1"/>
  <c r="F123" i="1465" s="1"/>
  <c r="F120" i="1465" a="1"/>
  <c r="F120" i="1465" s="1"/>
  <c r="G172" i="1465" a="1"/>
  <c r="G172" i="1465" s="1"/>
  <c r="P129" i="1465" a="1"/>
  <c r="P129" i="1465" s="1"/>
  <c r="D149" i="1465" s="1"/>
  <c r="P126" i="1465" a="1"/>
  <c r="P126" i="1465" s="1"/>
  <c r="D146" i="1465" s="1"/>
  <c r="P123" i="1465" a="1"/>
  <c r="P123" i="1465" s="1"/>
  <c r="G133" i="1465" a="1"/>
  <c r="G133" i="1465" s="1"/>
  <c r="D154" i="1465" s="1"/>
  <c r="F130" i="1465" a="1"/>
  <c r="F130" i="1465" s="1"/>
  <c r="F127" i="1465" a="1"/>
  <c r="F127" i="1465" s="1"/>
  <c r="F124" i="1465" a="1"/>
  <c r="F124" i="1465" s="1"/>
  <c r="G171" i="1465" a="1"/>
  <c r="G171" i="1465" s="1"/>
  <c r="F135" i="1465" a="1"/>
  <c r="F135" i="1465" s="1"/>
  <c r="F131" i="1465" a="1"/>
  <c r="F131" i="1465" s="1"/>
  <c r="F128" i="1465" a="1"/>
  <c r="F128" i="1465" s="1"/>
  <c r="F125" i="1465" a="1"/>
  <c r="F125" i="1465" s="1"/>
  <c r="F122" i="1465" a="1"/>
  <c r="F122" i="1465" s="1"/>
  <c r="E86" i="1465" a="1"/>
  <c r="E86" i="1465" s="1"/>
  <c r="K15" i="1465" a="1"/>
  <c r="K15" i="1465" s="1"/>
  <c r="E12" i="1465" a="1"/>
  <c r="E12" i="1465" s="1"/>
  <c r="C45" i="1465" s="1" a="1"/>
  <c r="G178" i="1465" a="1"/>
  <c r="G178" i="1465" s="1"/>
  <c r="O131" i="1465" a="1"/>
  <c r="O131" i="1465" s="1"/>
  <c r="P130" i="1465" a="1"/>
  <c r="P130" i="1465" s="1"/>
  <c r="D151" i="1465" s="1"/>
  <c r="O122" i="1465" a="1"/>
  <c r="O122" i="1465" s="1"/>
  <c r="P121" i="1465" a="1"/>
  <c r="P121" i="1465" s="1"/>
  <c r="G120" i="1465" a="1"/>
  <c r="G120" i="1465" s="1"/>
  <c r="D142" i="1465" s="1"/>
  <c r="E23" i="1465" a="1"/>
  <c r="E23" i="1465" s="1"/>
  <c r="K13" i="1465" a="1"/>
  <c r="K13" i="1465" s="1"/>
  <c r="O129" i="1465" a="1"/>
  <c r="O129" i="1465" s="1"/>
  <c r="G125" i="1465" a="1"/>
  <c r="G125" i="1465" s="1"/>
  <c r="E25" i="1465" a="1"/>
  <c r="E25" i="1465" s="1"/>
  <c r="G134" i="1465" a="1"/>
  <c r="G134" i="1465" s="1"/>
  <c r="O128" i="1465" a="1"/>
  <c r="O128" i="1465" s="1"/>
  <c r="P127" i="1465" a="1"/>
  <c r="P127" i="1465" s="1"/>
  <c r="D147" i="1465" s="1"/>
  <c r="O120" i="1465" a="1"/>
  <c r="O120" i="1465" s="1"/>
  <c r="K21" i="1465" a="1"/>
  <c r="K21" i="1465" s="1"/>
  <c r="E15" i="1465" a="1"/>
  <c r="E15" i="1465" s="1"/>
  <c r="G169" i="1465" a="1"/>
  <c r="G169" i="1465" s="1"/>
  <c r="G135" i="1465" a="1"/>
  <c r="G135" i="1465" s="1"/>
  <c r="G132" i="1465" a="1"/>
  <c r="G132" i="1465" s="1"/>
  <c r="O127" i="1465" a="1"/>
  <c r="O127" i="1465" s="1"/>
  <c r="G123" i="1465" a="1"/>
  <c r="G123" i="1465" s="1"/>
  <c r="K22" i="1465" a="1"/>
  <c r="K22" i="1465" s="1"/>
  <c r="E33" i="1465" s="1" a="1"/>
  <c r="E33" i="1465" s="1"/>
  <c r="K33" i="1465" s="1"/>
  <c r="E14" i="1465" a="1"/>
  <c r="E14" i="1465" s="1"/>
  <c r="G131" i="1465" a="1"/>
  <c r="G131" i="1465" s="1"/>
  <c r="O126" i="1465" a="1"/>
  <c r="O126" i="1465" s="1"/>
  <c r="G122" i="1465" a="1"/>
  <c r="G122" i="1465" s="1"/>
  <c r="E87" i="1465" a="1"/>
  <c r="E87" i="1465" s="1"/>
  <c r="K23" i="1465" a="1"/>
  <c r="K23" i="1465" s="1"/>
  <c r="E13" i="1465" a="1"/>
  <c r="E13" i="1465" s="1"/>
  <c r="J13" i="1465" a="1"/>
  <c r="J13" i="1465" s="1"/>
  <c r="F68" i="1465" a="1"/>
  <c r="F68" i="1465" s="1"/>
  <c r="F78" i="1465" s="1"/>
  <c r="D101" i="1465" s="1" a="1"/>
  <c r="D89" i="1465" a="1"/>
  <c r="D89" i="1465" s="1"/>
  <c r="O121" i="1465" a="1"/>
  <c r="O121" i="1465" s="1"/>
  <c r="D123" i="1465" a="1"/>
  <c r="D123" i="1465" s="1"/>
  <c r="O124" i="1465" a="1"/>
  <c r="O124" i="1465" s="1"/>
  <c r="M134" i="1465" a="1"/>
  <c r="M134" i="1465" s="1"/>
  <c r="E170" i="1465" a="1"/>
  <c r="E170" i="1465" s="1"/>
  <c r="F233" i="1465" a="1"/>
  <c r="F233" i="1465" s="1"/>
  <c r="F50" i="951"/>
  <c r="C223" i="951"/>
  <c r="D19" i="2544"/>
  <c r="C34" i="1940"/>
  <c r="B22" i="2885" s="1"/>
  <c r="F52" i="951"/>
  <c r="D38" i="2210"/>
  <c r="C38" i="2210"/>
  <c r="D110" i="951"/>
  <c r="F57" i="951"/>
  <c r="D287" i="951" a="1"/>
  <c r="D287" i="951" s="1"/>
  <c r="D25" i="2544" s="1"/>
  <c r="D277" i="951"/>
  <c r="G271" i="951"/>
  <c r="G360" i="951" a="1"/>
  <c r="G360" i="951" s="1"/>
  <c r="F375" i="951" s="1"/>
  <c r="D278" i="951"/>
  <c r="H270" i="951"/>
  <c r="E25" i="2544" s="1"/>
  <c r="F248" i="951" a="1"/>
  <c r="F248" i="951" s="1"/>
  <c r="E247" i="951" a="1"/>
  <c r="E247" i="951" s="1"/>
  <c r="F212" i="951" a="1"/>
  <c r="F212" i="951" s="1"/>
  <c r="M201" i="951" a="1"/>
  <c r="M201" i="951" s="1"/>
  <c r="M167" i="951" a="1"/>
  <c r="M167" i="951" s="1"/>
  <c r="F158" i="951" a="1"/>
  <c r="F158" i="951" s="1"/>
  <c r="D58" i="951" a="1"/>
  <c r="D58" i="951" s="1"/>
  <c r="G58" i="951" s="1"/>
  <c r="G362" i="951" a="1"/>
  <c r="G362" i="951" s="1"/>
  <c r="F377" i="951" s="1"/>
  <c r="F360" i="951" a="1"/>
  <c r="F360" i="951" s="1"/>
  <c r="E375" i="951" s="1"/>
  <c r="F270" i="951"/>
  <c r="F214" i="951" a="1"/>
  <c r="F214" i="951" s="1"/>
  <c r="M203" i="951" a="1"/>
  <c r="M203" i="951" s="1"/>
  <c r="M169" i="951" a="1"/>
  <c r="M169" i="951" s="1"/>
  <c r="F160" i="951" a="1"/>
  <c r="F160" i="951" s="1"/>
  <c r="E136" i="951" a="1"/>
  <c r="E136" i="951" s="1"/>
  <c r="D52" i="951" a="1"/>
  <c r="D52" i="951" s="1"/>
  <c r="G52" i="951" s="1"/>
  <c r="G361" i="951" a="1"/>
  <c r="G361" i="951" s="1"/>
  <c r="F376" i="951" s="1"/>
  <c r="I276" i="951"/>
  <c r="E245" i="951" a="1"/>
  <c r="E245" i="951" s="1"/>
  <c r="E241" i="951" a="1"/>
  <c r="E241" i="951" s="1"/>
  <c r="F210" i="951" a="1"/>
  <c r="F210" i="951" s="1"/>
  <c r="F202" i="951" a="1"/>
  <c r="F202" i="951" s="1"/>
  <c r="M199" i="951" a="1"/>
  <c r="M199" i="951" s="1"/>
  <c r="M168" i="951" a="1"/>
  <c r="M168" i="951" s="1"/>
  <c r="D57" i="951" a="1"/>
  <c r="D57" i="951" s="1"/>
  <c r="G57" i="951" s="1"/>
  <c r="D50" i="951" a="1"/>
  <c r="D50" i="951" s="1"/>
  <c r="G363" i="951" a="1"/>
  <c r="G363" i="951" s="1"/>
  <c r="F378" i="951" s="1"/>
  <c r="I277" i="951"/>
  <c r="G269" i="951"/>
  <c r="M211" i="951" a="1"/>
  <c r="M211" i="951" s="1"/>
  <c r="M204" i="951" a="1"/>
  <c r="M204" i="951" s="1"/>
  <c r="M157" i="951" a="1"/>
  <c r="M157" i="951" s="1"/>
  <c r="D51" i="951" a="1"/>
  <c r="D51" i="951" s="1"/>
  <c r="N18" i="951" a="1"/>
  <c r="N18" i="951" s="1"/>
  <c r="G270" i="951"/>
  <c r="F247" i="951" a="1"/>
  <c r="F247" i="951" s="1"/>
  <c r="F204" i="951" a="1"/>
  <c r="F204" i="951" s="1"/>
  <c r="F168" i="951" a="1"/>
  <c r="F168" i="951" s="1"/>
  <c r="F157" i="951" a="1"/>
  <c r="F157" i="951" s="1"/>
  <c r="M155" i="951" a="1"/>
  <c r="M155" i="951" s="1"/>
  <c r="D54" i="951" a="1"/>
  <c r="D54" i="951" s="1"/>
  <c r="G54" i="951" s="1"/>
  <c r="C2" i="951"/>
  <c r="G366" i="951" a="1"/>
  <c r="G366" i="951" s="1"/>
  <c r="F381" i="951" s="1"/>
  <c r="F271" i="951"/>
  <c r="H269" i="951"/>
  <c r="E242" i="951" a="1"/>
  <c r="E242" i="951" s="1"/>
  <c r="M214" i="951" a="1"/>
  <c r="M214" i="951" s="1"/>
  <c r="F213" i="951" a="1"/>
  <c r="F213" i="951" s="1"/>
  <c r="M200" i="951" a="1"/>
  <c r="M200" i="951" s="1"/>
  <c r="M160" i="951" a="1"/>
  <c r="M160" i="951" s="1"/>
  <c r="F159" i="951" a="1"/>
  <c r="F159" i="951" s="1"/>
  <c r="G365" i="951" a="1"/>
  <c r="G365" i="951" s="1"/>
  <c r="F380" i="951" s="1"/>
  <c r="F156" i="951" a="1"/>
  <c r="F156" i="951" s="1"/>
  <c r="F169" i="951" a="1"/>
  <c r="F169" i="951" s="1"/>
  <c r="F165" i="951" a="1"/>
  <c r="F165" i="951" s="1"/>
  <c r="H271" i="951"/>
  <c r="F366" i="951" a="1"/>
  <c r="F366" i="951" s="1"/>
  <c r="E381" i="951" s="1"/>
  <c r="G364" i="951" a="1"/>
  <c r="G364" i="951" s="1"/>
  <c r="F379" i="951" s="1"/>
  <c r="I278" i="951"/>
  <c r="F246" i="951" a="1"/>
  <c r="F246" i="951" s="1"/>
  <c r="F211" i="951" a="1"/>
  <c r="F211" i="951" s="1"/>
  <c r="F203" i="951" a="1"/>
  <c r="F203" i="951" s="1"/>
  <c r="M170" i="951" a="1"/>
  <c r="M170" i="951" s="1"/>
  <c r="D56" i="951" a="1"/>
  <c r="D56" i="951" s="1"/>
  <c r="M166" i="951" a="1"/>
  <c r="M166" i="951" s="1"/>
  <c r="D189" i="951" s="1"/>
  <c r="E244" i="951" a="1"/>
  <c r="E244" i="951" s="1"/>
  <c r="H313" i="951"/>
  <c r="G324" i="951" a="1"/>
  <c r="G324" i="951" s="1"/>
  <c r="G325" i="951" s="1" a="1"/>
  <c r="G325" i="951" s="1"/>
  <c r="F361" i="951" a="1"/>
  <c r="F361" i="951" s="1"/>
  <c r="E376" i="951" s="1"/>
  <c r="F364" i="951" a="1"/>
  <c r="F364" i="951" s="1"/>
  <c r="E379" i="951" s="1"/>
  <c r="F201" i="951" a="1"/>
  <c r="F201" i="951" s="1"/>
  <c r="C242" i="951" a="1"/>
  <c r="C242" i="951" s="1"/>
  <c r="F244" i="951" a="1"/>
  <c r="F244" i="951" s="1"/>
  <c r="C277" i="951"/>
  <c r="M306" i="951" a="1"/>
  <c r="M306" i="951" s="1"/>
  <c r="D318" i="951"/>
  <c r="D365" i="951" a="1"/>
  <c r="D365" i="951" s="1"/>
  <c r="C380" i="951" s="1"/>
  <c r="F365" i="951" a="1"/>
  <c r="F365" i="951" s="1"/>
  <c r="E380" i="951" s="1"/>
  <c r="C12" i="951" a="1"/>
  <c r="C12" i="951" s="1"/>
  <c r="C14" i="951" a="1"/>
  <c r="C14" i="951" s="1"/>
  <c r="D106" i="951"/>
  <c r="F93" i="951"/>
  <c r="D135" i="951" a="1"/>
  <c r="D135" i="951" s="1"/>
  <c r="C143" i="951" s="1" a="1"/>
  <c r="C143" i="951" s="1"/>
  <c r="M158" i="951" a="1"/>
  <c r="M158" i="951" s="1"/>
  <c r="M165" i="951" a="1"/>
  <c r="M165" i="951" s="1"/>
  <c r="E240" i="951" a="1"/>
  <c r="E240" i="951" s="1"/>
  <c r="E243" i="951" a="1"/>
  <c r="E243" i="951" s="1"/>
  <c r="C246" i="951" a="1"/>
  <c r="C246" i="951" s="1"/>
  <c r="C312" i="951"/>
  <c r="M319" i="951"/>
  <c r="M318" i="951"/>
  <c r="G313" i="951"/>
  <c r="O307" i="951"/>
  <c r="G306" i="951"/>
  <c r="D270" i="951"/>
  <c r="C287" i="951" s="1"/>
  <c r="D20" i="2885" s="1"/>
  <c r="D366" i="951" a="1"/>
  <c r="D366" i="951" s="1"/>
  <c r="C381" i="951" s="1"/>
  <c r="E325" i="951" a="1"/>
  <c r="E325" i="951" s="1"/>
  <c r="D319" i="951"/>
  <c r="C318" i="951"/>
  <c r="P307" i="951"/>
  <c r="O306" i="951" a="1"/>
  <c r="O306" i="951" s="1"/>
  <c r="E306" i="951"/>
  <c r="C276" i="951"/>
  <c r="D294" i="951" s="1" a="1"/>
  <c r="D269" i="951"/>
  <c r="D245" i="951" a="1"/>
  <c r="D245" i="951" s="1"/>
  <c r="C243" i="951" a="1"/>
  <c r="C243" i="951" s="1"/>
  <c r="E210" i="951" a="1"/>
  <c r="E210" i="951" s="1"/>
  <c r="C229" i="951" s="1"/>
  <c r="L199" i="951" a="1"/>
  <c r="L199" i="951" s="1"/>
  <c r="H221" i="951" s="1"/>
  <c r="L165" i="951" a="1"/>
  <c r="L165" i="951" s="1"/>
  <c r="E156" i="951" a="1"/>
  <c r="E156" i="951" s="1"/>
  <c r="C124" i="951" a="1"/>
  <c r="C124" i="951" s="1"/>
  <c r="J16" i="3033" s="1"/>
  <c r="F120" i="951" a="1"/>
  <c r="F120" i="951" s="1"/>
  <c r="D109" i="951"/>
  <c r="C51" i="951" a="1"/>
  <c r="C51" i="951" s="1"/>
  <c r="G16" i="951" a="1"/>
  <c r="G16" i="951" s="1"/>
  <c r="F14" i="951" a="1"/>
  <c r="F14" i="951" s="1"/>
  <c r="H12" i="951" a="1"/>
  <c r="H12" i="951" s="1"/>
  <c r="D11" i="951" a="1"/>
  <c r="D11" i="951" s="1"/>
  <c r="D325" i="951" a="1"/>
  <c r="D325" i="951" s="1"/>
  <c r="N318" i="951"/>
  <c r="F313" i="951"/>
  <c r="M307" i="951"/>
  <c r="N306" i="951" a="1"/>
  <c r="N306" i="951" s="1"/>
  <c r="C306" i="951"/>
  <c r="D247" i="951" a="1"/>
  <c r="D247" i="951" s="1"/>
  <c r="C245" i="951" a="1"/>
  <c r="C245" i="951" s="1"/>
  <c r="E212" i="951" a="1"/>
  <c r="E212" i="951" s="1"/>
  <c r="L201" i="951" a="1"/>
  <c r="L201" i="951" s="1"/>
  <c r="L167" i="951" a="1"/>
  <c r="L167" i="951" s="1"/>
  <c r="E158" i="951" a="1"/>
  <c r="E158" i="951" s="1"/>
  <c r="F123" i="951" a="1"/>
  <c r="F123" i="951" s="1"/>
  <c r="E120" i="951" a="1"/>
  <c r="E120" i="951" s="1"/>
  <c r="E105" i="951"/>
  <c r="C58" i="951" a="1"/>
  <c r="C58" i="951" s="1"/>
  <c r="F16" i="951" a="1"/>
  <c r="F16" i="951" s="1"/>
  <c r="E14" i="951" a="1"/>
  <c r="E14" i="951" s="1"/>
  <c r="G12" i="951" a="1"/>
  <c r="G12" i="951" s="1"/>
  <c r="G17" i="951" s="1"/>
  <c r="E364" i="951" a="1"/>
  <c r="E364" i="951" s="1"/>
  <c r="D379" i="951" s="1"/>
  <c r="E360" i="951" a="1"/>
  <c r="E360" i="951" s="1"/>
  <c r="D375" i="951" s="1"/>
  <c r="C324" i="951" a="1"/>
  <c r="C324" i="951" s="1"/>
  <c r="G332" i="951" s="1" a="1"/>
  <c r="K318" i="951"/>
  <c r="H312" i="951"/>
  <c r="E307" i="951"/>
  <c r="H306" i="951"/>
  <c r="C269" i="951"/>
  <c r="C244" i="951" a="1"/>
  <c r="C244" i="951" s="1"/>
  <c r="E214" i="951" a="1"/>
  <c r="E214" i="951" s="1"/>
  <c r="L211" i="951" a="1"/>
  <c r="L211" i="951" s="1"/>
  <c r="L203" i="951" a="1"/>
  <c r="L203" i="951" s="1"/>
  <c r="E170" i="951" a="1"/>
  <c r="E170" i="951" s="1"/>
  <c r="E166" i="951" a="1"/>
  <c r="E166" i="951" s="1"/>
  <c r="L159" i="951" a="1"/>
  <c r="L159" i="951" s="1"/>
  <c r="L155" i="951" a="1"/>
  <c r="L155" i="951" s="1"/>
  <c r="H177" i="951" s="1"/>
  <c r="F121" i="951" a="1"/>
  <c r="F121" i="951" s="1"/>
  <c r="D16" i="951" a="1"/>
  <c r="D16" i="951" s="1"/>
  <c r="H14" i="951" a="1"/>
  <c r="H14" i="951" s="1"/>
  <c r="H11" i="951" a="1"/>
  <c r="H11" i="951" s="1"/>
  <c r="E362" i="951" a="1"/>
  <c r="E362" i="951" s="1"/>
  <c r="D377" i="951" s="1"/>
  <c r="D324" i="951" a="1"/>
  <c r="D324" i="951" s="1"/>
  <c r="J318" i="951"/>
  <c r="F312" i="951"/>
  <c r="P306" i="951" a="1"/>
  <c r="P306" i="951" s="1"/>
  <c r="E271" i="951"/>
  <c r="D288" i="951" s="1" a="1"/>
  <c r="D288" i="951" s="1"/>
  <c r="C248" i="951" a="1"/>
  <c r="C248" i="951" s="1"/>
  <c r="E213" i="951" a="1"/>
  <c r="E213" i="951" s="1"/>
  <c r="L200" i="951" a="1"/>
  <c r="L200" i="951" s="1"/>
  <c r="H222" i="951" s="1"/>
  <c r="E199" i="951" a="1"/>
  <c r="E199" i="951" s="1"/>
  <c r="C221" i="951" s="1" a="1"/>
  <c r="C221" i="951" s="1"/>
  <c r="E159" i="951" a="1"/>
  <c r="E159" i="951" s="1"/>
  <c r="E124" i="951" a="1"/>
  <c r="E124" i="951" s="1"/>
  <c r="E122" i="951" a="1"/>
  <c r="E122" i="951" s="1"/>
  <c r="C53" i="951" a="1"/>
  <c r="C53" i="951" s="1"/>
  <c r="E13" i="951" a="1"/>
  <c r="E13" i="951" s="1"/>
  <c r="E12" i="951" a="1"/>
  <c r="E12" i="951" s="1"/>
  <c r="F11" i="951" a="1"/>
  <c r="F11" i="951" s="1"/>
  <c r="C325" i="951" a="1"/>
  <c r="C325" i="951" s="1"/>
  <c r="H332" i="951" s="1" a="1"/>
  <c r="I319" i="951"/>
  <c r="E318" i="951"/>
  <c r="L307" i="951"/>
  <c r="L306" i="951" a="1"/>
  <c r="L306" i="951" s="1"/>
  <c r="H276" i="951"/>
  <c r="C294" i="951" s="1" a="1"/>
  <c r="D243" i="951" a="1"/>
  <c r="D243" i="951" s="1"/>
  <c r="L212" i="951" a="1"/>
  <c r="L212" i="951" s="1"/>
  <c r="E211" i="951" a="1"/>
  <c r="E211" i="951" s="1"/>
  <c r="F125" i="951" a="1"/>
  <c r="F125" i="951" s="1"/>
  <c r="E123" i="951" a="1"/>
  <c r="E123" i="951" s="1"/>
  <c r="C56" i="951" a="1"/>
  <c r="C56" i="951" s="1"/>
  <c r="G15" i="951" a="1"/>
  <c r="G15" i="951" s="1"/>
  <c r="D14" i="951" a="1"/>
  <c r="D14" i="951" s="1"/>
  <c r="E365" i="951" a="1"/>
  <c r="E365" i="951" s="1"/>
  <c r="D380" i="951" s="1"/>
  <c r="L318" i="951"/>
  <c r="G312" i="951"/>
  <c r="C307" i="951"/>
  <c r="C278" i="951"/>
  <c r="C241" i="951" a="1"/>
  <c r="C241" i="951" s="1"/>
  <c r="E209" i="951" a="1"/>
  <c r="E209" i="951" s="1"/>
  <c r="E202" i="951" a="1"/>
  <c r="E202" i="951" s="1"/>
  <c r="E169" i="951" a="1"/>
  <c r="E169" i="951" s="1"/>
  <c r="E155" i="951" a="1"/>
  <c r="E155" i="951" s="1"/>
  <c r="C177" i="951" s="1"/>
  <c r="D136" i="951" a="1"/>
  <c r="D136" i="951" s="1"/>
  <c r="D120" i="951" a="1"/>
  <c r="D120" i="951" s="1"/>
  <c r="F319" i="951"/>
  <c r="E312" i="951"/>
  <c r="E160" i="951" a="1"/>
  <c r="E160" i="951" s="1"/>
  <c r="D122" i="951" a="1"/>
  <c r="D122" i="951" s="1"/>
  <c r="D104" i="951"/>
  <c r="C55" i="951" a="1"/>
  <c r="C55" i="951" s="1"/>
  <c r="D363" i="951" a="1"/>
  <c r="D363" i="951" s="1"/>
  <c r="C378" i="951" s="1"/>
  <c r="C374" i="951" s="1"/>
  <c r="H318" i="951"/>
  <c r="K307" i="951"/>
  <c r="F306" i="951"/>
  <c r="E269" i="951"/>
  <c r="D241" i="951" a="1"/>
  <c r="D241" i="951" s="1"/>
  <c r="L213" i="951" a="1"/>
  <c r="L213" i="951" s="1"/>
  <c r="L209" i="951" a="1"/>
  <c r="L209" i="951" s="1"/>
  <c r="L157" i="951" a="1"/>
  <c r="L157" i="951" s="1"/>
  <c r="D124" i="951" a="1"/>
  <c r="D124" i="951" s="1"/>
  <c r="D121" i="951" a="1"/>
  <c r="D121" i="951" s="1"/>
  <c r="E15" i="951" a="1"/>
  <c r="E15" i="951" s="1"/>
  <c r="E11" i="951" a="1"/>
  <c r="E11" i="951" s="1"/>
  <c r="D361" i="951" a="1"/>
  <c r="D361" i="951" s="1"/>
  <c r="C376" i="951" s="1"/>
  <c r="E324" i="951" a="1"/>
  <c r="E324" i="951" s="1"/>
  <c r="G318" i="951"/>
  <c r="H307" i="951"/>
  <c r="D306" i="951"/>
  <c r="E167" i="951" a="1"/>
  <c r="E167" i="951" s="1"/>
  <c r="F92" i="951"/>
  <c r="G13" i="951" a="1"/>
  <c r="G13" i="951" s="1"/>
  <c r="N319" i="951"/>
  <c r="F318" i="951"/>
  <c r="G307" i="951"/>
  <c r="D271" i="951"/>
  <c r="C288" i="951" s="1"/>
  <c r="E165" i="951" a="1"/>
  <c r="E165" i="951" s="1"/>
  <c r="C121" i="951" a="1"/>
  <c r="C121" i="951" s="1"/>
  <c r="C54" i="951" a="1"/>
  <c r="C54" i="951" s="1"/>
  <c r="H16" i="951" a="1"/>
  <c r="H16" i="951" s="1"/>
  <c r="D15" i="951" a="1"/>
  <c r="D15" i="951" s="1"/>
  <c r="F13" i="951" a="1"/>
  <c r="F13" i="951" s="1"/>
  <c r="D12" i="951" a="1"/>
  <c r="D12" i="951" s="1"/>
  <c r="C11" i="951" a="1"/>
  <c r="C11" i="951" s="1"/>
  <c r="D364" i="951" a="1"/>
  <c r="D364" i="951" s="1"/>
  <c r="C379" i="951" s="1"/>
  <c r="N17" i="951" a="1"/>
  <c r="N17" i="951" s="1"/>
  <c r="C123" i="951" a="1"/>
  <c r="C123" i="951" s="1"/>
  <c r="J15" i="3033" s="1"/>
  <c r="M156" i="951" a="1"/>
  <c r="M156" i="951" s="1"/>
  <c r="L166" i="951" a="1"/>
  <c r="L166" i="951" s="1"/>
  <c r="C187" i="951" s="1"/>
  <c r="E201" i="951" a="1"/>
  <c r="E201" i="951" s="1"/>
  <c r="E204" i="951" a="1"/>
  <c r="E204" i="951" s="1"/>
  <c r="M210" i="951" a="1"/>
  <c r="M210" i="951" s="1"/>
  <c r="D229" i="951" s="1"/>
  <c r="M213" i="951" a="1"/>
  <c r="M213" i="951" s="1"/>
  <c r="F241" i="951" a="1"/>
  <c r="F241" i="951" s="1"/>
  <c r="D276" i="951"/>
  <c r="K306" i="951" a="1"/>
  <c r="K306" i="951" s="1"/>
  <c r="E313" i="951"/>
  <c r="K57" i="1940" a="1"/>
  <c r="K57" i="1940" s="1"/>
  <c r="L57" i="1940" s="1"/>
  <c r="E70" i="1940" s="1"/>
  <c r="D55" i="1940" a="1"/>
  <c r="D55" i="1940" s="1"/>
  <c r="D68" i="1940" s="1"/>
  <c r="E24" i="1940" a="1"/>
  <c r="E24" i="1940" s="1"/>
  <c r="D36" i="1940" s="1"/>
  <c r="J28" i="3033" s="1"/>
  <c r="L16" i="1940" a="1"/>
  <c r="L16" i="1940" s="1"/>
  <c r="E15" i="1940" a="1"/>
  <c r="E15" i="1940" s="1"/>
  <c r="C37" i="1940" s="1"/>
  <c r="K56" i="1940" a="1"/>
  <c r="K56" i="1940" s="1"/>
  <c r="L56" i="1940" s="1"/>
  <c r="D54" i="1940" a="1"/>
  <c r="D54" i="1940" s="1"/>
  <c r="D67" i="1940" s="1"/>
  <c r="J67" i="1940" s="1" a="1"/>
  <c r="E53" i="1940" a="1"/>
  <c r="E53" i="1940" s="1"/>
  <c r="D24" i="1940" a="1"/>
  <c r="D24" i="1940" s="1"/>
  <c r="K16" i="1940" a="1"/>
  <c r="K16" i="1940" s="1"/>
  <c r="D15" i="1940" a="1"/>
  <c r="D15" i="1940" s="1"/>
  <c r="K55" i="1940" a="1"/>
  <c r="K55" i="1940" s="1"/>
  <c r="L55" i="1940" s="1"/>
  <c r="E68" i="1940" s="1"/>
  <c r="D53" i="1940" a="1"/>
  <c r="D53" i="1940" s="1"/>
  <c r="D66" i="1940" s="1"/>
  <c r="D25" i="1940" a="1"/>
  <c r="D25" i="1940" s="1"/>
  <c r="D22" i="1940" a="1"/>
  <c r="D22" i="1940" s="1"/>
  <c r="K15" i="1940" a="1"/>
  <c r="K15" i="1940" s="1"/>
  <c r="D14" i="1940" a="1"/>
  <c r="D14" i="1940" s="1"/>
  <c r="E26" i="1940" a="1"/>
  <c r="E26" i="1940" s="1"/>
  <c r="D38" i="1940" s="1"/>
  <c r="J30" i="3033" s="1"/>
  <c r="E23" i="1940" a="1"/>
  <c r="E23" i="1940" s="1"/>
  <c r="D35" i="1940" s="1"/>
  <c r="J27" i="3033" s="1"/>
  <c r="E16" i="1940" a="1"/>
  <c r="E16" i="1940" s="1"/>
  <c r="C38" i="1940" s="1"/>
  <c r="L14" i="1940" a="1"/>
  <c r="L14" i="1940" s="1"/>
  <c r="L13" i="1940" a="1"/>
  <c r="L13" i="1940" s="1"/>
  <c r="D56" i="1940" a="1"/>
  <c r="D56" i="1940" s="1"/>
  <c r="D69" i="1940" s="1"/>
  <c r="K14" i="1940" a="1"/>
  <c r="K14" i="1940" s="1"/>
  <c r="E55" i="1940" a="1"/>
  <c r="E55" i="1940" s="1"/>
  <c r="E54" i="1940" a="1"/>
  <c r="E54" i="1940" s="1"/>
  <c r="K13" i="1940" a="1"/>
  <c r="K13" i="1940" s="1"/>
  <c r="E56" i="1940" a="1"/>
  <c r="E56" i="1940" s="1"/>
  <c r="E25" i="1940" a="1"/>
  <c r="E25" i="1940" s="1"/>
  <c r="D37" i="1940" s="1"/>
  <c r="J29" i="3033" s="1"/>
  <c r="D13" i="1940" a="1"/>
  <c r="D13" i="1940" s="1"/>
  <c r="C35" i="1940" s="1"/>
  <c r="B2" i="1940"/>
  <c r="C2" i="1940" s="1"/>
  <c r="K58" i="1940" a="1"/>
  <c r="K58" i="1940" s="1"/>
  <c r="D23" i="1940" a="1"/>
  <c r="D23" i="1940" s="1"/>
  <c r="L15" i="1940" a="1"/>
  <c r="L15" i="1940" s="1"/>
  <c r="K53" i="1940" a="1"/>
  <c r="K53" i="1940" s="1"/>
  <c r="L53" i="1940" s="1"/>
  <c r="E66" i="1940" s="1"/>
  <c r="F26" i="2210" a="1"/>
  <c r="F26" i="2210" s="1"/>
  <c r="F25" i="2210" a="1"/>
  <c r="F25" i="2210" s="1"/>
  <c r="F24" i="2210" a="1"/>
  <c r="F24" i="2210" s="1"/>
  <c r="F23" i="2210" a="1"/>
  <c r="F23" i="2210" s="1"/>
  <c r="F22" i="2210" a="1"/>
  <c r="F22" i="2210" s="1"/>
  <c r="F16" i="2210" a="1"/>
  <c r="F16" i="2210" s="1"/>
  <c r="F15" i="2210" a="1"/>
  <c r="F15" i="2210" s="1"/>
  <c r="F14" i="2210" a="1"/>
  <c r="F14" i="2210" s="1"/>
  <c r="F13" i="2210" a="1"/>
  <c r="F13" i="2210" s="1"/>
  <c r="F12" i="2210" a="1"/>
  <c r="F12" i="2210" s="1"/>
  <c r="C2" i="2210"/>
  <c r="G26" i="2210" a="1"/>
  <c r="G26" i="2210" s="1"/>
  <c r="G25" i="2210" a="1"/>
  <c r="G25" i="2210" s="1"/>
  <c r="G24" i="2210" a="1"/>
  <c r="G24" i="2210" s="1"/>
  <c r="G23" i="2210" a="1"/>
  <c r="G23" i="2210" s="1"/>
  <c r="G22" i="2210" a="1"/>
  <c r="G22" i="2210" s="1"/>
  <c r="G16" i="2210" a="1"/>
  <c r="G16" i="2210" s="1"/>
  <c r="G15" i="2210" a="1"/>
  <c r="G15" i="2210" s="1"/>
  <c r="G14" i="2210" a="1"/>
  <c r="G14" i="2210" s="1"/>
  <c r="G13" i="2210" a="1"/>
  <c r="G13" i="2210" s="1"/>
  <c r="G12" i="2210" a="1"/>
  <c r="G12" i="2210" s="1"/>
  <c r="K54" i="1940" a="1"/>
  <c r="K54" i="1940" s="1"/>
  <c r="L54" i="1940" s="1"/>
  <c r="K12" i="1940" a="1"/>
  <c r="K12" i="1940" s="1"/>
  <c r="L12" i="1940" a="1"/>
  <c r="L12" i="1940" s="1"/>
  <c r="E14" i="1940" a="1"/>
  <c r="E14" i="1940" s="1"/>
  <c r="E57" i="1940" a="1"/>
  <c r="E57" i="1940" s="1"/>
  <c r="V161" i="1261"/>
  <c r="M185" i="1261" s="1"/>
  <c r="I185" i="1261" s="1"/>
  <c r="L11" i="1261" a="1"/>
  <c r="L11" i="1261" s="1"/>
  <c r="E107" i="1261" s="1"/>
  <c r="J121" i="3033" s="1"/>
  <c r="D13" i="1261" a="1"/>
  <c r="D13" i="1261" s="1"/>
  <c r="E16" i="1261" a="1"/>
  <c r="E16" i="1261" s="1"/>
  <c r="E20" i="1261" a="1"/>
  <c r="E20" i="1261" s="1"/>
  <c r="E24" i="1261" a="1"/>
  <c r="E24" i="1261" s="1"/>
  <c r="F32" i="1261" a="1"/>
  <c r="F32" i="1261" s="1"/>
  <c r="R34" i="1261" a="1"/>
  <c r="R34" i="1261" s="1"/>
  <c r="L37" i="1261" a="1"/>
  <c r="L37" i="1261" s="1"/>
  <c r="K38" i="1261" a="1"/>
  <c r="K38" i="1261" s="1"/>
  <c r="L39" i="1261" a="1"/>
  <c r="L39" i="1261" s="1"/>
  <c r="K40" i="1261" a="1"/>
  <c r="K40" i="1261" s="1"/>
  <c r="Q41" i="1261" a="1"/>
  <c r="Q41" i="1261" s="1"/>
  <c r="E188" i="1261" s="1"/>
  <c r="F47" i="1261" a="1"/>
  <c r="F47" i="1261" s="1"/>
  <c r="D57" i="1261" a="1"/>
  <c r="D57" i="1261" s="1"/>
  <c r="D81" i="1261" a="1"/>
  <c r="D81" i="1261" s="1"/>
  <c r="Q139" i="1261" a="1"/>
  <c r="Q139" i="1261" s="1"/>
  <c r="P11" i="1261" a="1"/>
  <c r="P11" i="1261" s="1"/>
  <c r="C108" i="1261" s="1"/>
  <c r="E13" i="1261" a="1"/>
  <c r="E13" i="1261" s="1"/>
  <c r="K15" i="1261" a="1"/>
  <c r="K15" i="1261" s="1"/>
  <c r="K19" i="1261" a="1"/>
  <c r="K19" i="1261" s="1"/>
  <c r="K23" i="1261" a="1"/>
  <c r="K23" i="1261" s="1"/>
  <c r="K31" i="1261" a="1"/>
  <c r="K31" i="1261" s="1"/>
  <c r="J32" i="1261" a="1"/>
  <c r="J32" i="1261" s="1"/>
  <c r="F33" i="1261" a="1"/>
  <c r="F33" i="1261" s="1"/>
  <c r="E34" i="1261" a="1"/>
  <c r="E34" i="1261" s="1"/>
  <c r="D35" i="1261" a="1"/>
  <c r="D35" i="1261" s="1"/>
  <c r="R35" i="1261" a="1"/>
  <c r="R35" i="1261" s="1"/>
  <c r="Q36" i="1261" a="1"/>
  <c r="Q36" i="1261" s="1"/>
  <c r="P37" i="1261" a="1"/>
  <c r="P37" i="1261" s="1"/>
  <c r="D183" i="1261" s="1"/>
  <c r="P39" i="1261" a="1"/>
  <c r="P39" i="1261" s="1"/>
  <c r="R41" i="1261" a="1"/>
  <c r="R41" i="1261" s="1"/>
  <c r="F188" i="1261" s="1"/>
  <c r="P61" i="1261" a="1"/>
  <c r="P61" i="1261" s="1"/>
  <c r="K123" i="1261" a="1"/>
  <c r="K123" i="1261" s="1"/>
  <c r="Q11" i="1261" a="1"/>
  <c r="Q11" i="1261" s="1"/>
  <c r="D108" i="1261" s="1"/>
  <c r="J113" i="3033" s="1"/>
  <c r="F13" i="1261" a="1"/>
  <c r="F13" i="1261" s="1"/>
  <c r="Q14" i="1261" a="1"/>
  <c r="Q14" i="1261" s="1"/>
  <c r="Q18" i="1261" a="1"/>
  <c r="Q18" i="1261" s="1"/>
  <c r="Q22" i="1261" a="1"/>
  <c r="Q22" i="1261" s="1"/>
  <c r="Q30" i="1261" a="1"/>
  <c r="Q30" i="1261" s="1"/>
  <c r="K32" i="1261" a="1"/>
  <c r="K32" i="1261" s="1"/>
  <c r="J33" i="1261" a="1"/>
  <c r="J33" i="1261" s="1"/>
  <c r="E35" i="1261" a="1"/>
  <c r="E35" i="1261" s="1"/>
  <c r="D36" i="1261" a="1"/>
  <c r="D36" i="1261" s="1"/>
  <c r="Q37" i="1261" a="1"/>
  <c r="Q37" i="1261" s="1"/>
  <c r="E183" i="1261" s="1"/>
  <c r="R38" i="1261" a="1"/>
  <c r="R38" i="1261" s="1"/>
  <c r="Q39" i="1261" a="1"/>
  <c r="Q39" i="1261" s="1"/>
  <c r="F48" i="1261" a="1"/>
  <c r="F48" i="1261" s="1"/>
  <c r="D59" i="1261" a="1"/>
  <c r="D59" i="1261" s="1"/>
  <c r="J66" i="1261" a="1"/>
  <c r="J66" i="1261" s="1"/>
  <c r="D83" i="1261" a="1"/>
  <c r="D83" i="1261" s="1"/>
  <c r="Q132" i="1261" a="1"/>
  <c r="Q132" i="1261" s="1"/>
  <c r="W132" i="1261" s="1"/>
  <c r="E11" i="1261" a="1"/>
  <c r="E11" i="1261" s="1"/>
  <c r="L12" i="1261" a="1"/>
  <c r="L12" i="1261" s="1"/>
  <c r="D14" i="1261" a="1"/>
  <c r="D14" i="1261" s="1"/>
  <c r="R14" i="1261" a="1"/>
  <c r="R14" i="1261" s="1"/>
  <c r="P15" i="1261" a="1"/>
  <c r="P15" i="1261" s="1"/>
  <c r="K16" i="1261" a="1"/>
  <c r="K16" i="1261" s="1"/>
  <c r="F17" i="1261" a="1"/>
  <c r="F17" i="1261" s="1"/>
  <c r="D18" i="1261" a="1"/>
  <c r="D18" i="1261" s="1"/>
  <c r="R18" i="1261" a="1"/>
  <c r="R18" i="1261" s="1"/>
  <c r="P19" i="1261" a="1"/>
  <c r="P19" i="1261" s="1"/>
  <c r="K20" i="1261" a="1"/>
  <c r="K20" i="1261" s="1"/>
  <c r="F21" i="1261" a="1"/>
  <c r="F21" i="1261" s="1"/>
  <c r="D22" i="1261" a="1"/>
  <c r="D22" i="1261" s="1"/>
  <c r="R22" i="1261" a="1"/>
  <c r="R22" i="1261" s="1"/>
  <c r="P23" i="1261" a="1"/>
  <c r="P23" i="1261" s="1"/>
  <c r="K24" i="1261" a="1"/>
  <c r="K24" i="1261" s="1"/>
  <c r="F29" i="1261" a="1"/>
  <c r="F29" i="1261" s="1"/>
  <c r="D30" i="1261" a="1"/>
  <c r="D30" i="1261" s="1"/>
  <c r="R30" i="1261" a="1"/>
  <c r="R30" i="1261" s="1"/>
  <c r="P31" i="1261" a="1"/>
  <c r="P31" i="1261" s="1"/>
  <c r="L32" i="1261" a="1"/>
  <c r="L32" i="1261" s="1"/>
  <c r="K33" i="1261" a="1"/>
  <c r="K33" i="1261" s="1"/>
  <c r="J34" i="1261" a="1"/>
  <c r="J34" i="1261" s="1"/>
  <c r="F35" i="1261" a="1"/>
  <c r="F35" i="1261" s="1"/>
  <c r="E36" i="1261" a="1"/>
  <c r="E36" i="1261" s="1"/>
  <c r="D37" i="1261" a="1"/>
  <c r="D37" i="1261" s="1"/>
  <c r="C183" i="1261" s="1"/>
  <c r="R37" i="1261" a="1"/>
  <c r="R37" i="1261" s="1"/>
  <c r="F183" i="1261" s="1"/>
  <c r="R39" i="1261" a="1"/>
  <c r="R39" i="1261" s="1"/>
  <c r="D41" i="1261" a="1"/>
  <c r="D41" i="1261" s="1"/>
  <c r="C188" i="1261" s="1"/>
  <c r="K42" i="1261" a="1"/>
  <c r="K42" i="1261" s="1"/>
  <c r="D49" i="1261" a="1"/>
  <c r="D49" i="1261" s="1"/>
  <c r="P75" i="1261" a="1"/>
  <c r="P75" i="1261" s="1"/>
  <c r="H111" i="1261" s="1"/>
  <c r="M171" i="1261" s="1"/>
  <c r="I171" i="1261" s="1"/>
  <c r="D12" i="2210" a="1"/>
  <c r="D12" i="2210" s="1"/>
  <c r="D13" i="2210" a="1"/>
  <c r="D13" i="2210" s="1"/>
  <c r="D14" i="2210" a="1"/>
  <c r="D14" i="2210" s="1"/>
  <c r="D15" i="2210" a="1"/>
  <c r="D15" i="2210" s="1"/>
  <c r="D16" i="2210" a="1"/>
  <c r="D16" i="2210" s="1"/>
  <c r="D22" i="2210" a="1"/>
  <c r="D22" i="2210" s="1"/>
  <c r="D23" i="2210" a="1"/>
  <c r="D23" i="2210" s="1"/>
  <c r="D24" i="2210" a="1"/>
  <c r="D24" i="2210" s="1"/>
  <c r="D25" i="2210" a="1"/>
  <c r="D25" i="2210" s="1"/>
  <c r="D26" i="2210" a="1"/>
  <c r="D26" i="2210" s="1"/>
  <c r="R11" i="1261" a="1"/>
  <c r="R11" i="1261" s="1"/>
  <c r="E108" i="1261" s="1"/>
  <c r="J109" i="3033" s="1"/>
  <c r="J13" i="1261" a="1"/>
  <c r="J13" i="1261" s="1"/>
  <c r="E14" i="1261" a="1"/>
  <c r="E14" i="1261" s="1"/>
  <c r="E18" i="1261" a="1"/>
  <c r="E18" i="1261" s="1"/>
  <c r="E22" i="1261" a="1"/>
  <c r="E22" i="1261" s="1"/>
  <c r="E30" i="1261" a="1"/>
  <c r="E30" i="1261" s="1"/>
  <c r="L33" i="1261" a="1"/>
  <c r="L33" i="1261" s="1"/>
  <c r="F36" i="1261" a="1"/>
  <c r="F36" i="1261" s="1"/>
  <c r="D39" i="1261" a="1"/>
  <c r="D39" i="1261" s="1"/>
  <c r="P57" i="1261" a="1"/>
  <c r="P57" i="1261" s="1"/>
  <c r="H108" i="1261" s="1"/>
  <c r="J62" i="1261" a="1"/>
  <c r="J62" i="1261" s="1"/>
  <c r="D67" i="1261" a="1"/>
  <c r="D67" i="1261" s="1"/>
  <c r="F11" i="1261" a="1"/>
  <c r="F11" i="1261" s="1"/>
  <c r="P12" i="1261" a="1"/>
  <c r="P12" i="1261" s="1"/>
  <c r="F14" i="1261" a="1"/>
  <c r="F14" i="1261" s="1"/>
  <c r="D15" i="1261" a="1"/>
  <c r="D15" i="1261" s="1"/>
  <c r="Q15" i="1261" a="1"/>
  <c r="Q15" i="1261" s="1"/>
  <c r="L16" i="1261" a="1"/>
  <c r="L16" i="1261" s="1"/>
  <c r="J17" i="1261" a="1"/>
  <c r="J17" i="1261" s="1"/>
  <c r="F18" i="1261" a="1"/>
  <c r="F18" i="1261" s="1"/>
  <c r="D19" i="1261" a="1"/>
  <c r="D19" i="1261" s="1"/>
  <c r="Q19" i="1261" a="1"/>
  <c r="Q19" i="1261" s="1"/>
  <c r="L20" i="1261" a="1"/>
  <c r="L20" i="1261" s="1"/>
  <c r="J21" i="1261" a="1"/>
  <c r="J21" i="1261" s="1"/>
  <c r="F22" i="1261" a="1"/>
  <c r="F22" i="1261" s="1"/>
  <c r="D23" i="1261" a="1"/>
  <c r="D23" i="1261" s="1"/>
  <c r="Q23" i="1261" a="1"/>
  <c r="Q23" i="1261" s="1"/>
  <c r="L24" i="1261" a="1"/>
  <c r="L24" i="1261" s="1"/>
  <c r="J29" i="1261" a="1"/>
  <c r="J29" i="1261" s="1"/>
  <c r="C109" i="1261" s="1"/>
  <c r="F30" i="1261" a="1"/>
  <c r="F30" i="1261" s="1"/>
  <c r="D31" i="1261" a="1"/>
  <c r="D31" i="1261" s="1"/>
  <c r="Q31" i="1261" a="1"/>
  <c r="Q31" i="1261" s="1"/>
  <c r="P32" i="1261" a="1"/>
  <c r="P32" i="1261" s="1"/>
  <c r="K34" i="1261" a="1"/>
  <c r="K34" i="1261" s="1"/>
  <c r="J35" i="1261" a="1"/>
  <c r="J35" i="1261" s="1"/>
  <c r="E37" i="1261" a="1"/>
  <c r="E37" i="1261" s="1"/>
  <c r="D38" i="1261" a="1"/>
  <c r="D38" i="1261" s="1"/>
  <c r="D40" i="1261" a="1"/>
  <c r="D40" i="1261" s="1"/>
  <c r="E41" i="1261" a="1"/>
  <c r="E41" i="1261" s="1"/>
  <c r="L42" i="1261" a="1"/>
  <c r="L42" i="1261" s="1"/>
  <c r="P79" i="1261" a="1"/>
  <c r="P79" i="1261" s="1"/>
  <c r="J126" i="1261" a="1"/>
  <c r="J126" i="1261" s="1"/>
  <c r="P135" i="1261" a="1"/>
  <c r="P135" i="1261" s="1"/>
  <c r="E12" i="2210" a="1"/>
  <c r="E12" i="2210" s="1"/>
  <c r="E13" i="2210" a="1"/>
  <c r="E13" i="2210" s="1"/>
  <c r="I35" i="2210" s="1"/>
  <c r="E14" i="2210" a="1"/>
  <c r="E14" i="2210" s="1"/>
  <c r="I36" i="2210" s="1"/>
  <c r="E15" i="2210" a="1"/>
  <c r="E15" i="2210" s="1"/>
  <c r="I37" i="2210" s="1"/>
  <c r="E16" i="2210" a="1"/>
  <c r="E16" i="2210" s="1"/>
  <c r="I38" i="2210" s="1"/>
  <c r="E22" i="2210" a="1"/>
  <c r="E22" i="2210" s="1"/>
  <c r="E23" i="2210" a="1"/>
  <c r="E23" i="2210" s="1"/>
  <c r="E24" i="2210" a="1"/>
  <c r="E24" i="2210" s="1"/>
  <c r="E25" i="2210" a="1"/>
  <c r="E25" i="2210" s="1"/>
  <c r="D12" i="1261" a="1"/>
  <c r="D12" i="1261" s="1"/>
  <c r="K13" i="1261" a="1"/>
  <c r="K13" i="1261" s="1"/>
  <c r="K17" i="1261" a="1"/>
  <c r="K17" i="1261" s="1"/>
  <c r="K21" i="1261" a="1"/>
  <c r="K21" i="1261" s="1"/>
  <c r="K29" i="1261" a="1"/>
  <c r="K29" i="1261" s="1"/>
  <c r="D109" i="1261" s="1"/>
  <c r="J101" i="3033" s="1"/>
  <c r="J100" i="3033" s="1"/>
  <c r="R31" i="1261" a="1"/>
  <c r="R31" i="1261" s="1"/>
  <c r="Q32" i="1261" a="1"/>
  <c r="Q32" i="1261" s="1"/>
  <c r="P33" i="1261" a="1"/>
  <c r="P33" i="1261" s="1"/>
  <c r="L34" i="1261" a="1"/>
  <c r="L34" i="1261" s="1"/>
  <c r="K35" i="1261" a="1"/>
  <c r="K35" i="1261" s="1"/>
  <c r="J36" i="1261" a="1"/>
  <c r="J36" i="1261" s="1"/>
  <c r="F37" i="1261" a="1"/>
  <c r="F37" i="1261" s="1"/>
  <c r="F38" i="1261" a="1"/>
  <c r="F38" i="1261" s="1"/>
  <c r="E39" i="1261" a="1"/>
  <c r="E39" i="1261" s="1"/>
  <c r="F40" i="1261" a="1"/>
  <c r="F40" i="1261" s="1"/>
  <c r="F41" i="1261" a="1"/>
  <c r="F41" i="1261" s="1"/>
  <c r="P69" i="1261" a="1"/>
  <c r="P69" i="1261" s="1"/>
  <c r="K126" i="1261" a="1"/>
  <c r="K126" i="1261" s="1"/>
  <c r="D215" i="1261"/>
  <c r="C224" i="1261" s="1"/>
  <c r="P164" i="1261" a="1"/>
  <c r="P164" i="1261" s="1"/>
  <c r="P159" i="1261" a="1"/>
  <c r="P159" i="1261" s="1"/>
  <c r="P154" i="1261" a="1"/>
  <c r="P154" i="1261" s="1"/>
  <c r="Q138" i="1261" a="1"/>
  <c r="Q138" i="1261" s="1"/>
  <c r="W138" i="1261" s="1"/>
  <c r="E186" i="1261" s="1"/>
  <c r="E138" i="1261" a="1"/>
  <c r="E138" i="1261" s="1"/>
  <c r="K136" i="1261" a="1"/>
  <c r="K136" i="1261" s="1"/>
  <c r="Q134" i="1261" a="1"/>
  <c r="Q134" i="1261" s="1"/>
  <c r="W134" i="1261" s="1"/>
  <c r="E182" i="1261" s="1"/>
  <c r="E134" i="1261" a="1"/>
  <c r="E134" i="1261" s="1"/>
  <c r="K132" i="1261" a="1"/>
  <c r="K132" i="1261" s="1"/>
  <c r="J163" i="1261" a="1"/>
  <c r="J163" i="1261" s="1"/>
  <c r="D162" i="1261" a="1"/>
  <c r="D162" i="1261" s="1"/>
  <c r="J158" i="1261" a="1"/>
  <c r="J158" i="1261" s="1"/>
  <c r="J153" i="1261" a="1"/>
  <c r="J153" i="1261" s="1"/>
  <c r="P162" i="1261" a="1"/>
  <c r="P162" i="1261" s="1"/>
  <c r="D157" i="1261" a="1"/>
  <c r="D157" i="1261" s="1"/>
  <c r="D152" i="1261" a="1"/>
  <c r="D152" i="1261" s="1"/>
  <c r="J150" i="1261" a="1"/>
  <c r="J150" i="1261" s="1"/>
  <c r="P148" i="1261" a="1"/>
  <c r="P148" i="1261" s="1"/>
  <c r="D148" i="1261" a="1"/>
  <c r="D148" i="1261" s="1"/>
  <c r="J146" i="1261" a="1"/>
  <c r="J146" i="1261" s="1"/>
  <c r="P138" i="1261" a="1"/>
  <c r="P138" i="1261" s="1"/>
  <c r="V138" i="1261" s="1"/>
  <c r="D186" i="1261" s="1"/>
  <c r="D138" i="1261" a="1"/>
  <c r="D138" i="1261" s="1"/>
  <c r="C186" i="1261" s="1"/>
  <c r="J136" i="1261" a="1"/>
  <c r="J136" i="1261" s="1"/>
  <c r="P134" i="1261" a="1"/>
  <c r="P134" i="1261" s="1"/>
  <c r="V134" i="1261" s="1"/>
  <c r="D182" i="1261" s="1"/>
  <c r="D134" i="1261" a="1"/>
  <c r="D134" i="1261" s="1"/>
  <c r="C182" i="1261" s="1"/>
  <c r="J132" i="1261" a="1"/>
  <c r="J132" i="1261" s="1"/>
  <c r="D216" i="1261" a="1"/>
  <c r="D216" i="1261" s="1"/>
  <c r="C225" i="1261" s="1"/>
  <c r="P163" i="1261" a="1"/>
  <c r="P163" i="1261" s="1"/>
  <c r="P158" i="1261" a="1"/>
  <c r="P158" i="1261" s="1"/>
  <c r="V158" i="1261" s="1"/>
  <c r="M182" i="1261" s="1"/>
  <c r="I182" i="1261" s="1"/>
  <c r="D151" i="1261" a="1"/>
  <c r="D151" i="1261" s="1"/>
  <c r="P149" i="1261" a="1"/>
  <c r="P149" i="1261" s="1"/>
  <c r="V149" i="1261" s="1"/>
  <c r="M174" i="1261" s="1"/>
  <c r="I174" i="1261" s="1"/>
  <c r="P147" i="1261" a="1"/>
  <c r="P147" i="1261" s="1"/>
  <c r="L139" i="1261" a="1"/>
  <c r="L139" i="1261" s="1"/>
  <c r="K137" i="1261" a="1"/>
  <c r="K137" i="1261" s="1"/>
  <c r="K135" i="1261" a="1"/>
  <c r="K135" i="1261" s="1"/>
  <c r="J133" i="1261" a="1"/>
  <c r="J133" i="1261" s="1"/>
  <c r="R130" i="1261" a="1"/>
  <c r="R130" i="1261" s="1"/>
  <c r="F130" i="1261" a="1"/>
  <c r="F130" i="1261" s="1"/>
  <c r="L128" i="1261" a="1"/>
  <c r="L128" i="1261" s="1"/>
  <c r="R126" i="1261" a="1"/>
  <c r="R126" i="1261" s="1"/>
  <c r="X126" i="1261" s="1"/>
  <c r="F177" i="1261" s="1"/>
  <c r="F126" i="1261" a="1"/>
  <c r="F126" i="1261" s="1"/>
  <c r="L124" i="1261" a="1"/>
  <c r="L124" i="1261" s="1"/>
  <c r="R122" i="1261" a="1"/>
  <c r="R122" i="1261" s="1"/>
  <c r="X122" i="1261" s="1"/>
  <c r="F122" i="1261" a="1"/>
  <c r="F122" i="1261" s="1"/>
  <c r="D98" i="1261" a="1"/>
  <c r="D98" i="1261" s="1"/>
  <c r="D95" i="1261" a="1"/>
  <c r="D95" i="1261" s="1"/>
  <c r="V49" i="4" s="1" a="1"/>
  <c r="D93" i="1261" a="1"/>
  <c r="D93" i="1261" s="1"/>
  <c r="J88" i="1261" a="1"/>
  <c r="J88" i="1261" s="1"/>
  <c r="P87" i="1261" a="1"/>
  <c r="P87" i="1261" s="1"/>
  <c r="M188" i="1261" s="1"/>
  <c r="I188" i="1261" s="1"/>
  <c r="D87" i="1261" a="1"/>
  <c r="D87" i="1261" s="1"/>
  <c r="J86" i="1261" a="1"/>
  <c r="J86" i="1261" s="1"/>
  <c r="D199" i="1261" a="1"/>
  <c r="D199" i="1261" s="1"/>
  <c r="J162" i="1261" a="1"/>
  <c r="J162" i="1261" s="1"/>
  <c r="J161" i="1261" a="1"/>
  <c r="J161" i="1261" s="1"/>
  <c r="P157" i="1261" a="1"/>
  <c r="P157" i="1261" s="1"/>
  <c r="V157" i="1261" s="1"/>
  <c r="M181" i="1261" s="1"/>
  <c r="I181" i="1261" s="1"/>
  <c r="R138" i="1261" a="1"/>
  <c r="R138" i="1261" s="1"/>
  <c r="Q136" i="1261" a="1"/>
  <c r="Q136" i="1261" s="1"/>
  <c r="W136" i="1261" s="1"/>
  <c r="E184" i="1261" s="1"/>
  <c r="D136" i="1261" a="1"/>
  <c r="D136" i="1261" s="1"/>
  <c r="C184" i="1261" s="1"/>
  <c r="P132" i="1261" a="1"/>
  <c r="P132" i="1261" s="1"/>
  <c r="V132" i="1261" s="1"/>
  <c r="J131" i="1261" a="1"/>
  <c r="J131" i="1261" s="1"/>
  <c r="D154" i="1261" a="1"/>
  <c r="D154" i="1261" s="1"/>
  <c r="J152" i="1261" a="1"/>
  <c r="J152" i="1261" s="1"/>
  <c r="P151" i="1261" a="1"/>
  <c r="P151" i="1261" s="1"/>
  <c r="V151" i="1261" s="1"/>
  <c r="M178" i="1261" s="1"/>
  <c r="I178" i="1261" s="1"/>
  <c r="K139" i="1261" a="1"/>
  <c r="K139" i="1261" s="1"/>
  <c r="J137" i="1261" a="1"/>
  <c r="J137" i="1261" s="1"/>
  <c r="J135" i="1261" a="1"/>
  <c r="J135" i="1261" s="1"/>
  <c r="F133" i="1261" a="1"/>
  <c r="F133" i="1261" s="1"/>
  <c r="Q130" i="1261" a="1"/>
  <c r="Q130" i="1261" s="1"/>
  <c r="W130" i="1261" s="1"/>
  <c r="E130" i="1261" a="1"/>
  <c r="E130" i="1261" s="1"/>
  <c r="K128" i="1261" a="1"/>
  <c r="K128" i="1261" s="1"/>
  <c r="Q126" i="1261" a="1"/>
  <c r="Q126" i="1261" s="1"/>
  <c r="W126" i="1261" s="1"/>
  <c r="E177" i="1261" s="1"/>
  <c r="E126" i="1261" a="1"/>
  <c r="E126" i="1261" s="1"/>
  <c r="K124" i="1261" a="1"/>
  <c r="K124" i="1261" s="1"/>
  <c r="Q122" i="1261" a="1"/>
  <c r="Q122" i="1261" s="1"/>
  <c r="E122" i="1261" a="1"/>
  <c r="E122" i="1261" s="1"/>
  <c r="J160" i="1261" a="1"/>
  <c r="J160" i="1261" s="1"/>
  <c r="P156" i="1261" a="1"/>
  <c r="P156" i="1261" s="1"/>
  <c r="P155" i="1261" a="1"/>
  <c r="P155" i="1261" s="1"/>
  <c r="D146" i="1261" a="1"/>
  <c r="D146" i="1261" s="1"/>
  <c r="P136" i="1261" a="1"/>
  <c r="P136" i="1261" s="1"/>
  <c r="V136" i="1261" s="1"/>
  <c r="D184" i="1261" s="1"/>
  <c r="F135" i="1261" a="1"/>
  <c r="F135" i="1261" s="1"/>
  <c r="L134" i="1261" a="1"/>
  <c r="L134" i="1261" s="1"/>
  <c r="L132" i="1261" a="1"/>
  <c r="L132" i="1261" s="1"/>
  <c r="F131" i="1261" a="1"/>
  <c r="F131" i="1261" s="1"/>
  <c r="L129" i="1261" a="1"/>
  <c r="L129" i="1261" s="1"/>
  <c r="R127" i="1261" a="1"/>
  <c r="R127" i="1261" s="1"/>
  <c r="F127" i="1261" a="1"/>
  <c r="F127" i="1261" s="1"/>
  <c r="L125" i="1261" a="1"/>
  <c r="L125" i="1261" s="1"/>
  <c r="R123" i="1261" a="1"/>
  <c r="R123" i="1261" s="1"/>
  <c r="X123" i="1261" s="1"/>
  <c r="F172" i="1261" s="1"/>
  <c r="F123" i="1261" a="1"/>
  <c r="F123" i="1261" s="1"/>
  <c r="D164" i="1261" a="1"/>
  <c r="D164" i="1261" s="1"/>
  <c r="D163" i="1261" a="1"/>
  <c r="D163" i="1261" s="1"/>
  <c r="J159" i="1261" a="1"/>
  <c r="J159" i="1261" s="1"/>
  <c r="D153" i="1261" a="1"/>
  <c r="D153" i="1261" s="1"/>
  <c r="J147" i="1261" a="1"/>
  <c r="J147" i="1261" s="1"/>
  <c r="J139" i="1261" a="1"/>
  <c r="J139" i="1261" s="1"/>
  <c r="V139" i="1261" s="1"/>
  <c r="D187" i="1261" s="1"/>
  <c r="F137" i="1261" a="1"/>
  <c r="F137" i="1261" s="1"/>
  <c r="E135" i="1261" a="1"/>
  <c r="E135" i="1261" s="1"/>
  <c r="R133" i="1261" a="1"/>
  <c r="R133" i="1261" s="1"/>
  <c r="X133" i="1261" s="1"/>
  <c r="F181" i="1261" s="1"/>
  <c r="E133" i="1261" a="1"/>
  <c r="E133" i="1261" s="1"/>
  <c r="R131" i="1261" a="1"/>
  <c r="R131" i="1261" s="1"/>
  <c r="X131" i="1261" s="1"/>
  <c r="F180" i="1261" s="1"/>
  <c r="P130" i="1261" a="1"/>
  <c r="P130" i="1261" s="1"/>
  <c r="V130" i="1261" s="1"/>
  <c r="D130" i="1261" a="1"/>
  <c r="D130" i="1261" s="1"/>
  <c r="J128" i="1261" a="1"/>
  <c r="J128" i="1261" s="1"/>
  <c r="P126" i="1261" a="1"/>
  <c r="P126" i="1261" s="1"/>
  <c r="P150" i="1261" a="1"/>
  <c r="P150" i="1261" s="1"/>
  <c r="V150" i="1261" s="1"/>
  <c r="M177" i="1261" s="1"/>
  <c r="I177" i="1261" s="1"/>
  <c r="R139" i="1261" a="1"/>
  <c r="R139" i="1261" s="1"/>
  <c r="K138" i="1261" a="1"/>
  <c r="K138" i="1261" s="1"/>
  <c r="J134" i="1261" a="1"/>
  <c r="J134" i="1261" s="1"/>
  <c r="F132" i="1261" a="1"/>
  <c r="F132" i="1261" s="1"/>
  <c r="P131" i="1261" a="1"/>
  <c r="P131" i="1261" s="1"/>
  <c r="V131" i="1261" s="1"/>
  <c r="D180" i="1261" s="1"/>
  <c r="D131" i="1261" a="1"/>
  <c r="D131" i="1261" s="1"/>
  <c r="C180" i="1261" s="1"/>
  <c r="J129" i="1261" a="1"/>
  <c r="J129" i="1261" s="1"/>
  <c r="P127" i="1261" a="1"/>
  <c r="P127" i="1261" s="1"/>
  <c r="D127" i="1261" a="1"/>
  <c r="D127" i="1261" s="1"/>
  <c r="C178" i="1261" s="1"/>
  <c r="D214" i="1261" a="1"/>
  <c r="D214" i="1261" s="1"/>
  <c r="C223" i="1261" s="1"/>
  <c r="D161" i="1261" a="1"/>
  <c r="D161" i="1261" s="1"/>
  <c r="J149" i="1261" a="1"/>
  <c r="J149" i="1261" s="1"/>
  <c r="E139" i="1261" a="1"/>
  <c r="E139" i="1261" s="1"/>
  <c r="R137" i="1261" a="1"/>
  <c r="R137" i="1261" s="1"/>
  <c r="D135" i="1261" a="1"/>
  <c r="D135" i="1261" s="1"/>
  <c r="C175" i="1261" s="1"/>
  <c r="E51" i="3033" s="1"/>
  <c r="Q133" i="1261" a="1"/>
  <c r="Q133" i="1261" s="1"/>
  <c r="D129" i="1261" a="1"/>
  <c r="D129" i="1261" s="1"/>
  <c r="C176" i="1261" s="1"/>
  <c r="D128" i="1261" a="1"/>
  <c r="D128" i="1261" s="1"/>
  <c r="C179" i="1261" s="1"/>
  <c r="D94" i="1261" a="1"/>
  <c r="D94" i="1261" s="1"/>
  <c r="H110" i="1261" s="1"/>
  <c r="P86" i="1261" a="1"/>
  <c r="P86" i="1261" s="1"/>
  <c r="J84" i="1261" a="1"/>
  <c r="J84" i="1261" s="1"/>
  <c r="P80" i="1261" a="1"/>
  <c r="P80" i="1261" s="1"/>
  <c r="J76" i="1261" a="1"/>
  <c r="J76" i="1261" s="1"/>
  <c r="P68" i="1261" a="1"/>
  <c r="P68" i="1261" s="1"/>
  <c r="D68" i="1261" a="1"/>
  <c r="D68" i="1261" s="1"/>
  <c r="J67" i="1261" a="1"/>
  <c r="J67" i="1261" s="1"/>
  <c r="P66" i="1261" a="1"/>
  <c r="P66" i="1261" s="1"/>
  <c r="D66" i="1261" a="1"/>
  <c r="D66" i="1261" s="1"/>
  <c r="J65" i="1261" a="1"/>
  <c r="J65" i="1261" s="1"/>
  <c r="P64" i="1261" a="1"/>
  <c r="P64" i="1261" s="1"/>
  <c r="D64" i="1261" a="1"/>
  <c r="D64" i="1261" s="1"/>
  <c r="J63" i="1261" a="1"/>
  <c r="J63" i="1261" s="1"/>
  <c r="P62" i="1261" a="1"/>
  <c r="P62" i="1261" s="1"/>
  <c r="D62" i="1261" a="1"/>
  <c r="D62" i="1261" s="1"/>
  <c r="J61" i="1261" a="1"/>
  <c r="J61" i="1261" s="1"/>
  <c r="P60" i="1261" a="1"/>
  <c r="P60" i="1261" s="1"/>
  <c r="D60" i="1261" a="1"/>
  <c r="D60" i="1261" s="1"/>
  <c r="J59" i="1261" a="1"/>
  <c r="J59" i="1261" s="1"/>
  <c r="P58" i="1261" a="1"/>
  <c r="P58" i="1261" s="1"/>
  <c r="D58" i="1261" a="1"/>
  <c r="D58" i="1261" s="1"/>
  <c r="J57" i="1261" a="1"/>
  <c r="J57" i="1261" s="1"/>
  <c r="H107" i="1261" s="1"/>
  <c r="E50" i="1261" a="1"/>
  <c r="E50" i="1261" s="1"/>
  <c r="E48" i="1261" a="1"/>
  <c r="E48" i="1261" s="1"/>
  <c r="D110" i="1261" s="1"/>
  <c r="Q42" i="1261" a="1"/>
  <c r="Q42" i="1261" s="1"/>
  <c r="E189" i="1261" s="1"/>
  <c r="E42" i="1261" a="1"/>
  <c r="E42" i="1261" s="1"/>
  <c r="K41" i="1261" a="1"/>
  <c r="K41" i="1261" s="1"/>
  <c r="D159" i="1261" a="1"/>
  <c r="D159" i="1261" s="1"/>
  <c r="J155" i="1261" a="1"/>
  <c r="J155" i="1261" s="1"/>
  <c r="P153" i="1261" a="1"/>
  <c r="P153" i="1261" s="1"/>
  <c r="V153" i="1261" s="1"/>
  <c r="M176" i="1261" s="1"/>
  <c r="I176" i="1261" s="1"/>
  <c r="D139" i="1261" a="1"/>
  <c r="D139" i="1261" s="1"/>
  <c r="C187" i="1261" s="1"/>
  <c r="Q137" i="1261" a="1"/>
  <c r="Q137" i="1261" s="1"/>
  <c r="P133" i="1261" a="1"/>
  <c r="P133" i="1261" s="1"/>
  <c r="V133" i="1261" s="1"/>
  <c r="D181" i="1261" s="1"/>
  <c r="D126" i="1261" a="1"/>
  <c r="D126" i="1261" s="1"/>
  <c r="C177" i="1261" s="1"/>
  <c r="J125" i="1261" a="1"/>
  <c r="J125" i="1261" s="1"/>
  <c r="P124" i="1261" a="1"/>
  <c r="P124" i="1261" s="1"/>
  <c r="V124" i="1261" s="1"/>
  <c r="D173" i="1261" s="1"/>
  <c r="D123" i="1261" a="1"/>
  <c r="D123" i="1261" s="1"/>
  <c r="C172" i="1261" s="1"/>
  <c r="J122" i="1261" a="1"/>
  <c r="J122" i="1261" s="1"/>
  <c r="D85" i="1261" a="1"/>
  <c r="D85" i="1261" s="1"/>
  <c r="J81" i="1261" a="1"/>
  <c r="J81" i="1261" s="1"/>
  <c r="D77" i="1261" a="1"/>
  <c r="D77" i="1261" s="1"/>
  <c r="F136" i="1261" a="1"/>
  <c r="F136" i="1261" s="1"/>
  <c r="L133" i="1261" a="1"/>
  <c r="L133" i="1261" s="1"/>
  <c r="E132" i="1261" a="1"/>
  <c r="E132" i="1261" s="1"/>
  <c r="R129" i="1261" a="1"/>
  <c r="R129" i="1261" s="1"/>
  <c r="X129" i="1261" s="1"/>
  <c r="F176" i="1261" s="1"/>
  <c r="R128" i="1261" a="1"/>
  <c r="R128" i="1261" s="1"/>
  <c r="X128" i="1261" s="1"/>
  <c r="F179" i="1261" s="1"/>
  <c r="Q123" i="1261" a="1"/>
  <c r="Q123" i="1261" s="1"/>
  <c r="W123" i="1261" s="1"/>
  <c r="E172" i="1261" s="1"/>
  <c r="D82" i="1261" a="1"/>
  <c r="D82" i="1261" s="1"/>
  <c r="P77" i="1261" a="1"/>
  <c r="P77" i="1261" s="1"/>
  <c r="D70" i="1261" a="1"/>
  <c r="D70" i="1261" s="1"/>
  <c r="D50" i="1261" a="1"/>
  <c r="D50" i="1261" s="1"/>
  <c r="C112" i="1261" s="1"/>
  <c r="H22" i="2885" s="1"/>
  <c r="D48" i="1261" a="1"/>
  <c r="D48" i="1261" s="1"/>
  <c r="C110" i="1261" s="1"/>
  <c r="P42" i="1261" a="1"/>
  <c r="P42" i="1261" s="1"/>
  <c r="D189" i="1261" s="1"/>
  <c r="D42" i="1261" a="1"/>
  <c r="D42" i="1261" s="1"/>
  <c r="C189" i="1261" s="1"/>
  <c r="J41" i="1261" a="1"/>
  <c r="J41" i="1261" s="1"/>
  <c r="D155" i="1261" a="1"/>
  <c r="D155" i="1261" s="1"/>
  <c r="D149" i="1261" a="1"/>
  <c r="D149" i="1261" s="1"/>
  <c r="P137" i="1261" a="1"/>
  <c r="P137" i="1261" s="1"/>
  <c r="K133" i="1261" a="1"/>
  <c r="K133" i="1261" s="1"/>
  <c r="Q128" i="1261" a="1"/>
  <c r="Q128" i="1261" s="1"/>
  <c r="Q127" i="1261" a="1"/>
  <c r="Q127" i="1261" s="1"/>
  <c r="W127" i="1261" s="1"/>
  <c r="E178" i="1261" s="1"/>
  <c r="F125" i="1261" a="1"/>
  <c r="F125" i="1261" s="1"/>
  <c r="D96" i="1261" a="1"/>
  <c r="D96" i="1261" s="1"/>
  <c r="J87" i="1261" a="1"/>
  <c r="J87" i="1261" s="1"/>
  <c r="P85" i="1261" a="1"/>
  <c r="P85" i="1261" s="1"/>
  <c r="P82" i="1261" a="1"/>
  <c r="P82" i="1261" s="1"/>
  <c r="J78" i="1261" a="1"/>
  <c r="J78" i="1261" s="1"/>
  <c r="J164" i="1261" a="1"/>
  <c r="J164" i="1261" s="1"/>
  <c r="P160" i="1261" a="1"/>
  <c r="P160" i="1261" s="1"/>
  <c r="L137" i="1261" a="1"/>
  <c r="L137" i="1261" s="1"/>
  <c r="E136" i="1261" a="1"/>
  <c r="E136" i="1261" s="1"/>
  <c r="R134" i="1261" a="1"/>
  <c r="R134" i="1261" s="1"/>
  <c r="D132" i="1261" a="1"/>
  <c r="D132" i="1261" s="1"/>
  <c r="C181" i="1261" s="1"/>
  <c r="Q129" i="1261" a="1"/>
  <c r="Q129" i="1261" s="1"/>
  <c r="W129" i="1261" s="1"/>
  <c r="E176" i="1261" s="1"/>
  <c r="J124" i="1261" a="1"/>
  <c r="J124" i="1261" s="1"/>
  <c r="P123" i="1261" a="1"/>
  <c r="P123" i="1261" s="1"/>
  <c r="V123" i="1261" s="1"/>
  <c r="D172" i="1261" s="1"/>
  <c r="D122" i="1261" a="1"/>
  <c r="D122" i="1261" s="1"/>
  <c r="J83" i="1261" a="1"/>
  <c r="J83" i="1261" s="1"/>
  <c r="D160" i="1261" a="1"/>
  <c r="D160" i="1261" s="1"/>
  <c r="J151" i="1261" a="1"/>
  <c r="J151" i="1261" s="1"/>
  <c r="E137" i="1261" a="1"/>
  <c r="E137" i="1261" s="1"/>
  <c r="Q135" i="1261" a="1"/>
  <c r="Q135" i="1261" s="1"/>
  <c r="W135" i="1261" s="1"/>
  <c r="E175" i="1261" s="1"/>
  <c r="D133" i="1261" a="1"/>
  <c r="D133" i="1261" s="1"/>
  <c r="L130" i="1261" a="1"/>
  <c r="L130" i="1261" s="1"/>
  <c r="K129" i="1261" a="1"/>
  <c r="K129" i="1261" s="1"/>
  <c r="L127" i="1261" a="1"/>
  <c r="L127" i="1261" s="1"/>
  <c r="L126" i="1261" a="1"/>
  <c r="L126" i="1261" s="1"/>
  <c r="R125" i="1261" a="1"/>
  <c r="R125" i="1261" s="1"/>
  <c r="X125" i="1261" s="1"/>
  <c r="F174" i="1261" s="1"/>
  <c r="D125" i="1261" a="1"/>
  <c r="D125" i="1261" s="1"/>
  <c r="C174" i="1261" s="1"/>
  <c r="E52" i="3033" s="1"/>
  <c r="F124" i="1261" a="1"/>
  <c r="F124" i="1261" s="1"/>
  <c r="L123" i="1261" a="1"/>
  <c r="L123" i="1261" s="1"/>
  <c r="D99" i="1261" a="1"/>
  <c r="D99" i="1261" s="1"/>
  <c r="D88" i="1261" a="1"/>
  <c r="D88" i="1261" s="1"/>
  <c r="P84" i="1261" a="1"/>
  <c r="P84" i="1261" s="1"/>
  <c r="J154" i="1261" a="1"/>
  <c r="J154" i="1261" s="1"/>
  <c r="P152" i="1261" a="1"/>
  <c r="P152" i="1261" s="1"/>
  <c r="V152" i="1261" s="1"/>
  <c r="M179" i="1261" s="1"/>
  <c r="I179" i="1261" s="1"/>
  <c r="J138" i="1261" a="1"/>
  <c r="J138" i="1261" s="1"/>
  <c r="F134" i="1261" a="1"/>
  <c r="F134" i="1261" s="1"/>
  <c r="R132" i="1261" a="1"/>
  <c r="R132" i="1261" s="1"/>
  <c r="X132" i="1261" s="1"/>
  <c r="J148" i="1261" a="1"/>
  <c r="J148" i="1261" s="1"/>
  <c r="L138" i="1261" a="1"/>
  <c r="L138" i="1261" s="1"/>
  <c r="L135" i="1261" a="1"/>
  <c r="L135" i="1261" s="1"/>
  <c r="Q124" i="1261" a="1"/>
  <c r="Q124" i="1261" s="1"/>
  <c r="W124" i="1261" s="1"/>
  <c r="E173" i="1261" s="1"/>
  <c r="E123" i="1261" a="1"/>
  <c r="E123" i="1261" s="1"/>
  <c r="J77" i="1261" a="1"/>
  <c r="J77" i="1261" s="1"/>
  <c r="J70" i="1261" a="1"/>
  <c r="J70" i="1261" s="1"/>
  <c r="Q131" i="1261" a="1"/>
  <c r="Q131" i="1261" s="1"/>
  <c r="W131" i="1261" s="1"/>
  <c r="E180" i="1261" s="1"/>
  <c r="P129" i="1261" a="1"/>
  <c r="P129" i="1261" s="1"/>
  <c r="V129" i="1261" s="1"/>
  <c r="D176" i="1261" s="1"/>
  <c r="D84" i="1261" a="1"/>
  <c r="D84" i="1261" s="1"/>
  <c r="P81" i="1261" a="1"/>
  <c r="P81" i="1261" s="1"/>
  <c r="J69" i="1261" a="1"/>
  <c r="J69" i="1261" s="1"/>
  <c r="P67" i="1261" a="1"/>
  <c r="P67" i="1261" s="1"/>
  <c r="P63" i="1261" a="1"/>
  <c r="P63" i="1261" s="1"/>
  <c r="P59" i="1261" a="1"/>
  <c r="P59" i="1261" s="1"/>
  <c r="F49" i="1261" a="1"/>
  <c r="F49" i="1261" s="1"/>
  <c r="E47" i="1261" a="1"/>
  <c r="E47" i="1261" s="1"/>
  <c r="J42" i="1261" a="1"/>
  <c r="J42" i="1261" s="1"/>
  <c r="L41" i="1261" a="1"/>
  <c r="L41" i="1261" s="1"/>
  <c r="Q40" i="1261" a="1"/>
  <c r="Q40" i="1261" s="1"/>
  <c r="E40" i="1261" a="1"/>
  <c r="E40" i="1261" s="1"/>
  <c r="K39" i="1261" a="1"/>
  <c r="K39" i="1261" s="1"/>
  <c r="Q38" i="1261" a="1"/>
  <c r="Q38" i="1261" s="1"/>
  <c r="E38" i="1261" a="1"/>
  <c r="E38" i="1261" s="1"/>
  <c r="P122" i="1261" a="1"/>
  <c r="P122" i="1261" s="1"/>
  <c r="J85" i="1261" a="1"/>
  <c r="J85" i="1261" s="1"/>
  <c r="D76" i="1261" a="1"/>
  <c r="D76" i="1261" s="1"/>
  <c r="F138" i="1261" a="1"/>
  <c r="F138" i="1261" s="1"/>
  <c r="K134" i="1261" a="1"/>
  <c r="K134" i="1261" s="1"/>
  <c r="L131" i="1261" a="1"/>
  <c r="L131" i="1261" s="1"/>
  <c r="K127" i="1261" a="1"/>
  <c r="K127" i="1261" s="1"/>
  <c r="Q125" i="1261" a="1"/>
  <c r="Q125" i="1261" s="1"/>
  <c r="E124" i="1261" a="1"/>
  <c r="E124" i="1261" s="1"/>
  <c r="J80" i="1261" a="1"/>
  <c r="J80" i="1261" s="1"/>
  <c r="J79" i="1261" a="1"/>
  <c r="J79" i="1261" s="1"/>
  <c r="J68" i="1261" a="1"/>
  <c r="J68" i="1261" s="1"/>
  <c r="J64" i="1261" a="1"/>
  <c r="J64" i="1261" s="1"/>
  <c r="J60" i="1261" a="1"/>
  <c r="J60" i="1261" s="1"/>
  <c r="E49" i="1261" a="1"/>
  <c r="E49" i="1261" s="1"/>
  <c r="D47" i="1261" a="1"/>
  <c r="D47" i="1261" s="1"/>
  <c r="F42" i="1261" a="1"/>
  <c r="F42" i="1261" s="1"/>
  <c r="P40" i="1261" a="1"/>
  <c r="P40" i="1261" s="1"/>
  <c r="D158" i="1261" a="1"/>
  <c r="D158" i="1261" s="1"/>
  <c r="D150" i="1261" a="1"/>
  <c r="D150" i="1261" s="1"/>
  <c r="D147" i="1261" a="1"/>
  <c r="D147" i="1261" s="1"/>
  <c r="F129" i="1261" a="1"/>
  <c r="F129" i="1261" s="1"/>
  <c r="J127" i="1261" a="1"/>
  <c r="J127" i="1261" s="1"/>
  <c r="P125" i="1261" a="1"/>
  <c r="P125" i="1261" s="1"/>
  <c r="V125" i="1261" s="1"/>
  <c r="D174" i="1261" s="1"/>
  <c r="L122" i="1261" a="1"/>
  <c r="L122" i="1261" s="1"/>
  <c r="P88" i="1261" a="1"/>
  <c r="P88" i="1261" s="1"/>
  <c r="M189" i="1261" s="1"/>
  <c r="I189" i="1261" s="1"/>
  <c r="D75" i="1261" a="1"/>
  <c r="D75" i="1261" s="1"/>
  <c r="K131" i="1261" a="1"/>
  <c r="K131" i="1261" s="1"/>
  <c r="E127" i="1261" a="1"/>
  <c r="E127" i="1261" s="1"/>
  <c r="D124" i="1261" a="1"/>
  <c r="D124" i="1261" s="1"/>
  <c r="C173" i="1261" s="1"/>
  <c r="D79" i="1261" a="1"/>
  <c r="D79" i="1261" s="1"/>
  <c r="D78" i="1261" a="1"/>
  <c r="D78" i="1261" s="1"/>
  <c r="D65" i="1261" a="1"/>
  <c r="D65" i="1261" s="1"/>
  <c r="D61" i="1261" a="1"/>
  <c r="D61" i="1261" s="1"/>
  <c r="P146" i="1261" a="1"/>
  <c r="P146" i="1261" s="1"/>
  <c r="V146" i="1261" s="1"/>
  <c r="D137" i="1261" a="1"/>
  <c r="D137" i="1261" s="1"/>
  <c r="C185" i="1261" s="1"/>
  <c r="E131" i="1261" a="1"/>
  <c r="E131" i="1261" s="1"/>
  <c r="E129" i="1261" a="1"/>
  <c r="E129" i="1261" s="1"/>
  <c r="K125" i="1261" a="1"/>
  <c r="K125" i="1261" s="1"/>
  <c r="K122" i="1261" a="1"/>
  <c r="K122" i="1261" s="1"/>
  <c r="P83" i="1261" a="1"/>
  <c r="P83" i="1261" s="1"/>
  <c r="M183" i="1261" s="1"/>
  <c r="I183" i="1261" s="1"/>
  <c r="J82" i="1261" a="1"/>
  <c r="J82" i="1261" s="1"/>
  <c r="P70" i="1261" a="1"/>
  <c r="P70" i="1261" s="1"/>
  <c r="D69" i="1261" a="1"/>
  <c r="D69" i="1261" s="1"/>
  <c r="J157" i="1261" a="1"/>
  <c r="J157" i="1261" s="1"/>
  <c r="P128" i="1261" a="1"/>
  <c r="P128" i="1261" s="1"/>
  <c r="V128" i="1261" s="1"/>
  <c r="D179" i="1261" s="1"/>
  <c r="E125" i="1261" a="1"/>
  <c r="E125" i="1261" s="1"/>
  <c r="P76" i="1261" a="1"/>
  <c r="P76" i="1261" s="1"/>
  <c r="P65" i="1261" a="1"/>
  <c r="P65" i="1261" s="1"/>
  <c r="D156" i="1261" a="1"/>
  <c r="D156" i="1261" s="1"/>
  <c r="R135" i="1261" a="1"/>
  <c r="R135" i="1261" s="1"/>
  <c r="X135" i="1261" s="1"/>
  <c r="F175" i="1261" s="1"/>
  <c r="J130" i="1261" a="1"/>
  <c r="J130" i="1261" s="1"/>
  <c r="F128" i="1261" a="1"/>
  <c r="F128" i="1261" s="1"/>
  <c r="R124" i="1261" a="1"/>
  <c r="R124" i="1261" s="1"/>
  <c r="J123" i="1261" a="1"/>
  <c r="J123" i="1261" s="1"/>
  <c r="D86" i="1261" a="1"/>
  <c r="D86" i="1261" s="1"/>
  <c r="J11" i="1261" a="1"/>
  <c r="J11" i="1261" s="1"/>
  <c r="C107" i="1261" s="1"/>
  <c r="Q12" i="1261" a="1"/>
  <c r="Q12" i="1261" s="1"/>
  <c r="L13" i="1261" a="1"/>
  <c r="L13" i="1261" s="1"/>
  <c r="J14" i="1261" a="1"/>
  <c r="J14" i="1261" s="1"/>
  <c r="E15" i="1261" a="1"/>
  <c r="E15" i="1261" s="1"/>
  <c r="R15" i="1261" a="1"/>
  <c r="R15" i="1261" s="1"/>
  <c r="P16" i="1261" a="1"/>
  <c r="P16" i="1261" s="1"/>
  <c r="L17" i="1261" a="1"/>
  <c r="L17" i="1261" s="1"/>
  <c r="J18" i="1261" a="1"/>
  <c r="J18" i="1261" s="1"/>
  <c r="E19" i="1261" a="1"/>
  <c r="E19" i="1261" s="1"/>
  <c r="R19" i="1261" a="1"/>
  <c r="R19" i="1261" s="1"/>
  <c r="P20" i="1261" a="1"/>
  <c r="P20" i="1261" s="1"/>
  <c r="L21" i="1261" a="1"/>
  <c r="L21" i="1261" s="1"/>
  <c r="J22" i="1261" a="1"/>
  <c r="J22" i="1261" s="1"/>
  <c r="E23" i="1261" a="1"/>
  <c r="E23" i="1261" s="1"/>
  <c r="R23" i="1261" a="1"/>
  <c r="R23" i="1261" s="1"/>
  <c r="P24" i="1261" a="1"/>
  <c r="P24" i="1261" s="1"/>
  <c r="L29" i="1261" a="1"/>
  <c r="L29" i="1261" s="1"/>
  <c r="E109" i="1261" s="1"/>
  <c r="J97" i="3033" s="1"/>
  <c r="J96" i="3033" s="1"/>
  <c r="J30" i="1261" a="1"/>
  <c r="J30" i="1261" s="1"/>
  <c r="E31" i="1261" a="1"/>
  <c r="E31" i="1261" s="1"/>
  <c r="R32" i="1261" a="1"/>
  <c r="R32" i="1261" s="1"/>
  <c r="L35" i="1261" a="1"/>
  <c r="L35" i="1261" s="1"/>
  <c r="F39" i="1261" a="1"/>
  <c r="F39" i="1261" s="1"/>
  <c r="F50" i="1261" a="1"/>
  <c r="F50" i="1261" s="1"/>
  <c r="E112" i="1261" s="1"/>
  <c r="D63" i="1261" a="1"/>
  <c r="D63" i="1261" s="1"/>
  <c r="D80" i="1261" a="1"/>
  <c r="D80" i="1261" s="1"/>
  <c r="R136" i="1261" a="1"/>
  <c r="R136" i="1261" s="1"/>
  <c r="X136" i="1261" s="1"/>
  <c r="F184" i="1261" s="1"/>
  <c r="J156" i="1261" a="1"/>
  <c r="J156" i="1261" s="1"/>
  <c r="B2" i="1261"/>
  <c r="E12" i="1261" a="1"/>
  <c r="E12" i="1261" s="1"/>
  <c r="R12" i="1261" a="1"/>
  <c r="R12" i="1261" s="1"/>
  <c r="Q16" i="1261" a="1"/>
  <c r="Q16" i="1261" s="1"/>
  <c r="Q20" i="1261" a="1"/>
  <c r="Q20" i="1261" s="1"/>
  <c r="Q24" i="1261" a="1"/>
  <c r="Q24" i="1261" s="1"/>
  <c r="D32" i="1261" a="1"/>
  <c r="D32" i="1261" s="1"/>
  <c r="Q33" i="1261" a="1"/>
  <c r="Q33" i="1261" s="1"/>
  <c r="P34" i="1261" a="1"/>
  <c r="P34" i="1261" s="1"/>
  <c r="K36" i="1261" a="1"/>
  <c r="K36" i="1261" s="1"/>
  <c r="J37" i="1261" a="1"/>
  <c r="J37" i="1261" s="1"/>
  <c r="J38" i="1261" a="1"/>
  <c r="J38" i="1261" s="1"/>
  <c r="J40" i="1261" a="1"/>
  <c r="J40" i="1261" s="1"/>
  <c r="P41" i="1261" a="1"/>
  <c r="P41" i="1261" s="1"/>
  <c r="D188" i="1261" s="1"/>
  <c r="R42" i="1261" a="1"/>
  <c r="R42" i="1261" s="1"/>
  <c r="F189" i="1261" s="1"/>
  <c r="E128" i="1261" a="1"/>
  <c r="E128" i="1261" s="1"/>
  <c r="F139" i="1261" a="1"/>
  <c r="F139" i="1261" s="1"/>
  <c r="E11" i="2543"/>
  <c r="D11" i="6"/>
  <c r="C12" i="6"/>
  <c r="N49" i="6"/>
  <c r="M49" i="6"/>
  <c r="H19" i="2543"/>
  <c r="F19" i="2543"/>
  <c r="G29" i="2543"/>
  <c r="H29" i="2543" s="1"/>
  <c r="F11" i="6"/>
  <c r="D26" i="2543"/>
  <c r="D19" i="2543"/>
  <c r="D12" i="2543"/>
  <c r="G20" i="2543"/>
  <c r="D13" i="2543"/>
  <c r="D20" i="2543"/>
  <c r="G12" i="2543"/>
  <c r="G14" i="2543"/>
  <c r="B2" i="2543"/>
  <c r="C2" i="2543" s="1"/>
  <c r="D25" i="2543"/>
  <c r="G11" i="2543"/>
  <c r="G25" i="2543"/>
  <c r="G26" i="2543"/>
  <c r="H11" i="6"/>
  <c r="N31" i="6"/>
  <c r="N7" i="6" s="1"/>
  <c r="C31" i="6"/>
  <c r="K31" i="6" s="1"/>
  <c r="M31" i="6"/>
  <c r="G13" i="2543"/>
  <c r="N8" i="6"/>
  <c r="M10" i="6"/>
  <c r="D14" i="2543"/>
  <c r="G27" i="6"/>
  <c r="N20" i="6"/>
  <c r="C20" i="6"/>
  <c r="G19" i="6"/>
  <c r="K22" i="6"/>
  <c r="L22" i="6"/>
  <c r="L26" i="6"/>
  <c r="K26" i="6"/>
  <c r="O4" i="6"/>
  <c r="L21" i="6"/>
  <c r="K21" i="6"/>
  <c r="N36" i="6"/>
  <c r="N35" i="6" s="1"/>
  <c r="F35" i="6"/>
  <c r="C14" i="6"/>
  <c r="M17" i="6"/>
  <c r="L17" i="6"/>
  <c r="F27" i="6"/>
  <c r="O28" i="6"/>
  <c r="C30" i="6"/>
  <c r="K30" i="6" s="1"/>
  <c r="O31" i="6"/>
  <c r="O7" i="6" s="1"/>
  <c r="N33" i="6"/>
  <c r="N9" i="6" s="1"/>
  <c r="M33" i="6"/>
  <c r="M14" i="6"/>
  <c r="M6" i="6" s="1"/>
  <c r="L14" i="6"/>
  <c r="H19" i="6"/>
  <c r="C24" i="6"/>
  <c r="N30" i="6"/>
  <c r="C46" i="6"/>
  <c r="K46" i="6" s="1"/>
  <c r="L39" i="6"/>
  <c r="C39" i="6"/>
  <c r="K39" i="6" s="1"/>
  <c r="M13" i="6"/>
  <c r="L13" i="6"/>
  <c r="C16" i="6"/>
  <c r="O30" i="6"/>
  <c r="O6" i="6" s="1"/>
  <c r="G43" i="6"/>
  <c r="O44" i="6"/>
  <c r="O43" i="6" s="1"/>
  <c r="M16" i="6"/>
  <c r="L16" i="6"/>
  <c r="D27" i="6"/>
  <c r="N32" i="6"/>
  <c r="E35" i="6"/>
  <c r="M36" i="6"/>
  <c r="M35" i="6" s="1"/>
  <c r="O19" i="6"/>
  <c r="D19" i="6"/>
  <c r="N29" i="6"/>
  <c r="N5" i="6" s="1"/>
  <c r="M29" i="6"/>
  <c r="C34" i="6"/>
  <c r="K34" i="6" s="1"/>
  <c r="N44" i="6"/>
  <c r="N43" i="6" s="1"/>
  <c r="E11" i="6"/>
  <c r="M12" i="6"/>
  <c r="L12" i="6"/>
  <c r="C18" i="6"/>
  <c r="C23" i="6"/>
  <c r="O36" i="6"/>
  <c r="O35" i="6" s="1"/>
  <c r="G35" i="6"/>
  <c r="C15" i="6"/>
  <c r="C28" i="6"/>
  <c r="H35" i="6"/>
  <c r="C40" i="6"/>
  <c r="K40" i="6" s="1"/>
  <c r="M15" i="6"/>
  <c r="M7" i="6" s="1"/>
  <c r="L15" i="6"/>
  <c r="E19" i="6"/>
  <c r="C25" i="6"/>
  <c r="C37" i="6"/>
  <c r="K37" i="6" s="1"/>
  <c r="H43" i="6"/>
  <c r="O47" i="6"/>
  <c r="L18" i="6"/>
  <c r="L37" i="6"/>
  <c r="C45" i="6"/>
  <c r="K45" i="6" s="1"/>
  <c r="M28" i="6"/>
  <c r="M32" i="6"/>
  <c r="E43" i="6"/>
  <c r="N47" i="6"/>
  <c r="L38" i="6"/>
  <c r="C38" i="6"/>
  <c r="K38" i="6" s="1"/>
  <c r="L42" i="6"/>
  <c r="C42" i="6"/>
  <c r="K42" i="6" s="1"/>
  <c r="N45" i="6"/>
  <c r="M45" i="6"/>
  <c r="C48" i="6"/>
  <c r="K48" i="6" s="1"/>
  <c r="F19" i="6"/>
  <c r="L40" i="6"/>
  <c r="D43" i="6"/>
  <c r="C44" i="6"/>
  <c r="N46" i="6"/>
  <c r="N6" i="6" s="1"/>
  <c r="C29" i="6"/>
  <c r="K29" i="6" s="1"/>
  <c r="C33" i="6"/>
  <c r="K33" i="6" s="1"/>
  <c r="L41" i="6"/>
  <c r="C41" i="6"/>
  <c r="K41" i="6" s="1"/>
  <c r="C47" i="6"/>
  <c r="K47" i="6" s="1"/>
  <c r="N48" i="6"/>
  <c r="M48" i="6"/>
  <c r="O9" i="6"/>
  <c r="E27" i="6"/>
  <c r="O34" i="6"/>
  <c r="O10" i="6" s="1"/>
  <c r="D35" i="6"/>
  <c r="L36" i="6"/>
  <c r="C36" i="6"/>
  <c r="N50" i="6"/>
  <c r="N10" i="6" s="1"/>
  <c r="M50" i="6"/>
  <c r="O33" i="6"/>
  <c r="F43" i="6"/>
  <c r="M44" i="6"/>
  <c r="U325" i="4" l="1"/>
  <c r="C42" i="1940"/>
  <c r="E48" i="1465"/>
  <c r="C45" i="1465"/>
  <c r="G5" i="2885" s="1"/>
  <c r="E47" i="1465"/>
  <c r="C47" i="1465"/>
  <c r="D46" i="1465"/>
  <c r="C46" i="1465"/>
  <c r="E45" i="1465"/>
  <c r="D48" i="1465"/>
  <c r="C48" i="1465"/>
  <c r="D49" i="1465"/>
  <c r="C49" i="1465"/>
  <c r="D47" i="1465"/>
  <c r="D45" i="1465"/>
  <c r="E49" i="1465"/>
  <c r="E46" i="1465"/>
  <c r="D53" i="1465"/>
  <c r="E52" i="1465"/>
  <c r="C52" i="1465"/>
  <c r="D51" i="1465"/>
  <c r="C51" i="1465"/>
  <c r="C53" i="1465"/>
  <c r="D52" i="1465"/>
  <c r="D54" i="1465"/>
  <c r="C54" i="1465"/>
  <c r="E51" i="1465"/>
  <c r="E54" i="1465"/>
  <c r="E53" i="1465"/>
  <c r="P52" i="352"/>
  <c r="P53" i="352"/>
  <c r="P51" i="352"/>
  <c r="G101" i="1465"/>
  <c r="E101" i="1465"/>
  <c r="H101" i="1465"/>
  <c r="D101" i="1465"/>
  <c r="F101" i="1465"/>
  <c r="O11" i="951"/>
  <c r="O24" i="951" s="1"/>
  <c r="G34" i="951"/>
  <c r="G35" i="951"/>
  <c r="G36" i="951"/>
  <c r="G33" i="951"/>
  <c r="G38" i="951"/>
  <c r="G37" i="951"/>
  <c r="Q53" i="352"/>
  <c r="Q52" i="352"/>
  <c r="Q51" i="352"/>
  <c r="M56" i="1940" a="1"/>
  <c r="M56" i="1940" s="1"/>
  <c r="N56" i="1940" s="1"/>
  <c r="M55" i="1940" a="1"/>
  <c r="M55" i="1940" s="1"/>
  <c r="N55" i="1940" s="1"/>
  <c r="G25" i="1940" a="1"/>
  <c r="G25" i="1940" s="1"/>
  <c r="G22" i="1940" a="1"/>
  <c r="G22" i="1940" s="1"/>
  <c r="N15" i="1940" a="1"/>
  <c r="N15" i="1940" s="1"/>
  <c r="G14" i="1940" a="1"/>
  <c r="G14" i="1940" s="1"/>
  <c r="G57" i="1940" a="1"/>
  <c r="G57" i="1940" s="1"/>
  <c r="M54" i="1940" a="1"/>
  <c r="M54" i="1940" s="1"/>
  <c r="N54" i="1940" s="1"/>
  <c r="F25" i="1940" a="1"/>
  <c r="F25" i="1940" s="1"/>
  <c r="F22" i="1940" a="1"/>
  <c r="F22" i="1940" s="1"/>
  <c r="M15" i="1940" a="1"/>
  <c r="M15" i="1940" s="1"/>
  <c r="M58" i="1940" a="1"/>
  <c r="M58" i="1940" s="1"/>
  <c r="F57" i="1940" a="1"/>
  <c r="F57" i="1940" s="1"/>
  <c r="F70" i="1940" s="1"/>
  <c r="G56" i="1940" a="1"/>
  <c r="G56" i="1940" s="1"/>
  <c r="M53" i="1940" a="1"/>
  <c r="M53" i="1940" s="1"/>
  <c r="N53" i="1940" s="1"/>
  <c r="F26" i="1940" a="1"/>
  <c r="F26" i="1940" s="1"/>
  <c r="F23" i="1940" a="1"/>
  <c r="F23" i="1940" s="1"/>
  <c r="F16" i="1940" a="1"/>
  <c r="F16" i="1940" s="1"/>
  <c r="M14" i="1940" a="1"/>
  <c r="M14" i="1940" s="1"/>
  <c r="M57" i="1940" a="1"/>
  <c r="M57" i="1940" s="1"/>
  <c r="N57" i="1940" s="1"/>
  <c r="G24" i="1940" a="1"/>
  <c r="G24" i="1940" s="1"/>
  <c r="N16" i="1940" a="1"/>
  <c r="N16" i="1940" s="1"/>
  <c r="G15" i="1940" a="1"/>
  <c r="G15" i="1940" s="1"/>
  <c r="N13" i="1940" a="1"/>
  <c r="N13" i="1940" s="1"/>
  <c r="M12" i="1940" a="1"/>
  <c r="M12" i="1940" s="1"/>
  <c r="G53" i="1940" a="1"/>
  <c r="G53" i="1940" s="1"/>
  <c r="G16" i="1940" a="1"/>
  <c r="G16" i="1940" s="1"/>
  <c r="G55" i="1940" a="1"/>
  <c r="G55" i="1940" s="1"/>
  <c r="F53" i="1940" a="1"/>
  <c r="F53" i="1940" s="1"/>
  <c r="F66" i="1940" s="1"/>
  <c r="G26" i="1940" a="1"/>
  <c r="G26" i="1940" s="1"/>
  <c r="M16" i="1940" a="1"/>
  <c r="M16" i="1940" s="1"/>
  <c r="F14" i="1940" a="1"/>
  <c r="F14" i="1940" s="1"/>
  <c r="G12" i="1940" a="1"/>
  <c r="G12" i="1940" s="1"/>
  <c r="F24" i="1940" a="1"/>
  <c r="F24" i="1940" s="1"/>
  <c r="F15" i="1940" a="1"/>
  <c r="F15" i="1940" s="1"/>
  <c r="F55" i="1940" a="1"/>
  <c r="F55" i="1940" s="1"/>
  <c r="F68" i="1940" s="1"/>
  <c r="F12" i="1940" a="1"/>
  <c r="F12" i="1940" s="1"/>
  <c r="G13" i="1940" a="1"/>
  <c r="G13" i="1940" s="1"/>
  <c r="F13" i="1940" a="1"/>
  <c r="F13" i="1940" s="1"/>
  <c r="N12" i="1940" a="1"/>
  <c r="N12" i="1940" s="1"/>
  <c r="F56" i="1940" a="1"/>
  <c r="F56" i="1940" s="1"/>
  <c r="F69" i="1940" s="1"/>
  <c r="F54" i="1940" a="1"/>
  <c r="F54" i="1940" s="1"/>
  <c r="F67" i="1940" s="1"/>
  <c r="N14" i="1940" a="1"/>
  <c r="N14" i="1940" s="1"/>
  <c r="G54" i="1940" a="1"/>
  <c r="G54" i="1940" s="1"/>
  <c r="G23" i="1940" a="1"/>
  <c r="G23" i="1940" s="1"/>
  <c r="M13" i="1940" a="1"/>
  <c r="M13" i="1940" s="1"/>
  <c r="D294" i="951"/>
  <c r="D295" i="951"/>
  <c r="D296" i="951"/>
  <c r="W29" i="352"/>
  <c r="W27" i="352"/>
  <c r="W28" i="352"/>
  <c r="Z441" i="4"/>
  <c r="Z389" i="4"/>
  <c r="Z440" i="4" s="1"/>
  <c r="Y446" i="4"/>
  <c r="V127" i="1261"/>
  <c r="D178" i="1261" s="1"/>
  <c r="V155" i="1261"/>
  <c r="M180" i="1261" s="1"/>
  <c r="I180" i="1261" s="1"/>
  <c r="V148" i="1261"/>
  <c r="M173" i="1261" s="1"/>
  <c r="I173" i="1261" s="1"/>
  <c r="J93" i="3033"/>
  <c r="J92" i="3033" s="1"/>
  <c r="H18" i="2885"/>
  <c r="E69" i="1940"/>
  <c r="F54" i="951"/>
  <c r="F55" i="951"/>
  <c r="E91" i="951"/>
  <c r="M49" i="4"/>
  <c r="F17" i="951"/>
  <c r="D93" i="951"/>
  <c r="D107" i="951"/>
  <c r="E93" i="951"/>
  <c r="E107" i="951"/>
  <c r="G50" i="951"/>
  <c r="G55" i="951"/>
  <c r="D153" i="1465"/>
  <c r="R244" i="1465"/>
  <c r="R236" i="1465"/>
  <c r="R249" i="1465"/>
  <c r="R240" i="1465"/>
  <c r="R224" i="1465"/>
  <c r="R242" i="1465"/>
  <c r="R230" i="1465"/>
  <c r="R226" i="1465"/>
  <c r="R233" i="1465"/>
  <c r="R241" i="1465"/>
  <c r="R223" i="1465"/>
  <c r="R243" i="1465"/>
  <c r="R237" i="1465"/>
  <c r="R239" i="1465"/>
  <c r="R222" i="1465"/>
  <c r="R221" i="1465"/>
  <c r="R219" i="1465"/>
  <c r="R232" i="1465"/>
  <c r="R245" i="1465"/>
  <c r="R225" i="1465"/>
  <c r="R238" i="1465"/>
  <c r="R246" i="1465"/>
  <c r="R248" i="1465"/>
  <c r="R227" i="1465"/>
  <c r="R220" i="1465"/>
  <c r="R247" i="1465"/>
  <c r="R235" i="1465"/>
  <c r="R231" i="1465"/>
  <c r="R229" i="1465"/>
  <c r="R228" i="1465"/>
  <c r="R234" i="1465"/>
  <c r="C146" i="1465"/>
  <c r="C148" i="1465"/>
  <c r="D260" i="1465"/>
  <c r="E260" i="1465"/>
  <c r="C260" i="1465"/>
  <c r="D104" i="1465" a="1"/>
  <c r="C268" i="1465" a="1"/>
  <c r="D254" i="1465"/>
  <c r="E254" i="1465" s="1"/>
  <c r="C254" i="1465"/>
  <c r="D103" i="1465" a="1"/>
  <c r="E32" i="1465"/>
  <c r="K32" i="1465" s="1"/>
  <c r="E146" i="1465"/>
  <c r="E147" i="1465"/>
  <c r="Q76" i="950"/>
  <c r="C60" i="950"/>
  <c r="E43" i="3033"/>
  <c r="F57" i="950"/>
  <c r="J135" i="677"/>
  <c r="D134" i="677"/>
  <c r="J137" i="677"/>
  <c r="D136" i="677"/>
  <c r="D92" i="161"/>
  <c r="M52" i="352"/>
  <c r="M53" i="352"/>
  <c r="M51" i="352"/>
  <c r="J149" i="161"/>
  <c r="J28" i="161"/>
  <c r="G120" i="161"/>
  <c r="H120" i="161"/>
  <c r="S123" i="161"/>
  <c r="X123" i="161"/>
  <c r="N121" i="161"/>
  <c r="N123" i="161"/>
  <c r="D121" i="161"/>
  <c r="D123" i="161"/>
  <c r="AE443" i="4"/>
  <c r="W451" i="4"/>
  <c r="U445" i="4"/>
  <c r="AG442" i="4"/>
  <c r="AB451" i="4"/>
  <c r="AF450" i="4"/>
  <c r="AF398" i="4"/>
  <c r="AF449" i="4" s="1"/>
  <c r="AK454" i="4"/>
  <c r="Q398" i="4"/>
  <c r="Q449" i="4" s="1"/>
  <c r="L471" i="4" s="1"/>
  <c r="Q450" i="4"/>
  <c r="AD453" i="4"/>
  <c r="AD450" i="4"/>
  <c r="AD398" i="4"/>
  <c r="AD449" i="4" s="1"/>
  <c r="H325" i="4"/>
  <c r="P326" i="4"/>
  <c r="AD442" i="4"/>
  <c r="Z453" i="4"/>
  <c r="AJ453" i="4"/>
  <c r="AE454" i="4"/>
  <c r="W441" i="4"/>
  <c r="W389" i="4"/>
  <c r="W440" i="4" s="1"/>
  <c r="AF443" i="4"/>
  <c r="Y455" i="4"/>
  <c r="Y452" i="4"/>
  <c r="AB444" i="4"/>
  <c r="R449" i="4"/>
  <c r="M471" i="4" s="1"/>
  <c r="O513" i="4" a="1"/>
  <c r="O513" i="4" s="1"/>
  <c r="K325" i="4"/>
  <c r="K133" i="677"/>
  <c r="E132" i="677"/>
  <c r="AC441" i="4"/>
  <c r="AC389" i="4"/>
  <c r="AC440" i="4" s="1"/>
  <c r="P330" i="4"/>
  <c r="V156" i="1261"/>
  <c r="C37" i="2210"/>
  <c r="D37" i="2210"/>
  <c r="C94" i="951"/>
  <c r="C91" i="951"/>
  <c r="S257" i="4" a="1"/>
  <c r="C145" i="1465"/>
  <c r="G53" i="951"/>
  <c r="J93" i="677"/>
  <c r="C105" i="677"/>
  <c r="E40" i="1465"/>
  <c r="D40" i="1465"/>
  <c r="C40" i="1465"/>
  <c r="F5" i="2885" s="1" a="1"/>
  <c r="F5" i="2885" s="1"/>
  <c r="E45" i="950"/>
  <c r="I31" i="4" a="1"/>
  <c r="N29" i="352"/>
  <c r="N30" i="352" s="1"/>
  <c r="N27" i="352"/>
  <c r="N28" i="352"/>
  <c r="N36" i="352" a="1"/>
  <c r="N36" i="352" s="1"/>
  <c r="W36" i="352" a="1"/>
  <c r="W36" i="352" s="1"/>
  <c r="J83" i="677" a="1"/>
  <c r="J83" i="677" s="1"/>
  <c r="H101" i="677" s="1"/>
  <c r="F101" i="677"/>
  <c r="J132" i="677"/>
  <c r="D131" i="677"/>
  <c r="D135" i="677"/>
  <c r="J136" i="677"/>
  <c r="C13" i="2885"/>
  <c r="Q47" i="677"/>
  <c r="Q57" i="677"/>
  <c r="Q48" i="677"/>
  <c r="Q38" i="677"/>
  <c r="Q54" i="677"/>
  <c r="Q52" i="677"/>
  <c r="Q51" i="677"/>
  <c r="Q55" i="677"/>
  <c r="Q50" i="677"/>
  <c r="Q53" i="677"/>
  <c r="Q46" i="677"/>
  <c r="Q44" i="677"/>
  <c r="Q43" i="677"/>
  <c r="Q42" i="677"/>
  <c r="Q40" i="677"/>
  <c r="Q39" i="677"/>
  <c r="N37" i="677" a="1"/>
  <c r="N37" i="677" s="1"/>
  <c r="Q45" i="677"/>
  <c r="Q56" i="677"/>
  <c r="Q41" i="677"/>
  <c r="Q49" i="677"/>
  <c r="Q37" i="677"/>
  <c r="J155" i="161"/>
  <c r="E41" i="950"/>
  <c r="J26" i="161"/>
  <c r="K93" i="161"/>
  <c r="L154" i="161"/>
  <c r="S120" i="161"/>
  <c r="AG451" i="4"/>
  <c r="D458" i="4"/>
  <c r="I449" i="4"/>
  <c r="O442" i="4"/>
  <c r="S452" i="4"/>
  <c r="AF453" i="4"/>
  <c r="Q389" i="4"/>
  <c r="Q440" i="4" s="1"/>
  <c r="Q441" i="4"/>
  <c r="R453" i="4"/>
  <c r="AE451" i="4"/>
  <c r="Q451" i="4"/>
  <c r="P442" i="4"/>
  <c r="AI440" i="4"/>
  <c r="Z450" i="4"/>
  <c r="Z398" i="4"/>
  <c r="Z449" i="4" s="1"/>
  <c r="U471" i="4" s="1"/>
  <c r="X444" i="4"/>
  <c r="M455" i="4"/>
  <c r="M443" i="4"/>
  <c r="J103" i="3033"/>
  <c r="J102" i="3033"/>
  <c r="O444" i="4"/>
  <c r="R450" i="4"/>
  <c r="F56" i="951"/>
  <c r="J117" i="3033"/>
  <c r="J116" i="3033" s="1"/>
  <c r="F18" i="2885"/>
  <c r="W128" i="1261"/>
  <c r="E179" i="1261" s="1"/>
  <c r="F203" i="1261" a="1"/>
  <c r="F203" i="1261" s="1"/>
  <c r="F202" i="1261" a="1"/>
  <c r="F202" i="1261" s="1"/>
  <c r="F201" i="1261" a="1"/>
  <c r="F201" i="1261" s="1"/>
  <c r="F200" i="1261" a="1"/>
  <c r="F200" i="1261" s="1"/>
  <c r="E201" i="1261" a="1"/>
  <c r="E201" i="1261" s="1"/>
  <c r="F204" i="1261" a="1"/>
  <c r="F204" i="1261" s="1"/>
  <c r="E202" i="1261" a="1"/>
  <c r="E202" i="1261" s="1"/>
  <c r="D200" i="1261" a="1"/>
  <c r="D200" i="1261" s="1"/>
  <c r="F199" i="1261" a="1"/>
  <c r="F199" i="1261" s="1"/>
  <c r="D204" i="1261" a="1"/>
  <c r="D204" i="1261" s="1"/>
  <c r="I202" i="1261" a="1"/>
  <c r="I202" i="1261" s="1"/>
  <c r="G201" i="1261" a="1"/>
  <c r="G201" i="1261" s="1"/>
  <c r="E200" i="1261" a="1"/>
  <c r="E200" i="1261" s="1"/>
  <c r="E199" i="1261" a="1"/>
  <c r="E199" i="1261" s="1"/>
  <c r="F22" i="2885" s="1"/>
  <c r="H202" i="1261" a="1"/>
  <c r="H202" i="1261" s="1"/>
  <c r="H204" i="1261" a="1"/>
  <c r="H204" i="1261" s="1"/>
  <c r="G203" i="1261" a="1"/>
  <c r="G203" i="1261" s="1"/>
  <c r="D202" i="1261" a="1"/>
  <c r="D202" i="1261" s="1"/>
  <c r="I200" i="1261" a="1"/>
  <c r="I200" i="1261" s="1"/>
  <c r="G199" i="1261" a="1"/>
  <c r="G199" i="1261" s="1"/>
  <c r="H200" i="1261" a="1"/>
  <c r="H200" i="1261" s="1"/>
  <c r="G204" i="1261" a="1"/>
  <c r="G204" i="1261" s="1"/>
  <c r="G202" i="1261" a="1"/>
  <c r="G202" i="1261" s="1"/>
  <c r="E204" i="1261" a="1"/>
  <c r="E204" i="1261" s="1"/>
  <c r="G200" i="1261" a="1"/>
  <c r="G200" i="1261" s="1"/>
  <c r="I201" i="1261" a="1"/>
  <c r="I201" i="1261" s="1"/>
  <c r="H203" i="1261" a="1"/>
  <c r="H203" i="1261" s="1"/>
  <c r="E203" i="1261" a="1"/>
  <c r="E203" i="1261" s="1"/>
  <c r="I199" i="1261" a="1"/>
  <c r="I199" i="1261" s="1"/>
  <c r="I204" i="1261" a="1"/>
  <c r="I204" i="1261" s="1"/>
  <c r="H199" i="1261" a="1"/>
  <c r="H199" i="1261" s="1"/>
  <c r="I203" i="1261" a="1"/>
  <c r="I203" i="1261" s="1"/>
  <c r="D203" i="1261" a="1"/>
  <c r="D203" i="1261" s="1"/>
  <c r="D201" i="1261" a="1"/>
  <c r="D201" i="1261" s="1"/>
  <c r="H201" i="1261" a="1"/>
  <c r="H201" i="1261" s="1"/>
  <c r="G22" i="2885"/>
  <c r="C153" i="1465"/>
  <c r="N254" i="1465"/>
  <c r="M254" i="1465"/>
  <c r="O254" i="1465" s="1"/>
  <c r="Q247" i="1465"/>
  <c r="Q239" i="1465"/>
  <c r="Q231" i="1465"/>
  <c r="Q229" i="1465"/>
  <c r="Q227" i="1465"/>
  <c r="Q225" i="1465"/>
  <c r="Q223" i="1465"/>
  <c r="Q221" i="1465"/>
  <c r="Q219" i="1465"/>
  <c r="Q248" i="1465"/>
  <c r="Q244" i="1465"/>
  <c r="Q249" i="1465"/>
  <c r="Q246" i="1465"/>
  <c r="Q240" i="1465"/>
  <c r="Q237" i="1465"/>
  <c r="Q242" i="1465"/>
  <c r="Q224" i="1465"/>
  <c r="Q222" i="1465"/>
  <c r="Q232" i="1465"/>
  <c r="Q235" i="1465"/>
  <c r="Q220" i="1465"/>
  <c r="Q243" i="1465"/>
  <c r="Q241" i="1465"/>
  <c r="Q226" i="1465"/>
  <c r="Q233" i="1465"/>
  <c r="Q236" i="1465"/>
  <c r="Q245" i="1465"/>
  <c r="Q238" i="1465"/>
  <c r="Q234" i="1465"/>
  <c r="Q228" i="1465"/>
  <c r="Q230" i="1465"/>
  <c r="H261" i="1465"/>
  <c r="I261" i="1465"/>
  <c r="J261" i="1465" s="1"/>
  <c r="C59" i="950"/>
  <c r="E42" i="3033"/>
  <c r="R51" i="352"/>
  <c r="R52" i="352"/>
  <c r="R53" i="352"/>
  <c r="R54" i="352" s="1"/>
  <c r="E129" i="677"/>
  <c r="K130" i="677"/>
  <c r="D13" i="2885"/>
  <c r="U51" i="352"/>
  <c r="U53" i="352"/>
  <c r="U54" i="352" s="1"/>
  <c r="U52" i="352"/>
  <c r="D91" i="161"/>
  <c r="R121" i="161"/>
  <c r="P121" i="161"/>
  <c r="AH453" i="4"/>
  <c r="AK444" i="4"/>
  <c r="X453" i="4"/>
  <c r="Q444" i="4"/>
  <c r="AL446" i="4"/>
  <c r="AH443" i="4"/>
  <c r="R441" i="4"/>
  <c r="R389" i="4"/>
  <c r="R440" i="4" s="1"/>
  <c r="AD452" i="4"/>
  <c r="N450" i="4"/>
  <c r="N398" i="4"/>
  <c r="N449" i="4" s="1"/>
  <c r="I471" i="4" s="1"/>
  <c r="W450" i="4"/>
  <c r="W398" i="4"/>
  <c r="W449" i="4" s="1"/>
  <c r="R471" i="4" s="1"/>
  <c r="T443" i="4"/>
  <c r="M446" i="4"/>
  <c r="M452" i="4"/>
  <c r="AA452" i="4"/>
  <c r="T452" i="4"/>
  <c r="J107" i="3033"/>
  <c r="J106" i="3033"/>
  <c r="J119" i="3033"/>
  <c r="J118" i="3033"/>
  <c r="AH444" i="4"/>
  <c r="N440" i="4"/>
  <c r="P237" i="1465"/>
  <c r="P233" i="1465"/>
  <c r="P227" i="1465"/>
  <c r="P219" i="1465"/>
  <c r="P243" i="1465"/>
  <c r="P236" i="1465"/>
  <c r="P240" i="1465"/>
  <c r="P234" i="1465"/>
  <c r="P225" i="1465"/>
  <c r="P221" i="1465"/>
  <c r="P239" i="1465"/>
  <c r="P238" i="1465"/>
  <c r="P248" i="1465"/>
  <c r="P247" i="1465"/>
  <c r="P245" i="1465"/>
  <c r="P249" i="1465"/>
  <c r="P235" i="1465"/>
  <c r="P220" i="1465"/>
  <c r="P231" i="1465"/>
  <c r="P230" i="1465"/>
  <c r="P228" i="1465"/>
  <c r="P232" i="1465"/>
  <c r="P222" i="1465"/>
  <c r="P242" i="1465"/>
  <c r="P223" i="1465"/>
  <c r="P246" i="1465"/>
  <c r="P244" i="1465"/>
  <c r="P241" i="1465"/>
  <c r="P229" i="1465"/>
  <c r="P224" i="1465"/>
  <c r="P226" i="1465"/>
  <c r="O325" i="4"/>
  <c r="M43" i="6"/>
  <c r="L10" i="6"/>
  <c r="K18" i="6"/>
  <c r="K10" i="6" s="1"/>
  <c r="O3" i="6"/>
  <c r="M5" i="6"/>
  <c r="N27" i="6"/>
  <c r="H12" i="2543"/>
  <c r="X134" i="1261"/>
  <c r="F182" i="1261" s="1"/>
  <c r="D112" i="1261"/>
  <c r="D36" i="2210"/>
  <c r="C36" i="2210"/>
  <c r="C42" i="1465" a="1"/>
  <c r="J32" i="1465" a="1"/>
  <c r="J32" i="1465" s="1"/>
  <c r="E35" i="3033" s="1"/>
  <c r="V137" i="1261"/>
  <c r="D185" i="1261" s="1"/>
  <c r="V154" i="1261"/>
  <c r="C35" i="2210"/>
  <c r="D35" i="2210"/>
  <c r="E110" i="1261"/>
  <c r="F34" i="2210"/>
  <c r="E34" i="2210"/>
  <c r="F53" i="951"/>
  <c r="D374" i="951"/>
  <c r="C26" i="2885" s="1"/>
  <c r="E106" i="951"/>
  <c r="C151" i="1465"/>
  <c r="M245" i="1465"/>
  <c r="M237" i="1465"/>
  <c r="M249" i="1465"/>
  <c r="M225" i="1465"/>
  <c r="M244" i="1465"/>
  <c r="M238" i="1465"/>
  <c r="M220" i="1465"/>
  <c r="M248" i="1465"/>
  <c r="M241" i="1465"/>
  <c r="M235" i="1465"/>
  <c r="M226" i="1465"/>
  <c r="M222" i="1465"/>
  <c r="M234" i="1465"/>
  <c r="M243" i="1465"/>
  <c r="M242" i="1465"/>
  <c r="M247" i="1465"/>
  <c r="M221" i="1465"/>
  <c r="M246" i="1465"/>
  <c r="M219" i="1465"/>
  <c r="M227" i="1465"/>
  <c r="M224" i="1465"/>
  <c r="M239" i="1465"/>
  <c r="M232" i="1465"/>
  <c r="M229" i="1465"/>
  <c r="M233" i="1465"/>
  <c r="M240" i="1465"/>
  <c r="M230" i="1465"/>
  <c r="M228" i="1465"/>
  <c r="M236" i="1465"/>
  <c r="M223" i="1465"/>
  <c r="M231" i="1465"/>
  <c r="D11" i="2885" a="1"/>
  <c r="D11" i="2885" s="1"/>
  <c r="N92" i="3033"/>
  <c r="J108" i="3033" s="1"/>
  <c r="K268" i="1465" a="1"/>
  <c r="E56" i="677" a="1"/>
  <c r="E56" i="677" s="1"/>
  <c r="E44" i="677" a="1"/>
  <c r="E44" i="677" s="1"/>
  <c r="K44" i="677" s="1"/>
  <c r="E47" i="677" a="1"/>
  <c r="E47" i="677" s="1"/>
  <c r="E12" i="677" a="1"/>
  <c r="E12" i="677" s="1"/>
  <c r="E53" i="677" a="1"/>
  <c r="E53" i="677" s="1"/>
  <c r="E42" i="677" a="1"/>
  <c r="E42" i="677" s="1"/>
  <c r="E54" i="677" a="1"/>
  <c r="E54" i="677" s="1"/>
  <c r="E45" i="677" a="1"/>
  <c r="E45" i="677" s="1"/>
  <c r="E15" i="677" a="1"/>
  <c r="E15" i="677" s="1"/>
  <c r="E39" i="677" a="1"/>
  <c r="E39" i="677" s="1"/>
  <c r="E49" i="677" a="1"/>
  <c r="E49" i="677" s="1"/>
  <c r="E51" i="677" a="1"/>
  <c r="E51" i="677" s="1"/>
  <c r="E55" i="677" a="1"/>
  <c r="E55" i="677" s="1"/>
  <c r="E17" i="677" a="1"/>
  <c r="E17" i="677" s="1"/>
  <c r="E13" i="677" a="1"/>
  <c r="E13" i="677" s="1"/>
  <c r="E52" i="677" a="1"/>
  <c r="E52" i="677" s="1"/>
  <c r="E50" i="677" a="1"/>
  <c r="E50" i="677" s="1"/>
  <c r="E43" i="677" a="1"/>
  <c r="E43" i="677" s="1"/>
  <c r="E40" i="677" a="1"/>
  <c r="E40" i="677" s="1"/>
  <c r="E37" i="677" a="1"/>
  <c r="E37" i="677" s="1"/>
  <c r="E48" i="677" a="1"/>
  <c r="E48" i="677" s="1"/>
  <c r="E16" i="677" a="1"/>
  <c r="E16" i="677" s="1"/>
  <c r="E46" i="677" a="1"/>
  <c r="E46" i="677" s="1"/>
  <c r="E36" i="677" a="1"/>
  <c r="E36" i="677" s="1"/>
  <c r="K36" i="677" s="1"/>
  <c r="E11" i="677" a="1"/>
  <c r="E11" i="677" s="1"/>
  <c r="E41" i="677" a="1"/>
  <c r="E41" i="677" s="1"/>
  <c r="K41" i="677" s="1"/>
  <c r="E38" i="677" a="1"/>
  <c r="E38" i="677" s="1"/>
  <c r="C2" i="677"/>
  <c r="E14" i="677" a="1"/>
  <c r="E14" i="677" s="1"/>
  <c r="D130" i="677"/>
  <c r="J131" i="677"/>
  <c r="D93" i="161"/>
  <c r="I93" i="161"/>
  <c r="C200" i="161"/>
  <c r="J152" i="161"/>
  <c r="D7" i="2885" s="1"/>
  <c r="D87" i="161"/>
  <c r="M43" i="161"/>
  <c r="D74" i="161"/>
  <c r="T446" i="4"/>
  <c r="M121" i="161"/>
  <c r="Q121" i="161"/>
  <c r="S121" i="161"/>
  <c r="W121" i="161"/>
  <c r="K155" i="161"/>
  <c r="H124" i="161"/>
  <c r="V121" i="161"/>
  <c r="V123" i="161"/>
  <c r="J93" i="161"/>
  <c r="AD445" i="4"/>
  <c r="AK453" i="4"/>
  <c r="U451" i="4"/>
  <c r="AB446" i="4"/>
  <c r="AE441" i="4"/>
  <c r="AE389" i="4"/>
  <c r="AE440" i="4" s="1"/>
  <c r="P453" i="4"/>
  <c r="AG452" i="4"/>
  <c r="W442" i="4"/>
  <c r="AH452" i="4"/>
  <c r="AG444" i="4"/>
  <c r="R442" i="4"/>
  <c r="X442" i="4"/>
  <c r="AD446" i="4"/>
  <c r="AD443" i="4"/>
  <c r="AF442" i="4"/>
  <c r="V453" i="4"/>
  <c r="AI453" i="4"/>
  <c r="S450" i="4"/>
  <c r="S398" i="4"/>
  <c r="S449" i="4" s="1"/>
  <c r="N471" i="4" s="1"/>
  <c r="V445" i="4"/>
  <c r="Z443" i="4"/>
  <c r="AC454" i="4"/>
  <c r="AC442" i="4"/>
  <c r="P444" i="4"/>
  <c r="P512" i="4" a="1"/>
  <c r="P512" i="4" s="1"/>
  <c r="M510" i="4" a="1"/>
  <c r="M510" i="4" s="1"/>
  <c r="M514" i="4" s="1"/>
  <c r="N441" i="4"/>
  <c r="D224" i="951"/>
  <c r="I84" i="1465"/>
  <c r="C50" i="950"/>
  <c r="K307" i="4" a="1"/>
  <c r="G333" i="951"/>
  <c r="G332" i="951"/>
  <c r="G336" i="951"/>
  <c r="G335" i="951"/>
  <c r="G334" i="951"/>
  <c r="K25" i="6"/>
  <c r="L25" i="6"/>
  <c r="L9" i="6" s="1"/>
  <c r="L4" i="6"/>
  <c r="L11" i="6"/>
  <c r="K12" i="6"/>
  <c r="K17" i="6"/>
  <c r="E12" i="2543"/>
  <c r="V160" i="1261"/>
  <c r="M184" i="1261" s="1"/>
  <c r="I184" i="1261" s="1"/>
  <c r="W133" i="1261"/>
  <c r="E181" i="1261" s="1"/>
  <c r="X127" i="1261"/>
  <c r="F178" i="1261" s="1"/>
  <c r="W122" i="1261"/>
  <c r="V162" i="1261"/>
  <c r="M186" i="1261" s="1"/>
  <c r="I186" i="1261" s="1"/>
  <c r="V159" i="1261"/>
  <c r="M175" i="1261" s="1"/>
  <c r="I175" i="1261" s="1"/>
  <c r="D34" i="2210"/>
  <c r="C24" i="2885" s="1"/>
  <c r="C34" i="2210"/>
  <c r="J64" i="3033" s="1" a="1"/>
  <c r="J57" i="3033"/>
  <c r="E35" i="2210"/>
  <c r="F35" i="2210"/>
  <c r="E109" i="951"/>
  <c r="C228" i="951"/>
  <c r="D17" i="951"/>
  <c r="G51" i="951"/>
  <c r="F374" i="951"/>
  <c r="D255" i="1465"/>
  <c r="E255" i="1465" s="1"/>
  <c r="C255" i="1465"/>
  <c r="I254" i="1465"/>
  <c r="H254" i="1465"/>
  <c r="J254" i="1465" s="1"/>
  <c r="L33" i="1465"/>
  <c r="L32" i="1465"/>
  <c r="C57" i="950"/>
  <c r="E40" i="3033"/>
  <c r="E51" i="950"/>
  <c r="H72" i="950"/>
  <c r="E29" i="3033" a="1"/>
  <c r="E29" i="3033" s="1"/>
  <c r="D31" i="4" a="1"/>
  <c r="E48" i="950"/>
  <c r="T52" i="352"/>
  <c r="T53" i="352"/>
  <c r="T51" i="352"/>
  <c r="K135" i="677"/>
  <c r="E134" i="677"/>
  <c r="D89" i="161"/>
  <c r="R30" i="352"/>
  <c r="J151" i="161"/>
  <c r="J150" i="161"/>
  <c r="J156" i="161"/>
  <c r="D83" i="161"/>
  <c r="G72" i="950"/>
  <c r="I72" i="950" s="1"/>
  <c r="K13" i="161"/>
  <c r="D70" i="161"/>
  <c r="T30" i="352"/>
  <c r="K20" i="161"/>
  <c r="C40" i="161" s="1"/>
  <c r="T455" i="4"/>
  <c r="L152" i="161"/>
  <c r="X122" i="161"/>
  <c r="X121" i="161"/>
  <c r="U120" i="161"/>
  <c r="J120" i="161"/>
  <c r="K120" i="161"/>
  <c r="N124" i="161"/>
  <c r="I121" i="161"/>
  <c r="I123" i="161"/>
  <c r="K151" i="161"/>
  <c r="D124" i="161"/>
  <c r="AJ441" i="4"/>
  <c r="AJ389" i="4"/>
  <c r="AJ440" i="4" s="1"/>
  <c r="Y444" i="4"/>
  <c r="AK441" i="4"/>
  <c r="AK389" i="4"/>
  <c r="AK440" i="4" s="1"/>
  <c r="AJ450" i="4"/>
  <c r="AJ398" i="4"/>
  <c r="AJ449" i="4" s="1"/>
  <c r="M454" i="4"/>
  <c r="O445" i="4"/>
  <c r="S441" i="4"/>
  <c r="S389" i="4"/>
  <c r="S440" i="4" s="1"/>
  <c r="AG443" i="4"/>
  <c r="V452" i="4"/>
  <c r="S442" i="4"/>
  <c r="AD455" i="4"/>
  <c r="P328" i="4"/>
  <c r="P450" i="4"/>
  <c r="P398" i="4"/>
  <c r="P449" i="4" s="1"/>
  <c r="K471" i="4" s="1"/>
  <c r="W444" i="4"/>
  <c r="T450" i="4"/>
  <c r="T398" i="4"/>
  <c r="T449" i="4" s="1"/>
  <c r="O471" i="4" s="1"/>
  <c r="T441" i="4"/>
  <c r="T389" i="4"/>
  <c r="T440" i="4" s="1"/>
  <c r="AC445" i="4"/>
  <c r="AC451" i="4"/>
  <c r="AH442" i="4"/>
  <c r="V444" i="4"/>
  <c r="P511" i="4" a="1"/>
  <c r="P511" i="4" s="1"/>
  <c r="L23" i="6"/>
  <c r="L7" i="6" s="1"/>
  <c r="K23" i="6"/>
  <c r="E13" i="2543"/>
  <c r="E103" i="951"/>
  <c r="E92" i="951"/>
  <c r="E94" i="951" s="1"/>
  <c r="C93" i="951"/>
  <c r="H20" i="2543"/>
  <c r="X124" i="1261"/>
  <c r="F173" i="1261" s="1"/>
  <c r="K36" i="6"/>
  <c r="K35" i="6" s="1"/>
  <c r="C35" i="6"/>
  <c r="M4" i="6"/>
  <c r="M11" i="6"/>
  <c r="K16" i="6"/>
  <c r="L8" i="6"/>
  <c r="L24" i="6"/>
  <c r="K24" i="6"/>
  <c r="M9" i="6"/>
  <c r="C19" i="6"/>
  <c r="K20" i="6"/>
  <c r="L20" i="6"/>
  <c r="H26" i="2543"/>
  <c r="C19" i="2543"/>
  <c r="E19" i="2543"/>
  <c r="D29" i="2543"/>
  <c r="E29" i="2543" s="1"/>
  <c r="W137" i="1261"/>
  <c r="E185" i="1261" s="1"/>
  <c r="X130" i="1261"/>
  <c r="V164" i="1261"/>
  <c r="F36" i="2210"/>
  <c r="E36" i="2210"/>
  <c r="I40" i="4"/>
  <c r="J13" i="3033"/>
  <c r="K257" i="4" a="1"/>
  <c r="J41" i="3033"/>
  <c r="D26" i="2885"/>
  <c r="C188" i="951"/>
  <c r="C186" i="951"/>
  <c r="H186" i="951" s="1" a="1"/>
  <c r="H186" i="951" s="1"/>
  <c r="G56" i="951"/>
  <c r="E374" i="951"/>
  <c r="G79" i="1465"/>
  <c r="D156" i="1465"/>
  <c r="V30" i="352"/>
  <c r="E58" i="950"/>
  <c r="F47" i="950"/>
  <c r="F46" i="950"/>
  <c r="O27" i="352"/>
  <c r="O28" i="352"/>
  <c r="O29" i="352"/>
  <c r="J130" i="677"/>
  <c r="D129" i="677"/>
  <c r="J134" i="677"/>
  <c r="D133" i="677"/>
  <c r="D85" i="161"/>
  <c r="D72" i="161"/>
  <c r="L39" i="161"/>
  <c r="D79" i="161"/>
  <c r="C201" i="161"/>
  <c r="K16" i="161"/>
  <c r="C38" i="161" s="1"/>
  <c r="C45" i="161" s="1"/>
  <c r="L156" i="161"/>
  <c r="M122" i="161"/>
  <c r="R122" i="161"/>
  <c r="S122" i="161"/>
  <c r="L124" i="161"/>
  <c r="Y122" i="161"/>
  <c r="F123" i="161"/>
  <c r="E121" i="161"/>
  <c r="V120" i="161"/>
  <c r="W120" i="161"/>
  <c r="T124" i="161"/>
  <c r="O121" i="161"/>
  <c r="O123" i="161"/>
  <c r="J124" i="161"/>
  <c r="AK450" i="4"/>
  <c r="AK398" i="4"/>
  <c r="AK449" i="4" s="1"/>
  <c r="Q453" i="4"/>
  <c r="AE444" i="4"/>
  <c r="Y451" i="4"/>
  <c r="U452" i="4"/>
  <c r="V446" i="4"/>
  <c r="AL451" i="4"/>
  <c r="U446" i="4"/>
  <c r="L326" i="4"/>
  <c r="D325" i="4"/>
  <c r="L329" i="4" s="1"/>
  <c r="R452" i="4"/>
  <c r="Y443" i="4"/>
  <c r="X443" i="4"/>
  <c r="Q445" i="4"/>
  <c r="Q442" i="4"/>
  <c r="P329" i="4"/>
  <c r="AB441" i="4"/>
  <c r="AB389" i="4"/>
  <c r="AB440" i="4" s="1"/>
  <c r="T444" i="4"/>
  <c r="O510" i="4" a="1"/>
  <c r="O510" i="4" s="1"/>
  <c r="O514" i="4" s="1"/>
  <c r="AF440" i="4"/>
  <c r="J69" i="1940"/>
  <c r="J68" i="1940"/>
  <c r="J67" i="1940"/>
  <c r="J70" i="1940"/>
  <c r="H333" i="951"/>
  <c r="H332" i="951"/>
  <c r="H334" i="951"/>
  <c r="H336" i="951"/>
  <c r="H335" i="951"/>
  <c r="AI450" i="4"/>
  <c r="AI398" i="4"/>
  <c r="AI449" i="4" s="1"/>
  <c r="O27" i="6"/>
  <c r="E20" i="2543"/>
  <c r="C11" i="6"/>
  <c r="C3" i="6" s="1" a="1"/>
  <c r="W125" i="1261"/>
  <c r="E174" i="1261" s="1"/>
  <c r="V163" i="1261"/>
  <c r="M187" i="1261" s="1"/>
  <c r="I187" i="1261" s="1"/>
  <c r="C189" i="951"/>
  <c r="L35" i="6"/>
  <c r="K15" i="6"/>
  <c r="K7" i="6" s="1"/>
  <c r="M8" i="6"/>
  <c r="N19" i="6"/>
  <c r="N3" i="6" s="1"/>
  <c r="N4" i="6"/>
  <c r="H25" i="2543"/>
  <c r="E26" i="2543"/>
  <c r="X137" i="1261"/>
  <c r="F185" i="1261" s="1"/>
  <c r="C36" i="1940"/>
  <c r="J52" i="3033" a="1"/>
  <c r="F37" i="2210"/>
  <c r="E37" i="2210"/>
  <c r="C294" i="951"/>
  <c r="C296" i="951"/>
  <c r="C295" i="951"/>
  <c r="H17" i="951"/>
  <c r="H228" i="951"/>
  <c r="G214" i="951" a="1"/>
  <c r="G214" i="951" s="1"/>
  <c r="G213" i="951" a="1"/>
  <c r="G213" i="951" s="1"/>
  <c r="G212" i="951" a="1"/>
  <c r="G212" i="951" s="1"/>
  <c r="G211" i="951" a="1"/>
  <c r="G211" i="951" s="1"/>
  <c r="G210" i="951" a="1"/>
  <c r="G210" i="951" s="1"/>
  <c r="G209" i="951" a="1"/>
  <c r="G209" i="951" s="1"/>
  <c r="G204" i="951" a="1"/>
  <c r="G204" i="951" s="1"/>
  <c r="G203" i="951" a="1"/>
  <c r="G203" i="951" s="1"/>
  <c r="G202" i="951" a="1"/>
  <c r="G202" i="951" s="1"/>
  <c r="G201" i="951" a="1"/>
  <c r="G201" i="951" s="1"/>
  <c r="G200" i="951" a="1"/>
  <c r="G200" i="951" s="1"/>
  <c r="G199" i="951" a="1"/>
  <c r="G199" i="951" s="1"/>
  <c r="E57" i="951" a="1"/>
  <c r="E57" i="951" s="1"/>
  <c r="H57" i="951" s="1"/>
  <c r="E53" i="951" a="1"/>
  <c r="E53" i="951" s="1"/>
  <c r="I363" i="951" a="1"/>
  <c r="I363" i="951" s="1"/>
  <c r="H378" i="951" s="1"/>
  <c r="H362" i="951" a="1"/>
  <c r="H362" i="951" s="1"/>
  <c r="G377" i="951" s="1"/>
  <c r="H240" i="951" a="1"/>
  <c r="H240" i="951" s="1"/>
  <c r="N203" i="951" a="1"/>
  <c r="N203" i="951" s="1"/>
  <c r="N169" i="951" a="1"/>
  <c r="N169" i="951" s="1"/>
  <c r="G159" i="951" a="1"/>
  <c r="G159" i="951" s="1"/>
  <c r="F136" i="951" a="1"/>
  <c r="F136" i="951" s="1"/>
  <c r="E52" i="951" a="1"/>
  <c r="E52" i="951" s="1"/>
  <c r="I365" i="951" a="1"/>
  <c r="I365" i="951" s="1"/>
  <c r="H380" i="951" s="1"/>
  <c r="H364" i="951" a="1"/>
  <c r="H364" i="951" s="1"/>
  <c r="G379" i="951" s="1"/>
  <c r="J277" i="951"/>
  <c r="J271" i="951"/>
  <c r="H242" i="951" a="1"/>
  <c r="H242" i="951" s="1"/>
  <c r="G240" i="951" a="1"/>
  <c r="G240" i="951" s="1"/>
  <c r="N209" i="951" a="1"/>
  <c r="N209" i="951" s="1"/>
  <c r="G165" i="951" a="1"/>
  <c r="G165" i="951" s="1"/>
  <c r="N155" i="951" a="1"/>
  <c r="N155" i="951" s="1"/>
  <c r="H366" i="951" a="1"/>
  <c r="H366" i="951" s="1"/>
  <c r="G381" i="951" s="1"/>
  <c r="I381" i="951" s="1"/>
  <c r="J270" i="951"/>
  <c r="G246" i="951" a="1"/>
  <c r="G246" i="951" s="1"/>
  <c r="G242" i="951" a="1"/>
  <c r="G242" i="951" s="1"/>
  <c r="C258" i="951" s="1" a="1"/>
  <c r="N204" i="951" a="1"/>
  <c r="N204" i="951" s="1"/>
  <c r="G167" i="951" a="1"/>
  <c r="G167" i="951" s="1"/>
  <c r="I360" i="951" a="1"/>
  <c r="I360" i="951" s="1"/>
  <c r="H375" i="951" s="1"/>
  <c r="G243" i="951" a="1"/>
  <c r="G243" i="951" s="1"/>
  <c r="G170" i="951" a="1"/>
  <c r="G170" i="951" s="1"/>
  <c r="G156" i="951" a="1"/>
  <c r="G156" i="951" s="1"/>
  <c r="C178" i="951" s="1" a="1"/>
  <c r="H361" i="951" a="1"/>
  <c r="H361" i="951" s="1"/>
  <c r="G376" i="951" s="1"/>
  <c r="I376" i="951" s="1"/>
  <c r="H248" i="951" a="1"/>
  <c r="H248" i="951" s="1"/>
  <c r="C256" i="951" s="1" a="1"/>
  <c r="G241" i="951" a="1"/>
  <c r="G241" i="951" s="1"/>
  <c r="N213" i="951" a="1"/>
  <c r="N213" i="951" s="1"/>
  <c r="N202" i="951" a="1"/>
  <c r="N202" i="951" s="1"/>
  <c r="N166" i="951" a="1"/>
  <c r="N166" i="951" s="1"/>
  <c r="E189" i="951" s="1"/>
  <c r="O12" i="951"/>
  <c r="H363" i="951" a="1"/>
  <c r="H363" i="951" s="1"/>
  <c r="G378" i="951" s="1"/>
  <c r="I378" i="951" s="1"/>
  <c r="I361" i="951" a="1"/>
  <c r="I361" i="951" s="1"/>
  <c r="H376" i="951" s="1"/>
  <c r="J276" i="951"/>
  <c r="K269" i="951"/>
  <c r="G245" i="951" a="1"/>
  <c r="G245" i="951" s="1"/>
  <c r="H241" i="951" a="1"/>
  <c r="H241" i="951" s="1"/>
  <c r="N165" i="951" a="1"/>
  <c r="N165" i="951" s="1"/>
  <c r="G158" i="951" a="1"/>
  <c r="G158" i="951" s="1"/>
  <c r="E50" i="951" a="1"/>
  <c r="E50" i="951" s="1"/>
  <c r="H50" i="951" s="1"/>
  <c r="N19" i="951" a="1"/>
  <c r="N19" i="951" s="1"/>
  <c r="M12" i="951"/>
  <c r="M25" i="951" s="1"/>
  <c r="I366" i="951" a="1"/>
  <c r="I366" i="951" s="1"/>
  <c r="H381" i="951" s="1"/>
  <c r="I364" i="951" a="1"/>
  <c r="I364" i="951" s="1"/>
  <c r="H379" i="951" s="1"/>
  <c r="I271" i="951"/>
  <c r="H244" i="951" a="1"/>
  <c r="H244" i="951" s="1"/>
  <c r="N199" i="951" a="1"/>
  <c r="N199" i="951" s="1"/>
  <c r="E56" i="951" a="1"/>
  <c r="E56" i="951" s="1"/>
  <c r="H56" i="951" s="1"/>
  <c r="I362" i="951" a="1"/>
  <c r="I362" i="951" s="1"/>
  <c r="H377" i="951" s="1"/>
  <c r="J278" i="951"/>
  <c r="G248" i="951" a="1"/>
  <c r="G248" i="951" s="1"/>
  <c r="H246" i="951" a="1"/>
  <c r="H246" i="951" s="1"/>
  <c r="N170" i="951" a="1"/>
  <c r="N170" i="951" s="1"/>
  <c r="H360" i="951" a="1"/>
  <c r="H360" i="951" s="1"/>
  <c r="G375" i="951" s="1"/>
  <c r="G244" i="951" a="1"/>
  <c r="G244" i="951" s="1"/>
  <c r="N168" i="951" a="1"/>
  <c r="N168" i="951" s="1"/>
  <c r="G157" i="951" a="1"/>
  <c r="G157" i="951" s="1"/>
  <c r="C179" i="951" s="1" a="1"/>
  <c r="G155" i="951" a="1"/>
  <c r="G155" i="951" s="1"/>
  <c r="F135" i="951" a="1"/>
  <c r="F135" i="951" s="1"/>
  <c r="E58" i="951" a="1"/>
  <c r="E58" i="951" s="1"/>
  <c r="H365" i="951" a="1"/>
  <c r="H365" i="951" s="1"/>
  <c r="G380" i="951" s="1"/>
  <c r="L12" i="951"/>
  <c r="L25" i="951" s="1"/>
  <c r="I270" i="951"/>
  <c r="G168" i="951" a="1"/>
  <c r="G168" i="951" s="1"/>
  <c r="I269" i="951"/>
  <c r="H247" i="951" a="1"/>
  <c r="H247" i="951" s="1"/>
  <c r="G247" i="951" a="1"/>
  <c r="G247" i="951" s="1"/>
  <c r="N210" i="951" a="1"/>
  <c r="N210" i="951" s="1"/>
  <c r="E54" i="951" a="1"/>
  <c r="E54" i="951" s="1"/>
  <c r="H54" i="951" s="1"/>
  <c r="E276" i="951"/>
  <c r="N159" i="951" a="1"/>
  <c r="N159" i="951" s="1"/>
  <c r="N156" i="951" a="1"/>
  <c r="N156" i="951" s="1"/>
  <c r="H178" i="951" s="1" a="1"/>
  <c r="N12" i="951"/>
  <c r="N25" i="951" s="1"/>
  <c r="N214" i="951" a="1"/>
  <c r="N214" i="951" s="1"/>
  <c r="G166" i="951" a="1"/>
  <c r="G166" i="951" s="1"/>
  <c r="N200" i="951" a="1"/>
  <c r="N200" i="951" s="1"/>
  <c r="P12" i="951"/>
  <c r="P25" i="951" s="1"/>
  <c r="E277" i="951"/>
  <c r="H243" i="951" a="1"/>
  <c r="H243" i="951" s="1"/>
  <c r="N212" i="951" a="1"/>
  <c r="N212" i="951" s="1"/>
  <c r="G169" i="951" a="1"/>
  <c r="G169" i="951" s="1"/>
  <c r="K12" i="951"/>
  <c r="K271" i="951"/>
  <c r="N160" i="951" a="1"/>
  <c r="N160" i="951" s="1"/>
  <c r="E55" i="951" a="1"/>
  <c r="E55" i="951" s="1"/>
  <c r="H55" i="951" s="1"/>
  <c r="K270" i="951"/>
  <c r="G160" i="951" a="1"/>
  <c r="G160" i="951" s="1"/>
  <c r="E278" i="951"/>
  <c r="H245" i="951" a="1"/>
  <c r="H245" i="951" s="1"/>
  <c r="N157" i="951" a="1"/>
  <c r="N157" i="951" s="1"/>
  <c r="H179" i="951" s="1" a="1"/>
  <c r="J269" i="951"/>
  <c r="N211" i="951" a="1"/>
  <c r="N211" i="951" s="1"/>
  <c r="N167" i="951" a="1"/>
  <c r="N167" i="951" s="1"/>
  <c r="E51" i="951" a="1"/>
  <c r="E51" i="951" s="1"/>
  <c r="N158" i="951" a="1"/>
  <c r="N158" i="951" s="1"/>
  <c r="N201" i="951" a="1"/>
  <c r="N201" i="951" s="1"/>
  <c r="D155" i="1465"/>
  <c r="C100" i="1465"/>
  <c r="C101" i="1465"/>
  <c r="D74" i="1465"/>
  <c r="C99" i="1465"/>
  <c r="C102" i="1465" a="1"/>
  <c r="D79" i="1465"/>
  <c r="E57" i="3033"/>
  <c r="E156" i="1465"/>
  <c r="J33" i="1465" a="1"/>
  <c r="J33" i="1465" s="1"/>
  <c r="E33" i="3033" s="1"/>
  <c r="M28" i="950" a="1"/>
  <c r="M28" i="950" s="1"/>
  <c r="M22" i="950" a="1"/>
  <c r="M22" i="950" s="1"/>
  <c r="M16" i="950" a="1"/>
  <c r="M16" i="950" s="1"/>
  <c r="M17" i="950" a="1"/>
  <c r="M17" i="950" s="1"/>
  <c r="M21" i="950" a="1"/>
  <c r="M21" i="950" s="1"/>
  <c r="M20" i="950" a="1"/>
  <c r="M20" i="950" s="1"/>
  <c r="M19" i="950" a="1"/>
  <c r="M19" i="950" s="1"/>
  <c r="M18" i="950" a="1"/>
  <c r="M18" i="950" s="1"/>
  <c r="M23" i="950" a="1"/>
  <c r="M23" i="950" s="1"/>
  <c r="M12" i="950" a="1"/>
  <c r="M12" i="950" s="1"/>
  <c r="M30" i="950" a="1"/>
  <c r="M30" i="950" s="1"/>
  <c r="M25" i="950" a="1"/>
  <c r="M25" i="950" s="1"/>
  <c r="M14" i="950" a="1"/>
  <c r="M14" i="950" s="1"/>
  <c r="M26" i="950" a="1"/>
  <c r="M26" i="950" s="1"/>
  <c r="M15" i="950" a="1"/>
  <c r="M15" i="950" s="1"/>
  <c r="M24" i="950" a="1"/>
  <c r="M24" i="950" s="1"/>
  <c r="M13" i="950" a="1"/>
  <c r="M13" i="950" s="1"/>
  <c r="M11" i="950" a="1"/>
  <c r="M11" i="950" s="1"/>
  <c r="M29" i="950" a="1"/>
  <c r="M29" i="950" s="1"/>
  <c r="M27" i="950" a="1"/>
  <c r="M27" i="950" s="1"/>
  <c r="M31" i="950" a="1"/>
  <c r="M31" i="950" s="1"/>
  <c r="E60" i="950"/>
  <c r="F48" i="950"/>
  <c r="E53" i="950"/>
  <c r="F51" i="950"/>
  <c r="H78" i="950"/>
  <c r="U29" i="352"/>
  <c r="U28" i="352"/>
  <c r="U27" i="352"/>
  <c r="K137" i="677"/>
  <c r="E136" i="677"/>
  <c r="K132" i="677"/>
  <c r="E131" i="677"/>
  <c r="D81" i="161"/>
  <c r="J154" i="161"/>
  <c r="D75" i="161"/>
  <c r="K22" i="161"/>
  <c r="J22" i="161"/>
  <c r="D10" i="4" s="1" a="1"/>
  <c r="L155" i="161"/>
  <c r="Y123" i="161"/>
  <c r="M124" i="161"/>
  <c r="R124" i="161"/>
  <c r="Y121" i="161"/>
  <c r="U121" i="161"/>
  <c r="U123" i="161"/>
  <c r="P124" i="161"/>
  <c r="E123" i="161"/>
  <c r="K150" i="161"/>
  <c r="AB453" i="4"/>
  <c r="M444" i="4"/>
  <c r="Y441" i="4"/>
  <c r="Y389" i="4"/>
  <c r="Y440" i="4" s="1"/>
  <c r="X450" i="4"/>
  <c r="X398" i="4"/>
  <c r="X449" i="4" s="1"/>
  <c r="S471" i="4" s="1"/>
  <c r="AE453" i="4"/>
  <c r="AC398" i="4"/>
  <c r="AC449" i="4" s="1"/>
  <c r="AC450" i="4"/>
  <c r="AL442" i="4"/>
  <c r="E325" i="4"/>
  <c r="M327" i="4" s="1"/>
  <c r="AD451" i="4"/>
  <c r="X441" i="4"/>
  <c r="X389" i="4"/>
  <c r="X440" i="4" s="1"/>
  <c r="M328" i="4"/>
  <c r="P441" i="4"/>
  <c r="P389" i="4"/>
  <c r="P440" i="4" s="1"/>
  <c r="J127" i="3033"/>
  <c r="J126" i="3033"/>
  <c r="AF444" i="4"/>
  <c r="O512" i="4" a="1"/>
  <c r="O512" i="4" s="1"/>
  <c r="T112" i="4"/>
  <c r="AB112" i="4" s="1"/>
  <c r="S112" i="4"/>
  <c r="AA112" i="4" s="1"/>
  <c r="V112" i="4"/>
  <c r="AD112" i="4" s="1"/>
  <c r="W112" i="4"/>
  <c r="AE112" i="4" s="1"/>
  <c r="U112" i="4"/>
  <c r="AC112" i="4" s="1"/>
  <c r="AF441" i="4"/>
  <c r="K44" i="6"/>
  <c r="K43" i="6" s="1"/>
  <c r="C43" i="6"/>
  <c r="K14" i="6"/>
  <c r="K6" i="6" s="1"/>
  <c r="L6" i="6"/>
  <c r="H11" i="2543"/>
  <c r="X139" i="1261"/>
  <c r="F187" i="1261" s="1"/>
  <c r="J47" i="3033" a="1"/>
  <c r="F38" i="2210"/>
  <c r="E38" i="2210"/>
  <c r="C17" i="951"/>
  <c r="D286" i="951" a="1"/>
  <c r="D286" i="951" s="1"/>
  <c r="D105" i="1465" a="1"/>
  <c r="G74" i="1465"/>
  <c r="G78" i="1465"/>
  <c r="D102" i="1465" s="1" a="1"/>
  <c r="H260" i="1465"/>
  <c r="J260" i="1465"/>
  <c r="I260" i="1465"/>
  <c r="D106" i="1465" a="1"/>
  <c r="C155" i="1465"/>
  <c r="N249" i="1465"/>
  <c r="N247" i="1465"/>
  <c r="N245" i="1465"/>
  <c r="N243" i="1465"/>
  <c r="N241" i="1465"/>
  <c r="N239" i="1465"/>
  <c r="N237" i="1465"/>
  <c r="N235" i="1465"/>
  <c r="N233" i="1465"/>
  <c r="N231" i="1465"/>
  <c r="N227" i="1465"/>
  <c r="N236" i="1465"/>
  <c r="N244" i="1465"/>
  <c r="N246" i="1465"/>
  <c r="N219" i="1465"/>
  <c r="N248" i="1465"/>
  <c r="N229" i="1465"/>
  <c r="N226" i="1465"/>
  <c r="N234" i="1465"/>
  <c r="N224" i="1465"/>
  <c r="N228" i="1465"/>
  <c r="N221" i="1465"/>
  <c r="N240" i="1465"/>
  <c r="N230" i="1465"/>
  <c r="N242" i="1465"/>
  <c r="N238" i="1465"/>
  <c r="N223" i="1465"/>
  <c r="N225" i="1465"/>
  <c r="N232" i="1465"/>
  <c r="N222" i="1465"/>
  <c r="N220" i="1465"/>
  <c r="D152" i="1465"/>
  <c r="E142" i="1465"/>
  <c r="D15" i="2544" s="1" a="1"/>
  <c r="C80" i="1940" a="1"/>
  <c r="B100" i="677"/>
  <c r="E82" i="677" a="1"/>
  <c r="E82" i="677" s="1"/>
  <c r="D100" i="677" s="1"/>
  <c r="B83" i="677" a="1"/>
  <c r="B83" i="677" s="1"/>
  <c r="R72" i="950"/>
  <c r="E54" i="950"/>
  <c r="E50" i="950"/>
  <c r="F50" i="950"/>
  <c r="D8" i="2544" a="1"/>
  <c r="O51" i="352"/>
  <c r="O52" i="352"/>
  <c r="O53" i="352"/>
  <c r="O54" i="352" s="1"/>
  <c r="S124" i="161"/>
  <c r="AA121" i="161"/>
  <c r="V124" i="161"/>
  <c r="S446" i="4"/>
  <c r="M453" i="4"/>
  <c r="Y450" i="4"/>
  <c r="Y398" i="4"/>
  <c r="Y449" i="4" s="1"/>
  <c r="T471" i="4" s="1"/>
  <c r="AF445" i="4"/>
  <c r="AK451" i="4"/>
  <c r="L327" i="4"/>
  <c r="F325" i="4"/>
  <c r="N330" i="4" s="1"/>
  <c r="P451" i="4"/>
  <c r="V450" i="4"/>
  <c r="V398" i="4"/>
  <c r="V449" i="4" s="1"/>
  <c r="Q471" i="4" s="1"/>
  <c r="AG453" i="4"/>
  <c r="AG450" i="4"/>
  <c r="AG398" i="4"/>
  <c r="AG449" i="4" s="1"/>
  <c r="AH441" i="4"/>
  <c r="AH389" i="4"/>
  <c r="AH440" i="4" s="1"/>
  <c r="J95" i="3033"/>
  <c r="J94" i="3033"/>
  <c r="M512" i="4" a="1"/>
  <c r="M512" i="4" s="1"/>
  <c r="P510" i="4" a="1"/>
  <c r="P510" i="4" s="1"/>
  <c r="P514" i="4" s="1"/>
  <c r="V50" i="4"/>
  <c r="V49" i="4"/>
  <c r="I26" i="2210" a="1"/>
  <c r="I26" i="2210" s="1"/>
  <c r="I25" i="2210" a="1"/>
  <c r="I25" i="2210" s="1"/>
  <c r="I24" i="2210" a="1"/>
  <c r="I24" i="2210" s="1"/>
  <c r="I23" i="2210" a="1"/>
  <c r="I23" i="2210" s="1"/>
  <c r="I22" i="2210" a="1"/>
  <c r="I22" i="2210" s="1"/>
  <c r="I16" i="2210" a="1"/>
  <c r="I16" i="2210" s="1"/>
  <c r="I15" i="2210" a="1"/>
  <c r="I15" i="2210" s="1"/>
  <c r="I14" i="2210" a="1"/>
  <c r="I14" i="2210" s="1"/>
  <c r="I13" i="2210" a="1"/>
  <c r="I13" i="2210" s="1"/>
  <c r="I12" i="2210" a="1"/>
  <c r="I12" i="2210" s="1"/>
  <c r="H26" i="2210" a="1"/>
  <c r="H26" i="2210" s="1"/>
  <c r="H25" i="2210" a="1"/>
  <c r="H25" i="2210" s="1"/>
  <c r="H24" i="2210" a="1"/>
  <c r="H24" i="2210" s="1"/>
  <c r="H23" i="2210" a="1"/>
  <c r="H23" i="2210" s="1"/>
  <c r="H22" i="2210" a="1"/>
  <c r="H22" i="2210" s="1"/>
  <c r="H16" i="2210" a="1"/>
  <c r="H16" i="2210" s="1"/>
  <c r="H15" i="2210" a="1"/>
  <c r="H15" i="2210" s="1"/>
  <c r="H14" i="2210" a="1"/>
  <c r="H14" i="2210" s="1"/>
  <c r="H13" i="2210" a="1"/>
  <c r="H13" i="2210" s="1"/>
  <c r="H12" i="2210" a="1"/>
  <c r="H12" i="2210" s="1"/>
  <c r="E17" i="951"/>
  <c r="F58" i="951"/>
  <c r="F51" i="951"/>
  <c r="F294" i="951" a="1"/>
  <c r="E294" i="951" a="1"/>
  <c r="F9" i="2885"/>
  <c r="D75" i="1465"/>
  <c r="E53" i="3033"/>
  <c r="O4" i="3033" a="1"/>
  <c r="H255" i="1465"/>
  <c r="I255" i="1465"/>
  <c r="J255" i="1465" s="1"/>
  <c r="D10" i="2544" a="1"/>
  <c r="Q28" i="352"/>
  <c r="Q27" i="352"/>
  <c r="Q29" i="352"/>
  <c r="E133" i="677"/>
  <c r="K134" i="677"/>
  <c r="C11" i="2885"/>
  <c r="M92" i="3033"/>
  <c r="J124" i="3033" s="1"/>
  <c r="B9" i="2885"/>
  <c r="J153" i="161"/>
  <c r="C9" i="2885"/>
  <c r="V53" i="352"/>
  <c r="V51" i="352"/>
  <c r="V52" i="352"/>
  <c r="M123" i="161"/>
  <c r="F121" i="161"/>
  <c r="AB450" i="4"/>
  <c r="AB398" i="4"/>
  <c r="AB449" i="4" s="1"/>
  <c r="W471" i="4" s="1"/>
  <c r="M441" i="4"/>
  <c r="M389" i="4"/>
  <c r="M440" i="4" s="1"/>
  <c r="AA441" i="4"/>
  <c r="AA389" i="4"/>
  <c r="AA440" i="4" s="1"/>
  <c r="AG455" i="4"/>
  <c r="AK442" i="4"/>
  <c r="Z442" i="4"/>
  <c r="P327" i="4"/>
  <c r="AA450" i="4"/>
  <c r="R451" i="4"/>
  <c r="AL441" i="4"/>
  <c r="AL389" i="4"/>
  <c r="AL440" i="4" s="1"/>
  <c r="W446" i="4"/>
  <c r="O441" i="4"/>
  <c r="O389" i="4"/>
  <c r="O440" i="4" s="1"/>
  <c r="U453" i="4"/>
  <c r="AG389" i="4"/>
  <c r="AG440" i="4" s="1"/>
  <c r="AG441" i="4"/>
  <c r="V441" i="4"/>
  <c r="V389" i="4"/>
  <c r="V440" i="4" s="1"/>
  <c r="J111" i="3033"/>
  <c r="J110" i="3033"/>
  <c r="M511" i="4" a="1"/>
  <c r="M511" i="4" s="1"/>
  <c r="L511" i="4" a="1"/>
  <c r="L511" i="4" s="1"/>
  <c r="K164" i="1261" a="1"/>
  <c r="K164" i="1261" s="1"/>
  <c r="Q162" i="1261" a="1"/>
  <c r="Q162" i="1261" s="1"/>
  <c r="E162" i="1261" a="1"/>
  <c r="E162" i="1261" s="1"/>
  <c r="K160" i="1261" a="1"/>
  <c r="K160" i="1261" s="1"/>
  <c r="Q158" i="1261" a="1"/>
  <c r="Q158" i="1261" s="1"/>
  <c r="W158" i="1261" s="1"/>
  <c r="N182" i="1261" s="1"/>
  <c r="E158" i="1261" a="1"/>
  <c r="E158" i="1261" s="1"/>
  <c r="K156" i="1261" a="1"/>
  <c r="K156" i="1261" s="1"/>
  <c r="Q154" i="1261" a="1"/>
  <c r="Q154" i="1261" s="1"/>
  <c r="E154" i="1261" a="1"/>
  <c r="E154" i="1261" s="1"/>
  <c r="K152" i="1261" a="1"/>
  <c r="K152" i="1261" s="1"/>
  <c r="E157" i="1261" a="1"/>
  <c r="E157" i="1261" s="1"/>
  <c r="E152" i="1261" a="1"/>
  <c r="E152" i="1261" s="1"/>
  <c r="K150" i="1261" a="1"/>
  <c r="K150" i="1261" s="1"/>
  <c r="Q148" i="1261" a="1"/>
  <c r="Q148" i="1261" s="1"/>
  <c r="E148" i="1261" a="1"/>
  <c r="E148" i="1261" s="1"/>
  <c r="K146" i="1261" a="1"/>
  <c r="K146" i="1261" s="1"/>
  <c r="D223" i="1261"/>
  <c r="K161" i="1261" a="1"/>
  <c r="K161" i="1261" s="1"/>
  <c r="Q157" i="1261" a="1"/>
  <c r="Q157" i="1261" s="1"/>
  <c r="Q152" i="1261" a="1"/>
  <c r="Q152" i="1261" s="1"/>
  <c r="E160" i="1261" a="1"/>
  <c r="E160" i="1261" s="1"/>
  <c r="E155" i="1261" a="1"/>
  <c r="E155" i="1261" s="1"/>
  <c r="E161" i="1261" a="1"/>
  <c r="E161" i="1261" s="1"/>
  <c r="E156" i="1261" a="1"/>
  <c r="E156" i="1261" s="1"/>
  <c r="K163" i="1261" a="1"/>
  <c r="K163" i="1261" s="1"/>
  <c r="K162" i="1261" a="1"/>
  <c r="K162" i="1261" s="1"/>
  <c r="Q151" i="1261" a="1"/>
  <c r="Q151" i="1261" s="1"/>
  <c r="Q156" i="1261" a="1"/>
  <c r="Q156" i="1261" s="1"/>
  <c r="W156" i="1261" s="1"/>
  <c r="Q155" i="1261" a="1"/>
  <c r="Q155" i="1261" s="1"/>
  <c r="E146" i="1261" a="1"/>
  <c r="E146" i="1261" s="1"/>
  <c r="E164" i="1261" a="1"/>
  <c r="E164" i="1261" s="1"/>
  <c r="E163" i="1261" a="1"/>
  <c r="E163" i="1261" s="1"/>
  <c r="K159" i="1261" a="1"/>
  <c r="K159" i="1261" s="1"/>
  <c r="E153" i="1261" a="1"/>
  <c r="E153" i="1261" s="1"/>
  <c r="K147" i="1261" a="1"/>
  <c r="K147" i="1261" s="1"/>
  <c r="D225" i="1261"/>
  <c r="E150" i="1261" a="1"/>
  <c r="E150" i="1261" s="1"/>
  <c r="Q146" i="1261" a="1"/>
  <c r="Q146" i="1261" s="1"/>
  <c r="K158" i="1261" a="1"/>
  <c r="K158" i="1261" s="1"/>
  <c r="K157" i="1261" a="1"/>
  <c r="K157" i="1261" s="1"/>
  <c r="K151" i="1261" a="1"/>
  <c r="K151" i="1261" s="1"/>
  <c r="K149" i="1261" a="1"/>
  <c r="K149" i="1261" s="1"/>
  <c r="Q164" i="1261" a="1"/>
  <c r="Q164" i="1261" s="1"/>
  <c r="W164" i="1261" s="1"/>
  <c r="Q163" i="1261" a="1"/>
  <c r="Q163" i="1261" s="1"/>
  <c r="W163" i="1261" s="1"/>
  <c r="N187" i="1261" s="1"/>
  <c r="K154" i="1261" a="1"/>
  <c r="K154" i="1261" s="1"/>
  <c r="E159" i="1261" a="1"/>
  <c r="E159" i="1261" s="1"/>
  <c r="K155" i="1261" a="1"/>
  <c r="K155" i="1261" s="1"/>
  <c r="Q153" i="1261" a="1"/>
  <c r="Q153" i="1261" s="1"/>
  <c r="E82" i="1261" a="1"/>
  <c r="E82" i="1261" s="1"/>
  <c r="Q77" i="1261" a="1"/>
  <c r="Q77" i="1261" s="1"/>
  <c r="E70" i="1261" a="1"/>
  <c r="E70" i="1261" s="1"/>
  <c r="E149" i="1261" a="1"/>
  <c r="E149" i="1261" s="1"/>
  <c r="E96" i="1261" a="1"/>
  <c r="E96" i="1261" s="1"/>
  <c r="K88" i="1261" a="1"/>
  <c r="K88" i="1261" s="1"/>
  <c r="K87" i="1261" a="1"/>
  <c r="K87" i="1261" s="1"/>
  <c r="Q85" i="1261" a="1"/>
  <c r="Q85" i="1261" s="1"/>
  <c r="Q82" i="1261" a="1"/>
  <c r="Q82" i="1261" s="1"/>
  <c r="K78" i="1261" a="1"/>
  <c r="K78" i="1261" s="1"/>
  <c r="Q70" i="1261" a="1"/>
  <c r="Q70" i="1261" s="1"/>
  <c r="D224" i="1261"/>
  <c r="Q160" i="1261" a="1"/>
  <c r="Q160" i="1261" s="1"/>
  <c r="K83" i="1261" a="1"/>
  <c r="K83" i="1261" s="1"/>
  <c r="E79" i="1261" a="1"/>
  <c r="E79" i="1261" s="1"/>
  <c r="K75" i="1261" a="1"/>
  <c r="K75" i="1261" s="1"/>
  <c r="I109" i="1261" s="1"/>
  <c r="Q147" i="1261" a="1"/>
  <c r="Q147" i="1261" s="1"/>
  <c r="E84" i="1261" a="1"/>
  <c r="E84" i="1261" s="1"/>
  <c r="Q79" i="1261" a="1"/>
  <c r="Q79" i="1261" s="1"/>
  <c r="E76" i="1261" a="1"/>
  <c r="E76" i="1261" s="1"/>
  <c r="K153" i="1261" a="1"/>
  <c r="K153" i="1261" s="1"/>
  <c r="E99" i="1261" a="1"/>
  <c r="E99" i="1261" s="1"/>
  <c r="E93" i="1261" a="1"/>
  <c r="E93" i="1261" s="1"/>
  <c r="E88" i="1261" a="1"/>
  <c r="E88" i="1261" s="1"/>
  <c r="K86" i="1261" a="1"/>
  <c r="K86" i="1261" s="1"/>
  <c r="Q84" i="1261" a="1"/>
  <c r="Q84" i="1261" s="1"/>
  <c r="Q161" i="1261" a="1"/>
  <c r="Q161" i="1261" s="1"/>
  <c r="W161" i="1261" s="1"/>
  <c r="N185" i="1261" s="1"/>
  <c r="K148" i="1261" a="1"/>
  <c r="K148" i="1261" s="1"/>
  <c r="K69" i="1261" a="1"/>
  <c r="K69" i="1261" s="1"/>
  <c r="Q159" i="1261" a="1"/>
  <c r="Q159" i="1261" s="1"/>
  <c r="W159" i="1261" s="1"/>
  <c r="N175" i="1261" s="1"/>
  <c r="E151" i="1261" a="1"/>
  <c r="E151" i="1261" s="1"/>
  <c r="K85" i="1261" a="1"/>
  <c r="K85" i="1261" s="1"/>
  <c r="K80" i="1261" a="1"/>
  <c r="K80" i="1261" s="1"/>
  <c r="K79" i="1261" a="1"/>
  <c r="K79" i="1261" s="1"/>
  <c r="K68" i="1261" a="1"/>
  <c r="K68" i="1261" s="1"/>
  <c r="E66" i="1261" a="1"/>
  <c r="E66" i="1261" s="1"/>
  <c r="K64" i="1261" a="1"/>
  <c r="K64" i="1261" s="1"/>
  <c r="E62" i="1261" a="1"/>
  <c r="E62" i="1261" s="1"/>
  <c r="K60" i="1261" a="1"/>
  <c r="K60" i="1261" s="1"/>
  <c r="E58" i="1261" a="1"/>
  <c r="E58" i="1261" s="1"/>
  <c r="Q88" i="1261" a="1"/>
  <c r="Q88" i="1261" s="1"/>
  <c r="N189" i="1261" s="1"/>
  <c r="E87" i="1261" a="1"/>
  <c r="E87" i="1261" s="1"/>
  <c r="E75" i="1261" a="1"/>
  <c r="E75" i="1261" s="1"/>
  <c r="Q150" i="1261" a="1"/>
  <c r="Q150" i="1261" s="1"/>
  <c r="W150" i="1261" s="1"/>
  <c r="N177" i="1261" s="1"/>
  <c r="E147" i="1261" a="1"/>
  <c r="E147" i="1261" s="1"/>
  <c r="E78" i="1261" a="1"/>
  <c r="E78" i="1261" s="1"/>
  <c r="Q66" i="1261" a="1"/>
  <c r="Q66" i="1261" s="1"/>
  <c r="E65" i="1261" a="1"/>
  <c r="E65" i="1261" s="1"/>
  <c r="Q62" i="1261" a="1"/>
  <c r="Q62" i="1261" s="1"/>
  <c r="E61" i="1261" a="1"/>
  <c r="E61" i="1261" s="1"/>
  <c r="Q58" i="1261" a="1"/>
  <c r="Q58" i="1261" s="1"/>
  <c r="E57" i="1261" a="1"/>
  <c r="E57" i="1261" s="1"/>
  <c r="Q83" i="1261" a="1"/>
  <c r="Q83" i="1261" s="1"/>
  <c r="N183" i="1261" s="1"/>
  <c r="K82" i="1261" a="1"/>
  <c r="K82" i="1261" s="1"/>
  <c r="K81" i="1261" a="1"/>
  <c r="K81" i="1261" s="1"/>
  <c r="E77" i="1261" a="1"/>
  <c r="E77" i="1261" s="1"/>
  <c r="E69" i="1261" a="1"/>
  <c r="E69" i="1261" s="1"/>
  <c r="E98" i="1261" a="1"/>
  <c r="E98" i="1261" s="1"/>
  <c r="Q86" i="1261" a="1"/>
  <c r="Q86" i="1261" s="1"/>
  <c r="Q76" i="1261" a="1"/>
  <c r="Q76" i="1261" s="1"/>
  <c r="K67" i="1261" a="1"/>
  <c r="K67" i="1261" s="1"/>
  <c r="Q65" i="1261" a="1"/>
  <c r="Q65" i="1261" s="1"/>
  <c r="K63" i="1261" a="1"/>
  <c r="K63" i="1261" s="1"/>
  <c r="Q61" i="1261" a="1"/>
  <c r="Q61" i="1261" s="1"/>
  <c r="K59" i="1261" a="1"/>
  <c r="K59" i="1261" s="1"/>
  <c r="Q149" i="1261" a="1"/>
  <c r="Q149" i="1261" s="1"/>
  <c r="W149" i="1261" s="1"/>
  <c r="N174" i="1261" s="1"/>
  <c r="E85" i="1261" a="1"/>
  <c r="E85" i="1261" s="1"/>
  <c r="E81" i="1261" a="1"/>
  <c r="E81" i="1261" s="1"/>
  <c r="E80" i="1261" a="1"/>
  <c r="E80" i="1261" s="1"/>
  <c r="Q75" i="1261" a="1"/>
  <c r="Q75" i="1261" s="1"/>
  <c r="I111" i="1261" s="1"/>
  <c r="N171" i="1261" s="1"/>
  <c r="J171" i="1261" s="1"/>
  <c r="Q69" i="1261" a="1"/>
  <c r="Q69" i="1261" s="1"/>
  <c r="E68" i="1261" a="1"/>
  <c r="E68" i="1261" s="1"/>
  <c r="K66" i="1261" a="1"/>
  <c r="K66" i="1261" s="1"/>
  <c r="E64" i="1261" a="1"/>
  <c r="E64" i="1261" s="1"/>
  <c r="K62" i="1261" a="1"/>
  <c r="K62" i="1261" s="1"/>
  <c r="Q80" i="1261" a="1"/>
  <c r="Q80" i="1261" s="1"/>
  <c r="Q67" i="1261" a="1"/>
  <c r="Q67" i="1261" s="1"/>
  <c r="K65" i="1261" a="1"/>
  <c r="K65" i="1261" s="1"/>
  <c r="K61" i="1261" a="1"/>
  <c r="K61" i="1261" s="1"/>
  <c r="Q59" i="1261" a="1"/>
  <c r="Q59" i="1261" s="1"/>
  <c r="E67" i="1261" a="1"/>
  <c r="E67" i="1261" s="1"/>
  <c r="Q64" i="1261" a="1"/>
  <c r="Q64" i="1261" s="1"/>
  <c r="K84" i="1261" a="1"/>
  <c r="K84" i="1261" s="1"/>
  <c r="Q57" i="1261" a="1"/>
  <c r="Q57" i="1261" s="1"/>
  <c r="I108" i="1261" s="1"/>
  <c r="E95" i="1261" a="1"/>
  <c r="E95" i="1261" s="1"/>
  <c r="W49" i="4" s="1" a="1"/>
  <c r="K76" i="1261" a="1"/>
  <c r="K76" i="1261" s="1"/>
  <c r="Q60" i="1261" a="1"/>
  <c r="Q60" i="1261" s="1"/>
  <c r="E59" i="1261" a="1"/>
  <c r="E59" i="1261" s="1"/>
  <c r="E83" i="1261" a="1"/>
  <c r="E83" i="1261" s="1"/>
  <c r="Q78" i="1261" a="1"/>
  <c r="Q78" i="1261" s="1"/>
  <c r="E94" i="1261" a="1"/>
  <c r="E94" i="1261" s="1"/>
  <c r="Q68" i="1261" a="1"/>
  <c r="Q68" i="1261" s="1"/>
  <c r="Q63" i="1261" a="1"/>
  <c r="Q63" i="1261" s="1"/>
  <c r="E60" i="1261" a="1"/>
  <c r="E60" i="1261" s="1"/>
  <c r="K57" i="1261" a="1"/>
  <c r="K57" i="1261" s="1"/>
  <c r="I107" i="1261" s="1"/>
  <c r="E86" i="1261" a="1"/>
  <c r="E86" i="1261" s="1"/>
  <c r="K77" i="1261" a="1"/>
  <c r="K77" i="1261" s="1"/>
  <c r="E63" i="1261" a="1"/>
  <c r="E63" i="1261" s="1"/>
  <c r="K70" i="1261" a="1"/>
  <c r="K70" i="1261" s="1"/>
  <c r="Q87" i="1261" a="1"/>
  <c r="Q87" i="1261" s="1"/>
  <c r="N188" i="1261" s="1"/>
  <c r="Q81" i="1261" a="1"/>
  <c r="Q81" i="1261" s="1"/>
  <c r="K58" i="1261" a="1"/>
  <c r="K58" i="1261" s="1"/>
  <c r="C2" i="1261"/>
  <c r="V122" i="1261"/>
  <c r="I34" i="2210"/>
  <c r="J59" i="3033" s="1" a="1"/>
  <c r="J58" i="3033"/>
  <c r="J105" i="3033"/>
  <c r="J104" i="3033" s="1"/>
  <c r="G18" i="2885"/>
  <c r="E67" i="1940"/>
  <c r="K67" i="1940" s="1" a="1"/>
  <c r="H223" i="951"/>
  <c r="H229" i="951"/>
  <c r="F94" i="951"/>
  <c r="F91" i="951"/>
  <c r="D105" i="951"/>
  <c r="D103" i="951"/>
  <c r="O242" i="1465"/>
  <c r="O234" i="1465"/>
  <c r="O245" i="1465"/>
  <c r="O241" i="1465"/>
  <c r="O230" i="1465"/>
  <c r="O222" i="1465"/>
  <c r="O237" i="1465"/>
  <c r="O223" i="1465"/>
  <c r="O219" i="1465"/>
  <c r="O247" i="1465"/>
  <c r="O229" i="1465"/>
  <c r="O235" i="1465"/>
  <c r="O246" i="1465"/>
  <c r="O248" i="1465"/>
  <c r="O220" i="1465"/>
  <c r="O249" i="1465"/>
  <c r="O239" i="1465"/>
  <c r="O221" i="1465"/>
  <c r="O240" i="1465"/>
  <c r="O228" i="1465"/>
  <c r="O238" i="1465"/>
  <c r="O236" i="1465"/>
  <c r="O244" i="1465"/>
  <c r="O224" i="1465"/>
  <c r="O233" i="1465"/>
  <c r="O227" i="1465"/>
  <c r="O232" i="1465"/>
  <c r="O231" i="1465"/>
  <c r="O226" i="1465"/>
  <c r="O225" i="1465"/>
  <c r="O243" i="1465"/>
  <c r="D76" i="1465"/>
  <c r="E54" i="3033"/>
  <c r="C156" i="1465"/>
  <c r="C52" i="950"/>
  <c r="E49" i="3033"/>
  <c r="E50" i="3033" s="1"/>
  <c r="E74" i="3033"/>
  <c r="G7" i="2885"/>
  <c r="E135" i="677"/>
  <c r="K136" i="677"/>
  <c r="S52" i="352"/>
  <c r="S53" i="352"/>
  <c r="S54" i="352" s="1"/>
  <c r="S51" i="352"/>
  <c r="O120" i="161"/>
  <c r="D120" i="161"/>
  <c r="E120" i="161"/>
  <c r="X124" i="161"/>
  <c r="Y124" i="161"/>
  <c r="G121" i="161"/>
  <c r="O124" i="161"/>
  <c r="K154" i="161"/>
  <c r="M450" i="4"/>
  <c r="M398" i="4"/>
  <c r="M449" i="4" s="1"/>
  <c r="H471" i="4" s="1"/>
  <c r="AI443" i="4"/>
  <c r="AG446" i="4"/>
  <c r="Z445" i="4"/>
  <c r="N442" i="4"/>
  <c r="L328" i="4"/>
  <c r="M451" i="4"/>
  <c r="O449" i="4"/>
  <c r="J471" i="4" s="1"/>
  <c r="AJ451" i="4"/>
  <c r="AL444" i="4"/>
  <c r="AI446" i="4"/>
  <c r="W453" i="4"/>
  <c r="AA446" i="4"/>
  <c r="AE442" i="4"/>
  <c r="Z452" i="4"/>
  <c r="AB452" i="4"/>
  <c r="AK455" i="4"/>
  <c r="U444" i="4"/>
  <c r="U389" i="4"/>
  <c r="U440" i="4" s="1"/>
  <c r="U441" i="4"/>
  <c r="J115" i="3033"/>
  <c r="J114" i="3033"/>
  <c r="N512" i="4" a="1"/>
  <c r="N512" i="4" s="1"/>
  <c r="K13" i="6"/>
  <c r="K5" i="6" s="1"/>
  <c r="L5" i="6"/>
  <c r="H13" i="2543"/>
  <c r="H14" i="2543"/>
  <c r="E14" i="2543"/>
  <c r="M27" i="6"/>
  <c r="E25" i="2543"/>
  <c r="K40" i="2543"/>
  <c r="V126" i="1261"/>
  <c r="D177" i="1261" s="1"/>
  <c r="K28" i="6"/>
  <c r="K27" i="6" s="1"/>
  <c r="C27" i="6"/>
  <c r="H112" i="1261"/>
  <c r="X138" i="1261"/>
  <c r="F186" i="1261" s="1"/>
  <c r="V147" i="1261"/>
  <c r="M172" i="1261" s="1"/>
  <c r="I172" i="1261" s="1"/>
  <c r="V135" i="1261"/>
  <c r="D175" i="1261" s="1"/>
  <c r="W139" i="1261"/>
  <c r="E187" i="1261" s="1"/>
  <c r="D91" i="951"/>
  <c r="D94" i="951"/>
  <c r="C144" i="951" a="1"/>
  <c r="J38" i="3033" a="1"/>
  <c r="J38" i="3033" s="1"/>
  <c r="E48" i="3033"/>
  <c r="E104" i="951"/>
  <c r="D18" i="2885"/>
  <c r="C286" i="951"/>
  <c r="D144" i="1465"/>
  <c r="E76" i="1465"/>
  <c r="D100" i="1465" s="1" a="1"/>
  <c r="D261" i="1465"/>
  <c r="E261" i="1465" s="1"/>
  <c r="C261" i="1465"/>
  <c r="E78" i="1465"/>
  <c r="E145" i="1465"/>
  <c r="C61" i="950"/>
  <c r="F61" i="950" s="1"/>
  <c r="P27" i="352"/>
  <c r="P28" i="352"/>
  <c r="P29" i="352"/>
  <c r="P30" i="352" s="1"/>
  <c r="H73" i="950"/>
  <c r="G84" i="677" a="1"/>
  <c r="G84" i="677" s="1"/>
  <c r="D132" i="677"/>
  <c r="J133" i="677"/>
  <c r="E73" i="3033"/>
  <c r="H7" i="2885"/>
  <c r="E130" i="677"/>
  <c r="K131" i="677"/>
  <c r="L43" i="161"/>
  <c r="J30" i="161"/>
  <c r="L153" i="161"/>
  <c r="M120" i="161"/>
  <c r="AA120" i="161"/>
  <c r="F122" i="161"/>
  <c r="U124" i="161"/>
  <c r="E124" i="161"/>
  <c r="K153" i="161"/>
  <c r="AE452" i="4"/>
  <c r="AI452" i="4"/>
  <c r="N445" i="4"/>
  <c r="N329" i="4"/>
  <c r="R446" i="4"/>
  <c r="O450" i="4"/>
  <c r="AL453" i="4"/>
  <c r="AL450" i="4"/>
  <c r="AL398" i="4"/>
  <c r="AL449" i="4" s="1"/>
  <c r="S451" i="4"/>
  <c r="AH450" i="4"/>
  <c r="AH398" i="4"/>
  <c r="AH449" i="4" s="1"/>
  <c r="AE449" i="4"/>
  <c r="AK446" i="4"/>
  <c r="AK443" i="4"/>
  <c r="U450" i="4"/>
  <c r="U398" i="4"/>
  <c r="U449" i="4" s="1"/>
  <c r="P471" i="4" s="1"/>
  <c r="AF452" i="4"/>
  <c r="AE450" i="4"/>
  <c r="P139" i="4"/>
  <c r="P149" i="4" s="1"/>
  <c r="N139" i="4"/>
  <c r="N149" i="4" s="1"/>
  <c r="Q139" i="4"/>
  <c r="Q149" i="4" s="1"/>
  <c r="M139" i="4"/>
  <c r="M149" i="4" s="1"/>
  <c r="L139" i="4"/>
  <c r="O139" i="4"/>
  <c r="O149" i="4" s="1"/>
  <c r="J99" i="3033"/>
  <c r="J98" i="3033"/>
  <c r="J122" i="3033"/>
  <c r="J123" i="3033"/>
  <c r="R444" i="4"/>
  <c r="AD440" i="4"/>
  <c r="P513" i="4" a="1"/>
  <c r="P513" i="4" s="1"/>
  <c r="G258" i="951" l="1"/>
  <c r="H258" i="951"/>
  <c r="D258" i="951"/>
  <c r="F258" i="951"/>
  <c r="E258" i="951"/>
  <c r="C258" i="951"/>
  <c r="F15" i="2544"/>
  <c r="E15" i="2544"/>
  <c r="D15" i="2544"/>
  <c r="J178" i="951"/>
  <c r="H178" i="951"/>
  <c r="I178" i="951"/>
  <c r="H256" i="951"/>
  <c r="H257" i="951" s="1"/>
  <c r="G256" i="951"/>
  <c r="G257" i="951" s="1"/>
  <c r="E256" i="951"/>
  <c r="E257" i="951" s="1"/>
  <c r="F256" i="951"/>
  <c r="F257" i="951" s="1"/>
  <c r="C256" i="951"/>
  <c r="D256" i="951"/>
  <c r="G102" i="1465"/>
  <c r="D102" i="1465"/>
  <c r="H102" i="1465"/>
  <c r="F102" i="1465"/>
  <c r="E102" i="1465"/>
  <c r="I179" i="951"/>
  <c r="J179" i="951"/>
  <c r="H179" i="951"/>
  <c r="H188" i="951" s="1"/>
  <c r="E178" i="951"/>
  <c r="D178" i="951"/>
  <c r="D180" i="951" s="1"/>
  <c r="C178" i="951"/>
  <c r="F100" i="1465"/>
  <c r="H100" i="1465"/>
  <c r="G100" i="1465"/>
  <c r="E100" i="1465"/>
  <c r="D100" i="1465"/>
  <c r="D19" i="4"/>
  <c r="D17" i="4"/>
  <c r="D25" i="4"/>
  <c r="D13" i="4"/>
  <c r="D23" i="4"/>
  <c r="D11" i="4"/>
  <c r="D21" i="4"/>
  <c r="D10" i="4"/>
  <c r="D27" i="4"/>
  <c r="D26" i="4"/>
  <c r="D16" i="4"/>
  <c r="D24" i="4"/>
  <c r="D22" i="4"/>
  <c r="D12" i="4"/>
  <c r="D20" i="4"/>
  <c r="D15" i="4"/>
  <c r="D18" i="4"/>
  <c r="D14" i="4"/>
  <c r="F102" i="677"/>
  <c r="G102" i="677" s="1"/>
  <c r="J84" i="677" a="1"/>
  <c r="J84" i="677" s="1"/>
  <c r="H102" i="677" s="1"/>
  <c r="G85" i="677" a="1"/>
  <c r="G85" i="677" s="1"/>
  <c r="G87" i="677" s="1" a="1"/>
  <c r="G87" i="677" s="1"/>
  <c r="G10" i="6"/>
  <c r="G8" i="6"/>
  <c r="G6" i="6"/>
  <c r="G4" i="6"/>
  <c r="C10" i="6"/>
  <c r="C8" i="6"/>
  <c r="C6" i="6"/>
  <c r="C4" i="6"/>
  <c r="G9" i="6"/>
  <c r="E7" i="6"/>
  <c r="C5" i="6"/>
  <c r="F9" i="6"/>
  <c r="D7" i="6"/>
  <c r="H4" i="6"/>
  <c r="E9" i="6"/>
  <c r="F6" i="6"/>
  <c r="G3" i="6"/>
  <c r="D9" i="6"/>
  <c r="E6" i="6"/>
  <c r="F3" i="6"/>
  <c r="C9" i="6"/>
  <c r="D6" i="6"/>
  <c r="E3" i="6"/>
  <c r="H8" i="6"/>
  <c r="H5" i="6"/>
  <c r="D3" i="6"/>
  <c r="E8" i="6"/>
  <c r="F5" i="6"/>
  <c r="C3" i="6"/>
  <c r="H10" i="6"/>
  <c r="H7" i="6"/>
  <c r="D5" i="6"/>
  <c r="F10" i="6"/>
  <c r="G7" i="6"/>
  <c r="F4" i="6"/>
  <c r="D10" i="6"/>
  <c r="C7" i="6"/>
  <c r="D4" i="6"/>
  <c r="E10" i="6"/>
  <c r="H9" i="6"/>
  <c r="F8" i="6"/>
  <c r="D8" i="6"/>
  <c r="F7" i="6"/>
  <c r="H6" i="6"/>
  <c r="G5" i="6"/>
  <c r="E4" i="6"/>
  <c r="E5" i="6"/>
  <c r="H3" i="6"/>
  <c r="F88" i="950"/>
  <c r="G88" i="950" s="1"/>
  <c r="W151" i="1261"/>
  <c r="N178" i="1261" s="1"/>
  <c r="D99" i="1465" a="1"/>
  <c r="H51" i="951"/>
  <c r="I379" i="951"/>
  <c r="K42" i="2543"/>
  <c r="E7" i="3033"/>
  <c r="E6" i="3033"/>
  <c r="T54" i="352"/>
  <c r="K55" i="677"/>
  <c r="K56" i="677"/>
  <c r="F7" i="2885" a="1"/>
  <c r="F7" i="2885" s="1"/>
  <c r="F8" i="2885"/>
  <c r="J120" i="3033"/>
  <c r="I375" i="951"/>
  <c r="G374" i="951"/>
  <c r="W146" i="1261"/>
  <c r="W148" i="1261"/>
  <c r="N173" i="1261" s="1"/>
  <c r="W162" i="1261"/>
  <c r="N186" i="1261" s="1"/>
  <c r="H34" i="2210"/>
  <c r="G34" i="2210"/>
  <c r="H36" i="951"/>
  <c r="H38" i="951"/>
  <c r="H37" i="951"/>
  <c r="H34" i="951"/>
  <c r="H35" i="951"/>
  <c r="H33" i="951"/>
  <c r="P11" i="951"/>
  <c r="P24" i="951" s="1"/>
  <c r="K259" i="4"/>
  <c r="K258" i="4"/>
  <c r="K257" i="4"/>
  <c r="K260" i="4"/>
  <c r="K261" i="4"/>
  <c r="K284" i="4" a="1"/>
  <c r="K51" i="677"/>
  <c r="G269" i="1465"/>
  <c r="E269" i="1465"/>
  <c r="E268" i="1465"/>
  <c r="F269" i="1465"/>
  <c r="D269" i="1465"/>
  <c r="C269" i="1465"/>
  <c r="F268" i="1465"/>
  <c r="D268" i="1465"/>
  <c r="C268" i="1465"/>
  <c r="G268" i="1465"/>
  <c r="W50" i="4"/>
  <c r="W49" i="4"/>
  <c r="W160" i="1261"/>
  <c r="N184" i="1261" s="1"/>
  <c r="V54" i="352"/>
  <c r="Q30" i="352"/>
  <c r="H35" i="2210"/>
  <c r="G35" i="2210"/>
  <c r="D8" i="2544"/>
  <c r="F8" i="2544"/>
  <c r="E8" i="2544"/>
  <c r="K25" i="951"/>
  <c r="I380" i="951"/>
  <c r="H52" i="951"/>
  <c r="L330" i="4"/>
  <c r="K8" i="6"/>
  <c r="K46" i="677"/>
  <c r="K49" i="677"/>
  <c r="K268" i="1465"/>
  <c r="K269" i="1465" s="1" a="1"/>
  <c r="K269" i="1465" s="1"/>
  <c r="L268" i="1465"/>
  <c r="L270" i="1465" s="1"/>
  <c r="O268" i="1465"/>
  <c r="O269" i="1465" s="1"/>
  <c r="N268" i="1465"/>
  <c r="N270" i="1465" s="1"/>
  <c r="N271" i="1465" s="1"/>
  <c r="N272" i="1465" s="1"/>
  <c r="M268" i="1465"/>
  <c r="M270" i="1465" s="1"/>
  <c r="M54" i="352"/>
  <c r="G104" i="1465"/>
  <c r="E104" i="1465"/>
  <c r="F104" i="1465"/>
  <c r="H104" i="1465"/>
  <c r="D104" i="1465"/>
  <c r="G70" i="1940"/>
  <c r="G67" i="1940"/>
  <c r="Q54" i="352"/>
  <c r="D7" i="2544" a="1"/>
  <c r="D9" i="2885"/>
  <c r="C37" i="161"/>
  <c r="I10" i="4" a="1"/>
  <c r="P325" i="4"/>
  <c r="M50" i="4"/>
  <c r="K70" i="1940"/>
  <c r="K68" i="1940"/>
  <c r="K67" i="1940"/>
  <c r="K69" i="1940"/>
  <c r="W153" i="1261"/>
  <c r="N176" i="1261" s="1"/>
  <c r="E296" i="951"/>
  <c r="E295" i="951"/>
  <c r="E294" i="951"/>
  <c r="H36" i="2210"/>
  <c r="G36" i="2210"/>
  <c r="E105" i="1465"/>
  <c r="G105" i="1465"/>
  <c r="F105" i="1465"/>
  <c r="D105" i="1465"/>
  <c r="H105" i="1465"/>
  <c r="H58" i="951"/>
  <c r="M3" i="6"/>
  <c r="D33" i="4"/>
  <c r="D39" i="4"/>
  <c r="D37" i="4"/>
  <c r="D35" i="4"/>
  <c r="D38" i="4"/>
  <c r="D36" i="4"/>
  <c r="D34" i="4"/>
  <c r="D31" i="4"/>
  <c r="D32" i="4"/>
  <c r="K39" i="677"/>
  <c r="F294" i="951"/>
  <c r="F296" i="951"/>
  <c r="F295" i="951"/>
  <c r="H37" i="2210"/>
  <c r="G37" i="2210"/>
  <c r="G86" i="677" a="1"/>
  <c r="G86" i="677" s="1"/>
  <c r="C103" i="1465"/>
  <c r="C102" i="1465"/>
  <c r="C106" i="1465"/>
  <c r="C105" i="1465"/>
  <c r="C104" i="1465"/>
  <c r="K48" i="677"/>
  <c r="I35" i="4"/>
  <c r="J117" i="4" s="1" a="1"/>
  <c r="J117" i="4" s="1"/>
  <c r="I33" i="4"/>
  <c r="J115" i="4" s="1" a="1"/>
  <c r="J115" i="4" s="1"/>
  <c r="I39" i="4"/>
  <c r="I37" i="4"/>
  <c r="J119" i="4" s="1" a="1"/>
  <c r="J119" i="4" s="1"/>
  <c r="I38" i="4"/>
  <c r="I36" i="4"/>
  <c r="J118" i="4" s="1" a="1"/>
  <c r="J118" i="4" s="1"/>
  <c r="I34" i="4"/>
  <c r="J116" i="4" s="1" a="1"/>
  <c r="J116" i="4" s="1"/>
  <c r="I32" i="4"/>
  <c r="I31" i="4"/>
  <c r="N269" i="1465"/>
  <c r="F10" i="2544"/>
  <c r="E10" i="2544"/>
  <c r="D10" i="2544"/>
  <c r="G38" i="2210"/>
  <c r="H38" i="2210"/>
  <c r="C35" i="951"/>
  <c r="C38" i="951"/>
  <c r="C34" i="951"/>
  <c r="C33" i="951"/>
  <c r="C36" i="951"/>
  <c r="C37" i="951"/>
  <c r="K11" i="951"/>
  <c r="K24" i="951" s="1"/>
  <c r="L473" i="4"/>
  <c r="S473" i="4"/>
  <c r="P473" i="4"/>
  <c r="O473" i="4"/>
  <c r="N473" i="4"/>
  <c r="M473" i="4"/>
  <c r="K473" i="4"/>
  <c r="W473" i="4"/>
  <c r="J473" i="4"/>
  <c r="J474" i="4" s="1"/>
  <c r="V473" i="4"/>
  <c r="I473" i="4"/>
  <c r="I474" i="4" s="1"/>
  <c r="U473" i="4"/>
  <c r="T473" i="4"/>
  <c r="R473" i="4"/>
  <c r="Q473" i="4"/>
  <c r="M85" i="4"/>
  <c r="W85" i="4"/>
  <c r="K85" i="4"/>
  <c r="K86" i="4" s="1"/>
  <c r="S85" i="4"/>
  <c r="Q85" i="4"/>
  <c r="O85" i="4"/>
  <c r="B20" i="2885"/>
  <c r="I85" i="4"/>
  <c r="I86" i="4" s="1"/>
  <c r="J85" i="4"/>
  <c r="J86" i="4" s="1"/>
  <c r="V85" i="4"/>
  <c r="U85" i="4"/>
  <c r="T85" i="4"/>
  <c r="R85" i="4"/>
  <c r="P85" i="4"/>
  <c r="N85" i="4"/>
  <c r="L85" i="4"/>
  <c r="L325" i="4"/>
  <c r="D80" i="4"/>
  <c r="H66" i="4"/>
  <c r="K43" i="2543"/>
  <c r="K37" i="677"/>
  <c r="K45" i="677"/>
  <c r="N327" i="4"/>
  <c r="AF139" i="4"/>
  <c r="O158" i="4"/>
  <c r="AD139" i="4"/>
  <c r="M158" i="4"/>
  <c r="J63" i="3033"/>
  <c r="J62" i="3033"/>
  <c r="J61" i="3033"/>
  <c r="J60" i="3033"/>
  <c r="J59" i="3033"/>
  <c r="C20" i="2885"/>
  <c r="B84" i="677" a="1"/>
  <c r="B84" i="677" s="1"/>
  <c r="E229" i="951"/>
  <c r="O30" i="352"/>
  <c r="J112" i="3033"/>
  <c r="K40" i="677"/>
  <c r="K54" i="677"/>
  <c r="D460" i="4"/>
  <c r="S257" i="4"/>
  <c r="S258" i="4"/>
  <c r="S261" i="4"/>
  <c r="S259" i="4"/>
  <c r="S260" i="4"/>
  <c r="F18" i="2544"/>
  <c r="C22" i="2885"/>
  <c r="L50" i="4"/>
  <c r="W152" i="1261"/>
  <c r="N179" i="1261" s="1"/>
  <c r="W154" i="1261"/>
  <c r="V51" i="4"/>
  <c r="G294" i="951" a="1"/>
  <c r="H294" i="951" a="1"/>
  <c r="J54" i="3033"/>
  <c r="J56" i="3033"/>
  <c r="J55" i="3033"/>
  <c r="J53" i="3033"/>
  <c r="J52" i="3033"/>
  <c r="L19" i="6"/>
  <c r="K308" i="4"/>
  <c r="K307" i="4"/>
  <c r="K311" i="4"/>
  <c r="K310" i="4"/>
  <c r="K309" i="4"/>
  <c r="K43" i="677"/>
  <c r="K42" i="677"/>
  <c r="E42" i="1465"/>
  <c r="E43" i="1465"/>
  <c r="D43" i="1465"/>
  <c r="D42" i="1465"/>
  <c r="C42" i="1465"/>
  <c r="E36" i="3033" s="1"/>
  <c r="C43" i="1465"/>
  <c r="G66" i="1940"/>
  <c r="Q158" i="4"/>
  <c r="AH139" i="4"/>
  <c r="N158" i="4"/>
  <c r="AE139" i="4"/>
  <c r="C144" i="951"/>
  <c r="D144" i="951"/>
  <c r="E144" i="951"/>
  <c r="E225" i="1261"/>
  <c r="E223" i="1261"/>
  <c r="F160" i="1261" a="1"/>
  <c r="F160" i="1261" s="1"/>
  <c r="L156" i="1261" a="1"/>
  <c r="L156" i="1261" s="1"/>
  <c r="F155" i="1261" a="1"/>
  <c r="F155" i="1261" s="1"/>
  <c r="R160" i="1261" a="1"/>
  <c r="R160" i="1261" s="1"/>
  <c r="R155" i="1261" a="1"/>
  <c r="R155" i="1261" s="1"/>
  <c r="X155" i="1261" s="1"/>
  <c r="O180" i="1261" s="1"/>
  <c r="L164" i="1261" a="1"/>
  <c r="L164" i="1261" s="1"/>
  <c r="F163" i="1261" a="1"/>
  <c r="F163" i="1261" s="1"/>
  <c r="L159" i="1261" a="1"/>
  <c r="L159" i="1261" s="1"/>
  <c r="L154" i="1261" a="1"/>
  <c r="L154" i="1261" s="1"/>
  <c r="F164" i="1261" a="1"/>
  <c r="F164" i="1261" s="1"/>
  <c r="L160" i="1261" a="1"/>
  <c r="L160" i="1261" s="1"/>
  <c r="F159" i="1261" a="1"/>
  <c r="F159" i="1261" s="1"/>
  <c r="L155" i="1261" a="1"/>
  <c r="L155" i="1261" s="1"/>
  <c r="L161" i="1261" a="1"/>
  <c r="L161" i="1261" s="1"/>
  <c r="R157" i="1261" a="1"/>
  <c r="R157" i="1261" s="1"/>
  <c r="X157" i="1261" s="1"/>
  <c r="O181" i="1261" s="1"/>
  <c r="R156" i="1261" a="1"/>
  <c r="R156" i="1261" s="1"/>
  <c r="X156" i="1261" s="1"/>
  <c r="F153" i="1261" a="1"/>
  <c r="F153" i="1261" s="1"/>
  <c r="F150" i="1261" a="1"/>
  <c r="F150" i="1261" s="1"/>
  <c r="F148" i="1261" a="1"/>
  <c r="F148" i="1261" s="1"/>
  <c r="L147" i="1261" a="1"/>
  <c r="L147" i="1261" s="1"/>
  <c r="R146" i="1261" a="1"/>
  <c r="R146" i="1261" s="1"/>
  <c r="L158" i="1261" a="1"/>
  <c r="L158" i="1261" s="1"/>
  <c r="L157" i="1261" a="1"/>
  <c r="L157" i="1261" s="1"/>
  <c r="L149" i="1261" a="1"/>
  <c r="L149" i="1261" s="1"/>
  <c r="F99" i="1261" a="1"/>
  <c r="F99" i="1261" s="1"/>
  <c r="D20" i="2544" s="1" a="1"/>
  <c r="F96" i="1261" a="1"/>
  <c r="F96" i="1261" s="1"/>
  <c r="F94" i="1261" a="1"/>
  <c r="F94" i="1261" s="1"/>
  <c r="R88" i="1261" a="1"/>
  <c r="R88" i="1261" s="1"/>
  <c r="O189" i="1261" s="1"/>
  <c r="F88" i="1261" a="1"/>
  <c r="F88" i="1261" s="1"/>
  <c r="L87" i="1261" a="1"/>
  <c r="L87" i="1261" s="1"/>
  <c r="R86" i="1261" a="1"/>
  <c r="R86" i="1261" s="1"/>
  <c r="F86" i="1261" a="1"/>
  <c r="F86" i="1261" s="1"/>
  <c r="L85" i="1261" a="1"/>
  <c r="L85" i="1261" s="1"/>
  <c r="F162" i="1261" a="1"/>
  <c r="F162" i="1261" s="1"/>
  <c r="F161" i="1261" a="1"/>
  <c r="F161" i="1261" s="1"/>
  <c r="R154" i="1261" a="1"/>
  <c r="R154" i="1261" s="1"/>
  <c r="X154" i="1261" s="1"/>
  <c r="L151" i="1261" a="1"/>
  <c r="L151" i="1261" s="1"/>
  <c r="R150" i="1261" a="1"/>
  <c r="R150" i="1261" s="1"/>
  <c r="R148" i="1261" a="1"/>
  <c r="R148" i="1261" s="1"/>
  <c r="R153" i="1261" a="1"/>
  <c r="R153" i="1261" s="1"/>
  <c r="F152" i="1261" a="1"/>
  <c r="F152" i="1261" s="1"/>
  <c r="E224" i="1261"/>
  <c r="F157" i="1261" a="1"/>
  <c r="F157" i="1261" s="1"/>
  <c r="F156" i="1261" a="1"/>
  <c r="F156" i="1261" s="1"/>
  <c r="F149" i="1261" a="1"/>
  <c r="F149" i="1261" s="1"/>
  <c r="L148" i="1261" a="1"/>
  <c r="L148" i="1261" s="1"/>
  <c r="L146" i="1261" a="1"/>
  <c r="L146" i="1261" s="1"/>
  <c r="R82" i="1261" a="1"/>
  <c r="R82" i="1261" s="1"/>
  <c r="F79" i="1261" a="1"/>
  <c r="F79" i="1261" s="1"/>
  <c r="R70" i="1261" a="1"/>
  <c r="R70" i="1261" s="1"/>
  <c r="R162" i="1261" a="1"/>
  <c r="R162" i="1261" s="1"/>
  <c r="X162" i="1261" s="1"/>
  <c r="O186" i="1261" s="1"/>
  <c r="R147" i="1261" a="1"/>
  <c r="R147" i="1261" s="1"/>
  <c r="X147" i="1261" s="1"/>
  <c r="O172" i="1261" s="1"/>
  <c r="L83" i="1261" a="1"/>
  <c r="L83" i="1261" s="1"/>
  <c r="R79" i="1261" a="1"/>
  <c r="R79" i="1261" s="1"/>
  <c r="L75" i="1261" a="1"/>
  <c r="L75" i="1261" s="1"/>
  <c r="J109" i="1261" s="1"/>
  <c r="L153" i="1261" a="1"/>
  <c r="L153" i="1261" s="1"/>
  <c r="L150" i="1261" a="1"/>
  <c r="L150" i="1261" s="1"/>
  <c r="F93" i="1261" a="1"/>
  <c r="F93" i="1261" s="1"/>
  <c r="L86" i="1261" a="1"/>
  <c r="L86" i="1261" s="1"/>
  <c r="F84" i="1261" a="1"/>
  <c r="F84" i="1261" s="1"/>
  <c r="L80" i="1261" a="1"/>
  <c r="L80" i="1261" s="1"/>
  <c r="F76" i="1261" a="1"/>
  <c r="F76" i="1261" s="1"/>
  <c r="L68" i="1261" a="1"/>
  <c r="L68" i="1261" s="1"/>
  <c r="R67" i="1261" a="1"/>
  <c r="R67" i="1261" s="1"/>
  <c r="F67" i="1261" a="1"/>
  <c r="F67" i="1261" s="1"/>
  <c r="L66" i="1261" a="1"/>
  <c r="L66" i="1261" s="1"/>
  <c r="R65" i="1261" a="1"/>
  <c r="R65" i="1261" s="1"/>
  <c r="F65" i="1261" a="1"/>
  <c r="F65" i="1261" s="1"/>
  <c r="L64" i="1261" a="1"/>
  <c r="L64" i="1261" s="1"/>
  <c r="R63" i="1261" a="1"/>
  <c r="R63" i="1261" s="1"/>
  <c r="F63" i="1261" a="1"/>
  <c r="F63" i="1261" s="1"/>
  <c r="L62" i="1261" a="1"/>
  <c r="L62" i="1261" s="1"/>
  <c r="R61" i="1261" a="1"/>
  <c r="R61" i="1261" s="1"/>
  <c r="F61" i="1261" a="1"/>
  <c r="F61" i="1261" s="1"/>
  <c r="L60" i="1261" a="1"/>
  <c r="L60" i="1261" s="1"/>
  <c r="R59" i="1261" a="1"/>
  <c r="R59" i="1261" s="1"/>
  <c r="F59" i="1261" a="1"/>
  <c r="F59" i="1261" s="1"/>
  <c r="L58" i="1261" a="1"/>
  <c r="L58" i="1261" s="1"/>
  <c r="R57" i="1261" a="1"/>
  <c r="R57" i="1261" s="1"/>
  <c r="J108" i="1261" s="1"/>
  <c r="F57" i="1261" a="1"/>
  <c r="F57" i="1261" s="1"/>
  <c r="L162" i="1261" a="1"/>
  <c r="L162" i="1261" s="1"/>
  <c r="R158" i="1261" a="1"/>
  <c r="R158" i="1261" s="1"/>
  <c r="X158" i="1261" s="1"/>
  <c r="O182" i="1261" s="1"/>
  <c r="R151" i="1261" a="1"/>
  <c r="R151" i="1261" s="1"/>
  <c r="X151" i="1261" s="1"/>
  <c r="O178" i="1261" s="1"/>
  <c r="R84" i="1261" a="1"/>
  <c r="R84" i="1261" s="1"/>
  <c r="F81" i="1261" a="1"/>
  <c r="F81" i="1261" s="1"/>
  <c r="R76" i="1261" a="1"/>
  <c r="R76" i="1261" s="1"/>
  <c r="F146" i="1261" a="1"/>
  <c r="F146" i="1261" s="1"/>
  <c r="R163" i="1261" a="1"/>
  <c r="R163" i="1261" s="1"/>
  <c r="F147" i="1261" a="1"/>
  <c r="F147" i="1261" s="1"/>
  <c r="F83" i="1261" a="1"/>
  <c r="F83" i="1261" s="1"/>
  <c r="R159" i="1261" a="1"/>
  <c r="R159" i="1261" s="1"/>
  <c r="X159" i="1261" s="1"/>
  <c r="O175" i="1261" s="1"/>
  <c r="R149" i="1261" a="1"/>
  <c r="R149" i="1261" s="1"/>
  <c r="F151" i="1261" a="1"/>
  <c r="F151" i="1261" s="1"/>
  <c r="R85" i="1261" a="1"/>
  <c r="R85" i="1261" s="1"/>
  <c r="L79" i="1261" a="1"/>
  <c r="L79" i="1261" s="1"/>
  <c r="L78" i="1261" a="1"/>
  <c r="L78" i="1261" s="1"/>
  <c r="F75" i="1261" a="1"/>
  <c r="F75" i="1261" s="1"/>
  <c r="F87" i="1261" a="1"/>
  <c r="F87" i="1261" s="1"/>
  <c r="R66" i="1261" a="1"/>
  <c r="R66" i="1261" s="1"/>
  <c r="R62" i="1261" a="1"/>
  <c r="R62" i="1261" s="1"/>
  <c r="R58" i="1261" a="1"/>
  <c r="R58" i="1261" s="1"/>
  <c r="R164" i="1261" a="1"/>
  <c r="R164" i="1261" s="1"/>
  <c r="X164" i="1261" s="1"/>
  <c r="R83" i="1261" a="1"/>
  <c r="R83" i="1261" s="1"/>
  <c r="O183" i="1261" s="1"/>
  <c r="L82" i="1261" a="1"/>
  <c r="L82" i="1261" s="1"/>
  <c r="F78" i="1261" a="1"/>
  <c r="F78" i="1261" s="1"/>
  <c r="F77" i="1261" a="1"/>
  <c r="F77" i="1261" s="1"/>
  <c r="F70" i="1261" a="1"/>
  <c r="F70" i="1261" s="1"/>
  <c r="F69" i="1261" a="1"/>
  <c r="F69" i="1261" s="1"/>
  <c r="F158" i="1261" a="1"/>
  <c r="F158" i="1261" s="1"/>
  <c r="F98" i="1261" a="1"/>
  <c r="F98" i="1261" s="1"/>
  <c r="L81" i="1261" a="1"/>
  <c r="L81" i="1261" s="1"/>
  <c r="L67" i="1261" a="1"/>
  <c r="L67" i="1261" s="1"/>
  <c r="L63" i="1261" a="1"/>
  <c r="L63" i="1261" s="1"/>
  <c r="L59" i="1261" a="1"/>
  <c r="L59" i="1261" s="1"/>
  <c r="L163" i="1261" a="1"/>
  <c r="L163" i="1261" s="1"/>
  <c r="F154" i="1261" a="1"/>
  <c r="F154" i="1261" s="1"/>
  <c r="F85" i="1261" a="1"/>
  <c r="F85" i="1261" s="1"/>
  <c r="R75" i="1261" a="1"/>
  <c r="R75" i="1261" s="1"/>
  <c r="J111" i="1261" s="1"/>
  <c r="O171" i="1261" s="1"/>
  <c r="K171" i="1261" s="1"/>
  <c r="F80" i="1261" a="1"/>
  <c r="F80" i="1261" s="1"/>
  <c r="R69" i="1261" a="1"/>
  <c r="R69" i="1261" s="1"/>
  <c r="F68" i="1261" a="1"/>
  <c r="F68" i="1261" s="1"/>
  <c r="F64" i="1261" a="1"/>
  <c r="F64" i="1261" s="1"/>
  <c r="F60" i="1261" a="1"/>
  <c r="F60" i="1261" s="1"/>
  <c r="L88" i="1261" a="1"/>
  <c r="L88" i="1261" s="1"/>
  <c r="R161" i="1261" a="1"/>
  <c r="R161" i="1261" s="1"/>
  <c r="X161" i="1261" s="1"/>
  <c r="O185" i="1261" s="1"/>
  <c r="R152" i="1261" a="1"/>
  <c r="R152" i="1261" s="1"/>
  <c r="F95" i="1261" a="1"/>
  <c r="F95" i="1261" s="1"/>
  <c r="X49" i="4" s="1" a="1"/>
  <c r="R78" i="1261" a="1"/>
  <c r="R78" i="1261" s="1"/>
  <c r="R77" i="1261" a="1"/>
  <c r="R77" i="1261" s="1"/>
  <c r="R64" i="1261" a="1"/>
  <c r="R64" i="1261" s="1"/>
  <c r="R80" i="1261" a="1"/>
  <c r="R80" i="1261" s="1"/>
  <c r="F58" i="1261" a="1"/>
  <c r="F58" i="1261" s="1"/>
  <c r="L84" i="1261" a="1"/>
  <c r="L84" i="1261" s="1"/>
  <c r="L76" i="1261" a="1"/>
  <c r="L76" i="1261" s="1"/>
  <c r="R60" i="1261" a="1"/>
  <c r="R60" i="1261" s="1"/>
  <c r="L69" i="1261" a="1"/>
  <c r="L69" i="1261" s="1"/>
  <c r="L152" i="1261" a="1"/>
  <c r="L152" i="1261" s="1"/>
  <c r="R68" i="1261" a="1"/>
  <c r="R68" i="1261" s="1"/>
  <c r="F62" i="1261" a="1"/>
  <c r="F62" i="1261" s="1"/>
  <c r="L57" i="1261" a="1"/>
  <c r="L57" i="1261" s="1"/>
  <c r="J107" i="1261" s="1"/>
  <c r="R87" i="1261" a="1"/>
  <c r="R87" i="1261" s="1"/>
  <c r="O188" i="1261" s="1"/>
  <c r="R81" i="1261" a="1"/>
  <c r="R81" i="1261" s="1"/>
  <c r="F66" i="1261" a="1"/>
  <c r="F66" i="1261" s="1"/>
  <c r="L77" i="1261" a="1"/>
  <c r="L77" i="1261" s="1"/>
  <c r="L65" i="1261" a="1"/>
  <c r="L65" i="1261" s="1"/>
  <c r="L61" i="1261" a="1"/>
  <c r="L61" i="1261" s="1"/>
  <c r="L70" i="1261" a="1"/>
  <c r="L70" i="1261" s="1"/>
  <c r="F82" i="1261" a="1"/>
  <c r="F82" i="1261" s="1"/>
  <c r="I110" i="1261"/>
  <c r="W157" i="1261"/>
  <c r="N181" i="1261" s="1"/>
  <c r="N326" i="4"/>
  <c r="J49" i="3033"/>
  <c r="J48" i="3033"/>
  <c r="J47" i="3033"/>
  <c r="J51" i="3033"/>
  <c r="J50" i="3033"/>
  <c r="M329" i="4"/>
  <c r="U30" i="352"/>
  <c r="F25" i="2544"/>
  <c r="D179" i="951"/>
  <c r="E179" i="951"/>
  <c r="C179" i="951"/>
  <c r="H374" i="951"/>
  <c r="I377" i="951"/>
  <c r="D22" i="2544" a="1"/>
  <c r="K19" i="6"/>
  <c r="K337" i="4" a="1"/>
  <c r="K9" i="6"/>
  <c r="K50" i="677"/>
  <c r="K53" i="677"/>
  <c r="N328" i="4"/>
  <c r="R37" i="677" a="1"/>
  <c r="R37" i="677" s="1"/>
  <c r="S37" i="677" a="1"/>
  <c r="S37" i="677" s="1"/>
  <c r="N38" i="677" a="1"/>
  <c r="N38" i="677" s="1"/>
  <c r="W30" i="352"/>
  <c r="G68" i="1940"/>
  <c r="P54" i="352"/>
  <c r="B101" i="677"/>
  <c r="E83" i="677" a="1"/>
  <c r="E83" i="677" s="1"/>
  <c r="D101" i="677" s="1"/>
  <c r="P158" i="4"/>
  <c r="AG139" i="4"/>
  <c r="E37" i="951"/>
  <c r="E35" i="951"/>
  <c r="E33" i="951"/>
  <c r="M11" i="951"/>
  <c r="M24" i="951" s="1"/>
  <c r="E36" i="951"/>
  <c r="E38" i="951"/>
  <c r="E34" i="951"/>
  <c r="G80" i="1940"/>
  <c r="F80" i="1940"/>
  <c r="E80" i="1940"/>
  <c r="D80" i="1940"/>
  <c r="C80" i="1940"/>
  <c r="G106" i="1465"/>
  <c r="H106" i="1465"/>
  <c r="E106" i="1465"/>
  <c r="D106" i="1465"/>
  <c r="F106" i="1465"/>
  <c r="J68" i="3033"/>
  <c r="J67" i="3033"/>
  <c r="J66" i="3033"/>
  <c r="J65" i="3033"/>
  <c r="J64" i="3033"/>
  <c r="K11" i="6"/>
  <c r="K3" i="6" s="1"/>
  <c r="K4" i="6"/>
  <c r="M330" i="4"/>
  <c r="O120" i="677" a="1"/>
  <c r="O120" i="677" s="1"/>
  <c r="L119" i="677" a="1"/>
  <c r="L119" i="677" s="1"/>
  <c r="P116" i="677" a="1"/>
  <c r="P116" i="677" s="1"/>
  <c r="L122" i="677" a="1"/>
  <c r="L122" i="677" s="1"/>
  <c r="P119" i="677" a="1"/>
  <c r="P119" i="677" s="1"/>
  <c r="P117" i="677" a="1"/>
  <c r="P117" i="677" s="1"/>
  <c r="M116" i="677" a="1"/>
  <c r="M116" i="677" s="1"/>
  <c r="L131" i="677" s="1"/>
  <c r="O121" i="677" a="1"/>
  <c r="O121" i="677" s="1"/>
  <c r="L120" i="677" a="1"/>
  <c r="L120" i="677" s="1"/>
  <c r="O119" i="677" a="1"/>
  <c r="O119" i="677" s="1"/>
  <c r="L118" i="677" a="1"/>
  <c r="L118" i="677" s="1"/>
  <c r="P115" i="677" a="1"/>
  <c r="P115" i="677" s="1"/>
  <c r="P120" i="677" a="1"/>
  <c r="P120" i="677" s="1"/>
  <c r="L116" i="677" a="1"/>
  <c r="L116" i="677" s="1"/>
  <c r="N115" i="677" a="1"/>
  <c r="N115" i="677" s="1"/>
  <c r="M130" i="677" s="1"/>
  <c r="M122" i="677" a="1"/>
  <c r="M122" i="677" s="1"/>
  <c r="L137" i="677" s="1"/>
  <c r="N121" i="677" a="1"/>
  <c r="N121" i="677" s="1"/>
  <c r="M136" i="677" s="1"/>
  <c r="M115" i="677" a="1"/>
  <c r="M115" i="677" s="1"/>
  <c r="L130" i="677" s="1"/>
  <c r="F46" i="677" a="1"/>
  <c r="F46" i="677" s="1"/>
  <c r="L46" i="677" s="1"/>
  <c r="M119" i="677" a="1"/>
  <c r="M119" i="677" s="1"/>
  <c r="L134" i="677" s="1"/>
  <c r="O117" i="677" a="1"/>
  <c r="O117" i="677" s="1"/>
  <c r="N118" i="677" a="1"/>
  <c r="N118" i="677" s="1"/>
  <c r="M133" i="677" s="1"/>
  <c r="N120" i="677" a="1"/>
  <c r="N120" i="677" s="1"/>
  <c r="M135" i="677" s="1"/>
  <c r="N116" i="677" a="1"/>
  <c r="N116" i="677" s="1"/>
  <c r="M131" i="677" s="1"/>
  <c r="P121" i="677" a="1"/>
  <c r="P121" i="677" s="1"/>
  <c r="M120" i="677" a="1"/>
  <c r="M120" i="677" s="1"/>
  <c r="L135" i="677" s="1"/>
  <c r="F53" i="677" a="1"/>
  <c r="F53" i="677" s="1"/>
  <c r="F43" i="677" a="1"/>
  <c r="F43" i="677" s="1"/>
  <c r="F16" i="677" a="1"/>
  <c r="F16" i="677" s="1"/>
  <c r="P122" i="677" a="1"/>
  <c r="P122" i="677" s="1"/>
  <c r="F56" i="677" a="1"/>
  <c r="F56" i="677" s="1"/>
  <c r="L56" i="677" s="1"/>
  <c r="O122" i="677" a="1"/>
  <c r="O122" i="677" s="1"/>
  <c r="L121" i="677" a="1"/>
  <c r="L121" i="677" s="1"/>
  <c r="P118" i="677" a="1"/>
  <c r="P118" i="677" s="1"/>
  <c r="M117" i="677" a="1"/>
  <c r="M117" i="677" s="1"/>
  <c r="L132" i="677" s="1"/>
  <c r="O116" i="677" a="1"/>
  <c r="O116" i="677" s="1"/>
  <c r="N122" i="677" a="1"/>
  <c r="N122" i="677" s="1"/>
  <c r="M137" i="677" s="1"/>
  <c r="N119" i="677" a="1"/>
  <c r="N119" i="677" s="1"/>
  <c r="M134" i="677" s="1"/>
  <c r="F41" i="677" a="1"/>
  <c r="F41" i="677" s="1"/>
  <c r="M121" i="677" a="1"/>
  <c r="M121" i="677" s="1"/>
  <c r="L136" i="677" s="1"/>
  <c r="M118" i="677" a="1"/>
  <c r="M118" i="677" s="1"/>
  <c r="L133" i="677" s="1"/>
  <c r="L115" i="677" a="1"/>
  <c r="L115" i="677" s="1"/>
  <c r="F52" i="677" a="1"/>
  <c r="F52" i="677" s="1"/>
  <c r="L52" i="677" s="1"/>
  <c r="F39" i="677" a="1"/>
  <c r="F39" i="677" s="1"/>
  <c r="F17" i="677" a="1"/>
  <c r="F17" i="677" s="1"/>
  <c r="D12" i="2544" s="1" a="1"/>
  <c r="N117" i="677" a="1"/>
  <c r="N117" i="677" s="1"/>
  <c r="M132" i="677" s="1"/>
  <c r="L117" i="677" a="1"/>
  <c r="L117" i="677" s="1"/>
  <c r="F48" i="677" a="1"/>
  <c r="F48" i="677" s="1"/>
  <c r="F45" i="677" a="1"/>
  <c r="F45" i="677" s="1"/>
  <c r="F44" i="677" a="1"/>
  <c r="F44" i="677" s="1"/>
  <c r="F42" i="677" a="1"/>
  <c r="F42" i="677" s="1"/>
  <c r="F40" i="677" a="1"/>
  <c r="F40" i="677" s="1"/>
  <c r="F15" i="677" a="1"/>
  <c r="F15" i="677" s="1"/>
  <c r="F12" i="677" a="1"/>
  <c r="F12" i="677" s="1"/>
  <c r="O118" i="677" a="1"/>
  <c r="O118" i="677" s="1"/>
  <c r="F55" i="677" a="1"/>
  <c r="F55" i="677" s="1"/>
  <c r="F50" i="677" a="1"/>
  <c r="F50" i="677" s="1"/>
  <c r="F14" i="677" a="1"/>
  <c r="F14" i="677" s="1"/>
  <c r="O115" i="677" a="1"/>
  <c r="O115" i="677" s="1"/>
  <c r="F13" i="677" a="1"/>
  <c r="F13" i="677" s="1"/>
  <c r="F37" i="677" a="1"/>
  <c r="F37" i="677" s="1"/>
  <c r="F54" i="677" a="1"/>
  <c r="F54" i="677" s="1"/>
  <c r="F36" i="677" a="1"/>
  <c r="F36" i="677" s="1"/>
  <c r="L36" i="677" s="1"/>
  <c r="F11" i="677" a="1"/>
  <c r="F11" i="677" s="1"/>
  <c r="F38" i="677" a="1"/>
  <c r="F38" i="677" s="1"/>
  <c r="F49" i="677" a="1"/>
  <c r="F49" i="677" s="1"/>
  <c r="F51" i="677" a="1"/>
  <c r="F51" i="677" s="1"/>
  <c r="L51" i="677" s="1"/>
  <c r="F47" i="677" a="1"/>
  <c r="F47" i="677" s="1"/>
  <c r="K52" i="677"/>
  <c r="H5" i="2885"/>
  <c r="W51" i="352"/>
  <c r="D2" i="352" a="1"/>
  <c r="D2" i="352" s="1"/>
  <c r="W53" i="352"/>
  <c r="W54" i="352" s="1"/>
  <c r="W52" i="352"/>
  <c r="E103" i="1465"/>
  <c r="G103" i="1465"/>
  <c r="H103" i="1465"/>
  <c r="D103" i="1465"/>
  <c r="F103" i="1465"/>
  <c r="G69" i="1940"/>
  <c r="L149" i="4"/>
  <c r="W147" i="1261"/>
  <c r="N172" i="1261" s="1"/>
  <c r="I112" i="1261"/>
  <c r="W155" i="1261"/>
  <c r="N180" i="1261" s="1"/>
  <c r="O5" i="3033"/>
  <c r="O8" i="3033"/>
  <c r="O4" i="3033"/>
  <c r="O7" i="3033"/>
  <c r="O6" i="3033"/>
  <c r="M326" i="4"/>
  <c r="D9" i="2544" a="1"/>
  <c r="O25" i="951"/>
  <c r="H53" i="951"/>
  <c r="D17" i="2544" a="1"/>
  <c r="D37" i="951"/>
  <c r="L11" i="951"/>
  <c r="L24" i="951" s="1"/>
  <c r="D36" i="951"/>
  <c r="D35" i="951"/>
  <c r="D34" i="951"/>
  <c r="D38" i="951"/>
  <c r="D33" i="951"/>
  <c r="L3" i="6"/>
  <c r="C224" i="951"/>
  <c r="D108" i="1465"/>
  <c r="G108" i="1465"/>
  <c r="H107" i="1465" s="1"/>
  <c r="H97" i="1465" s="1"/>
  <c r="F108" i="1465"/>
  <c r="G107" i="1465" s="1"/>
  <c r="G97" i="1465" s="1"/>
  <c r="E108" i="1465"/>
  <c r="F107" i="1465" s="1"/>
  <c r="K38" i="677"/>
  <c r="K47" i="677"/>
  <c r="N13" i="3033" a="1"/>
  <c r="N52" i="352"/>
  <c r="N51" i="352"/>
  <c r="N53" i="352"/>
  <c r="N54" i="352" s="1"/>
  <c r="F35" i="951"/>
  <c r="F33" i="951"/>
  <c r="F37" i="951"/>
  <c r="F38" i="951"/>
  <c r="F36" i="951"/>
  <c r="N11" i="951"/>
  <c r="N24" i="951" s="1"/>
  <c r="F34" i="951"/>
  <c r="J87" i="677" l="1" a="1"/>
  <c r="J87" i="677" s="1"/>
  <c r="G88" i="677" a="1"/>
  <c r="G88" i="677" s="1"/>
  <c r="J88" i="677" s="1" a="1"/>
  <c r="J88" i="677" s="1"/>
  <c r="F9" i="2544"/>
  <c r="E9" i="2544"/>
  <c r="D9" i="2544"/>
  <c r="D12" i="2544"/>
  <c r="F12" i="2544"/>
  <c r="E12" i="2544"/>
  <c r="F20" i="2544"/>
  <c r="E20" i="2544"/>
  <c r="D20" i="2544"/>
  <c r="B77" i="352"/>
  <c r="C87" i="352" a="1"/>
  <c r="C87" i="352" s="1"/>
  <c r="K84" i="352" s="1"/>
  <c r="C90" i="352" a="1"/>
  <c r="C90" i="352" s="1"/>
  <c r="D90" i="352" s="1" a="1"/>
  <c r="D90" i="352" s="1"/>
  <c r="C88" i="352" a="1"/>
  <c r="C88" i="352" s="1"/>
  <c r="C93" i="352" a="1"/>
  <c r="C93" i="352" s="1"/>
  <c r="K86" i="352" s="1"/>
  <c r="C99" i="352" a="1"/>
  <c r="C99" i="352" s="1"/>
  <c r="K88" i="352" s="1"/>
  <c r="D2" i="161"/>
  <c r="G94" i="352" a="1"/>
  <c r="G94" i="352" s="1"/>
  <c r="G84" i="352" a="1"/>
  <c r="G84" i="352" s="1"/>
  <c r="E83" i="352" a="1"/>
  <c r="E83" i="352" s="1"/>
  <c r="D2" i="4"/>
  <c r="F87" i="352" a="1"/>
  <c r="F87" i="352" s="1"/>
  <c r="N84" i="352" s="1"/>
  <c r="F95" i="352" a="1"/>
  <c r="F95" i="352" s="1"/>
  <c r="N87" i="352" s="1"/>
  <c r="C89" i="352" a="1"/>
  <c r="C89" i="352" s="1"/>
  <c r="K85" i="352" s="1"/>
  <c r="F86" i="352" a="1"/>
  <c r="F86" i="352" s="1"/>
  <c r="F84" i="352" a="1"/>
  <c r="F84" i="352" s="1"/>
  <c r="G86" i="352" a="1"/>
  <c r="G86" i="352" s="1"/>
  <c r="G85" i="352" a="1"/>
  <c r="G85" i="352" s="1"/>
  <c r="O83" i="352" s="1"/>
  <c r="G88" i="352" a="1"/>
  <c r="G88" i="352" s="1"/>
  <c r="H92" i="352" a="1"/>
  <c r="H92" i="352" s="1"/>
  <c r="H99" i="352" a="1"/>
  <c r="H99" i="352" s="1"/>
  <c r="P88" i="352" s="1"/>
  <c r="C95" i="352" a="1"/>
  <c r="C95" i="352" s="1"/>
  <c r="K87" i="352" s="1"/>
  <c r="C91" i="352" a="1"/>
  <c r="C91" i="352" s="1"/>
  <c r="H93" i="352" a="1"/>
  <c r="H93" i="352" s="1"/>
  <c r="P86" i="352" s="1"/>
  <c r="H98" i="352" a="1"/>
  <c r="H98" i="352" s="1"/>
  <c r="E92" i="352" a="1"/>
  <c r="E92" i="352" s="1"/>
  <c r="C82" i="352" a="1"/>
  <c r="C82" i="352" s="1"/>
  <c r="K82" i="352" s="1"/>
  <c r="F96" i="352" a="1"/>
  <c r="F96" i="352" s="1"/>
  <c r="H87" i="352" a="1"/>
  <c r="H87" i="352" s="1"/>
  <c r="P84" i="352" s="1"/>
  <c r="H91" i="352" a="1"/>
  <c r="H91" i="352" s="1"/>
  <c r="E94" i="352" a="1"/>
  <c r="E94" i="352" s="1"/>
  <c r="E95" i="352" a="1"/>
  <c r="E95" i="352" s="1"/>
  <c r="M87" i="352" s="1"/>
  <c r="C86" i="352" a="1"/>
  <c r="C86" i="352" s="1"/>
  <c r="D86" i="352" s="1" a="1"/>
  <c r="D86" i="352" s="1"/>
  <c r="C92" i="352" a="1"/>
  <c r="C92" i="352" s="1"/>
  <c r="D92" i="352" s="1" a="1"/>
  <c r="D92" i="352" s="1"/>
  <c r="E87" i="352" a="1"/>
  <c r="E87" i="352" s="1"/>
  <c r="M84" i="352" s="1"/>
  <c r="E98" i="352" a="1"/>
  <c r="E98" i="352" s="1"/>
  <c r="F89" i="352" a="1"/>
  <c r="F89" i="352" s="1"/>
  <c r="N85" i="352" s="1"/>
  <c r="H96" i="352" a="1"/>
  <c r="H96" i="352" s="1"/>
  <c r="G98" i="352" a="1"/>
  <c r="G98" i="352" s="1"/>
  <c r="E97" i="352" a="1"/>
  <c r="E97" i="352" s="1"/>
  <c r="C83" i="352" a="1"/>
  <c r="C83" i="352" s="1"/>
  <c r="D83" i="352" s="1" a="1"/>
  <c r="D83" i="352" s="1"/>
  <c r="G82" i="352" a="1"/>
  <c r="G82" i="352" s="1"/>
  <c r="O82" i="352" s="1"/>
  <c r="E81" i="352" a="1"/>
  <c r="E81" i="352" s="1"/>
  <c r="M81" i="352" s="1"/>
  <c r="F92" i="352" a="1"/>
  <c r="F92" i="352" s="1"/>
  <c r="G89" i="352" a="1"/>
  <c r="G89" i="352" s="1"/>
  <c r="O85" i="352" s="1"/>
  <c r="G95" i="352" a="1"/>
  <c r="G95" i="352" s="1"/>
  <c r="O87" i="352" s="1"/>
  <c r="G81" i="352" a="1"/>
  <c r="G81" i="352" s="1"/>
  <c r="O81" i="352" s="1"/>
  <c r="E88" i="352" a="1"/>
  <c r="E88" i="352" s="1"/>
  <c r="D88" i="352" s="1" a="1"/>
  <c r="D88" i="352" s="1"/>
  <c r="F93" i="352" a="1"/>
  <c r="F93" i="352" s="1"/>
  <c r="N86" i="352" s="1"/>
  <c r="H85" i="352" a="1"/>
  <c r="H85" i="352" s="1"/>
  <c r="P83" i="352" s="1"/>
  <c r="E89" i="352" a="1"/>
  <c r="E89" i="352" s="1"/>
  <c r="M85" i="352" s="1"/>
  <c r="C85" i="352" a="1"/>
  <c r="C85" i="352" s="1"/>
  <c r="K83" i="352" s="1"/>
  <c r="F91" i="352" a="1"/>
  <c r="F91" i="352" s="1"/>
  <c r="E82" i="352" a="1"/>
  <c r="E82" i="352" s="1"/>
  <c r="M82" i="352" s="1"/>
  <c r="G83" i="352" a="1"/>
  <c r="G83" i="352" s="1"/>
  <c r="H82" i="352" a="1"/>
  <c r="H82" i="352" s="1"/>
  <c r="P82" i="352" s="1"/>
  <c r="E96" i="352" a="1"/>
  <c r="E96" i="352" s="1"/>
  <c r="G97" i="352" a="1"/>
  <c r="G97" i="352" s="1"/>
  <c r="F88" i="352" a="1"/>
  <c r="F88" i="352" s="1"/>
  <c r="G99" i="352" a="1"/>
  <c r="G99" i="352" s="1"/>
  <c r="O88" i="352" s="1"/>
  <c r="H95" i="352" a="1"/>
  <c r="H95" i="352" s="1"/>
  <c r="P87" i="352" s="1"/>
  <c r="F98" i="352" a="1"/>
  <c r="F98" i="352" s="1"/>
  <c r="H88" i="352" a="1"/>
  <c r="H88" i="352" s="1"/>
  <c r="F90" i="352" a="1"/>
  <c r="F90" i="352" s="1"/>
  <c r="C81" i="352" a="1"/>
  <c r="C81" i="352" s="1"/>
  <c r="K81" i="352" s="1"/>
  <c r="D95" i="352" a="1"/>
  <c r="D95" i="352" s="1"/>
  <c r="E85" i="352" a="1"/>
  <c r="E85" i="352" s="1"/>
  <c r="M83" i="352" s="1"/>
  <c r="E99" i="352" a="1"/>
  <c r="E99" i="352" s="1"/>
  <c r="M88" i="352" s="1"/>
  <c r="H89" i="352" a="1"/>
  <c r="H89" i="352" s="1"/>
  <c r="P85" i="352" s="1"/>
  <c r="E90" i="352" a="1"/>
  <c r="E90" i="352" s="1"/>
  <c r="G90" i="352" a="1"/>
  <c r="G90" i="352" s="1"/>
  <c r="G93" i="352" a="1"/>
  <c r="G93" i="352" s="1"/>
  <c r="O86" i="352" s="1"/>
  <c r="F83" i="352" a="1"/>
  <c r="F83" i="352" s="1"/>
  <c r="F82" i="352" a="1"/>
  <c r="F82" i="352" s="1"/>
  <c r="N82" i="352" s="1"/>
  <c r="C97" i="352" a="1"/>
  <c r="C97" i="352" s="1"/>
  <c r="D97" i="352" s="1" a="1"/>
  <c r="D97" i="352" s="1"/>
  <c r="F94" i="352" a="1"/>
  <c r="F94" i="352" s="1"/>
  <c r="H94" i="352" a="1"/>
  <c r="H94" i="352" s="1"/>
  <c r="H97" i="352" a="1"/>
  <c r="H97" i="352" s="1"/>
  <c r="G96" i="352" a="1"/>
  <c r="G96" i="352" s="1"/>
  <c r="H90" i="352" a="1"/>
  <c r="H90" i="352" s="1"/>
  <c r="F99" i="352" a="1"/>
  <c r="F99" i="352" s="1"/>
  <c r="N88" i="352" s="1"/>
  <c r="H83" i="352" a="1"/>
  <c r="H83" i="352" s="1"/>
  <c r="E93" i="352" a="1"/>
  <c r="E93" i="352" s="1"/>
  <c r="M86" i="352" s="1"/>
  <c r="G92" i="352" a="1"/>
  <c r="G92" i="352" s="1"/>
  <c r="G87" i="352" a="1"/>
  <c r="G87" i="352" s="1"/>
  <c r="O84" i="352" s="1"/>
  <c r="H81" i="352" a="1"/>
  <c r="H81" i="352" s="1"/>
  <c r="P81" i="352" s="1"/>
  <c r="E86" i="352" a="1"/>
  <c r="E86" i="352" s="1"/>
  <c r="C94" i="352" a="1"/>
  <c r="C94" i="352" s="1"/>
  <c r="D94" i="352" s="1" a="1"/>
  <c r="D94" i="352" s="1"/>
  <c r="C96" i="352" a="1"/>
  <c r="C96" i="352" s="1"/>
  <c r="D96" i="352" s="1" a="1"/>
  <c r="D96" i="352" s="1"/>
  <c r="F81" i="352" a="1"/>
  <c r="F81" i="352" s="1"/>
  <c r="N81" i="352" s="1"/>
  <c r="F97" i="352" a="1"/>
  <c r="F97" i="352" s="1"/>
  <c r="G91" i="352" a="1"/>
  <c r="G91" i="352" s="1"/>
  <c r="H86" i="352" a="1"/>
  <c r="H86" i="352" s="1"/>
  <c r="F85" i="352" a="1"/>
  <c r="F85" i="352" s="1"/>
  <c r="N83" i="352" s="1"/>
  <c r="E84" i="352" a="1"/>
  <c r="E84" i="352" s="1"/>
  <c r="H84" i="352" a="1"/>
  <c r="H84" i="352" s="1"/>
  <c r="C84" i="352" a="1"/>
  <c r="C84" i="352" s="1"/>
  <c r="D84" i="352" s="1" a="1"/>
  <c r="D84" i="352" s="1"/>
  <c r="E91" i="352" a="1"/>
  <c r="E91" i="352" s="1"/>
  <c r="D91" i="352" s="1" a="1"/>
  <c r="D91" i="352" s="1"/>
  <c r="C98" i="352" a="1"/>
  <c r="C98" i="352" s="1"/>
  <c r="D98" i="352" s="1" a="1"/>
  <c r="D98" i="352" s="1"/>
  <c r="H295" i="951"/>
  <c r="H296" i="951"/>
  <c r="H294" i="951"/>
  <c r="L474" i="4"/>
  <c r="M474" i="4" s="1"/>
  <c r="N474" i="4" s="1"/>
  <c r="O474" i="4" s="1"/>
  <c r="P474" i="4" s="1"/>
  <c r="Q474" i="4" s="1"/>
  <c r="R474" i="4" s="1"/>
  <c r="S474" i="4" s="1"/>
  <c r="T474" i="4" s="1"/>
  <c r="U474" i="4" s="1"/>
  <c r="V474" i="4" s="1"/>
  <c r="W474" i="4" s="1"/>
  <c r="G89" i="677" a="1"/>
  <c r="G89" i="677" s="1"/>
  <c r="J89" i="677" s="1" a="1"/>
  <c r="J89" i="677" s="1"/>
  <c r="I374" i="951"/>
  <c r="C50" i="4" a="1"/>
  <c r="E180" i="951"/>
  <c r="L49" i="677"/>
  <c r="E22" i="2544"/>
  <c r="F22" i="2544"/>
  <c r="D22" i="2544"/>
  <c r="D97" i="1465"/>
  <c r="E107" i="1465"/>
  <c r="E97" i="1465" s="1"/>
  <c r="Q4" i="3033" a="1"/>
  <c r="L38" i="677"/>
  <c r="G294" i="951"/>
  <c r="G295" i="951"/>
  <c r="G296" i="951"/>
  <c r="I24" i="4"/>
  <c r="I12" i="4"/>
  <c r="I22" i="4"/>
  <c r="I18" i="4"/>
  <c r="I16" i="4"/>
  <c r="I26" i="4"/>
  <c r="I14" i="4"/>
  <c r="I27" i="4"/>
  <c r="I19" i="4"/>
  <c r="I25" i="4"/>
  <c r="I23" i="4"/>
  <c r="I13" i="4"/>
  <c r="I21" i="4"/>
  <c r="I17" i="4"/>
  <c r="I20" i="4"/>
  <c r="I15" i="4"/>
  <c r="I10" i="4"/>
  <c r="I11" i="4"/>
  <c r="D257" i="951"/>
  <c r="D24" i="2885"/>
  <c r="K81" i="1940"/>
  <c r="K83" i="1940"/>
  <c r="K82" i="1940"/>
  <c r="K84" i="1940"/>
  <c r="L81" i="1940"/>
  <c r="M83" i="1940"/>
  <c r="L83" i="1940"/>
  <c r="M82" i="1940"/>
  <c r="M84" i="1940"/>
  <c r="L82" i="1940"/>
  <c r="L84" i="1940"/>
  <c r="M81" i="1940"/>
  <c r="L158" i="4"/>
  <c r="L165" i="4" s="1" a="1"/>
  <c r="AC139" i="4"/>
  <c r="L40" i="677"/>
  <c r="L43" i="677"/>
  <c r="N83" i="1940"/>
  <c r="N82" i="1940"/>
  <c r="N81" i="1940"/>
  <c r="N84" i="1940"/>
  <c r="N40" i="677" a="1"/>
  <c r="N40" i="677" s="1"/>
  <c r="X146" i="1261"/>
  <c r="AH156" i="4"/>
  <c r="AH147" i="4"/>
  <c r="J120" i="4" a="1"/>
  <c r="J120" i="4" s="1"/>
  <c r="M271" i="1465"/>
  <c r="M272" i="1465" s="1"/>
  <c r="W51" i="4"/>
  <c r="Y51" i="4" s="1"/>
  <c r="K284" i="4"/>
  <c r="K285" i="4"/>
  <c r="K286" i="4"/>
  <c r="C257" i="951"/>
  <c r="J33" i="3033"/>
  <c r="M269" i="1465"/>
  <c r="X149" i="1261"/>
  <c r="O174" i="1261" s="1"/>
  <c r="C145" i="951" a="1"/>
  <c r="AD147" i="4"/>
  <c r="AD156" i="4"/>
  <c r="L269" i="1465"/>
  <c r="L271" i="1465" s="1"/>
  <c r="L272" i="1465" s="1"/>
  <c r="O270" i="1465"/>
  <c r="O271" i="1465" s="1"/>
  <c r="O272" i="1465" s="1"/>
  <c r="K270" i="1465" a="1"/>
  <c r="K270" i="1465" s="1"/>
  <c r="B102" i="677"/>
  <c r="E84" i="677" a="1"/>
  <c r="E84" i="677" s="1"/>
  <c r="D102" i="677" s="1"/>
  <c r="J86" i="677" a="1"/>
  <c r="J86" i="677" s="1"/>
  <c r="H104" i="677" s="1"/>
  <c r="F104" i="677"/>
  <c r="G104" i="677" s="1"/>
  <c r="F7" i="2544"/>
  <c r="E7" i="2544"/>
  <c r="D7" i="2544"/>
  <c r="L54" i="677"/>
  <c r="L44" i="677"/>
  <c r="L37" i="677"/>
  <c r="L45" i="677"/>
  <c r="N39" i="677" a="1"/>
  <c r="N39" i="677" s="1"/>
  <c r="X152" i="1261"/>
  <c r="O179" i="1261" s="1"/>
  <c r="AE147" i="4"/>
  <c r="AE156" i="4"/>
  <c r="J31" i="3033"/>
  <c r="J32" i="3033"/>
  <c r="L86" i="4"/>
  <c r="M86" i="4" s="1"/>
  <c r="N86" i="4" s="1"/>
  <c r="O86" i="4" s="1"/>
  <c r="P86" i="4" s="1"/>
  <c r="Q86" i="4" s="1"/>
  <c r="R86" i="4" s="1"/>
  <c r="S86" i="4" s="1"/>
  <c r="T86" i="4" s="1"/>
  <c r="U86" i="4" s="1"/>
  <c r="V86" i="4" s="1"/>
  <c r="W86" i="4" s="1"/>
  <c r="L42" i="677"/>
  <c r="L53" i="677"/>
  <c r="O82" i="1940"/>
  <c r="O84" i="1940"/>
  <c r="O83" i="1940"/>
  <c r="O81" i="1940"/>
  <c r="AG156" i="4"/>
  <c r="AG147" i="4"/>
  <c r="AF156" i="4"/>
  <c r="AF147" i="4"/>
  <c r="K474" i="4"/>
  <c r="E17" i="2544"/>
  <c r="D17" i="2544"/>
  <c r="F17" i="2544"/>
  <c r="X50" i="4"/>
  <c r="X51" i="4" s="1"/>
  <c r="X49" i="4"/>
  <c r="R38" i="677" a="1"/>
  <c r="R38" i="677" s="1"/>
  <c r="S38" i="677" a="1"/>
  <c r="S38" i="677" s="1"/>
  <c r="B63" i="677"/>
  <c r="H6" i="2885"/>
  <c r="X163" i="1261"/>
  <c r="O187" i="1261" s="1"/>
  <c r="X153" i="1261"/>
  <c r="O176" i="1261" s="1"/>
  <c r="X160" i="1261"/>
  <c r="O184" i="1261" s="1"/>
  <c r="D14" i="2544" a="1"/>
  <c r="E34" i="3033"/>
  <c r="S307" i="4" a="1"/>
  <c r="I180" i="951"/>
  <c r="I181" i="951" s="1"/>
  <c r="L48" i="677"/>
  <c r="X148" i="1261"/>
  <c r="O173" i="1261" s="1"/>
  <c r="J110" i="1261"/>
  <c r="B85" i="677" a="1"/>
  <c r="B85" i="677" s="1"/>
  <c r="J113" i="4" a="1"/>
  <c r="J113" i="4" s="1"/>
  <c r="D79" i="4"/>
  <c r="K66" i="4"/>
  <c r="H67" i="4"/>
  <c r="E99" i="1465"/>
  <c r="F99" i="1465"/>
  <c r="D99" i="1465"/>
  <c r="H99" i="1465"/>
  <c r="G99" i="1465"/>
  <c r="F103" i="677"/>
  <c r="G103" i="677" s="1"/>
  <c r="J85" i="677" a="1"/>
  <c r="J85" i="677" s="1"/>
  <c r="H103" i="677" s="1"/>
  <c r="D499" i="4"/>
  <c r="D518" i="4" a="1"/>
  <c r="H187" i="951"/>
  <c r="H180" i="951"/>
  <c r="O18" i="3033"/>
  <c r="O16" i="3033"/>
  <c r="O14" i="3033"/>
  <c r="Q17" i="3033"/>
  <c r="P15" i="3033"/>
  <c r="O13" i="3033"/>
  <c r="N17" i="3033"/>
  <c r="S14" i="3033"/>
  <c r="S16" i="3033"/>
  <c r="R14" i="3033"/>
  <c r="S18" i="3033"/>
  <c r="R16" i="3033"/>
  <c r="Q14" i="3033"/>
  <c r="R18" i="3033"/>
  <c r="Q16" i="3033"/>
  <c r="P14" i="3033"/>
  <c r="Q18" i="3033"/>
  <c r="P16" i="3033"/>
  <c r="N14" i="3033"/>
  <c r="P4" i="3033" s="1" a="1"/>
  <c r="P18" i="3033"/>
  <c r="N16" i="3033"/>
  <c r="S13" i="3033"/>
  <c r="N18" i="3033"/>
  <c r="S15" i="3033"/>
  <c r="R13" i="3033"/>
  <c r="S17" i="3033"/>
  <c r="R17" i="3033"/>
  <c r="P17" i="3033"/>
  <c r="O17" i="3033"/>
  <c r="R15" i="3033"/>
  <c r="Q15" i="3033"/>
  <c r="O15" i="3033"/>
  <c r="N15" i="3033"/>
  <c r="Q13" i="3033"/>
  <c r="P13" i="3033"/>
  <c r="N13" i="3033"/>
  <c r="L41" i="677"/>
  <c r="N325" i="4"/>
  <c r="C113" i="4" a="1"/>
  <c r="K337" i="4"/>
  <c r="K339" i="4"/>
  <c r="K338" i="4"/>
  <c r="K340" i="4"/>
  <c r="K341" i="4"/>
  <c r="L50" i="677"/>
  <c r="X150" i="1261"/>
  <c r="O177" i="1261" s="1"/>
  <c r="J112" i="1261"/>
  <c r="H68" i="4"/>
  <c r="J114" i="4" a="1"/>
  <c r="J114" i="4" s="1"/>
  <c r="AO37" i="4"/>
  <c r="J180" i="951"/>
  <c r="J181" i="951" s="1"/>
  <c r="M325" i="4"/>
  <c r="F97" i="1465"/>
  <c r="L47" i="677"/>
  <c r="L55" i="677"/>
  <c r="L39" i="677"/>
  <c r="C180" i="951"/>
  <c r="E55" i="4" l="1"/>
  <c r="E51" i="4"/>
  <c r="C55" i="4"/>
  <c r="C51" i="4"/>
  <c r="E57" i="4"/>
  <c r="E53" i="4"/>
  <c r="C50" i="4"/>
  <c r="C57" i="4"/>
  <c r="C53" i="4"/>
  <c r="D56" i="4"/>
  <c r="D52" i="4"/>
  <c r="D58" i="4"/>
  <c r="D51" i="4"/>
  <c r="C58" i="4"/>
  <c r="E50" i="4"/>
  <c r="H49" i="4" s="1"/>
  <c r="D57" i="4"/>
  <c r="D50" i="4"/>
  <c r="E56" i="4"/>
  <c r="C56" i="4"/>
  <c r="D55" i="4"/>
  <c r="E54" i="4"/>
  <c r="D54" i="4"/>
  <c r="C54" i="4"/>
  <c r="C52" i="4"/>
  <c r="D53" i="4"/>
  <c r="E58" i="4"/>
  <c r="E52" i="4"/>
  <c r="AE26" i="4" a="1"/>
  <c r="AE26" i="4" s="1"/>
  <c r="U26" i="4" a="1"/>
  <c r="U26" i="4" s="1"/>
  <c r="S25" i="4" a="1"/>
  <c r="S25" i="4" s="1"/>
  <c r="S38" i="4" s="1" a="1"/>
  <c r="S38" i="4" s="1"/>
  <c r="AJ24" i="4" a="1"/>
  <c r="AJ24" i="4" s="1"/>
  <c r="Z24" i="4" a="1"/>
  <c r="Z24" i="4" s="1"/>
  <c r="O24" i="4" a="1"/>
  <c r="O24" i="4" s="1"/>
  <c r="AF23" i="4" a="1"/>
  <c r="AF23" i="4" s="1"/>
  <c r="V23" i="4" a="1"/>
  <c r="V23" i="4" s="1"/>
  <c r="AB22" i="4" a="1"/>
  <c r="AB22" i="4" s="1"/>
  <c r="R22" i="4" a="1"/>
  <c r="R22" i="4" s="1"/>
  <c r="AI21" i="4" a="1"/>
  <c r="AI21" i="4" s="1"/>
  <c r="AI36" i="4" s="1" a="1"/>
  <c r="AI36" i="4" s="1"/>
  <c r="X21" i="4" a="1"/>
  <c r="X21" i="4" s="1"/>
  <c r="X36" i="4" s="1" a="1"/>
  <c r="X36" i="4" s="1"/>
  <c r="N21" i="4" a="1"/>
  <c r="N21" i="4" s="1"/>
  <c r="N36" i="4" s="1" a="1"/>
  <c r="N36" i="4" s="1"/>
  <c r="AE20" i="4" a="1"/>
  <c r="AE20" i="4" s="1"/>
  <c r="AK19" i="4" a="1"/>
  <c r="AK19" i="4" s="1"/>
  <c r="AK35" i="4" s="1" a="1"/>
  <c r="AK35" i="4" s="1"/>
  <c r="AA19" i="4" a="1"/>
  <c r="AA19" i="4" s="1"/>
  <c r="AA35" i="4" s="1" a="1"/>
  <c r="AA35" i="4" s="1"/>
  <c r="Q19" i="4" a="1"/>
  <c r="Q19" i="4" s="1"/>
  <c r="Q35" i="4" s="1" a="1"/>
  <c r="Q35" i="4" s="1"/>
  <c r="AG18" i="4" a="1"/>
  <c r="AG18" i="4" s="1"/>
  <c r="W18" i="4" a="1"/>
  <c r="W18" i="4" s="1"/>
  <c r="M18" i="4" a="1"/>
  <c r="M18" i="4" s="1"/>
  <c r="S17" i="4" a="1"/>
  <c r="S17" i="4" s="1"/>
  <c r="S34" i="4" s="1" a="1"/>
  <c r="S34" i="4" s="1"/>
  <c r="AJ16" i="4" a="1"/>
  <c r="AJ16" i="4" s="1"/>
  <c r="Z16" i="4" a="1"/>
  <c r="Z16" i="4" s="1"/>
  <c r="O16" i="4" a="1"/>
  <c r="O16" i="4" s="1"/>
  <c r="AF15" i="4" a="1"/>
  <c r="AF15" i="4" s="1"/>
  <c r="AF33" i="4" s="1" a="1"/>
  <c r="AF33" i="4" s="1"/>
  <c r="V15" i="4" a="1"/>
  <c r="V15" i="4" s="1"/>
  <c r="V33" i="4" s="1" a="1"/>
  <c r="V33" i="4" s="1"/>
  <c r="AB14" i="4" a="1"/>
  <c r="AB14" i="4" s="1"/>
  <c r="R14" i="4" a="1"/>
  <c r="R14" i="4" s="1"/>
  <c r="AI13" i="4" a="1"/>
  <c r="AI13" i="4" s="1"/>
  <c r="AI32" i="4" s="1" a="1"/>
  <c r="AI32" i="4" s="1"/>
  <c r="X13" i="4" a="1"/>
  <c r="X13" i="4" s="1"/>
  <c r="X32" i="4" s="1" a="1"/>
  <c r="X32" i="4" s="1"/>
  <c r="N13" i="4" a="1"/>
  <c r="N13" i="4" s="1"/>
  <c r="N32" i="4" s="1" a="1"/>
  <c r="N32" i="4" s="1"/>
  <c r="AE12" i="4" a="1"/>
  <c r="AE12" i="4" s="1"/>
  <c r="AK11" i="4" a="1"/>
  <c r="AK11" i="4" s="1"/>
  <c r="AA11" i="4" a="1"/>
  <c r="AA11" i="4" s="1"/>
  <c r="Q11" i="4" a="1"/>
  <c r="Q11" i="4" s="1"/>
  <c r="AG10" i="4" a="1"/>
  <c r="AG10" i="4" s="1"/>
  <c r="W10" i="4" a="1"/>
  <c r="W10" i="4" s="1"/>
  <c r="M10" i="4" a="1"/>
  <c r="M10" i="4" s="1"/>
  <c r="AK9" i="4" a="1"/>
  <c r="AK9" i="4" s="1"/>
  <c r="AA9" i="4" a="1"/>
  <c r="AA9" i="4" s="1"/>
  <c r="Q9" i="4" a="1"/>
  <c r="Q9" i="4" s="1"/>
  <c r="AI15" i="4" a="1"/>
  <c r="AI15" i="4" s="1"/>
  <c r="AI33" i="4" s="1" a="1"/>
  <c r="AI33" i="4" s="1"/>
  <c r="S11" i="4" a="1"/>
  <c r="S11" i="4" s="1"/>
  <c r="AD25" i="4" a="1"/>
  <c r="AD25" i="4" s="1"/>
  <c r="AD38" i="4" s="1" a="1"/>
  <c r="AD38" i="4" s="1"/>
  <c r="O21" i="4" a="1"/>
  <c r="O21" i="4" s="1"/>
  <c r="O36" i="4" s="1" a="1"/>
  <c r="O36" i="4" s="1"/>
  <c r="AD17" i="4" a="1"/>
  <c r="AD17" i="4" s="1"/>
  <c r="AD34" i="4" s="1" a="1"/>
  <c r="AD34" i="4" s="1"/>
  <c r="AF12" i="4" a="1"/>
  <c r="AF12" i="4" s="1"/>
  <c r="T26" i="4" a="1"/>
  <c r="T26" i="4" s="1"/>
  <c r="AC25" i="4" a="1"/>
  <c r="AC25" i="4" s="1"/>
  <c r="AC38" i="4" s="1" a="1"/>
  <c r="AC38" i="4" s="1"/>
  <c r="R25" i="4" a="1"/>
  <c r="R25" i="4" s="1"/>
  <c r="R38" i="4" s="1" a="1"/>
  <c r="R38" i="4" s="1"/>
  <c r="AI24" i="4" a="1"/>
  <c r="AI24" i="4" s="1"/>
  <c r="Y24" i="4" a="1"/>
  <c r="Y24" i="4" s="1"/>
  <c r="AE23" i="4" a="1"/>
  <c r="AE23" i="4" s="1"/>
  <c r="U23" i="4" a="1"/>
  <c r="U23" i="4" s="1"/>
  <c r="AL22" i="4" a="1"/>
  <c r="AL22" i="4" s="1"/>
  <c r="AA22" i="4" a="1"/>
  <c r="AA22" i="4" s="1"/>
  <c r="Q22" i="4" a="1"/>
  <c r="Q22" i="4" s="1"/>
  <c r="AH21" i="4" a="1"/>
  <c r="AH21" i="4" s="1"/>
  <c r="AH36" i="4" s="1" a="1"/>
  <c r="AH36" i="4" s="1"/>
  <c r="M21" i="4" a="1"/>
  <c r="M21" i="4" s="1"/>
  <c r="M36" i="4" s="1" a="1"/>
  <c r="M36" i="4" s="1"/>
  <c r="AD20" i="4" a="1"/>
  <c r="AD20" i="4" s="1"/>
  <c r="T20" i="4" a="1"/>
  <c r="T20" i="4" s="1"/>
  <c r="AJ19" i="4" a="1"/>
  <c r="AJ19" i="4" s="1"/>
  <c r="AJ35" i="4" s="1" a="1"/>
  <c r="AJ35" i="4" s="1"/>
  <c r="Z19" i="4" a="1"/>
  <c r="Z19" i="4" s="1"/>
  <c r="Z35" i="4" s="1" a="1"/>
  <c r="Z35" i="4" s="1"/>
  <c r="P19" i="4" a="1"/>
  <c r="P19" i="4" s="1"/>
  <c r="P35" i="4" s="1" a="1"/>
  <c r="P35" i="4" s="1"/>
  <c r="V18" i="4" a="1"/>
  <c r="V18" i="4" s="1"/>
  <c r="AC17" i="4" a="1"/>
  <c r="AC17" i="4" s="1"/>
  <c r="AC34" i="4" s="1" a="1"/>
  <c r="AC34" i="4" s="1"/>
  <c r="R17" i="4" a="1"/>
  <c r="R17" i="4" s="1"/>
  <c r="R34" i="4" s="1" a="1"/>
  <c r="R34" i="4" s="1"/>
  <c r="L116" i="4" s="1" a="1"/>
  <c r="L116" i="4" s="1"/>
  <c r="AI16" i="4" a="1"/>
  <c r="AI16" i="4" s="1"/>
  <c r="Y16" i="4" a="1"/>
  <c r="Y16" i="4" s="1"/>
  <c r="AE15" i="4" a="1"/>
  <c r="AE15" i="4" s="1"/>
  <c r="AE33" i="4" s="1" a="1"/>
  <c r="AE33" i="4" s="1"/>
  <c r="U15" i="4" a="1"/>
  <c r="U15" i="4" s="1"/>
  <c r="U33" i="4" s="1" a="1"/>
  <c r="U33" i="4" s="1"/>
  <c r="AL14" i="4" a="1"/>
  <c r="AL14" i="4" s="1"/>
  <c r="AA14" i="4" a="1"/>
  <c r="AA14" i="4" s="1"/>
  <c r="Q14" i="4" a="1"/>
  <c r="Q14" i="4" s="1"/>
  <c r="AH13" i="4" a="1"/>
  <c r="AH13" i="4" s="1"/>
  <c r="AH32" i="4" s="1" a="1"/>
  <c r="AH32" i="4" s="1"/>
  <c r="M13" i="4" a="1"/>
  <c r="M13" i="4" s="1"/>
  <c r="M32" i="4" s="1" a="1"/>
  <c r="M32" i="4" s="1"/>
  <c r="AD12" i="4" a="1"/>
  <c r="AD12" i="4" s="1"/>
  <c r="T12" i="4" a="1"/>
  <c r="T12" i="4" s="1"/>
  <c r="AJ11" i="4" a="1"/>
  <c r="AJ11" i="4" s="1"/>
  <c r="Z11" i="4" a="1"/>
  <c r="Z11" i="4" s="1"/>
  <c r="P11" i="4" a="1"/>
  <c r="P11" i="4" s="1"/>
  <c r="V10" i="4" a="1"/>
  <c r="V10" i="4" s="1"/>
  <c r="AJ9" i="4" a="1"/>
  <c r="AJ9" i="4" s="1"/>
  <c r="Z9" i="4" a="1"/>
  <c r="Z9" i="4" s="1"/>
  <c r="P9" i="4" a="1"/>
  <c r="P9" i="4" s="1"/>
  <c r="O14" i="4" a="1"/>
  <c r="O14" i="4" s="1"/>
  <c r="R12" i="4" a="1"/>
  <c r="R12" i="4" s="1"/>
  <c r="N11" i="4" a="1"/>
  <c r="N11" i="4" s="1"/>
  <c r="X9" i="4" a="1"/>
  <c r="X9" i="4" s="1"/>
  <c r="P17" i="4" a="1"/>
  <c r="P17" i="4" s="1"/>
  <c r="P34" i="4" s="1" a="1"/>
  <c r="P34" i="4" s="1"/>
  <c r="AI14" i="4" a="1"/>
  <c r="AI14" i="4" s="1"/>
  <c r="AL12" i="4" a="1"/>
  <c r="AL12" i="4" s="1"/>
  <c r="AD10" i="4" a="1"/>
  <c r="AD10" i="4" s="1"/>
  <c r="T13" i="4" a="1"/>
  <c r="T13" i="4" s="1"/>
  <c r="T32" i="4" s="1" a="1"/>
  <c r="T32" i="4" s="1"/>
  <c r="S10" i="4" a="1"/>
  <c r="S10" i="4" s="1"/>
  <c r="AB18" i="4" a="1"/>
  <c r="AB18" i="4" s="1"/>
  <c r="Q15" i="4" a="1"/>
  <c r="Q15" i="4" s="1"/>
  <c r="Q33" i="4" s="1" a="1"/>
  <c r="Q33" i="4" s="1"/>
  <c r="Z12" i="4" a="1"/>
  <c r="Z12" i="4" s="1"/>
  <c r="AF9" i="4" a="1"/>
  <c r="AF9" i="4" s="1"/>
  <c r="AJ15" i="4" a="1"/>
  <c r="AJ15" i="4" s="1"/>
  <c r="AJ33" i="4" s="1" a="1"/>
  <c r="AJ33" i="4" s="1"/>
  <c r="Y12" i="4" a="1"/>
  <c r="Y12" i="4" s="1"/>
  <c r="U9" i="4" a="1"/>
  <c r="U9" i="4" s="1"/>
  <c r="W12" i="4" a="1"/>
  <c r="W12" i="4" s="1"/>
  <c r="P24" i="4" a="1"/>
  <c r="P24" i="4" s="1"/>
  <c r="AC22" i="4" a="1"/>
  <c r="AC22" i="4" s="1"/>
  <c r="AH18" i="4" a="1"/>
  <c r="AH18" i="4" s="1"/>
  <c r="AC14" i="4" a="1"/>
  <c r="AC14" i="4" s="1"/>
  <c r="X10" i="4" a="1"/>
  <c r="X10" i="4" s="1"/>
  <c r="AF27" i="4" a="1"/>
  <c r="AF27" i="4" s="1"/>
  <c r="AF39" i="4" s="1" a="1"/>
  <c r="AF39" i="4" s="1"/>
  <c r="AD26" i="4" a="1"/>
  <c r="AD26" i="4" s="1"/>
  <c r="S26" i="4" a="1"/>
  <c r="S26" i="4" s="1"/>
  <c r="AL25" i="4" a="1"/>
  <c r="AL25" i="4" s="1"/>
  <c r="AL38" i="4" s="1" a="1"/>
  <c r="AL38" i="4" s="1"/>
  <c r="AB25" i="4" a="1"/>
  <c r="AB25" i="4" s="1"/>
  <c r="AB38" i="4" s="1" a="1"/>
  <c r="AB38" i="4" s="1"/>
  <c r="AH24" i="4" a="1"/>
  <c r="AH24" i="4" s="1"/>
  <c r="X24" i="4" a="1"/>
  <c r="X24" i="4" s="1"/>
  <c r="N24" i="4" a="1"/>
  <c r="N24" i="4" s="1"/>
  <c r="AD23" i="4" a="1"/>
  <c r="AD23" i="4" s="1"/>
  <c r="T23" i="4" a="1"/>
  <c r="T23" i="4" s="1"/>
  <c r="AK22" i="4" a="1"/>
  <c r="AK22" i="4" s="1"/>
  <c r="P22" i="4" a="1"/>
  <c r="P22" i="4" s="1"/>
  <c r="AG21" i="4" a="1"/>
  <c r="AG21" i="4" s="1"/>
  <c r="AG36" i="4" s="1" a="1"/>
  <c r="AG36" i="4" s="1"/>
  <c r="O118" i="4" s="1" a="1"/>
  <c r="O118" i="4" s="1"/>
  <c r="W21" i="4" a="1"/>
  <c r="W21" i="4" s="1"/>
  <c r="W36" i="4" s="1" a="1"/>
  <c r="W36" i="4" s="1"/>
  <c r="M118" i="4" s="1" a="1"/>
  <c r="M118" i="4" s="1"/>
  <c r="AC20" i="4" a="1"/>
  <c r="AC20" i="4" s="1"/>
  <c r="S20" i="4" a="1"/>
  <c r="S20" i="4" s="1"/>
  <c r="Y19" i="4" a="1"/>
  <c r="Y19" i="4" s="1"/>
  <c r="Y35" i="4" s="1" a="1"/>
  <c r="Y35" i="4" s="1"/>
  <c r="O19" i="4" a="1"/>
  <c r="O19" i="4" s="1"/>
  <c r="O35" i="4" s="1" a="1"/>
  <c r="O35" i="4" s="1"/>
  <c r="AF18" i="4" a="1"/>
  <c r="AF18" i="4" s="1"/>
  <c r="U18" i="4" a="1"/>
  <c r="U18" i="4" s="1"/>
  <c r="AL17" i="4" a="1"/>
  <c r="AL17" i="4" s="1"/>
  <c r="AL34" i="4" s="1" a="1"/>
  <c r="AL34" i="4" s="1"/>
  <c r="AB17" i="4" a="1"/>
  <c r="AB17" i="4" s="1"/>
  <c r="AB34" i="4" s="1" a="1"/>
  <c r="AB34" i="4" s="1"/>
  <c r="N116" i="4" s="1" a="1"/>
  <c r="N116" i="4" s="1"/>
  <c r="AH16" i="4" a="1"/>
  <c r="AH16" i="4" s="1"/>
  <c r="X16" i="4" a="1"/>
  <c r="X16" i="4" s="1"/>
  <c r="N16" i="4" a="1"/>
  <c r="N16" i="4" s="1"/>
  <c r="AD15" i="4" a="1"/>
  <c r="AD15" i="4" s="1"/>
  <c r="AD33" i="4" s="1" a="1"/>
  <c r="AD33" i="4" s="1"/>
  <c r="T15" i="4" a="1"/>
  <c r="T15" i="4" s="1"/>
  <c r="T33" i="4" s="1" a="1"/>
  <c r="T33" i="4" s="1"/>
  <c r="AK14" i="4" a="1"/>
  <c r="AK14" i="4" s="1"/>
  <c r="P14" i="4" a="1"/>
  <c r="P14" i="4" s="1"/>
  <c r="AG13" i="4" a="1"/>
  <c r="AG13" i="4" s="1"/>
  <c r="AG32" i="4" s="1" a="1"/>
  <c r="AG32" i="4" s="1"/>
  <c r="W13" i="4" a="1"/>
  <c r="W13" i="4" s="1"/>
  <c r="W32" i="4" s="1" a="1"/>
  <c r="W32" i="4" s="1"/>
  <c r="AC12" i="4" a="1"/>
  <c r="AC12" i="4" s="1"/>
  <c r="S12" i="4" a="1"/>
  <c r="S12" i="4" s="1"/>
  <c r="Y11" i="4" a="1"/>
  <c r="Y11" i="4" s="1"/>
  <c r="O11" i="4" a="1"/>
  <c r="O11" i="4" s="1"/>
  <c r="AF10" i="4" a="1"/>
  <c r="AF10" i="4" s="1"/>
  <c r="U10" i="4" a="1"/>
  <c r="U10" i="4" s="1"/>
  <c r="Y9" i="4" a="1"/>
  <c r="Y9" i="4" s="1"/>
  <c r="O9" i="4" a="1"/>
  <c r="O9" i="4" s="1"/>
  <c r="Z14" i="4" a="1"/>
  <c r="Z14" i="4" s="1"/>
  <c r="AB12" i="4" a="1"/>
  <c r="AB12" i="4" s="1"/>
  <c r="X11" i="4" a="1"/>
  <c r="X11" i="4" s="1"/>
  <c r="AI9" i="4" a="1"/>
  <c r="AI9" i="4" s="1"/>
  <c r="V16" i="4" a="1"/>
  <c r="V16" i="4" s="1"/>
  <c r="Y14" i="4" a="1"/>
  <c r="Y14" i="4" s="1"/>
  <c r="AA12" i="4" a="1"/>
  <c r="AA12" i="4" s="1"/>
  <c r="M11" i="4" a="1"/>
  <c r="M11" i="4" s="1"/>
  <c r="AK12" i="4" a="1"/>
  <c r="AK12" i="4" s="1"/>
  <c r="AC10" i="4" a="1"/>
  <c r="AC10" i="4" s="1"/>
  <c r="AI17" i="4" a="1"/>
  <c r="AI17" i="4" s="1"/>
  <c r="AI34" i="4" s="1" a="1"/>
  <c r="AI34" i="4" s="1"/>
  <c r="AK15" i="4" a="1"/>
  <c r="AK15" i="4" s="1"/>
  <c r="AK33" i="4" s="1" a="1"/>
  <c r="AK33" i="4" s="1"/>
  <c r="S13" i="4" a="1"/>
  <c r="S13" i="4" s="1"/>
  <c r="S32" i="4" s="1" a="1"/>
  <c r="S32" i="4" s="1"/>
  <c r="AB10" i="4" a="1"/>
  <c r="AB10" i="4" s="1"/>
  <c r="AD16" i="4" a="1"/>
  <c r="AD16" i="4" s="1"/>
  <c r="R13" i="4" a="1"/>
  <c r="R13" i="4" s="1"/>
  <c r="R32" i="4" s="1" a="1"/>
  <c r="R32" i="4" s="1"/>
  <c r="Q10" i="4" a="1"/>
  <c r="Q10" i="4" s="1"/>
  <c r="AA13" i="4" a="1"/>
  <c r="AA13" i="4" s="1"/>
  <c r="AA32" i="4" s="1" a="1"/>
  <c r="AA32" i="4" s="1"/>
  <c r="S9" i="4" a="1"/>
  <c r="S9" i="4" s="1"/>
  <c r="W23" i="4" a="1"/>
  <c r="W23" i="4" s="1"/>
  <c r="AB19" i="4" a="1"/>
  <c r="AB19" i="4" s="1"/>
  <c r="AB35" i="4" s="1" a="1"/>
  <c r="AB35" i="4" s="1"/>
  <c r="N117" i="4" s="1" a="1"/>
  <c r="N117" i="4" s="1"/>
  <c r="AG15" i="4" a="1"/>
  <c r="AG15" i="4" s="1"/>
  <c r="AG33" i="4" s="1" a="1"/>
  <c r="AG33" i="4" s="1"/>
  <c r="O115" i="4" s="1" a="1"/>
  <c r="O115" i="4" s="1"/>
  <c r="AH10" i="4" a="1"/>
  <c r="AH10" i="4" s="1"/>
  <c r="AC26" i="4" a="1"/>
  <c r="AC26" i="4" s="1"/>
  <c r="AK25" i="4" a="1"/>
  <c r="AK25" i="4" s="1"/>
  <c r="AK38" i="4" s="1" a="1"/>
  <c r="AK38" i="4" s="1"/>
  <c r="AA25" i="4" a="1"/>
  <c r="AA25" i="4" s="1"/>
  <c r="AA38" i="4" s="1" a="1"/>
  <c r="AA38" i="4" s="1"/>
  <c r="Q25" i="4" a="1"/>
  <c r="Q25" i="4" s="1"/>
  <c r="Q38" i="4" s="1" a="1"/>
  <c r="Q38" i="4" s="1"/>
  <c r="AG24" i="4" a="1"/>
  <c r="AG24" i="4" s="1"/>
  <c r="W24" i="4" a="1"/>
  <c r="W24" i="4" s="1"/>
  <c r="M24" i="4" a="1"/>
  <c r="M24" i="4" s="1"/>
  <c r="S23" i="4" a="1"/>
  <c r="S23" i="4" s="1"/>
  <c r="AJ22" i="4" a="1"/>
  <c r="AJ22" i="4" s="1"/>
  <c r="Z22" i="4" a="1"/>
  <c r="Z22" i="4" s="1"/>
  <c r="O22" i="4" a="1"/>
  <c r="O22" i="4" s="1"/>
  <c r="AF21" i="4" a="1"/>
  <c r="AF21" i="4" s="1"/>
  <c r="AF36" i="4" s="1" a="1"/>
  <c r="AF36" i="4" s="1"/>
  <c r="V21" i="4" a="1"/>
  <c r="V21" i="4" s="1"/>
  <c r="V36" i="4" s="1" a="1"/>
  <c r="V36" i="4" s="1"/>
  <c r="AB20" i="4" a="1"/>
  <c r="AB20" i="4" s="1"/>
  <c r="R20" i="4" a="1"/>
  <c r="R20" i="4" s="1"/>
  <c r="AI19" i="4" a="1"/>
  <c r="AI19" i="4" s="1"/>
  <c r="AI35" i="4" s="1" a="1"/>
  <c r="AI35" i="4" s="1"/>
  <c r="X19" i="4" a="1"/>
  <c r="X19" i="4" s="1"/>
  <c r="X35" i="4" s="1" a="1"/>
  <c r="X35" i="4" s="1"/>
  <c r="N19" i="4" a="1"/>
  <c r="N19" i="4" s="1"/>
  <c r="N35" i="4" s="1" a="1"/>
  <c r="N35" i="4" s="1"/>
  <c r="AE18" i="4" a="1"/>
  <c r="AE18" i="4" s="1"/>
  <c r="AK17" i="4" a="1"/>
  <c r="AK17" i="4" s="1"/>
  <c r="AK34" i="4" s="1" a="1"/>
  <c r="AK34" i="4" s="1"/>
  <c r="AA17" i="4" a="1"/>
  <c r="AA17" i="4" s="1"/>
  <c r="AA34" i="4" s="1" a="1"/>
  <c r="AA34" i="4" s="1"/>
  <c r="Q17" i="4" a="1"/>
  <c r="Q17" i="4" s="1"/>
  <c r="Q34" i="4" s="1" a="1"/>
  <c r="Q34" i="4" s="1"/>
  <c r="AG16" i="4" a="1"/>
  <c r="AG16" i="4" s="1"/>
  <c r="W16" i="4" a="1"/>
  <c r="W16" i="4" s="1"/>
  <c r="M16" i="4" a="1"/>
  <c r="M16" i="4" s="1"/>
  <c r="S15" i="4" a="1"/>
  <c r="S15" i="4" s="1"/>
  <c r="S33" i="4" s="1" a="1"/>
  <c r="S33" i="4" s="1"/>
  <c r="AJ14" i="4" a="1"/>
  <c r="AJ14" i="4" s="1"/>
  <c r="AF13" i="4" a="1"/>
  <c r="AF13" i="4" s="1"/>
  <c r="AF32" i="4" s="1" a="1"/>
  <c r="AF32" i="4" s="1"/>
  <c r="V13" i="4" a="1"/>
  <c r="V13" i="4" s="1"/>
  <c r="V32" i="4" s="1" a="1"/>
  <c r="V32" i="4" s="1"/>
  <c r="AI11" i="4" a="1"/>
  <c r="AI11" i="4" s="1"/>
  <c r="AE10" i="4" a="1"/>
  <c r="AE10" i="4" s="1"/>
  <c r="N9" i="4" a="1"/>
  <c r="N9" i="4" s="1"/>
  <c r="R15" i="4" a="1"/>
  <c r="R15" i="4" s="1"/>
  <c r="R33" i="4" s="1" a="1"/>
  <c r="R33" i="4" s="1"/>
  <c r="L115" i="4" s="1" a="1"/>
  <c r="L115" i="4" s="1"/>
  <c r="U13" i="4" a="1"/>
  <c r="U13" i="4" s="1"/>
  <c r="U32" i="4" s="1" a="1"/>
  <c r="U32" i="4" s="1"/>
  <c r="AH11" i="4" a="1"/>
  <c r="AH11" i="4" s="1"/>
  <c r="AH9" i="4" a="1"/>
  <c r="AH9" i="4" s="1"/>
  <c r="W11" i="4" a="1"/>
  <c r="W11" i="4" s="1"/>
  <c r="R18" i="4" a="1"/>
  <c r="R18" i="4" s="1"/>
  <c r="AA15" i="4" a="1"/>
  <c r="AA15" i="4" s="1"/>
  <c r="AA33" i="4" s="1" a="1"/>
  <c r="AA33" i="4" s="1"/>
  <c r="AJ12" i="4" a="1"/>
  <c r="AJ12" i="4" s="1"/>
  <c r="R10" i="4" a="1"/>
  <c r="R10" i="4" s="1"/>
  <c r="T16" i="4" a="1"/>
  <c r="T16" i="4" s="1"/>
  <c r="AI12" i="4" a="1"/>
  <c r="AI12" i="4" s="1"/>
  <c r="AE9" i="4" a="1"/>
  <c r="AE9" i="4" s="1"/>
  <c r="AG12" i="4" a="1"/>
  <c r="AG12" i="4" s="1"/>
  <c r="P16" i="4" a="1"/>
  <c r="P16" i="4" s="1"/>
  <c r="AL11" i="4" a="1"/>
  <c r="AL11" i="4" s="1"/>
  <c r="T27" i="4" a="1"/>
  <c r="T27" i="4" s="1"/>
  <c r="T39" i="4" s="1" a="1"/>
  <c r="T39" i="4" s="1"/>
  <c r="AL26" i="4" a="1"/>
  <c r="AL26" i="4" s="1"/>
  <c r="AB26" i="4" a="1"/>
  <c r="AB26" i="4" s="1"/>
  <c r="R26" i="4" a="1"/>
  <c r="R26" i="4" s="1"/>
  <c r="AJ25" i="4" a="1"/>
  <c r="AJ25" i="4" s="1"/>
  <c r="AJ38" i="4" s="1" a="1"/>
  <c r="AJ38" i="4" s="1"/>
  <c r="Z25" i="4" a="1"/>
  <c r="Z25" i="4" s="1"/>
  <c r="Z38" i="4" s="1" a="1"/>
  <c r="Z38" i="4" s="1"/>
  <c r="P25" i="4" a="1"/>
  <c r="P25" i="4" s="1"/>
  <c r="P38" i="4" s="1" a="1"/>
  <c r="P38" i="4" s="1"/>
  <c r="V24" i="4" a="1"/>
  <c r="V24" i="4" s="1"/>
  <c r="AC23" i="4" a="1"/>
  <c r="AC23" i="4" s="1"/>
  <c r="R23" i="4" a="1"/>
  <c r="R23" i="4" s="1"/>
  <c r="AI22" i="4" a="1"/>
  <c r="AI22" i="4" s="1"/>
  <c r="Y22" i="4" a="1"/>
  <c r="Y22" i="4" s="1"/>
  <c r="AE21" i="4" a="1"/>
  <c r="AE21" i="4" s="1"/>
  <c r="AE36" i="4" s="1" a="1"/>
  <c r="AE36" i="4" s="1"/>
  <c r="U21" i="4" a="1"/>
  <c r="U21" i="4" s="1"/>
  <c r="U36" i="4" s="1" a="1"/>
  <c r="U36" i="4" s="1"/>
  <c r="AL20" i="4" a="1"/>
  <c r="AL20" i="4" s="1"/>
  <c r="AA20" i="4" a="1"/>
  <c r="AA20" i="4" s="1"/>
  <c r="Q20" i="4" a="1"/>
  <c r="Q20" i="4" s="1"/>
  <c r="AH19" i="4" a="1"/>
  <c r="AH19" i="4" s="1"/>
  <c r="AH35" i="4" s="1" a="1"/>
  <c r="AH35" i="4" s="1"/>
  <c r="M19" i="4" a="1"/>
  <c r="M19" i="4" s="1"/>
  <c r="M35" i="4" s="1" a="1"/>
  <c r="M35" i="4" s="1"/>
  <c r="AD18" i="4" a="1"/>
  <c r="AD18" i="4" s="1"/>
  <c r="T18" i="4" a="1"/>
  <c r="T18" i="4" s="1"/>
  <c r="AJ17" i="4" a="1"/>
  <c r="AJ17" i="4" s="1"/>
  <c r="AJ34" i="4" s="1" a="1"/>
  <c r="AJ34" i="4" s="1"/>
  <c r="Z17" i="4" a="1"/>
  <c r="Z17" i="4" s="1"/>
  <c r="Z34" i="4" s="1" a="1"/>
  <c r="Z34" i="4" s="1"/>
  <c r="AC15" i="4" a="1"/>
  <c r="AC15" i="4" s="1"/>
  <c r="AC33" i="4" s="1" a="1"/>
  <c r="AC33" i="4" s="1"/>
  <c r="AE13" i="4" a="1"/>
  <c r="AE13" i="4" s="1"/>
  <c r="AE32" i="4" s="1" a="1"/>
  <c r="AE32" i="4" s="1"/>
  <c r="Q12" i="4" a="1"/>
  <c r="Q12" i="4" s="1"/>
  <c r="T10" i="4" a="1"/>
  <c r="T10" i="4" s="1"/>
  <c r="P12" i="4" a="1"/>
  <c r="P12" i="4" s="1"/>
  <c r="AG9" i="4" a="1"/>
  <c r="AG9" i="4" s="1"/>
  <c r="N17" i="4" a="1"/>
  <c r="N17" i="4" s="1"/>
  <c r="N34" i="4" s="1" a="1"/>
  <c r="N34" i="4" s="1"/>
  <c r="W14" i="4" a="1"/>
  <c r="W14" i="4" s="1"/>
  <c r="AF11" i="4" a="1"/>
  <c r="AF11" i="4" s="1"/>
  <c r="AH17" i="4" a="1"/>
  <c r="AH17" i="4" s="1"/>
  <c r="AH34" i="4" s="1" a="1"/>
  <c r="AH34" i="4" s="1"/>
  <c r="AC13" i="4" a="1"/>
  <c r="AC13" i="4" s="1"/>
  <c r="AC32" i="4" s="1" a="1"/>
  <c r="AC32" i="4" s="1"/>
  <c r="AA10" i="4" a="1"/>
  <c r="AA10" i="4" s="1"/>
  <c r="N15" i="4" a="1"/>
  <c r="N15" i="4" s="1"/>
  <c r="N33" i="4" s="1" a="1"/>
  <c r="N33" i="4" s="1"/>
  <c r="O10" i="4" a="1"/>
  <c r="O10" i="4" s="1"/>
  <c r="AG23" i="4" a="1"/>
  <c r="AG23" i="4" s="1"/>
  <c r="U20" i="4" a="1"/>
  <c r="U20" i="4" s="1"/>
  <c r="T17" i="4" a="1"/>
  <c r="T17" i="4" s="1"/>
  <c r="T34" i="4" s="1" a="1"/>
  <c r="T34" i="4" s="1"/>
  <c r="Y13" i="4" a="1"/>
  <c r="Y13" i="4" s="1"/>
  <c r="Y32" i="4" s="1" a="1"/>
  <c r="Y32" i="4" s="1"/>
  <c r="AL9" i="4" a="1"/>
  <c r="AL9" i="4" s="1"/>
  <c r="AK26" i="4" a="1"/>
  <c r="AK26" i="4" s="1"/>
  <c r="AA26" i="4" a="1"/>
  <c r="AA26" i="4" s="1"/>
  <c r="Q26" i="4" a="1"/>
  <c r="Q26" i="4" s="1"/>
  <c r="Y25" i="4" a="1"/>
  <c r="Y25" i="4" s="1"/>
  <c r="Y38" i="4" s="1" a="1"/>
  <c r="Y38" i="4" s="1"/>
  <c r="O25" i="4" a="1"/>
  <c r="O25" i="4" s="1"/>
  <c r="O38" i="4" s="1" a="1"/>
  <c r="O38" i="4" s="1"/>
  <c r="AF24" i="4" a="1"/>
  <c r="AF24" i="4" s="1"/>
  <c r="U24" i="4" a="1"/>
  <c r="U24" i="4" s="1"/>
  <c r="AL23" i="4" a="1"/>
  <c r="AL23" i="4" s="1"/>
  <c r="AB23" i="4" a="1"/>
  <c r="AB23" i="4" s="1"/>
  <c r="AH22" i="4" a="1"/>
  <c r="AH22" i="4" s="1"/>
  <c r="X22" i="4" a="1"/>
  <c r="X22" i="4" s="1"/>
  <c r="N22" i="4" a="1"/>
  <c r="N22" i="4" s="1"/>
  <c r="AD21" i="4" a="1"/>
  <c r="AD21" i="4" s="1"/>
  <c r="AD36" i="4" s="1" a="1"/>
  <c r="AD36" i="4" s="1"/>
  <c r="T21" i="4" a="1"/>
  <c r="T21" i="4" s="1"/>
  <c r="T36" i="4" s="1" a="1"/>
  <c r="T36" i="4" s="1"/>
  <c r="AK20" i="4" a="1"/>
  <c r="AK20" i="4" s="1"/>
  <c r="P20" i="4" a="1"/>
  <c r="P20" i="4" s="1"/>
  <c r="AG19" i="4" a="1"/>
  <c r="AG19" i="4" s="1"/>
  <c r="AG35" i="4" s="1" a="1"/>
  <c r="AG35" i="4" s="1"/>
  <c r="O117" i="4" s="1" a="1"/>
  <c r="O117" i="4" s="1"/>
  <c r="W19" i="4" a="1"/>
  <c r="W19" i="4" s="1"/>
  <c r="W35" i="4" s="1" a="1"/>
  <c r="W35" i="4" s="1"/>
  <c r="M117" i="4" s="1" a="1"/>
  <c r="M117" i="4" s="1"/>
  <c r="AC18" i="4" a="1"/>
  <c r="AC18" i="4" s="1"/>
  <c r="S18" i="4" a="1"/>
  <c r="S18" i="4" s="1"/>
  <c r="Y17" i="4" a="1"/>
  <c r="Y17" i="4" s="1"/>
  <c r="Y34" i="4" s="1" a="1"/>
  <c r="Y34" i="4" s="1"/>
  <c r="O17" i="4" a="1"/>
  <c r="O17" i="4" s="1"/>
  <c r="O34" i="4" s="1" a="1"/>
  <c r="O34" i="4" s="1"/>
  <c r="AF16" i="4" a="1"/>
  <c r="AF16" i="4" s="1"/>
  <c r="U16" i="4" a="1"/>
  <c r="U16" i="4" s="1"/>
  <c r="AL15" i="4" a="1"/>
  <c r="AL15" i="4" s="1"/>
  <c r="AL33" i="4" s="1" a="1"/>
  <c r="AL33" i="4" s="1"/>
  <c r="AB15" i="4" a="1"/>
  <c r="AB15" i="4" s="1"/>
  <c r="AB33" i="4" s="1" a="1"/>
  <c r="AB33" i="4" s="1"/>
  <c r="N115" i="4" s="1" a="1"/>
  <c r="N115" i="4" s="1"/>
  <c r="AH14" i="4" a="1"/>
  <c r="AH14" i="4" s="1"/>
  <c r="X14" i="4" a="1"/>
  <c r="X14" i="4" s="1"/>
  <c r="N14" i="4" a="1"/>
  <c r="N14" i="4" s="1"/>
  <c r="AD13" i="4" a="1"/>
  <c r="AD13" i="4" s="1"/>
  <c r="AD32" i="4" s="1" a="1"/>
  <c r="AD32" i="4" s="1"/>
  <c r="AG11" i="4" a="1"/>
  <c r="AG11" i="4" s="1"/>
  <c r="W9" i="4" a="1"/>
  <c r="W9" i="4" s="1"/>
  <c r="AE16" i="4" a="1"/>
  <c r="AE16" i="4" s="1"/>
  <c r="M14" i="4" a="1"/>
  <c r="M14" i="4" s="1"/>
  <c r="V11" i="4" a="1"/>
  <c r="V11" i="4" s="1"/>
  <c r="M17" i="4" a="1"/>
  <c r="M17" i="4" s="1"/>
  <c r="M34" i="4" s="1" a="1"/>
  <c r="M34" i="4" s="1"/>
  <c r="V14" i="4" a="1"/>
  <c r="V14" i="4" s="1"/>
  <c r="AL10" i="4" a="1"/>
  <c r="AL10" i="4" s="1"/>
  <c r="X15" i="4" a="1"/>
  <c r="X15" i="4" s="1"/>
  <c r="X33" i="4" s="1" a="1"/>
  <c r="X33" i="4" s="1"/>
  <c r="M12" i="4" a="1"/>
  <c r="M12" i="4" s="1"/>
  <c r="V26" i="4" a="1"/>
  <c r="V26" i="4" s="1"/>
  <c r="S22" i="4" a="1"/>
  <c r="S22" i="4" s="1"/>
  <c r="X18" i="4" a="1"/>
  <c r="X18" i="4" s="1"/>
  <c r="S14" i="4" a="1"/>
  <c r="S14" i="4" s="1"/>
  <c r="N10" i="4" a="1"/>
  <c r="N10" i="4" s="1"/>
  <c r="Z26" i="4" a="1"/>
  <c r="Z26" i="4" s="1"/>
  <c r="P26" i="4" a="1"/>
  <c r="P26" i="4" s="1"/>
  <c r="AI25" i="4" a="1"/>
  <c r="AI25" i="4" s="1"/>
  <c r="AI38" i="4" s="1" a="1"/>
  <c r="AI38" i="4" s="1"/>
  <c r="X25" i="4" a="1"/>
  <c r="X25" i="4" s="1"/>
  <c r="X38" i="4" s="1" a="1"/>
  <c r="X38" i="4" s="1"/>
  <c r="N25" i="4" a="1"/>
  <c r="N25" i="4" s="1"/>
  <c r="N38" i="4" s="1" a="1"/>
  <c r="N38" i="4" s="1"/>
  <c r="AE24" i="4" a="1"/>
  <c r="AE24" i="4" s="1"/>
  <c r="AK23" i="4" a="1"/>
  <c r="AK23" i="4" s="1"/>
  <c r="AA23" i="4" a="1"/>
  <c r="AA23" i="4" s="1"/>
  <c r="Q23" i="4" a="1"/>
  <c r="Q23" i="4" s="1"/>
  <c r="AG22" i="4" a="1"/>
  <c r="AG22" i="4" s="1"/>
  <c r="W22" i="4" a="1"/>
  <c r="W22" i="4" s="1"/>
  <c r="M22" i="4" a="1"/>
  <c r="M22" i="4" s="1"/>
  <c r="S21" i="4" a="1"/>
  <c r="S21" i="4" s="1"/>
  <c r="S36" i="4" s="1" a="1"/>
  <c r="S36" i="4" s="1"/>
  <c r="AJ20" i="4" a="1"/>
  <c r="AJ20" i="4" s="1"/>
  <c r="Z20" i="4" a="1"/>
  <c r="Z20" i="4" s="1"/>
  <c r="O20" i="4" a="1"/>
  <c r="O20" i="4" s="1"/>
  <c r="AF19" i="4" a="1"/>
  <c r="AF19" i="4" s="1"/>
  <c r="AF35" i="4" s="1" a="1"/>
  <c r="AF35" i="4" s="1"/>
  <c r="V19" i="4" a="1"/>
  <c r="V19" i="4" s="1"/>
  <c r="V35" i="4" s="1" a="1"/>
  <c r="V35" i="4" s="1"/>
  <c r="X17" i="4" a="1"/>
  <c r="X17" i="4" s="1"/>
  <c r="X34" i="4" s="1" a="1"/>
  <c r="X34" i="4" s="1"/>
  <c r="AG14" i="4" a="1"/>
  <c r="AG14" i="4" s="1"/>
  <c r="O12" i="4" a="1"/>
  <c r="O12" i="4" s="1"/>
  <c r="V9" i="4" a="1"/>
  <c r="V9" i="4" s="1"/>
  <c r="P15" i="4" a="1"/>
  <c r="P15" i="4" s="1"/>
  <c r="P33" i="4" s="1" a="1"/>
  <c r="P33" i="4" s="1"/>
  <c r="U11" i="4" a="1"/>
  <c r="U11" i="4" s="1"/>
  <c r="R16" i="4" a="1"/>
  <c r="R16" i="4" s="1"/>
  <c r="AJ10" i="4" a="1"/>
  <c r="AJ10" i="4" s="1"/>
  <c r="T25" i="4" a="1"/>
  <c r="T25" i="4" s="1"/>
  <c r="T38" i="4" s="1" a="1"/>
  <c r="T38" i="4" s="1"/>
  <c r="Y21" i="4" a="1"/>
  <c r="Y21" i="4" s="1"/>
  <c r="Y36" i="4" s="1" a="1"/>
  <c r="Y36" i="4" s="1"/>
  <c r="N18" i="4" a="1"/>
  <c r="N18" i="4" s="1"/>
  <c r="U12" i="4" a="1"/>
  <c r="U12" i="4" s="1"/>
  <c r="AL27" i="4" a="1"/>
  <c r="AL27" i="4" s="1"/>
  <c r="AL39" i="4" s="1" a="1"/>
  <c r="AL39" i="4" s="1"/>
  <c r="AJ26" i="4" a="1"/>
  <c r="AJ26" i="4" s="1"/>
  <c r="Y26" i="4" a="1"/>
  <c r="Y26" i="4" s="1"/>
  <c r="O26" i="4" a="1"/>
  <c r="O26" i="4" s="1"/>
  <c r="AH25" i="4" a="1"/>
  <c r="AH25" i="4" s="1"/>
  <c r="AH38" i="4" s="1" a="1"/>
  <c r="AH38" i="4" s="1"/>
  <c r="M25" i="4" a="1"/>
  <c r="M25" i="4" s="1"/>
  <c r="M38" i="4" s="1" a="1"/>
  <c r="M38" i="4" s="1"/>
  <c r="AD24" i="4" a="1"/>
  <c r="AD24" i="4" s="1"/>
  <c r="T24" i="4" a="1"/>
  <c r="T24" i="4" s="1"/>
  <c r="AJ23" i="4" a="1"/>
  <c r="AJ23" i="4" s="1"/>
  <c r="Z23" i="4" a="1"/>
  <c r="Z23" i="4" s="1"/>
  <c r="P23" i="4" a="1"/>
  <c r="P23" i="4" s="1"/>
  <c r="V22" i="4" a="1"/>
  <c r="V22" i="4" s="1"/>
  <c r="AC21" i="4" a="1"/>
  <c r="AC21" i="4" s="1"/>
  <c r="AC36" i="4" s="1" a="1"/>
  <c r="AC36" i="4" s="1"/>
  <c r="R21" i="4" a="1"/>
  <c r="R21" i="4" s="1"/>
  <c r="R36" i="4" s="1" a="1"/>
  <c r="R36" i="4" s="1"/>
  <c r="L118" i="4" s="1" a="1"/>
  <c r="L118" i="4" s="1"/>
  <c r="AI20" i="4" a="1"/>
  <c r="AI20" i="4" s="1"/>
  <c r="Y20" i="4" a="1"/>
  <c r="Y20" i="4" s="1"/>
  <c r="AE19" i="4" a="1"/>
  <c r="AE19" i="4" s="1"/>
  <c r="AE35" i="4" s="1" a="1"/>
  <c r="AE35" i="4" s="1"/>
  <c r="U19" i="4" a="1"/>
  <c r="U19" i="4" s="1"/>
  <c r="U35" i="4" s="1" a="1"/>
  <c r="U35" i="4" s="1"/>
  <c r="AL18" i="4" a="1"/>
  <c r="AL18" i="4" s="1"/>
  <c r="AA18" i="4" a="1"/>
  <c r="AA18" i="4" s="1"/>
  <c r="Q18" i="4" a="1"/>
  <c r="Q18" i="4" s="1"/>
  <c r="Z15" i="4" a="1"/>
  <c r="Z15" i="4" s="1"/>
  <c r="Z33" i="4" s="1" a="1"/>
  <c r="Z33" i="4" s="1"/>
  <c r="AE11" i="4" a="1"/>
  <c r="AE11" i="4" s="1"/>
  <c r="AE14" i="4" a="1"/>
  <c r="AE14" i="4" s="1"/>
  <c r="Z10" i="4" a="1"/>
  <c r="Z10" i="4" s="1"/>
  <c r="AK24" i="4" a="1"/>
  <c r="AK24" i="4" s="1"/>
  <c r="AF20" i="4" a="1"/>
  <c r="AF20" i="4" s="1"/>
  <c r="AK16" i="4" a="1"/>
  <c r="AK16" i="4" s="1"/>
  <c r="O13" i="4" a="1"/>
  <c r="O13" i="4" s="1"/>
  <c r="O32" i="4" s="1" a="1"/>
  <c r="O32" i="4" s="1"/>
  <c r="AB9" i="4" a="1"/>
  <c r="AB9" i="4" s="1"/>
  <c r="AI26" i="4" a="1"/>
  <c r="AI26" i="4" s="1"/>
  <c r="N26" i="4" a="1"/>
  <c r="N26" i="4" s="1"/>
  <c r="AG25" i="4" a="1"/>
  <c r="AG25" i="4" s="1"/>
  <c r="AG38" i="4" s="1" a="1"/>
  <c r="AG38" i="4" s="1"/>
  <c r="W25" i="4" a="1"/>
  <c r="W25" i="4" s="1"/>
  <c r="W38" i="4" s="1" a="1"/>
  <c r="W38" i="4" s="1"/>
  <c r="AC24" i="4" a="1"/>
  <c r="AC24" i="4" s="1"/>
  <c r="S24" i="4" a="1"/>
  <c r="S24" i="4" s="1"/>
  <c r="Y23" i="4" a="1"/>
  <c r="Y23" i="4" s="1"/>
  <c r="O23" i="4" a="1"/>
  <c r="O23" i="4" s="1"/>
  <c r="AF22" i="4" a="1"/>
  <c r="AF22" i="4" s="1"/>
  <c r="U22" i="4" a="1"/>
  <c r="U22" i="4" s="1"/>
  <c r="AL21" i="4" a="1"/>
  <c r="AL21" i="4" s="1"/>
  <c r="AL36" i="4" s="1" a="1"/>
  <c r="AL36" i="4" s="1"/>
  <c r="AB21" i="4" a="1"/>
  <c r="AB21" i="4" s="1"/>
  <c r="AB36" i="4" s="1" a="1"/>
  <c r="AB36" i="4" s="1"/>
  <c r="N118" i="4" s="1" a="1"/>
  <c r="N118" i="4" s="1"/>
  <c r="AH20" i="4" a="1"/>
  <c r="AH20" i="4" s="1"/>
  <c r="X20" i="4" a="1"/>
  <c r="X20" i="4" s="1"/>
  <c r="N20" i="4" a="1"/>
  <c r="N20" i="4" s="1"/>
  <c r="AD19" i="4" a="1"/>
  <c r="AD19" i="4" s="1"/>
  <c r="AD35" i="4" s="1" a="1"/>
  <c r="AD35" i="4" s="1"/>
  <c r="T19" i="4" a="1"/>
  <c r="T19" i="4" s="1"/>
  <c r="T35" i="4" s="1" a="1"/>
  <c r="T35" i="4" s="1"/>
  <c r="AK18" i="4" a="1"/>
  <c r="AK18" i="4" s="1"/>
  <c r="P18" i="4" a="1"/>
  <c r="P18" i="4" s="1"/>
  <c r="AG17" i="4" a="1"/>
  <c r="AG17" i="4" s="1"/>
  <c r="AG34" i="4" s="1" a="1"/>
  <c r="AG34" i="4" s="1"/>
  <c r="O116" i="4" s="1" a="1"/>
  <c r="O116" i="4" s="1"/>
  <c r="W17" i="4" a="1"/>
  <c r="W17" i="4" s="1"/>
  <c r="W34" i="4" s="1" a="1"/>
  <c r="W34" i="4" s="1"/>
  <c r="M116" i="4" s="1" a="1"/>
  <c r="M116" i="4" s="1"/>
  <c r="AC16" i="4" a="1"/>
  <c r="AC16" i="4" s="1"/>
  <c r="S16" i="4" a="1"/>
  <c r="S16" i="4" s="1"/>
  <c r="Y15" i="4" a="1"/>
  <c r="Y15" i="4" s="1"/>
  <c r="Y33" i="4" s="1" a="1"/>
  <c r="Y33" i="4" s="1"/>
  <c r="O15" i="4" a="1"/>
  <c r="O15" i="4" s="1"/>
  <c r="O33" i="4" s="1" a="1"/>
  <c r="O33" i="4" s="1"/>
  <c r="AF14" i="4" a="1"/>
  <c r="AF14" i="4" s="1"/>
  <c r="U14" i="4" a="1"/>
  <c r="U14" i="4" s="1"/>
  <c r="AL13" i="4" a="1"/>
  <c r="AL13" i="4" s="1"/>
  <c r="AL32" i="4" s="1" a="1"/>
  <c r="AL32" i="4" s="1"/>
  <c r="AB13" i="4" a="1"/>
  <c r="AB13" i="4" s="1"/>
  <c r="AB32" i="4" s="1" a="1"/>
  <c r="AB32" i="4" s="1"/>
  <c r="AH12" i="4" a="1"/>
  <c r="AH12" i="4" s="1"/>
  <c r="X12" i="4" a="1"/>
  <c r="X12" i="4" s="1"/>
  <c r="N12" i="4" a="1"/>
  <c r="N12" i="4" s="1"/>
  <c r="AD11" i="4" a="1"/>
  <c r="AD11" i="4" s="1"/>
  <c r="T11" i="4" a="1"/>
  <c r="T11" i="4" s="1"/>
  <c r="AK10" i="4" a="1"/>
  <c r="AK10" i="4" s="1"/>
  <c r="P10" i="4" a="1"/>
  <c r="P10" i="4" s="1"/>
  <c r="AD9" i="4" a="1"/>
  <c r="AD9" i="4" s="1"/>
  <c r="T9" i="4" a="1"/>
  <c r="T9" i="4" s="1"/>
  <c r="M20" i="4" a="1"/>
  <c r="M20" i="4" s="1"/>
  <c r="AJ18" i="4" a="1"/>
  <c r="AJ18" i="4" s="1"/>
  <c r="O18" i="4" a="1"/>
  <c r="O18" i="4" s="1"/>
  <c r="AF17" i="4" a="1"/>
  <c r="AF17" i="4" s="1"/>
  <c r="AF34" i="4" s="1" a="1"/>
  <c r="AF34" i="4" s="1"/>
  <c r="AB16" i="4" a="1"/>
  <c r="AB16" i="4" s="1"/>
  <c r="Q13" i="4" a="1"/>
  <c r="Q13" i="4" s="1"/>
  <c r="Q32" i="4" s="1" a="1"/>
  <c r="Q32" i="4" s="1"/>
  <c r="N27" i="4" a="1"/>
  <c r="N27" i="4" s="1"/>
  <c r="N39" i="4" s="1" a="1"/>
  <c r="N39" i="4" s="1"/>
  <c r="AB11" i="4" a="1"/>
  <c r="AB11" i="4" s="1"/>
  <c r="Z27" i="4" a="1"/>
  <c r="Z27" i="4" s="1"/>
  <c r="Z39" i="4" s="1" a="1"/>
  <c r="Z39" i="4" s="1"/>
  <c r="AH26" i="4" a="1"/>
  <c r="AH26" i="4" s="1"/>
  <c r="X26" i="4" a="1"/>
  <c r="X26" i="4" s="1"/>
  <c r="M26" i="4" a="1"/>
  <c r="M26" i="4" s="1"/>
  <c r="AF25" i="4" a="1"/>
  <c r="AF25" i="4" s="1"/>
  <c r="AF38" i="4" s="1" a="1"/>
  <c r="AF38" i="4" s="1"/>
  <c r="V25" i="4" a="1"/>
  <c r="V25" i="4" s="1"/>
  <c r="V38" i="4" s="1" a="1"/>
  <c r="V38" i="4" s="1"/>
  <c r="AB24" i="4" a="1"/>
  <c r="AB24" i="4" s="1"/>
  <c r="R24" i="4" a="1"/>
  <c r="R24" i="4" s="1"/>
  <c r="AI23" i="4" a="1"/>
  <c r="AI23" i="4" s="1"/>
  <c r="X23" i="4" a="1"/>
  <c r="X23" i="4" s="1"/>
  <c r="N23" i="4" a="1"/>
  <c r="N23" i="4" s="1"/>
  <c r="AE22" i="4" a="1"/>
  <c r="AE22" i="4" s="1"/>
  <c r="AK21" i="4" a="1"/>
  <c r="AK21" i="4" s="1"/>
  <c r="AK36" i="4" s="1" a="1"/>
  <c r="AK36" i="4" s="1"/>
  <c r="AA21" i="4" a="1"/>
  <c r="AA21" i="4" s="1"/>
  <c r="AA36" i="4" s="1" a="1"/>
  <c r="AA36" i="4" s="1"/>
  <c r="Q21" i="4" a="1"/>
  <c r="Q21" i="4" s="1"/>
  <c r="Q36" i="4" s="1" a="1"/>
  <c r="Q36" i="4" s="1"/>
  <c r="AG20" i="4" a="1"/>
  <c r="AG20" i="4" s="1"/>
  <c r="W20" i="4" a="1"/>
  <c r="W20" i="4" s="1"/>
  <c r="S19" i="4" a="1"/>
  <c r="S19" i="4" s="1"/>
  <c r="S35" i="4" s="1" a="1"/>
  <c r="S35" i="4" s="1"/>
  <c r="Z18" i="4" a="1"/>
  <c r="Z18" i="4" s="1"/>
  <c r="V17" i="4" a="1"/>
  <c r="V17" i="4" s="1"/>
  <c r="V34" i="4" s="1" a="1"/>
  <c r="V34" i="4" s="1"/>
  <c r="AK13" i="4" a="1"/>
  <c r="AK13" i="4" s="1"/>
  <c r="AK32" i="4" s="1" a="1"/>
  <c r="AK32" i="4" s="1"/>
  <c r="AF26" i="4" a="1"/>
  <c r="AF26" i="4" s="1"/>
  <c r="AL19" i="4" a="1"/>
  <c r="AL19" i="4" s="1"/>
  <c r="AL35" i="4" s="1" a="1"/>
  <c r="AL35" i="4" s="1"/>
  <c r="W15" i="4" a="1"/>
  <c r="W15" i="4" s="1"/>
  <c r="W33" i="4" s="1" a="1"/>
  <c r="W33" i="4" s="1"/>
  <c r="M115" i="4" s="1" a="1"/>
  <c r="M115" i="4" s="1"/>
  <c r="AG26" i="4" a="1"/>
  <c r="AG26" i="4" s="1"/>
  <c r="W26" i="4" a="1"/>
  <c r="W26" i="4" s="1"/>
  <c r="AE25" i="4" a="1"/>
  <c r="AE25" i="4" s="1"/>
  <c r="AE38" i="4" s="1" a="1"/>
  <c r="AE38" i="4" s="1"/>
  <c r="U25" i="4" a="1"/>
  <c r="U25" i="4" s="1"/>
  <c r="U38" i="4" s="1" a="1"/>
  <c r="U38" i="4" s="1"/>
  <c r="AL24" i="4" a="1"/>
  <c r="AL24" i="4" s="1"/>
  <c r="AA24" i="4" a="1"/>
  <c r="AA24" i="4" s="1"/>
  <c r="Q24" i="4" a="1"/>
  <c r="Q24" i="4" s="1"/>
  <c r="AH23" i="4" a="1"/>
  <c r="AH23" i="4" s="1"/>
  <c r="M23" i="4" a="1"/>
  <c r="M23" i="4" s="1"/>
  <c r="AD22" i="4" a="1"/>
  <c r="AD22" i="4" s="1"/>
  <c r="T22" i="4" a="1"/>
  <c r="T22" i="4" s="1"/>
  <c r="AJ21" i="4" a="1"/>
  <c r="AJ21" i="4" s="1"/>
  <c r="AJ36" i="4" s="1" a="1"/>
  <c r="AJ36" i="4" s="1"/>
  <c r="Z21" i="4" a="1"/>
  <c r="Z21" i="4" s="1"/>
  <c r="Z36" i="4" s="1" a="1"/>
  <c r="Z36" i="4" s="1"/>
  <c r="P21" i="4" a="1"/>
  <c r="P21" i="4" s="1"/>
  <c r="P36" i="4" s="1" a="1"/>
  <c r="P36" i="4" s="1"/>
  <c r="V20" i="4" a="1"/>
  <c r="V20" i="4" s="1"/>
  <c r="AC19" i="4" a="1"/>
  <c r="AC19" i="4" s="1"/>
  <c r="AC35" i="4" s="1" a="1"/>
  <c r="AC35" i="4" s="1"/>
  <c r="R19" i="4" a="1"/>
  <c r="R19" i="4" s="1"/>
  <c r="R35" i="4" s="1" a="1"/>
  <c r="R35" i="4" s="1"/>
  <c r="L117" i="4" s="1" a="1"/>
  <c r="L117" i="4" s="1"/>
  <c r="AI18" i="4" a="1"/>
  <c r="AI18" i="4" s="1"/>
  <c r="Y18" i="4" a="1"/>
  <c r="Y18" i="4" s="1"/>
  <c r="AE17" i="4" a="1"/>
  <c r="AE17" i="4" s="1"/>
  <c r="AE34" i="4" s="1" a="1"/>
  <c r="AE34" i="4" s="1"/>
  <c r="U17" i="4" a="1"/>
  <c r="U17" i="4" s="1"/>
  <c r="U34" i="4" s="1" a="1"/>
  <c r="U34" i="4" s="1"/>
  <c r="AL16" i="4" a="1"/>
  <c r="AL16" i="4" s="1"/>
  <c r="AA16" i="4" a="1"/>
  <c r="AA16" i="4" s="1"/>
  <c r="Q16" i="4" a="1"/>
  <c r="Q16" i="4" s="1"/>
  <c r="AH15" i="4" a="1"/>
  <c r="AH15" i="4" s="1"/>
  <c r="AH33" i="4" s="1" a="1"/>
  <c r="AH33" i="4" s="1"/>
  <c r="M15" i="4" a="1"/>
  <c r="M15" i="4" s="1"/>
  <c r="M33" i="4" s="1" a="1"/>
  <c r="M33" i="4" s="1"/>
  <c r="AD14" i="4" a="1"/>
  <c r="AD14" i="4" s="1"/>
  <c r="T14" i="4" a="1"/>
  <c r="T14" i="4" s="1"/>
  <c r="AJ13" i="4" a="1"/>
  <c r="AJ13" i="4" s="1"/>
  <c r="AJ32" i="4" s="1" a="1"/>
  <c r="AJ32" i="4" s="1"/>
  <c r="Z13" i="4" a="1"/>
  <c r="Z13" i="4" s="1"/>
  <c r="Z32" i="4" s="1" a="1"/>
  <c r="Z32" i="4" s="1"/>
  <c r="P13" i="4" a="1"/>
  <c r="P13" i="4" s="1"/>
  <c r="P32" i="4" s="1" a="1"/>
  <c r="P32" i="4" s="1"/>
  <c r="V12" i="4" a="1"/>
  <c r="V12" i="4" s="1"/>
  <c r="AC11" i="4" a="1"/>
  <c r="AC11" i="4" s="1"/>
  <c r="R11" i="4" a="1"/>
  <c r="R11" i="4" s="1"/>
  <c r="AI10" i="4" a="1"/>
  <c r="AI10" i="4" s="1"/>
  <c r="Y10" i="4" a="1"/>
  <c r="Y10" i="4" s="1"/>
  <c r="AC9" i="4" a="1"/>
  <c r="AC9" i="4" s="1"/>
  <c r="R9" i="4" a="1"/>
  <c r="R9" i="4" s="1"/>
  <c r="AK27" i="4" a="1"/>
  <c r="AK27" i="4" s="1"/>
  <c r="AK39" i="4" s="1" a="1"/>
  <c r="AK39" i="4" s="1"/>
  <c r="O27" i="4" a="1"/>
  <c r="O27" i="4" s="1"/>
  <c r="O39" i="4" s="1" a="1"/>
  <c r="O39" i="4" s="1"/>
  <c r="AB27" i="4" a="1"/>
  <c r="AB27" i="4" s="1"/>
  <c r="AB39" i="4" s="1" a="1"/>
  <c r="AB39" i="4" s="1"/>
  <c r="N120" i="4" s="1" a="1"/>
  <c r="N120" i="4" s="1"/>
  <c r="U27" i="4" a="1"/>
  <c r="U27" i="4" s="1"/>
  <c r="U39" i="4" s="1" a="1"/>
  <c r="U39" i="4" s="1"/>
  <c r="AH27" i="4" a="1"/>
  <c r="AH27" i="4" s="1"/>
  <c r="AH39" i="4" s="1" a="1"/>
  <c r="AH39" i="4" s="1"/>
  <c r="Q27" i="4" a="1"/>
  <c r="Q27" i="4" s="1"/>
  <c r="Q39" i="4" s="1" a="1"/>
  <c r="Q39" i="4" s="1"/>
  <c r="R27" i="4" a="1"/>
  <c r="R27" i="4" s="1"/>
  <c r="R39" i="4" s="1" a="1"/>
  <c r="R39" i="4" s="1"/>
  <c r="L120" i="4" s="1" a="1"/>
  <c r="L120" i="4" s="1"/>
  <c r="AA27" i="4" a="1"/>
  <c r="AA27" i="4" s="1"/>
  <c r="AA39" i="4" s="1" a="1"/>
  <c r="AA39" i="4" s="1"/>
  <c r="W27" i="4" a="1"/>
  <c r="W27" i="4" s="1"/>
  <c r="W39" i="4" s="1" a="1"/>
  <c r="W39" i="4" s="1"/>
  <c r="X27" i="4" a="1"/>
  <c r="X27" i="4" s="1"/>
  <c r="X39" i="4" s="1" a="1"/>
  <c r="X39" i="4" s="1"/>
  <c r="AG27" i="4" a="1"/>
  <c r="AG27" i="4" s="1"/>
  <c r="AG39" i="4" s="1" a="1"/>
  <c r="AG39" i="4" s="1"/>
  <c r="AC27" i="4" a="1"/>
  <c r="AC27" i="4" s="1"/>
  <c r="AC39" i="4" s="1" a="1"/>
  <c r="AC39" i="4" s="1"/>
  <c r="AD27" i="4" a="1"/>
  <c r="AD27" i="4" s="1"/>
  <c r="AD39" i="4" s="1" a="1"/>
  <c r="AD39" i="4" s="1"/>
  <c r="AE27" i="4" a="1"/>
  <c r="AE27" i="4" s="1"/>
  <c r="AE39" i="4" s="1" a="1"/>
  <c r="AE39" i="4" s="1"/>
  <c r="AI27" i="4" a="1"/>
  <c r="AI27" i="4" s="1"/>
  <c r="AI39" i="4" s="1" a="1"/>
  <c r="AI39" i="4" s="1"/>
  <c r="AJ27" i="4" a="1"/>
  <c r="AJ27" i="4" s="1"/>
  <c r="AJ39" i="4" s="1" a="1"/>
  <c r="AJ39" i="4" s="1"/>
  <c r="M27" i="4" a="1"/>
  <c r="M27" i="4" s="1"/>
  <c r="M39" i="4" s="1" a="1"/>
  <c r="M39" i="4" s="1"/>
  <c r="S27" i="4" a="1"/>
  <c r="S27" i="4" s="1"/>
  <c r="S39" i="4" s="1" a="1"/>
  <c r="S39" i="4" s="1"/>
  <c r="Y27" i="4" a="1"/>
  <c r="Y27" i="4" s="1"/>
  <c r="Y39" i="4" s="1" a="1"/>
  <c r="Y39" i="4" s="1"/>
  <c r="P27" i="4" a="1"/>
  <c r="P27" i="4" s="1"/>
  <c r="P39" i="4" s="1" a="1"/>
  <c r="P39" i="4" s="1"/>
  <c r="V27" i="4" a="1"/>
  <c r="V27" i="4" s="1"/>
  <c r="V39" i="4" s="1" a="1"/>
  <c r="V39" i="4" s="1"/>
  <c r="D500" i="4" a="1"/>
  <c r="D500" i="4" s="1"/>
  <c r="D501" i="4" s="1"/>
  <c r="D502" i="4" a="1"/>
  <c r="D502" i="4" s="1"/>
  <c r="U81" i="352" a="1"/>
  <c r="B65" i="677"/>
  <c r="S40" i="677" a="1"/>
  <c r="S40" i="677" s="1"/>
  <c r="R40" i="677" a="1"/>
  <c r="R40" i="677" s="1"/>
  <c r="D99" i="352" a="1"/>
  <c r="D99" i="352" s="1"/>
  <c r="D521" i="4"/>
  <c r="D520" i="4"/>
  <c r="D518" i="4"/>
  <c r="D517" i="4" s="1"/>
  <c r="D522" i="4"/>
  <c r="D519" i="4"/>
  <c r="S307" i="4"/>
  <c r="S308" i="4"/>
  <c r="S311" i="4"/>
  <c r="S309" i="4"/>
  <c r="S310" i="4"/>
  <c r="D92" i="1940" a="1"/>
  <c r="M14" i="3033" a="1"/>
  <c r="C204" i="1261"/>
  <c r="P8" i="3033"/>
  <c r="P7" i="3033"/>
  <c r="P6" i="3033"/>
  <c r="P5" i="3033"/>
  <c r="P4" i="3033"/>
  <c r="B103" i="677"/>
  <c r="E85" i="677" a="1"/>
  <c r="E85" i="677" s="1"/>
  <c r="D103" i="677" s="1"/>
  <c r="B86" i="677" a="1"/>
  <c r="B86" i="677" s="1"/>
  <c r="B87" i="677" s="1" a="1"/>
  <c r="B87" i="677" s="1"/>
  <c r="D87" i="352" a="1"/>
  <c r="D87" i="352" s="1"/>
  <c r="D89" i="352" a="1"/>
  <c r="D89" i="352" s="1"/>
  <c r="L85" i="352" s="1"/>
  <c r="J270" i="1465"/>
  <c r="J271" i="1465" s="1"/>
  <c r="J272" i="1465" s="1"/>
  <c r="K271" i="1465"/>
  <c r="K272" i="1465" s="1"/>
  <c r="L16" i="161"/>
  <c r="D38" i="161" s="1"/>
  <c r="E14" i="161" a="1"/>
  <c r="E14" i="161" s="1"/>
  <c r="L12" i="161"/>
  <c r="L21" i="161"/>
  <c r="L13" i="161"/>
  <c r="D37" i="161" s="1"/>
  <c r="F37" i="161" s="1"/>
  <c r="D5" i="2885" s="1"/>
  <c r="L29" i="161"/>
  <c r="E19" i="161" a="1"/>
  <c r="E19" i="161" s="1"/>
  <c r="L23" i="161"/>
  <c r="L24" i="161"/>
  <c r="D41" i="161" s="1"/>
  <c r="E41" i="161" s="1"/>
  <c r="F41" i="161" s="1"/>
  <c r="E15" i="161" a="1"/>
  <c r="E15" i="161" s="1"/>
  <c r="L27" i="161"/>
  <c r="E23" i="161" a="1"/>
  <c r="E23" i="161" s="1"/>
  <c r="E26" i="161" a="1"/>
  <c r="E26" i="161" s="1"/>
  <c r="E24" i="161" a="1"/>
  <c r="E24" i="161" s="1"/>
  <c r="E28" i="161" a="1"/>
  <c r="E28" i="161" s="1"/>
  <c r="L17" i="161"/>
  <c r="E16" i="161" a="1"/>
  <c r="E16" i="161" s="1"/>
  <c r="E20" i="161" a="1"/>
  <c r="E20" i="161" s="1"/>
  <c r="L30" i="161"/>
  <c r="D43" i="161" s="1"/>
  <c r="E43" i="161" s="1"/>
  <c r="F43" i="161" s="1"/>
  <c r="E30" i="161" a="1"/>
  <c r="E30" i="161" s="1"/>
  <c r="L25" i="161"/>
  <c r="E29" i="161" a="1"/>
  <c r="E29" i="161" s="1"/>
  <c r="E27" i="161" a="1"/>
  <c r="E27" i="161" s="1"/>
  <c r="L20" i="161"/>
  <c r="D40" i="161" s="1"/>
  <c r="E40" i="161" s="1"/>
  <c r="F40" i="161" s="1"/>
  <c r="E25" i="161" a="1"/>
  <c r="E25" i="161" s="1"/>
  <c r="L19" i="161"/>
  <c r="E22" i="161" a="1"/>
  <c r="E22" i="161" s="1"/>
  <c r="L18" i="161"/>
  <c r="D39" i="161" s="1"/>
  <c r="E13" i="161" a="1"/>
  <c r="E13" i="161" s="1"/>
  <c r="E17" i="161" a="1"/>
  <c r="E17" i="161" s="1"/>
  <c r="E21" i="161" a="1"/>
  <c r="E21" i="161" s="1"/>
  <c r="E12" i="161" a="1"/>
  <c r="E12" i="161" s="1"/>
  <c r="L28" i="161"/>
  <c r="L22" i="161"/>
  <c r="L15" i="161"/>
  <c r="L26" i="161"/>
  <c r="D42" i="161" s="1"/>
  <c r="L14" i="161"/>
  <c r="E18" i="161" a="1"/>
  <c r="E18" i="161" s="1"/>
  <c r="J269" i="1465"/>
  <c r="G90" i="677" a="1"/>
  <c r="G90" i="677" s="1"/>
  <c r="J90" i="677" s="1" a="1"/>
  <c r="J90" i="677" s="1"/>
  <c r="N41" i="677" a="1"/>
  <c r="N41" i="677" s="1"/>
  <c r="D81" i="352" a="1"/>
  <c r="D81" i="352" s="1"/>
  <c r="G9" i="2885"/>
  <c r="E120" i="4"/>
  <c r="E130" i="4" s="1"/>
  <c r="C118" i="4"/>
  <c r="C128" i="4" s="1"/>
  <c r="F115" i="4"/>
  <c r="D113" i="4"/>
  <c r="D123" i="4" s="1"/>
  <c r="C120" i="4"/>
  <c r="C130" i="4" s="1"/>
  <c r="F117" i="4"/>
  <c r="F127" i="4" s="1"/>
  <c r="D115" i="4"/>
  <c r="C113" i="4"/>
  <c r="C123" i="4" s="1"/>
  <c r="D119" i="4"/>
  <c r="G116" i="4"/>
  <c r="E114" i="4"/>
  <c r="G118" i="4"/>
  <c r="E116" i="4"/>
  <c r="E126" i="4" s="1"/>
  <c r="C114" i="4"/>
  <c r="C124" i="4" s="1"/>
  <c r="G120" i="4"/>
  <c r="G130" i="4" s="1"/>
  <c r="E118" i="4"/>
  <c r="C116" i="4"/>
  <c r="C126" i="4" s="1"/>
  <c r="F113" i="4"/>
  <c r="F123" i="4" s="1"/>
  <c r="D120" i="4"/>
  <c r="D130" i="4" s="1"/>
  <c r="D116" i="4"/>
  <c r="D126" i="4" s="1"/>
  <c r="G119" i="4"/>
  <c r="G115" i="4"/>
  <c r="F119" i="4"/>
  <c r="E115" i="4"/>
  <c r="E119" i="4"/>
  <c r="E129" i="4" s="1"/>
  <c r="C115" i="4"/>
  <c r="C125" i="4" s="1"/>
  <c r="C119" i="4"/>
  <c r="C129" i="4" s="1"/>
  <c r="G114" i="4"/>
  <c r="F118" i="4"/>
  <c r="F114" i="4"/>
  <c r="D118" i="4"/>
  <c r="D114" i="4"/>
  <c r="G117" i="4"/>
  <c r="G127" i="4" s="1"/>
  <c r="G113" i="4"/>
  <c r="G123" i="4" s="1"/>
  <c r="E117" i="4"/>
  <c r="E113" i="4"/>
  <c r="E123" i="4" s="1"/>
  <c r="F120" i="4"/>
  <c r="F130" i="4" s="1"/>
  <c r="F116" i="4"/>
  <c r="F126" i="4" s="1"/>
  <c r="D117" i="4"/>
  <c r="D127" i="4" s="1"/>
  <c r="C117" i="4"/>
  <c r="C127" i="4" s="1"/>
  <c r="S39" i="677" a="1"/>
  <c r="S39" i="677" s="1"/>
  <c r="B64" i="677"/>
  <c r="R39" i="677" a="1"/>
  <c r="R39" i="677" s="1"/>
  <c r="AC156" i="4"/>
  <c r="AC147" i="4"/>
  <c r="D71" i="4"/>
  <c r="L165" i="4"/>
  <c r="Q165" i="4"/>
  <c r="P165" i="4"/>
  <c r="O165" i="4"/>
  <c r="N165" i="4"/>
  <c r="M165" i="4"/>
  <c r="Q5" i="3033"/>
  <c r="Q6" i="3033"/>
  <c r="Q4" i="3033"/>
  <c r="Q8" i="3033"/>
  <c r="N8" i="3033" s="1"/>
  <c r="Q7" i="3033"/>
  <c r="T81" i="352" a="1"/>
  <c r="L87" i="352"/>
  <c r="S91" i="352" s="1"/>
  <c r="C33" i="2885" s="1"/>
  <c r="D85" i="352" a="1"/>
  <c r="D85" i="352" s="1"/>
  <c r="E14" i="2544"/>
  <c r="F14" i="2544"/>
  <c r="D14" i="2544"/>
  <c r="D21" i="2544" a="1"/>
  <c r="C181" i="951"/>
  <c r="D22" i="2885" s="1"/>
  <c r="D145" i="951"/>
  <c r="E145" i="951"/>
  <c r="C145" i="951"/>
  <c r="AO25" i="4" a="1"/>
  <c r="AO25" i="4" s="1"/>
  <c r="AM10" i="4"/>
  <c r="AM11" i="4" s="1"/>
  <c r="AM12" i="4" s="1"/>
  <c r="AM13" i="4" s="1"/>
  <c r="AM14" i="4" s="1"/>
  <c r="AM15" i="4" s="1"/>
  <c r="AM16" i="4" s="1"/>
  <c r="AM17" i="4" s="1"/>
  <c r="AM18" i="4" s="1"/>
  <c r="AM19" i="4" s="1"/>
  <c r="AM20" i="4" s="1"/>
  <c r="AM21" i="4" s="1"/>
  <c r="AM22" i="4" s="1"/>
  <c r="AM23" i="4" s="1"/>
  <c r="AM24" i="4" s="1"/>
  <c r="AM25" i="4" s="1"/>
  <c r="AM26" i="4" s="1"/>
  <c r="AM27" i="4" s="1"/>
  <c r="AM28" i="4" s="1"/>
  <c r="AN28" i="4" s="1"/>
  <c r="AN27" i="4" s="1"/>
  <c r="AO27" i="4" s="1"/>
  <c r="H189" i="951"/>
  <c r="B24" i="2885" s="1"/>
  <c r="H181" i="951"/>
  <c r="I499" i="4"/>
  <c r="I518" i="4" a="1"/>
  <c r="D93" i="352" a="1"/>
  <c r="D93" i="352" s="1"/>
  <c r="L86" i="352" s="1"/>
  <c r="D82" i="352" a="1"/>
  <c r="D82" i="352" s="1"/>
  <c r="E87" i="677" l="1" a="1"/>
  <c r="E87" i="677" s="1"/>
  <c r="E21" i="2544"/>
  <c r="F21" i="2544"/>
  <c r="D21" i="2544"/>
  <c r="E42" i="161"/>
  <c r="F42" i="161" s="1"/>
  <c r="D46" i="161"/>
  <c r="E46" i="161" s="1"/>
  <c r="AF499" i="4"/>
  <c r="AF518" i="4" a="1"/>
  <c r="AF37" i="4" a="1"/>
  <c r="AF37" i="4" s="1"/>
  <c r="AF31" i="4"/>
  <c r="AF40" i="4" s="1"/>
  <c r="O114" i="4" a="1"/>
  <c r="O114" i="4" s="1"/>
  <c r="U499" i="4"/>
  <c r="U518" i="4" a="1"/>
  <c r="U37" i="4" a="1"/>
  <c r="U37" i="4" s="1"/>
  <c r="X31" i="4"/>
  <c r="L114" i="4" a="1"/>
  <c r="L114" i="4" s="1"/>
  <c r="AE499" i="4"/>
  <c r="AE518" i="4" a="1"/>
  <c r="AE37" i="4" a="1"/>
  <c r="AE37" i="4" s="1"/>
  <c r="I522" i="4"/>
  <c r="I521" i="4"/>
  <c r="I520" i="4"/>
  <c r="I519" i="4"/>
  <c r="I518" i="4"/>
  <c r="I517" i="4" s="1"/>
  <c r="K116" i="4" a="1"/>
  <c r="K116" i="4" s="1"/>
  <c r="J34" i="4"/>
  <c r="K34" i="4" s="1"/>
  <c r="L34" i="4" s="1"/>
  <c r="L82" i="352"/>
  <c r="I500" i="4" a="1"/>
  <c r="I500" i="4" s="1"/>
  <c r="I501" i="4" s="1"/>
  <c r="I502" i="4" a="1"/>
  <c r="I502" i="4" s="1"/>
  <c r="C71" i="4"/>
  <c r="N42" i="677" a="1"/>
  <c r="N42" i="677" s="1"/>
  <c r="E125" i="4"/>
  <c r="G128" i="4"/>
  <c r="B38" i="2885"/>
  <c r="E127" i="4"/>
  <c r="F129" i="4"/>
  <c r="E124" i="4"/>
  <c r="AO28" i="4"/>
  <c r="AO26" i="4"/>
  <c r="L83" i="352"/>
  <c r="S90" i="352" s="1"/>
  <c r="B33" i="2885" s="1"/>
  <c r="G125" i="4"/>
  <c r="G126" i="4"/>
  <c r="K115" i="4" a="1"/>
  <c r="K115" i="4" s="1"/>
  <c r="J33" i="4"/>
  <c r="K33" i="4" s="1"/>
  <c r="L33" i="4" s="1"/>
  <c r="K38" i="4"/>
  <c r="L38" i="4" s="1"/>
  <c r="J38" i="4"/>
  <c r="AB499" i="4"/>
  <c r="AB518" i="4" a="1"/>
  <c r="AB37" i="4" a="1"/>
  <c r="AB37" i="4" s="1"/>
  <c r="N119" i="4" s="1" a="1"/>
  <c r="N119" i="4" s="1"/>
  <c r="K114" i="4" a="1"/>
  <c r="K114" i="4" s="1"/>
  <c r="J32" i="4"/>
  <c r="J31" i="4" s="1"/>
  <c r="G129" i="4"/>
  <c r="D129" i="4"/>
  <c r="O120" i="4" a="1"/>
  <c r="O120" i="4" s="1"/>
  <c r="AL499" i="4"/>
  <c r="AL518" i="4" a="1"/>
  <c r="AL37" i="4" a="1"/>
  <c r="AL37" i="4" s="1"/>
  <c r="AG499" i="4"/>
  <c r="AG518" i="4" a="1"/>
  <c r="AG37" i="4" a="1"/>
  <c r="AG37" i="4" s="1"/>
  <c r="O119" i="4" s="1" a="1"/>
  <c r="O119" i="4" s="1"/>
  <c r="AH31" i="4"/>
  <c r="AH40" i="4" s="1"/>
  <c r="G91" i="677" a="1"/>
  <c r="G91" i="677" s="1"/>
  <c r="J91" i="677" s="1" a="1"/>
  <c r="J91" i="677" s="1"/>
  <c r="D23" i="2544" a="1"/>
  <c r="B26" i="2885"/>
  <c r="D124" i="4"/>
  <c r="L81" i="352"/>
  <c r="B31" i="2885"/>
  <c r="AE31" i="4"/>
  <c r="AE40" i="4" s="1"/>
  <c r="E38" i="161"/>
  <c r="F38" i="161" s="1"/>
  <c r="D45" i="161"/>
  <c r="E45" i="161" s="1"/>
  <c r="F45" i="161" s="1"/>
  <c r="B7" i="2885" s="1"/>
  <c r="E95" i="1940"/>
  <c r="H92" i="1940"/>
  <c r="D95" i="1940"/>
  <c r="G92" i="1940"/>
  <c r="H94" i="1940"/>
  <c r="F92" i="1940"/>
  <c r="G94" i="1940"/>
  <c r="E92" i="1940"/>
  <c r="F94" i="1940"/>
  <c r="E94" i="1940"/>
  <c r="D92" i="1940"/>
  <c r="D94" i="1940"/>
  <c r="G93" i="1940"/>
  <c r="G95" i="1940"/>
  <c r="E93" i="1940"/>
  <c r="H95" i="1940"/>
  <c r="F93" i="1940"/>
  <c r="F95" i="1940"/>
  <c r="H93" i="1940"/>
  <c r="D93" i="1940"/>
  <c r="AJ31" i="4"/>
  <c r="AJ40" i="4" s="1"/>
  <c r="AJ499" i="4"/>
  <c r="AJ518" i="4" a="1"/>
  <c r="AJ37" i="4" a="1"/>
  <c r="AJ37" i="4" s="1"/>
  <c r="L88" i="352"/>
  <c r="M120" i="4" a="1"/>
  <c r="M120" i="4" s="1"/>
  <c r="N499" i="4"/>
  <c r="N518" i="4" a="1"/>
  <c r="N37" i="4" a="1"/>
  <c r="N37" i="4" s="1"/>
  <c r="N31" i="4" s="1"/>
  <c r="Q499" i="4"/>
  <c r="Q518" i="4" a="1"/>
  <c r="Q37" i="4" a="1"/>
  <c r="Q37" i="4" s="1"/>
  <c r="AR25" i="4"/>
  <c r="AS25" i="4" s="1"/>
  <c r="O26" i="3033" s="1" a="1"/>
  <c r="O26" i="3033" s="1"/>
  <c r="AP10" i="4"/>
  <c r="AP11" i="4" s="1"/>
  <c r="AP12" i="4" s="1"/>
  <c r="AP13" i="4" s="1"/>
  <c r="AP14" i="4" s="1"/>
  <c r="AP15" i="4" s="1"/>
  <c r="AP16" i="4" s="1"/>
  <c r="AP17" i="4" s="1"/>
  <c r="AP18" i="4" s="1"/>
  <c r="AP19" i="4" s="1"/>
  <c r="AP20" i="4" s="1"/>
  <c r="AP21" i="4" s="1"/>
  <c r="AP22" i="4" s="1"/>
  <c r="AP23" i="4" s="1"/>
  <c r="AP24" i="4" s="1"/>
  <c r="AP25" i="4" s="1"/>
  <c r="AP26" i="4" s="1"/>
  <c r="AP27" i="4" s="1"/>
  <c r="AP28" i="4" s="1"/>
  <c r="AQ28" i="4" s="1"/>
  <c r="AQ27" i="4" s="1"/>
  <c r="AR27" i="4" s="1"/>
  <c r="T82" i="352"/>
  <c r="T86" i="352"/>
  <c r="T88" i="352"/>
  <c r="T84" i="352"/>
  <c r="T83" i="352"/>
  <c r="T87" i="352"/>
  <c r="T85" i="352"/>
  <c r="T81" i="352"/>
  <c r="D128" i="4"/>
  <c r="D125" i="4"/>
  <c r="B66" i="677"/>
  <c r="R41" i="677" a="1"/>
  <c r="R41" i="677" s="1"/>
  <c r="S41" i="677" a="1"/>
  <c r="S41" i="677" s="1"/>
  <c r="N43" i="677" a="1"/>
  <c r="N43" i="677" s="1"/>
  <c r="L84" i="352"/>
  <c r="F124" i="4"/>
  <c r="B104" i="677"/>
  <c r="E86" i="677" a="1"/>
  <c r="E86" i="677" s="1"/>
  <c r="D104" i="677" s="1"/>
  <c r="X499" i="4"/>
  <c r="X518" i="4" a="1"/>
  <c r="X37" i="4" a="1"/>
  <c r="X37" i="4" s="1"/>
  <c r="Q31" i="4"/>
  <c r="O499" i="4"/>
  <c r="O518" i="4" a="1"/>
  <c r="O37" i="4" a="1"/>
  <c r="O37" i="4" s="1"/>
  <c r="O31" i="4" s="1"/>
  <c r="AA499" i="4"/>
  <c r="AA518" i="4" a="1"/>
  <c r="AA37" i="4" a="1"/>
  <c r="AA37" i="4" s="1"/>
  <c r="AA31" i="4" s="1"/>
  <c r="U31" i="4"/>
  <c r="W31" i="4"/>
  <c r="AM32" i="4"/>
  <c r="AM33" i="4" s="1"/>
  <c r="AM34" i="4" s="1"/>
  <c r="AM35" i="4" s="1"/>
  <c r="AM36" i="4" s="1"/>
  <c r="M114" i="4" a="1"/>
  <c r="M114" i="4" s="1"/>
  <c r="F128" i="4"/>
  <c r="K39" i="161"/>
  <c r="E39" i="161"/>
  <c r="M499" i="4"/>
  <c r="M518" i="4" a="1"/>
  <c r="M37" i="4" a="1"/>
  <c r="M37" i="4" s="1"/>
  <c r="M31" i="4" s="1"/>
  <c r="AI499" i="4"/>
  <c r="AI518" i="4" a="1"/>
  <c r="AI37" i="4" a="1"/>
  <c r="AI37" i="4" s="1"/>
  <c r="AI31" i="4" s="1"/>
  <c r="AI40" i="4" s="1"/>
  <c r="Y499" i="4"/>
  <c r="Y518" i="4" a="1"/>
  <c r="Y37" i="4" a="1"/>
  <c r="Y37" i="4" s="1"/>
  <c r="Y31" i="4" s="1"/>
  <c r="AK499" i="4"/>
  <c r="AK518" i="4" a="1"/>
  <c r="AK37" i="4" a="1"/>
  <c r="AK37" i="4" s="1"/>
  <c r="AK31" i="4" s="1"/>
  <c r="AK40" i="4" s="1"/>
  <c r="AC31" i="4"/>
  <c r="AC40" i="4" s="1"/>
  <c r="R499" i="4"/>
  <c r="R518" i="4" a="1"/>
  <c r="R37" i="4" a="1"/>
  <c r="R37" i="4" s="1"/>
  <c r="L119" i="4" s="1" a="1"/>
  <c r="L119" i="4" s="1"/>
  <c r="W499" i="4"/>
  <c r="W518" i="4" a="1"/>
  <c r="W37" i="4" a="1"/>
  <c r="W37" i="4" s="1"/>
  <c r="M119" i="4" s="1" a="1"/>
  <c r="M119" i="4" s="1"/>
  <c r="K118" i="4" a="1"/>
  <c r="K118" i="4" s="1"/>
  <c r="J36" i="4"/>
  <c r="K36" i="4"/>
  <c r="L36" i="4" s="1"/>
  <c r="H50" i="4"/>
  <c r="C66" i="4" s="1"/>
  <c r="D66" i="4" s="1"/>
  <c r="E347" i="4" s="1"/>
  <c r="H51" i="4"/>
  <c r="G124" i="4"/>
  <c r="E128" i="4"/>
  <c r="B88" i="677" a="1"/>
  <c r="B88" i="677" s="1"/>
  <c r="D36" i="161"/>
  <c r="R50" i="4"/>
  <c r="C69" i="4" s="1"/>
  <c r="D69" i="4" s="1"/>
  <c r="E350" i="4" s="1"/>
  <c r="AH499" i="4"/>
  <c r="AH518" i="4" a="1"/>
  <c r="AH37" i="4" a="1"/>
  <c r="AH37" i="4" s="1"/>
  <c r="AC499" i="4"/>
  <c r="AC518" i="4" a="1"/>
  <c r="AC37" i="4" a="1"/>
  <c r="AC37" i="4" s="1"/>
  <c r="S499" i="4"/>
  <c r="S518" i="4" a="1"/>
  <c r="S37" i="4" a="1"/>
  <c r="S37" i="4" s="1"/>
  <c r="S31" i="4" s="1"/>
  <c r="T499" i="4"/>
  <c r="T518" i="4" a="1"/>
  <c r="T37" i="4" a="1"/>
  <c r="T37" i="4" s="1"/>
  <c r="T31" i="4" s="1"/>
  <c r="F125" i="4"/>
  <c r="M18" i="3033"/>
  <c r="M15" i="3033"/>
  <c r="M17" i="3033"/>
  <c r="M16" i="3033"/>
  <c r="M14" i="3033"/>
  <c r="U85" i="352"/>
  <c r="U82" i="352"/>
  <c r="U86" i="352"/>
  <c r="U84" i="352"/>
  <c r="U83" i="352"/>
  <c r="U81" i="352"/>
  <c r="U88" i="352"/>
  <c r="U87" i="352"/>
  <c r="K120" i="4" a="1"/>
  <c r="K120" i="4" s="1"/>
  <c r="K39" i="4"/>
  <c r="L39" i="4" s="1"/>
  <c r="J39" i="4"/>
  <c r="AB31" i="4"/>
  <c r="N114" i="4" a="1"/>
  <c r="N114" i="4" s="1"/>
  <c r="P499" i="4"/>
  <c r="P518" i="4" a="1"/>
  <c r="P37" i="4" a="1"/>
  <c r="P37" i="4" s="1"/>
  <c r="P31" i="4" s="1"/>
  <c r="AD499" i="4"/>
  <c r="AD518" i="4" a="1"/>
  <c r="AD37" i="4" a="1"/>
  <c r="AD37" i="4" s="1"/>
  <c r="AD31" i="4" s="1"/>
  <c r="AD40" i="4" s="1"/>
  <c r="AL31" i="4"/>
  <c r="AL40" i="4" s="1"/>
  <c r="Z499" i="4"/>
  <c r="Z518" i="4" a="1"/>
  <c r="Z37" i="4" a="1"/>
  <c r="Z37" i="4" s="1"/>
  <c r="Z31" i="4" s="1"/>
  <c r="J35" i="4"/>
  <c r="K117" i="4" a="1"/>
  <c r="K117" i="4" s="1"/>
  <c r="K35" i="4"/>
  <c r="L35" i="4" s="1"/>
  <c r="V499" i="4"/>
  <c r="V518" i="4" a="1"/>
  <c r="V37" i="4" a="1"/>
  <c r="V37" i="4" s="1"/>
  <c r="V31" i="4" s="1"/>
  <c r="O79" i="4" l="1"/>
  <c r="T40" i="4"/>
  <c r="O80" i="4" s="1"/>
  <c r="I79" i="4"/>
  <c r="N40" i="4"/>
  <c r="I80" i="4" s="1"/>
  <c r="V79" i="4"/>
  <c r="AA40" i="4"/>
  <c r="V80" i="4" s="1"/>
  <c r="V81" i="4" s="1"/>
  <c r="Q79" i="4"/>
  <c r="V40" i="4"/>
  <c r="Q80" i="4" s="1"/>
  <c r="K79" i="4"/>
  <c r="P40" i="4"/>
  <c r="K80" i="4" s="1"/>
  <c r="O38" i="3033"/>
  <c r="K113" i="4" a="1"/>
  <c r="K113" i="4" s="1"/>
  <c r="H79" i="4"/>
  <c r="L66" i="4"/>
  <c r="M66" i="4" s="1"/>
  <c r="Y49" i="4"/>
  <c r="Y50" i="4" s="1"/>
  <c r="C70" i="4" s="1"/>
  <c r="D70" i="4" s="1"/>
  <c r="E351" i="4" s="1"/>
  <c r="N49" i="4"/>
  <c r="M40" i="4"/>
  <c r="H80" i="4" s="1"/>
  <c r="N79" i="4"/>
  <c r="S40" i="4"/>
  <c r="N80" i="4" s="1"/>
  <c r="J79" i="4"/>
  <c r="O40" i="4"/>
  <c r="J80" i="4" s="1"/>
  <c r="J81" i="4" s="1"/>
  <c r="U79" i="4"/>
  <c r="Z40" i="4"/>
  <c r="U80" i="4" s="1"/>
  <c r="U81" i="4" s="1"/>
  <c r="T79" i="4"/>
  <c r="Y40" i="4"/>
  <c r="T80" i="4" s="1"/>
  <c r="M521" i="4"/>
  <c r="M522" i="4"/>
  <c r="M518" i="4"/>
  <c r="M517" i="4" s="1"/>
  <c r="M520" i="4"/>
  <c r="M519" i="4"/>
  <c r="O521" i="4"/>
  <c r="O519" i="4"/>
  <c r="O518" i="4"/>
  <c r="O517" i="4" s="1"/>
  <c r="O520" i="4"/>
  <c r="O522" i="4"/>
  <c r="AE521" i="4"/>
  <c r="AE522" i="4"/>
  <c r="AE520" i="4"/>
  <c r="AE519" i="4"/>
  <c r="AE518" i="4"/>
  <c r="AE517" i="4" s="1"/>
  <c r="S500" i="4" a="1"/>
  <c r="S500" i="4" s="1"/>
  <c r="S501" i="4" s="1"/>
  <c r="S502" i="4" a="1"/>
  <c r="S502" i="4" s="1"/>
  <c r="AD521" i="4"/>
  <c r="AD520" i="4"/>
  <c r="AD519" i="4"/>
  <c r="AD518" i="4"/>
  <c r="AD517" i="4" s="1"/>
  <c r="AD522" i="4"/>
  <c r="AE500" i="4" a="1"/>
  <c r="AE500" i="4" s="1"/>
  <c r="AE501" i="4" s="1"/>
  <c r="AE502" i="4" a="1"/>
  <c r="AE502" i="4" s="1"/>
  <c r="AF522" i="4"/>
  <c r="AF521" i="4"/>
  <c r="AF520" i="4"/>
  <c r="AF519" i="4"/>
  <c r="AF518" i="4"/>
  <c r="AF517" i="4" s="1"/>
  <c r="AC521" i="4"/>
  <c r="AC518" i="4"/>
  <c r="AC517" i="4" s="1"/>
  <c r="AC522" i="4"/>
  <c r="AC520" i="4"/>
  <c r="AC519" i="4"/>
  <c r="AK521" i="4"/>
  <c r="AK522" i="4"/>
  <c r="AK518" i="4"/>
  <c r="AK517" i="4" s="1"/>
  <c r="AK520" i="4"/>
  <c r="AK519" i="4"/>
  <c r="K40" i="161"/>
  <c r="F39" i="161"/>
  <c r="O500" i="4" a="1"/>
  <c r="O500" i="4" s="1"/>
  <c r="O501" i="4"/>
  <c r="O502" i="4" a="1"/>
  <c r="O502" i="4" s="1"/>
  <c r="V520" i="4"/>
  <c r="V518" i="4"/>
  <c r="V517" i="4" s="1"/>
  <c r="V522" i="4"/>
  <c r="V521" i="4"/>
  <c r="V519" i="4"/>
  <c r="AD500" i="4" a="1"/>
  <c r="AD500" i="4" s="1"/>
  <c r="AD501" i="4" s="1"/>
  <c r="AD502" i="4" a="1"/>
  <c r="AD502" i="4" s="1"/>
  <c r="AC500" i="4" a="1"/>
  <c r="AC500" i="4" s="1"/>
  <c r="AC501" i="4" s="1"/>
  <c r="AC502" i="4" a="1"/>
  <c r="AC502" i="4" s="1"/>
  <c r="AK500" i="4" a="1"/>
  <c r="AK500" i="4" s="1"/>
  <c r="AK501" i="4" s="1"/>
  <c r="AK502" i="4" a="1"/>
  <c r="AK502" i="4" s="1"/>
  <c r="L79" i="4"/>
  <c r="Q40" i="4"/>
  <c r="L80" i="4" s="1"/>
  <c r="L81" i="4" s="1"/>
  <c r="AG521" i="4"/>
  <c r="AG519" i="4"/>
  <c r="AG522" i="4"/>
  <c r="AG520" i="4"/>
  <c r="AG518" i="4"/>
  <c r="AG517" i="4" s="1"/>
  <c r="AF500" i="4" a="1"/>
  <c r="AF500" i="4" s="1"/>
  <c r="AF501" i="4" s="1"/>
  <c r="AF502" i="4" a="1"/>
  <c r="AF502" i="4" s="1"/>
  <c r="V500" i="4" a="1"/>
  <c r="V500" i="4" s="1"/>
  <c r="V501" i="4" s="1"/>
  <c r="V502" i="4" a="1"/>
  <c r="V502" i="4" s="1"/>
  <c r="AR28" i="4"/>
  <c r="AR26" i="4"/>
  <c r="AS26" i="4" s="1"/>
  <c r="O27" i="3033" s="1" a="1"/>
  <c r="O27" i="3033" s="1"/>
  <c r="AG500" i="4" a="1"/>
  <c r="AG500" i="4" s="1"/>
  <c r="AG501" i="4" s="1"/>
  <c r="AG502" i="4" a="1"/>
  <c r="AG502" i="4" s="1"/>
  <c r="K32" i="4"/>
  <c r="R31" i="4"/>
  <c r="K44" i="161"/>
  <c r="F46" i="161"/>
  <c r="C7" i="2885" s="1"/>
  <c r="S42" i="677" a="1"/>
  <c r="S42" i="677" s="1"/>
  <c r="B67" i="677"/>
  <c r="R42" i="677" a="1"/>
  <c r="R42" i="677" s="1"/>
  <c r="N44" i="677" a="1"/>
  <c r="N44" i="677" s="1"/>
  <c r="S79" i="4"/>
  <c r="X40" i="4"/>
  <c r="S80" i="4" s="1"/>
  <c r="P518" i="4"/>
  <c r="P517" i="4" s="1"/>
  <c r="P522" i="4"/>
  <c r="P521" i="4"/>
  <c r="P520" i="4"/>
  <c r="P519" i="4"/>
  <c r="AH500" i="4" a="1"/>
  <c r="AH500" i="4" s="1"/>
  <c r="AH501" i="4"/>
  <c r="AH502" i="4" a="1"/>
  <c r="AH502" i="4" s="1"/>
  <c r="Y501" i="4"/>
  <c r="Y500" i="4" a="1"/>
  <c r="Y500" i="4" s="1"/>
  <c r="Y502" i="4" a="1"/>
  <c r="Y502" i="4" s="1"/>
  <c r="AM37" i="4"/>
  <c r="AM38" i="4" s="1"/>
  <c r="AM39" i="4" s="1"/>
  <c r="AM40" i="4" s="1"/>
  <c r="AN40" i="4" s="1"/>
  <c r="AN39" i="4" s="1"/>
  <c r="AO39" i="4" s="1"/>
  <c r="X500" i="4" a="1"/>
  <c r="X500" i="4" s="1"/>
  <c r="X501" i="4" s="1"/>
  <c r="X502" i="4" a="1"/>
  <c r="X502" i="4" s="1"/>
  <c r="AJ500" i="4" a="1"/>
  <c r="AJ500" i="4" s="1"/>
  <c r="AJ501" i="4"/>
  <c r="AJ502" i="4" a="1"/>
  <c r="AJ502" i="4" s="1"/>
  <c r="AL522" i="4"/>
  <c r="AL521" i="4"/>
  <c r="AL520" i="4"/>
  <c r="AL519" i="4"/>
  <c r="AL518" i="4"/>
  <c r="AL517" i="4" s="1"/>
  <c r="D72" i="4"/>
  <c r="N500" i="4" a="1"/>
  <c r="N500" i="4" s="1"/>
  <c r="N501" i="4" s="1"/>
  <c r="N502" i="4" a="1"/>
  <c r="N502" i="4" s="1"/>
  <c r="AH522" i="4"/>
  <c r="AH521" i="4"/>
  <c r="AH520" i="4"/>
  <c r="AH519" i="4"/>
  <c r="AH518" i="4"/>
  <c r="AH517" i="4" s="1"/>
  <c r="Y521" i="4"/>
  <c r="Y522" i="4"/>
  <c r="Y520" i="4"/>
  <c r="Y519" i="4"/>
  <c r="Y518" i="4"/>
  <c r="Y517" i="4" s="1"/>
  <c r="P501" i="4"/>
  <c r="P500" i="4" a="1"/>
  <c r="P500" i="4" s="1"/>
  <c r="P502" i="4" a="1"/>
  <c r="P502" i="4" s="1"/>
  <c r="W521" i="4"/>
  <c r="W522" i="4"/>
  <c r="W520" i="4"/>
  <c r="W519" i="4"/>
  <c r="W518" i="4"/>
  <c r="W517" i="4" s="1"/>
  <c r="O39" i="3033"/>
  <c r="R79" i="4"/>
  <c r="N66" i="4"/>
  <c r="P66" i="4" s="1"/>
  <c r="P67" i="4" s="1"/>
  <c r="E352" i="4" s="1"/>
  <c r="M113" i="4" a="1"/>
  <c r="M113" i="4" s="1"/>
  <c r="W40" i="4"/>
  <c r="R80" i="4" s="1"/>
  <c r="R81" i="4" s="1"/>
  <c r="AL500" i="4" a="1"/>
  <c r="AL500" i="4" s="1"/>
  <c r="AL501" i="4" s="1"/>
  <c r="AL502" i="4" a="1"/>
  <c r="AL502" i="4" s="1"/>
  <c r="L140" i="4" a="1"/>
  <c r="U521" i="4"/>
  <c r="U522" i="4"/>
  <c r="U520" i="4"/>
  <c r="U519" i="4"/>
  <c r="U518" i="4"/>
  <c r="U517" i="4" s="1"/>
  <c r="M501" i="4"/>
  <c r="M500" i="4" a="1"/>
  <c r="M500" i="4" s="1"/>
  <c r="M502" i="4" a="1"/>
  <c r="M502" i="4" s="1"/>
  <c r="X521" i="4"/>
  <c r="X518" i="4"/>
  <c r="X517" i="4" s="1"/>
  <c r="X522" i="4"/>
  <c r="X520" i="4"/>
  <c r="X519" i="4"/>
  <c r="AJ522" i="4"/>
  <c r="AJ521" i="4"/>
  <c r="AJ520" i="4"/>
  <c r="AJ519" i="4"/>
  <c r="AJ518" i="4"/>
  <c r="AJ517" i="4" s="1"/>
  <c r="E79" i="4"/>
  <c r="J40" i="4"/>
  <c r="E80" i="4" s="1"/>
  <c r="T519" i="4"/>
  <c r="T522" i="4"/>
  <c r="T521" i="4"/>
  <c r="T520" i="4"/>
  <c r="T518" i="4"/>
  <c r="T517" i="4" s="1"/>
  <c r="K43" i="161"/>
  <c r="E36" i="161"/>
  <c r="W500" i="4" a="1"/>
  <c r="W500" i="4" s="1"/>
  <c r="W501" i="4" s="1"/>
  <c r="W502" i="4" a="1"/>
  <c r="W502" i="4" s="1"/>
  <c r="C37" i="2885" s="1"/>
  <c r="AI521" i="4"/>
  <c r="AI520" i="4"/>
  <c r="AI518" i="4"/>
  <c r="AI517" i="4" s="1"/>
  <c r="AI522" i="4"/>
  <c r="AI519" i="4"/>
  <c r="P79" i="4"/>
  <c r="U40" i="4"/>
  <c r="P80" i="4" s="1"/>
  <c r="P81" i="4" s="1"/>
  <c r="Q521" i="4"/>
  <c r="Q520" i="4"/>
  <c r="Q519" i="4"/>
  <c r="Q518" i="4"/>
  <c r="Q517" i="4" s="1"/>
  <c r="Q522" i="4"/>
  <c r="S81" i="352" a="1"/>
  <c r="R114" i="4" a="1"/>
  <c r="R114" i="4" s="1"/>
  <c r="V114" i="4" a="1"/>
  <c r="V114" i="4" s="1"/>
  <c r="U114" i="4" a="1"/>
  <c r="U114" i="4" s="1"/>
  <c r="T114" i="4" a="1"/>
  <c r="T114" i="4" s="1"/>
  <c r="W114" i="4" a="1"/>
  <c r="W114" i="4" s="1"/>
  <c r="U500" i="4" a="1"/>
  <c r="U500" i="4" s="1"/>
  <c r="U501" i="4" s="1"/>
  <c r="U502" i="4" a="1"/>
  <c r="U502" i="4" s="1"/>
  <c r="E88" i="677" a="1"/>
  <c r="E88" i="677" s="1"/>
  <c r="B89" i="677" a="1"/>
  <c r="B89" i="677" s="1"/>
  <c r="AI500" i="4" a="1"/>
  <c r="AI500" i="4" s="1"/>
  <c r="AI501" i="4"/>
  <c r="AI502" i="4" a="1"/>
  <c r="AI502" i="4" s="1"/>
  <c r="V115" i="4" a="1"/>
  <c r="V115" i="4" s="1"/>
  <c r="U115" i="4" a="1"/>
  <c r="U115" i="4" s="1"/>
  <c r="AC115" i="4" s="1"/>
  <c r="S115" i="4" a="1"/>
  <c r="S115" i="4" s="1"/>
  <c r="R115" i="4" a="1"/>
  <c r="R115" i="4" s="1"/>
  <c r="W115" i="4" a="1"/>
  <c r="W115" i="4" s="1"/>
  <c r="T115" i="4" a="1"/>
  <c r="T115" i="4" s="1"/>
  <c r="Q500" i="4" a="1"/>
  <c r="Q500" i="4" s="1"/>
  <c r="Q501" i="4"/>
  <c r="Q502" i="4" a="1"/>
  <c r="Q502" i="4" s="1"/>
  <c r="V113" i="4" a="1"/>
  <c r="V113" i="4" s="1"/>
  <c r="U113" i="4" a="1"/>
  <c r="U113" i="4" s="1"/>
  <c r="R113" i="4" a="1"/>
  <c r="R113" i="4" s="1"/>
  <c r="W113" i="4" a="1"/>
  <c r="W113" i="4" s="1"/>
  <c r="AE113" i="4" s="1"/>
  <c r="T113" i="4" a="1"/>
  <c r="T113" i="4" s="1"/>
  <c r="AB113" i="4" s="1"/>
  <c r="O113" i="4" a="1"/>
  <c r="O113" i="4" s="1"/>
  <c r="Z522" i="4"/>
  <c r="Z519" i="4"/>
  <c r="Z518" i="4"/>
  <c r="Z517" i="4" s="1"/>
  <c r="Z521" i="4"/>
  <c r="Z520" i="4"/>
  <c r="R522" i="4"/>
  <c r="R521" i="4"/>
  <c r="R520" i="4"/>
  <c r="R519" i="4"/>
  <c r="R518" i="4"/>
  <c r="R517" i="4" s="1"/>
  <c r="AA521" i="4"/>
  <c r="AA522" i="4"/>
  <c r="AA520" i="4"/>
  <c r="AA519" i="4"/>
  <c r="AA518" i="4"/>
  <c r="AA517" i="4" s="1"/>
  <c r="AB520" i="4"/>
  <c r="AB519" i="4"/>
  <c r="AB518" i="4"/>
  <c r="AB517" i="4" s="1"/>
  <c r="AB521" i="4"/>
  <c r="AB522" i="4"/>
  <c r="AG31" i="4"/>
  <c r="R43" i="677" a="1"/>
  <c r="R43" i="677" s="1"/>
  <c r="S43" i="677" a="1"/>
  <c r="S43" i="677" s="1"/>
  <c r="B68" i="677"/>
  <c r="W79" i="4"/>
  <c r="N113" i="4" a="1"/>
  <c r="N113" i="4" s="1"/>
  <c r="AB40" i="4"/>
  <c r="W80" i="4" s="1"/>
  <c r="W81" i="4" s="1"/>
  <c r="T500" i="4" a="1"/>
  <c r="T500" i="4" s="1"/>
  <c r="T501" i="4" s="1"/>
  <c r="T502" i="4" a="1"/>
  <c r="T502" i="4" s="1"/>
  <c r="Z501" i="4"/>
  <c r="Z500" i="4" a="1"/>
  <c r="Z500" i="4" s="1"/>
  <c r="Z502" i="4" a="1"/>
  <c r="Z502" i="4" s="1"/>
  <c r="S521" i="4"/>
  <c r="S522" i="4"/>
  <c r="S520" i="4"/>
  <c r="S519" i="4"/>
  <c r="S518" i="4"/>
  <c r="S517" i="4" s="1"/>
  <c r="S116" i="4" a="1"/>
  <c r="S116" i="4" s="1"/>
  <c r="R116" i="4" a="1"/>
  <c r="R116" i="4" s="1"/>
  <c r="Z116" i="4" s="1"/>
  <c r="V116" i="4" a="1"/>
  <c r="V116" i="4" s="1"/>
  <c r="AD116" i="4" s="1"/>
  <c r="U116" i="4" a="1"/>
  <c r="U116" i="4" s="1"/>
  <c r="T116" i="4" a="1"/>
  <c r="T116" i="4" s="1"/>
  <c r="W116" i="4" a="1"/>
  <c r="W116" i="4" s="1"/>
  <c r="R500" i="4" a="1"/>
  <c r="R500" i="4" s="1"/>
  <c r="R501" i="4" s="1"/>
  <c r="R502" i="4" a="1"/>
  <c r="R502" i="4" s="1"/>
  <c r="K119" i="4" a="1"/>
  <c r="K119" i="4" s="1"/>
  <c r="S114" i="4" s="1" a="1"/>
  <c r="S114" i="4" s="1"/>
  <c r="J37" i="4"/>
  <c r="K37" i="4"/>
  <c r="L37" i="4" s="1"/>
  <c r="AA501" i="4"/>
  <c r="AA500" i="4" a="1"/>
  <c r="AA500" i="4" s="1"/>
  <c r="AA502" i="4" a="1"/>
  <c r="AA502" i="4" s="1"/>
  <c r="N522" i="4"/>
  <c r="N521" i="4"/>
  <c r="N520" i="4"/>
  <c r="N519" i="4"/>
  <c r="N518" i="4"/>
  <c r="N517" i="4" s="1"/>
  <c r="D23" i="2544"/>
  <c r="E23" i="2544"/>
  <c r="F23" i="2544"/>
  <c r="AB500" i="4" a="1"/>
  <c r="AB500" i="4" s="1"/>
  <c r="AB501" i="4" s="1"/>
  <c r="AB502" i="4" a="1"/>
  <c r="AB502" i="4" s="1"/>
  <c r="E89" i="677" l="1" a="1"/>
  <c r="E89" i="677" s="1"/>
  <c r="B90" i="677" a="1"/>
  <c r="B90" i="677" s="1"/>
  <c r="AA116" i="4"/>
  <c r="R44" i="677" a="1"/>
  <c r="R44" i="677" s="1"/>
  <c r="B69" i="677"/>
  <c r="S44" i="677" a="1"/>
  <c r="S44" i="677" s="1"/>
  <c r="K81" i="4"/>
  <c r="L146" i="4"/>
  <c r="L144" i="4"/>
  <c r="L142" i="4"/>
  <c r="P145" i="4"/>
  <c r="P143" i="4"/>
  <c r="P141" i="4"/>
  <c r="L145" i="4"/>
  <c r="L143" i="4"/>
  <c r="L141" i="4"/>
  <c r="P146" i="4"/>
  <c r="P144" i="4"/>
  <c r="P142" i="4"/>
  <c r="P140" i="4"/>
  <c r="N146" i="4"/>
  <c r="N144" i="4"/>
  <c r="N142" i="4"/>
  <c r="N140" i="4"/>
  <c r="M146" i="4"/>
  <c r="M144" i="4"/>
  <c r="M142" i="4"/>
  <c r="M140" i="4"/>
  <c r="M145" i="4"/>
  <c r="M141" i="4"/>
  <c r="Q144" i="4"/>
  <c r="Q140" i="4"/>
  <c r="O144" i="4"/>
  <c r="O140" i="4"/>
  <c r="Q143" i="4"/>
  <c r="L140" i="4"/>
  <c r="O143" i="4"/>
  <c r="N143" i="4"/>
  <c r="M143" i="4"/>
  <c r="Q146" i="4"/>
  <c r="Q142" i="4"/>
  <c r="O146" i="4"/>
  <c r="O153" i="4" s="1" a="1"/>
  <c r="O153" i="4" s="1"/>
  <c r="O142" i="4"/>
  <c r="N145" i="4"/>
  <c r="N141" i="4"/>
  <c r="Q145" i="4"/>
  <c r="Q141" i="4"/>
  <c r="O145" i="4"/>
  <c r="O141" i="4"/>
  <c r="AB115" i="4"/>
  <c r="S87" i="352"/>
  <c r="S82" i="352"/>
  <c r="D31" i="2885" s="1"/>
  <c r="S88" i="352"/>
  <c r="S81" i="352"/>
  <c r="S86" i="352"/>
  <c r="S85" i="352"/>
  <c r="S84" i="352"/>
  <c r="S83" i="352"/>
  <c r="Q81" i="4"/>
  <c r="AE115" i="4"/>
  <c r="Z115" i="4"/>
  <c r="AE114" i="4"/>
  <c r="AA115" i="4"/>
  <c r="AB114" i="4"/>
  <c r="N45" i="677" a="1"/>
  <c r="N45" i="677" s="1"/>
  <c r="O49" i="4"/>
  <c r="N50" i="4"/>
  <c r="O50" i="4" s="1"/>
  <c r="O66" i="4"/>
  <c r="Q66" i="4" s="1"/>
  <c r="Q67" i="4" s="1"/>
  <c r="F352" i="4" s="1"/>
  <c r="AG40" i="4"/>
  <c r="AC114" i="4"/>
  <c r="AE116" i="4"/>
  <c r="Z113" i="4"/>
  <c r="AD115" i="4"/>
  <c r="AD114" i="4"/>
  <c r="F36" i="161"/>
  <c r="K36" i="161"/>
  <c r="M79" i="4"/>
  <c r="L113" i="4" a="1"/>
  <c r="L113" i="4" s="1"/>
  <c r="R40" i="4"/>
  <c r="M80" i="4" s="1"/>
  <c r="M81" i="4" s="1"/>
  <c r="E354" i="4"/>
  <c r="I81" i="4"/>
  <c r="I82" i="4" s="1"/>
  <c r="AB116" i="4"/>
  <c r="S113" i="4" a="1"/>
  <c r="S113" i="4" s="1"/>
  <c r="AA113" i="4" s="1"/>
  <c r="Z114" i="4"/>
  <c r="H470" i="4"/>
  <c r="H83" i="4"/>
  <c r="D33" i="2885"/>
  <c r="AO40" i="4"/>
  <c r="AO38" i="4"/>
  <c r="S81" i="4"/>
  <c r="K31" i="4"/>
  <c r="L32" i="4"/>
  <c r="L31" i="4" s="1"/>
  <c r="T81" i="4"/>
  <c r="M67" i="4"/>
  <c r="AC116" i="4"/>
  <c r="AC113" i="4"/>
  <c r="O81" i="4"/>
  <c r="AD113" i="4"/>
  <c r="O51" i="4" l="1"/>
  <c r="C68" i="4" s="1"/>
  <c r="D68" i="4" s="1"/>
  <c r="E349" i="4" s="1"/>
  <c r="O154" i="4" a="1"/>
  <c r="O154" i="4" s="1"/>
  <c r="O150" i="4" a="1"/>
  <c r="O150" i="4" s="1"/>
  <c r="O152" i="4" a="1"/>
  <c r="O152" i="4" s="1"/>
  <c r="O151" i="4" a="1"/>
  <c r="O151" i="4" s="1"/>
  <c r="AF141" i="4" s="1" a="1"/>
  <c r="AF141" i="4" s="1"/>
  <c r="O155" i="4" a="1"/>
  <c r="O155" i="4" s="1"/>
  <c r="AF145" i="4" s="1" a="1"/>
  <c r="AF145" i="4" s="1"/>
  <c r="Q150" i="4" a="1"/>
  <c r="Q150" i="4" s="1"/>
  <c r="Q155" i="4" a="1"/>
  <c r="Q155" i="4" s="1"/>
  <c r="AH145" i="4" s="1" a="1"/>
  <c r="AH145" i="4" s="1"/>
  <c r="Q154" i="4" a="1"/>
  <c r="Q154" i="4" s="1"/>
  <c r="Q151" i="4" a="1"/>
  <c r="Q151" i="4" s="1"/>
  <c r="AH141" i="4" s="1" a="1"/>
  <c r="AH141" i="4" s="1"/>
  <c r="Q153" i="4" a="1"/>
  <c r="Q153" i="4" s="1"/>
  <c r="Q152" i="4" a="1"/>
  <c r="Q152" i="4" s="1"/>
  <c r="P151" i="4" a="1"/>
  <c r="P151" i="4" s="1"/>
  <c r="AG141" i="4" s="1" a="1"/>
  <c r="AG141" i="4" s="1"/>
  <c r="P150" i="4" a="1"/>
  <c r="P150" i="4" s="1"/>
  <c r="P153" i="4" a="1"/>
  <c r="P153" i="4" s="1"/>
  <c r="P152" i="4" a="1"/>
  <c r="P152" i="4" s="1"/>
  <c r="P154" i="4" a="1"/>
  <c r="P154" i="4" s="1"/>
  <c r="P155" i="4" a="1"/>
  <c r="P155" i="4" s="1"/>
  <c r="AG145" i="4" s="1" a="1"/>
  <c r="AG145" i="4" s="1"/>
  <c r="B70" i="677"/>
  <c r="S45" i="677" a="1"/>
  <c r="S45" i="677" s="1"/>
  <c r="R45" i="677" a="1"/>
  <c r="R45" i="677" s="1"/>
  <c r="N81" i="4"/>
  <c r="C108" i="352" a="1"/>
  <c r="C31" i="2885"/>
  <c r="AF143" i="4" a="1"/>
  <c r="AF143" i="4" s="1"/>
  <c r="O161" i="4"/>
  <c r="F79" i="4"/>
  <c r="K40" i="4"/>
  <c r="F80" i="4" s="1"/>
  <c r="J82" i="4"/>
  <c r="I84" i="4"/>
  <c r="I87" i="4" s="1"/>
  <c r="M150" i="4" a="1"/>
  <c r="M150" i="4" s="1"/>
  <c r="M153" i="4" a="1"/>
  <c r="M153" i="4" s="1"/>
  <c r="M152" i="4" a="1"/>
  <c r="M152" i="4" s="1"/>
  <c r="M154" i="4" a="1"/>
  <c r="M154" i="4" s="1"/>
  <c r="M155" i="4" a="1"/>
  <c r="M155" i="4" s="1"/>
  <c r="AD145" i="4" s="1" a="1"/>
  <c r="AD145" i="4" s="1"/>
  <c r="M151" i="4" a="1"/>
  <c r="M151" i="4" s="1"/>
  <c r="AD141" i="4" s="1" a="1"/>
  <c r="AD141" i="4" s="1"/>
  <c r="H472" i="4"/>
  <c r="H475" i="4" s="1"/>
  <c r="I470" i="4"/>
  <c r="J470" i="4" s="1"/>
  <c r="K470" i="4" s="1"/>
  <c r="L470" i="4" s="1"/>
  <c r="M470" i="4" s="1"/>
  <c r="N470" i="4" s="1"/>
  <c r="O470" i="4" s="1"/>
  <c r="P470" i="4" s="1"/>
  <c r="Q470" i="4" s="1"/>
  <c r="R470" i="4" s="1"/>
  <c r="S470" i="4" s="1"/>
  <c r="T470" i="4" s="1"/>
  <c r="U470" i="4" s="1"/>
  <c r="V470" i="4" s="1"/>
  <c r="W470" i="4" s="1"/>
  <c r="D67" i="4"/>
  <c r="E348" i="4" s="1"/>
  <c r="F347" i="4" s="1" a="1"/>
  <c r="C72" i="4"/>
  <c r="E90" i="677" a="1"/>
  <c r="E90" i="677" s="1"/>
  <c r="B91" i="677" a="1"/>
  <c r="B91" i="677" s="1"/>
  <c r="E91" i="677" s="1" a="1"/>
  <c r="E91" i="677" s="1"/>
  <c r="N46" i="677" a="1"/>
  <c r="N46" i="677" s="1"/>
  <c r="N47" i="677" s="1" a="1"/>
  <c r="N47" i="677" s="1"/>
  <c r="C5" i="2885"/>
  <c r="E365" i="4"/>
  <c r="B35" i="2885"/>
  <c r="H84" i="4"/>
  <c r="H87" i="4" s="1"/>
  <c r="I83" i="4"/>
  <c r="J83" i="4" s="1"/>
  <c r="K83" i="4" s="1"/>
  <c r="L83" i="4" s="1"/>
  <c r="M83" i="4" s="1"/>
  <c r="N83" i="4" s="1"/>
  <c r="O83" i="4" s="1"/>
  <c r="P83" i="4" s="1"/>
  <c r="Q83" i="4" s="1"/>
  <c r="R83" i="4" s="1"/>
  <c r="S83" i="4" s="1"/>
  <c r="T83" i="4" s="1"/>
  <c r="U83" i="4" s="1"/>
  <c r="V83" i="4" s="1"/>
  <c r="W83" i="4" s="1"/>
  <c r="G79" i="4"/>
  <c r="L40" i="4"/>
  <c r="G80" i="4" s="1"/>
  <c r="L175" i="4" a="1"/>
  <c r="L155" i="4" a="1"/>
  <c r="L155" i="4" s="1"/>
  <c r="AC145" i="4" s="1" a="1"/>
  <c r="AC145" i="4" s="1"/>
  <c r="L152" i="4" a="1"/>
  <c r="L152" i="4" s="1"/>
  <c r="L151" i="4" a="1"/>
  <c r="L151" i="4" s="1"/>
  <c r="AC141" i="4" s="1" a="1"/>
  <c r="AC141" i="4" s="1"/>
  <c r="L154" i="4" a="1"/>
  <c r="L154" i="4" s="1"/>
  <c r="L153" i="4" a="1"/>
  <c r="L153" i="4" s="1"/>
  <c r="L150" i="4" a="1"/>
  <c r="L150" i="4" s="1"/>
  <c r="N151" i="4" a="1"/>
  <c r="N151" i="4" s="1"/>
  <c r="AE141" i="4" s="1" a="1"/>
  <c r="AE141" i="4" s="1"/>
  <c r="N150" i="4" a="1"/>
  <c r="N150" i="4" s="1"/>
  <c r="N152" i="4" a="1"/>
  <c r="N152" i="4" s="1"/>
  <c r="N153" i="4" a="1"/>
  <c r="N153" i="4" s="1"/>
  <c r="N154" i="4" a="1"/>
  <c r="N154" i="4" s="1"/>
  <c r="N155" i="4" a="1"/>
  <c r="N155" i="4" s="1"/>
  <c r="AE145" i="4" s="1" a="1"/>
  <c r="AE145" i="4" s="1"/>
  <c r="AA114" i="4"/>
  <c r="S47" i="677" l="1" a="1"/>
  <c r="S47" i="677" s="1"/>
  <c r="R47" i="677" a="1"/>
  <c r="R47" i="677" s="1"/>
  <c r="B72" i="677"/>
  <c r="N48" i="677" a="1"/>
  <c r="N48" i="677" s="1"/>
  <c r="M162" i="4"/>
  <c r="AD144" i="4" a="1"/>
  <c r="AD144" i="4" s="1"/>
  <c r="AH142" i="4" a="1"/>
  <c r="AH142" i="4" s="1"/>
  <c r="Q160" i="4"/>
  <c r="AH144" i="4" a="1"/>
  <c r="AH144" i="4" s="1"/>
  <c r="Q162" i="4"/>
  <c r="O181" i="4"/>
  <c r="O179" i="4"/>
  <c r="O177" i="4"/>
  <c r="O175" i="4"/>
  <c r="O185" i="4" s="1"/>
  <c r="O191" i="4" s="1"/>
  <c r="N181" i="4"/>
  <c r="N179" i="4"/>
  <c r="N177" i="4"/>
  <c r="N175" i="4"/>
  <c r="N185" i="4" s="1"/>
  <c r="N191" i="4" s="1"/>
  <c r="M181" i="4"/>
  <c r="M179" i="4"/>
  <c r="M177" i="4"/>
  <c r="M175" i="4"/>
  <c r="M185" i="4" s="1"/>
  <c r="M191" i="4" s="1"/>
  <c r="L181" i="4"/>
  <c r="L179" i="4"/>
  <c r="L177" i="4"/>
  <c r="O182" i="4"/>
  <c r="O180" i="4"/>
  <c r="O178" i="4"/>
  <c r="O176" i="4"/>
  <c r="N182" i="4"/>
  <c r="N180" i="4"/>
  <c r="N178" i="4"/>
  <c r="N176" i="4"/>
  <c r="M182" i="4"/>
  <c r="M180" i="4"/>
  <c r="M178" i="4"/>
  <c r="M176" i="4"/>
  <c r="L182" i="4"/>
  <c r="L180" i="4"/>
  <c r="L178" i="4"/>
  <c r="L176" i="4"/>
  <c r="Q181" i="4"/>
  <c r="Q179" i="4"/>
  <c r="Q177" i="4"/>
  <c r="Q175" i="4"/>
  <c r="Q185" i="4" s="1"/>
  <c r="Q191" i="4" s="1"/>
  <c r="P181" i="4"/>
  <c r="P179" i="4"/>
  <c r="P177" i="4"/>
  <c r="P175" i="4"/>
  <c r="P185" i="4" s="1"/>
  <c r="P191" i="4" s="1"/>
  <c r="Q180" i="4"/>
  <c r="P180" i="4"/>
  <c r="Q178" i="4"/>
  <c r="P178" i="4"/>
  <c r="Q176" i="4"/>
  <c r="P176" i="4"/>
  <c r="L175" i="4"/>
  <c r="P182" i="4"/>
  <c r="Q182" i="4"/>
  <c r="N161" i="4"/>
  <c r="AE143" i="4" a="1"/>
  <c r="AE143" i="4" s="1"/>
  <c r="J84" i="4"/>
  <c r="J87" i="4" s="1"/>
  <c r="K82" i="4"/>
  <c r="B71" i="677"/>
  <c r="R46" i="677" a="1"/>
  <c r="R46" i="677" s="1"/>
  <c r="S46" i="677" a="1"/>
  <c r="S46" i="677" s="1"/>
  <c r="AE144" i="4" a="1"/>
  <c r="AE144" i="4" s="1"/>
  <c r="N162" i="4"/>
  <c r="Q159" i="4"/>
  <c r="AH140" i="4" a="1"/>
  <c r="AH140" i="4" s="1"/>
  <c r="AD140" i="4" a="1"/>
  <c r="AD140" i="4" s="1"/>
  <c r="M159" i="4"/>
  <c r="F348" i="4"/>
  <c r="F351" i="4"/>
  <c r="F349" i="4"/>
  <c r="F350" i="4"/>
  <c r="F347" i="4"/>
  <c r="D466" i="4" a="1"/>
  <c r="L160" i="4"/>
  <c r="AC142" i="4" a="1"/>
  <c r="AC142" i="4" s="1"/>
  <c r="Q161" i="4"/>
  <c r="AH143" i="4" a="1"/>
  <c r="AH143" i="4" s="1"/>
  <c r="AG144" i="4" a="1"/>
  <c r="AG144" i="4" s="1"/>
  <c r="P162" i="4"/>
  <c r="N160" i="4"/>
  <c r="AE142" i="4" a="1"/>
  <c r="AE142" i="4" s="1"/>
  <c r="L159" i="4"/>
  <c r="AC140" i="4" a="1"/>
  <c r="AC140" i="4" s="1"/>
  <c r="C247" i="4" a="1"/>
  <c r="P160" i="4"/>
  <c r="AG142" i="4" a="1"/>
  <c r="AG142" i="4" s="1"/>
  <c r="O160" i="4"/>
  <c r="AF142" i="4" a="1"/>
  <c r="AF142" i="4" s="1"/>
  <c r="L161" i="4"/>
  <c r="AC143" i="4" a="1"/>
  <c r="AC143" i="4" s="1"/>
  <c r="AG143" i="4" a="1"/>
  <c r="AG143" i="4" s="1"/>
  <c r="P161" i="4"/>
  <c r="O159" i="4"/>
  <c r="AF140" i="4" a="1"/>
  <c r="AF140" i="4" s="1"/>
  <c r="M160" i="4"/>
  <c r="AD142" i="4" a="1"/>
  <c r="AD142" i="4" s="1"/>
  <c r="M161" i="4"/>
  <c r="AD143" i="4" a="1"/>
  <c r="AD143" i="4" s="1"/>
  <c r="N159" i="4"/>
  <c r="AE140" i="4" a="1"/>
  <c r="AE140" i="4" s="1"/>
  <c r="L162" i="4"/>
  <c r="AC144" i="4" a="1"/>
  <c r="AC144" i="4" s="1"/>
  <c r="G108" i="352"/>
  <c r="E108" i="352"/>
  <c r="H108" i="352"/>
  <c r="C108" i="352"/>
  <c r="F108" i="352"/>
  <c r="D108" i="352"/>
  <c r="J108" i="352"/>
  <c r="I108" i="352"/>
  <c r="P159" i="4"/>
  <c r="AG140" i="4" a="1"/>
  <c r="AG140" i="4" s="1"/>
  <c r="O162" i="4"/>
  <c r="AF144" i="4" a="1"/>
  <c r="AF144" i="4" s="1"/>
  <c r="N187" i="4" l="1" a="1"/>
  <c r="N187" i="4" s="1"/>
  <c r="N188" i="4" a="1"/>
  <c r="N188" i="4" s="1"/>
  <c r="N186" i="4" a="1"/>
  <c r="N186" i="4" s="1"/>
  <c r="N192" i="4" s="1"/>
  <c r="P187" i="4" a="1"/>
  <c r="P187" i="4" s="1"/>
  <c r="P186" i="4" a="1"/>
  <c r="P186" i="4" s="1"/>
  <c r="P188" i="4" a="1"/>
  <c r="P188" i="4" s="1"/>
  <c r="P194" i="4" s="1"/>
  <c r="L185" i="4"/>
  <c r="AC175" i="4" a="1"/>
  <c r="Q187" i="4" a="1"/>
  <c r="Q187" i="4" s="1"/>
  <c r="Q188" i="4" a="1"/>
  <c r="Q188" i="4" s="1"/>
  <c r="Q194" i="4" s="1"/>
  <c r="Q186" i="4" a="1"/>
  <c r="Q186" i="4" s="1"/>
  <c r="Q192" i="4" s="1"/>
  <c r="U467" i="4"/>
  <c r="U468" i="4" s="1"/>
  <c r="I467" i="4"/>
  <c r="Q466" i="4"/>
  <c r="E466" i="4"/>
  <c r="T467" i="4"/>
  <c r="G467" i="4"/>
  <c r="N466" i="4"/>
  <c r="Q467" i="4"/>
  <c r="D467" i="4"/>
  <c r="K466" i="4"/>
  <c r="P467" i="4"/>
  <c r="W466" i="4"/>
  <c r="J466" i="4"/>
  <c r="O467" i="4"/>
  <c r="O468" i="4" s="1"/>
  <c r="V466" i="4"/>
  <c r="I466" i="4"/>
  <c r="N467" i="4"/>
  <c r="U466" i="4"/>
  <c r="H466" i="4"/>
  <c r="M467" i="4"/>
  <c r="T466" i="4"/>
  <c r="G466" i="4"/>
  <c r="L467" i="4"/>
  <c r="S466" i="4"/>
  <c r="F466" i="4"/>
  <c r="K467" i="4"/>
  <c r="R466" i="4"/>
  <c r="E467" i="4"/>
  <c r="P466" i="4"/>
  <c r="O466" i="4"/>
  <c r="M466" i="4"/>
  <c r="L466" i="4"/>
  <c r="W467" i="4"/>
  <c r="D466" i="4"/>
  <c r="V467" i="4"/>
  <c r="S467" i="4"/>
  <c r="R467" i="4"/>
  <c r="R468" i="4" s="1"/>
  <c r="J467" i="4"/>
  <c r="J468" i="4" s="1"/>
  <c r="H467" i="4"/>
  <c r="F467" i="4"/>
  <c r="L187" i="4" a="1"/>
  <c r="L187" i="4" s="1"/>
  <c r="L188" i="4" a="1"/>
  <c r="L188" i="4" s="1"/>
  <c r="L186" i="4" a="1"/>
  <c r="L186" i="4" s="1"/>
  <c r="L192" i="4" s="1"/>
  <c r="O187" i="4" a="1"/>
  <c r="O187" i="4" s="1"/>
  <c r="O188" i="4" a="1"/>
  <c r="O188" i="4" s="1"/>
  <c r="O186" i="4" a="1"/>
  <c r="O186" i="4" s="1"/>
  <c r="O192" i="4" s="1"/>
  <c r="S48" i="677" a="1"/>
  <c r="S48" i="677" s="1"/>
  <c r="R48" i="677" a="1"/>
  <c r="R48" i="677" s="1"/>
  <c r="N49" i="677" a="1"/>
  <c r="N49" i="677" s="1"/>
  <c r="C63" i="3033" a="1"/>
  <c r="H253" i="4"/>
  <c r="H251" i="4"/>
  <c r="H249" i="4"/>
  <c r="H247" i="4"/>
  <c r="J240" i="4" s="1"/>
  <c r="J241" i="4" s="1"/>
  <c r="D253" i="4"/>
  <c r="D251" i="4"/>
  <c r="D249" i="4"/>
  <c r="D247" i="4"/>
  <c r="F240" i="4" s="1"/>
  <c r="F241" i="4" s="1"/>
  <c r="E241" i="4" s="1"/>
  <c r="H252" i="4"/>
  <c r="F250" i="4"/>
  <c r="D248" i="4"/>
  <c r="G252" i="4"/>
  <c r="E250" i="4"/>
  <c r="C248" i="4"/>
  <c r="E252" i="4"/>
  <c r="C250" i="4"/>
  <c r="F247" i="4"/>
  <c r="H240" i="4" s="1"/>
  <c r="H241" i="4" s="1"/>
  <c r="O48" i="3033" s="1"/>
  <c r="D252" i="4"/>
  <c r="G249" i="4"/>
  <c r="E247" i="4"/>
  <c r="G240" i="4" s="1"/>
  <c r="G241" i="4" s="1"/>
  <c r="G253" i="4"/>
  <c r="E251" i="4"/>
  <c r="H248" i="4"/>
  <c r="F253" i="4"/>
  <c r="C251" i="4"/>
  <c r="G248" i="4"/>
  <c r="C253" i="4"/>
  <c r="G250" i="4"/>
  <c r="E248" i="4"/>
  <c r="H250" i="4"/>
  <c r="D250" i="4"/>
  <c r="F249" i="4"/>
  <c r="E249" i="4"/>
  <c r="C249" i="4"/>
  <c r="G247" i="4"/>
  <c r="I240" i="4" s="1"/>
  <c r="I241" i="4" s="1"/>
  <c r="E253" i="4"/>
  <c r="F252" i="4"/>
  <c r="C247" i="4"/>
  <c r="C252" i="4"/>
  <c r="G251" i="4"/>
  <c r="F251" i="4"/>
  <c r="F248" i="4"/>
  <c r="AC148" i="4" a="1"/>
  <c r="L82" i="4"/>
  <c r="K84" i="4"/>
  <c r="K87" i="4" s="1"/>
  <c r="C347" i="4" a="1"/>
  <c r="F354" i="4"/>
  <c r="M187" i="4" a="1"/>
  <c r="M187" i="4" s="1"/>
  <c r="M188" i="4" a="1"/>
  <c r="M188" i="4" s="1"/>
  <c r="M186" i="4" a="1"/>
  <c r="M186" i="4" s="1"/>
  <c r="M192" i="4" s="1"/>
  <c r="C71" i="3033" l="1"/>
  <c r="C68" i="3033"/>
  <c r="C65" i="3033"/>
  <c r="C64" i="3033"/>
  <c r="C63" i="3033"/>
  <c r="C72" i="3033"/>
  <c r="C70" i="3033"/>
  <c r="C69" i="3033"/>
  <c r="C67" i="3033"/>
  <c r="C66" i="3033"/>
  <c r="K468" i="4"/>
  <c r="I468" i="4"/>
  <c r="I469" i="4" s="1"/>
  <c r="R49" i="677" a="1"/>
  <c r="R49" i="677" s="1"/>
  <c r="S49" i="677" a="1"/>
  <c r="S49" i="677" s="1"/>
  <c r="N50" i="677" a="1"/>
  <c r="N50" i="677" s="1"/>
  <c r="P192" i="4"/>
  <c r="P193" i="4"/>
  <c r="K268" i="4"/>
  <c r="K269" i="4"/>
  <c r="K266" i="4"/>
  <c r="K267" i="4"/>
  <c r="K265" i="4"/>
  <c r="S285" i="4"/>
  <c r="AA285" i="4" s="1"/>
  <c r="AA287" i="4" s="1"/>
  <c r="S284" i="4"/>
  <c r="AA284" i="4" s="1"/>
  <c r="AA286" i="4" s="1"/>
  <c r="S286" i="4"/>
  <c r="Q193" i="4"/>
  <c r="F239" i="4"/>
  <c r="L248" i="4" a="1"/>
  <c r="S468" i="4"/>
  <c r="L468" i="4"/>
  <c r="N194" i="4"/>
  <c r="P468" i="4"/>
  <c r="O194" i="4"/>
  <c r="N248" i="4" a="1"/>
  <c r="H239" i="4"/>
  <c r="O193" i="4"/>
  <c r="M468" i="4"/>
  <c r="Q468" i="4"/>
  <c r="N193" i="4"/>
  <c r="AC152" i="4"/>
  <c r="AC150" i="4"/>
  <c r="AH153" i="4"/>
  <c r="AH151" i="4"/>
  <c r="AH149" i="4"/>
  <c r="AC148" i="4"/>
  <c r="AG153" i="4"/>
  <c r="AG151" i="4"/>
  <c r="AG149" i="4"/>
  <c r="AF153" i="4"/>
  <c r="AF151" i="4"/>
  <c r="AF149" i="4"/>
  <c r="AC153" i="4"/>
  <c r="AC151" i="4"/>
  <c r="AC149" i="4"/>
  <c r="AH152" i="4"/>
  <c r="AH150" i="4"/>
  <c r="AH148" i="4"/>
  <c r="AG152" i="4"/>
  <c r="AG150" i="4"/>
  <c r="AG148" i="4"/>
  <c r="AF152" i="4"/>
  <c r="AF150" i="4"/>
  <c r="AF148" i="4"/>
  <c r="AE152" i="4"/>
  <c r="AE150" i="4"/>
  <c r="AE148" i="4"/>
  <c r="AD152" i="4"/>
  <c r="AD150" i="4"/>
  <c r="AD148" i="4"/>
  <c r="AE153" i="4"/>
  <c r="AD153" i="4"/>
  <c r="AE151" i="4"/>
  <c r="AD149" i="4"/>
  <c r="AD151" i="4"/>
  <c r="AE149" i="4"/>
  <c r="V468" i="4"/>
  <c r="W468" i="4"/>
  <c r="M194" i="4"/>
  <c r="M193" i="4"/>
  <c r="L194" i="4"/>
  <c r="D349" i="4"/>
  <c r="D347" i="4"/>
  <c r="D350" i="4"/>
  <c r="C348" i="4"/>
  <c r="C351" i="4"/>
  <c r="C350" i="4"/>
  <c r="D348" i="4"/>
  <c r="C349" i="4"/>
  <c r="C347" i="4"/>
  <c r="D351" i="4"/>
  <c r="M248" i="4" a="1"/>
  <c r="G239" i="4"/>
  <c r="AD182" i="4"/>
  <c r="AE181" i="4"/>
  <c r="AE179" i="4"/>
  <c r="AE177" i="4"/>
  <c r="AE175" i="4"/>
  <c r="AE185" i="4" s="1"/>
  <c r="AE193" i="4" s="1"/>
  <c r="AD181" i="4"/>
  <c r="AD179" i="4"/>
  <c r="AD177" i="4"/>
  <c r="AD175" i="4"/>
  <c r="AD185" i="4" s="1"/>
  <c r="AD193" i="4" s="1"/>
  <c r="AC181" i="4"/>
  <c r="AC179" i="4"/>
  <c r="AC177" i="4"/>
  <c r="AH180" i="4"/>
  <c r="AH178" i="4"/>
  <c r="AH176" i="4"/>
  <c r="AC175" i="4"/>
  <c r="AF182" i="4"/>
  <c r="AE180" i="4"/>
  <c r="AE178" i="4"/>
  <c r="AE176" i="4"/>
  <c r="AE182" i="4"/>
  <c r="AD180" i="4"/>
  <c r="AD178" i="4"/>
  <c r="AD176" i="4"/>
  <c r="AC182" i="4"/>
  <c r="AC180" i="4"/>
  <c r="AC178" i="4"/>
  <c r="AC176" i="4"/>
  <c r="AH181" i="4"/>
  <c r="AH179" i="4"/>
  <c r="AH177" i="4"/>
  <c r="AH175" i="4"/>
  <c r="AH185" i="4" s="1"/>
  <c r="AH193" i="4" s="1"/>
  <c r="AG181" i="4"/>
  <c r="AG179" i="4"/>
  <c r="AG177" i="4"/>
  <c r="AG175" i="4"/>
  <c r="AG185" i="4" s="1"/>
  <c r="AG193" i="4" s="1"/>
  <c r="AF181" i="4"/>
  <c r="AF179" i="4"/>
  <c r="AF177" i="4"/>
  <c r="AF175" i="4"/>
  <c r="AF185" i="4" s="1"/>
  <c r="AF193" i="4" s="1"/>
  <c r="AH182" i="4"/>
  <c r="AG182" i="4"/>
  <c r="AG180" i="4"/>
  <c r="AF180" i="4"/>
  <c r="AG178" i="4"/>
  <c r="AF178" i="4"/>
  <c r="AG176" i="4"/>
  <c r="AF176" i="4"/>
  <c r="J239" i="4"/>
  <c r="P248" i="4" a="1"/>
  <c r="M82" i="4"/>
  <c r="L84" i="4"/>
  <c r="L87" i="4" s="1"/>
  <c r="L193" i="4"/>
  <c r="N468" i="4"/>
  <c r="T468" i="4"/>
  <c r="F365" i="4"/>
  <c r="W352" i="4" s="1" a="1"/>
  <c r="E240" i="4"/>
  <c r="E238" i="4" a="1"/>
  <c r="K247" i="4" a="1"/>
  <c r="O248" i="4" a="1"/>
  <c r="I239" i="4"/>
  <c r="E239" i="4"/>
  <c r="K248" i="4" a="1"/>
  <c r="L191" i="4"/>
  <c r="C283" i="4" a="1"/>
  <c r="J469" i="4" l="1"/>
  <c r="I472" i="4"/>
  <c r="I475" i="4" s="1"/>
  <c r="O253" i="4"/>
  <c r="O249" i="4"/>
  <c r="O252" i="4"/>
  <c r="O250" i="4"/>
  <c r="O248" i="4"/>
  <c r="W248" i="4" s="1" a="1"/>
  <c r="O251" i="4"/>
  <c r="AD157" i="4"/>
  <c r="AD158" i="4" s="1"/>
  <c r="AF248" i="4" a="1"/>
  <c r="AH157" i="4"/>
  <c r="AH158" i="4" s="1"/>
  <c r="AC157" i="4"/>
  <c r="AC158" i="4" s="1"/>
  <c r="S267" i="4"/>
  <c r="L167" i="4" a="1"/>
  <c r="S266" i="4"/>
  <c r="AE248" i="4" a="1"/>
  <c r="AG157" i="4"/>
  <c r="AG158" i="4" s="1"/>
  <c r="S339" i="4"/>
  <c r="S340" i="4"/>
  <c r="S337" i="4"/>
  <c r="S341" i="4"/>
  <c r="S338" i="4"/>
  <c r="S265" i="4"/>
  <c r="AG187" i="4" a="1"/>
  <c r="AG187" i="4" s="1"/>
  <c r="AG190" i="4" a="1"/>
  <c r="AG190" i="4" s="1"/>
  <c r="AG189" i="4" a="1"/>
  <c r="AG189" i="4" s="1"/>
  <c r="AG188" i="4" a="1"/>
  <c r="AG188" i="4" s="1"/>
  <c r="AG186" i="4" a="1"/>
  <c r="AG186" i="4" s="1"/>
  <c r="AG194" i="4" s="1"/>
  <c r="M248" i="4"/>
  <c r="U248" i="4" s="1" a="1"/>
  <c r="M249" i="4"/>
  <c r="M253" i="4"/>
  <c r="M252" i="4"/>
  <c r="M250" i="4"/>
  <c r="M251" i="4"/>
  <c r="S269" i="4"/>
  <c r="N82" i="4"/>
  <c r="M84" i="4"/>
  <c r="M87" i="4" s="1"/>
  <c r="AH188" i="4" a="1"/>
  <c r="AH188" i="4" s="1"/>
  <c r="AH187" i="4" a="1"/>
  <c r="AH187" i="4" s="1"/>
  <c r="AH189" i="4" a="1"/>
  <c r="AH189" i="4" s="1"/>
  <c r="AH197" i="4" s="1"/>
  <c r="AH190" i="4" a="1"/>
  <c r="AH190" i="4" s="1"/>
  <c r="AH186" i="4" a="1"/>
  <c r="AH186" i="4" s="1"/>
  <c r="D354" i="4"/>
  <c r="AE157" i="4"/>
  <c r="AE158" i="4" s="1"/>
  <c r="S268" i="4"/>
  <c r="K249" i="4"/>
  <c r="K248" i="4"/>
  <c r="S248" i="4" s="1" a="1"/>
  <c r="K253" i="4"/>
  <c r="K252" i="4"/>
  <c r="K250" i="4"/>
  <c r="K251" i="4"/>
  <c r="AC185" i="4"/>
  <c r="L206" i="4" a="1"/>
  <c r="P247" i="4"/>
  <c r="N247" i="4"/>
  <c r="M247" i="4"/>
  <c r="O247" i="4"/>
  <c r="L247" i="4"/>
  <c r="K247" i="4"/>
  <c r="X352" i="4"/>
  <c r="W352" i="4"/>
  <c r="AE187" i="4" a="1"/>
  <c r="AE187" i="4" s="1"/>
  <c r="AE186" i="4" a="1"/>
  <c r="AE186" i="4" s="1"/>
  <c r="AE189" i="4" a="1"/>
  <c r="AE189" i="4" s="1"/>
  <c r="AE190" i="4" a="1"/>
  <c r="AE190" i="4" s="1"/>
  <c r="AE188" i="4" a="1"/>
  <c r="AE188" i="4" s="1"/>
  <c r="AE196" i="4" s="1"/>
  <c r="L250" i="4"/>
  <c r="L252" i="4"/>
  <c r="L251" i="4"/>
  <c r="L249" i="4"/>
  <c r="L248" i="4"/>
  <c r="AB248" i="4" s="1" a="1"/>
  <c r="L253" i="4"/>
  <c r="S50" i="677" a="1"/>
  <c r="S50" i="677" s="1"/>
  <c r="R50" i="677" a="1"/>
  <c r="R50" i="677" s="1"/>
  <c r="N51" i="677" a="1"/>
  <c r="N51" i="677" s="1"/>
  <c r="P250" i="4"/>
  <c r="P253" i="4"/>
  <c r="P252" i="4"/>
  <c r="P248" i="4"/>
  <c r="X248" i="4" s="1" a="1"/>
  <c r="P251" i="4"/>
  <c r="P249" i="4"/>
  <c r="AF187" i="4" a="1"/>
  <c r="AF187" i="4" s="1"/>
  <c r="AF186" i="4" a="1"/>
  <c r="AF186" i="4" s="1"/>
  <c r="AF190" i="4" a="1"/>
  <c r="AF190" i="4" s="1"/>
  <c r="AF198" i="4" s="1"/>
  <c r="AF189" i="4" a="1"/>
  <c r="AF189" i="4" s="1"/>
  <c r="AF188" i="4" a="1"/>
  <c r="AF188" i="4" s="1"/>
  <c r="AD187" i="4" a="1"/>
  <c r="AD187" i="4" s="1"/>
  <c r="AD188" i="4" a="1"/>
  <c r="AD188" i="4" s="1"/>
  <c r="AD189" i="4" a="1"/>
  <c r="AD189" i="4" s="1"/>
  <c r="AD186" i="4" a="1"/>
  <c r="AD186" i="4" s="1"/>
  <c r="AD190" i="4" a="1"/>
  <c r="AD190" i="4" s="1"/>
  <c r="AD198" i="4" s="1"/>
  <c r="D285" i="4"/>
  <c r="L285" i="4" s="1"/>
  <c r="D283" i="4"/>
  <c r="F286" i="4"/>
  <c r="F284" i="4"/>
  <c r="F285" i="4"/>
  <c r="F283" i="4"/>
  <c r="G284" i="4"/>
  <c r="E284" i="4"/>
  <c r="G286" i="4"/>
  <c r="C284" i="4"/>
  <c r="E286" i="4"/>
  <c r="H283" i="4"/>
  <c r="G285" i="4"/>
  <c r="C283" i="4"/>
  <c r="K283" i="4" s="1" a="1"/>
  <c r="E285" i="4"/>
  <c r="H284" i="4"/>
  <c r="H286" i="4"/>
  <c r="D286" i="4"/>
  <c r="C286" i="4"/>
  <c r="C285" i="4"/>
  <c r="D284" i="4"/>
  <c r="L284" i="4" s="1"/>
  <c r="G283" i="4"/>
  <c r="E283" i="4"/>
  <c r="H285" i="4"/>
  <c r="AC187" i="4" a="1"/>
  <c r="AC187" i="4" s="1"/>
  <c r="AC186" i="4" a="1"/>
  <c r="AC186" i="4" s="1"/>
  <c r="AC189" i="4" a="1"/>
  <c r="AC189" i="4" s="1"/>
  <c r="AC188" i="4" a="1"/>
  <c r="AC188" i="4" s="1"/>
  <c r="AC190" i="4" a="1"/>
  <c r="AC190" i="4" s="1"/>
  <c r="AC198" i="4" s="1"/>
  <c r="N252" i="4"/>
  <c r="N253" i="4"/>
  <c r="N251" i="4"/>
  <c r="N250" i="4"/>
  <c r="N249" i="4"/>
  <c r="N248" i="4"/>
  <c r="V248" i="4" s="1" a="1"/>
  <c r="G238" i="4"/>
  <c r="H238" i="4"/>
  <c r="F238" i="4"/>
  <c r="E238" i="4"/>
  <c r="I238" i="4"/>
  <c r="J238" i="4"/>
  <c r="AF157" i="4"/>
  <c r="AF158" i="4" s="1"/>
  <c r="C354" i="4"/>
  <c r="L258" i="4" l="1"/>
  <c r="M258" i="4" s="1"/>
  <c r="L261" i="4"/>
  <c r="L259" i="4"/>
  <c r="M259" i="4" s="1"/>
  <c r="L260" i="4"/>
  <c r="M260" i="4" s="1"/>
  <c r="AB250" i="4"/>
  <c r="AB253" i="4"/>
  <c r="AB248" i="4"/>
  <c r="AB252" i="4"/>
  <c r="AB251" i="4"/>
  <c r="AB249" i="4"/>
  <c r="S251" i="4"/>
  <c r="S249" i="4"/>
  <c r="S253" i="4"/>
  <c r="S250" i="4"/>
  <c r="S252" i="4"/>
  <c r="S248" i="4"/>
  <c r="AG196" i="4"/>
  <c r="AE253" i="4"/>
  <c r="AE251" i="4"/>
  <c r="AE250" i="4"/>
  <c r="AE248" i="4"/>
  <c r="AE252" i="4"/>
  <c r="AE249" i="4"/>
  <c r="AC194" i="4"/>
  <c r="M283" i="4"/>
  <c r="L283" i="4"/>
  <c r="K283" i="4"/>
  <c r="P283" i="4"/>
  <c r="N283" i="4"/>
  <c r="O283" i="4"/>
  <c r="AG197" i="4"/>
  <c r="U253" i="4"/>
  <c r="U249" i="4"/>
  <c r="U250" i="4"/>
  <c r="U251" i="4"/>
  <c r="U252" i="4"/>
  <c r="U248" i="4"/>
  <c r="AC195" i="4"/>
  <c r="N84" i="4"/>
  <c r="N87" i="4" s="1"/>
  <c r="O82" i="4"/>
  <c r="AG198" i="4"/>
  <c r="AG195" i="4"/>
  <c r="W251" i="4"/>
  <c r="W248" i="4"/>
  <c r="W250" i="4"/>
  <c r="W249" i="4"/>
  <c r="W252" i="4"/>
  <c r="W253" i="4"/>
  <c r="AH196" i="4"/>
  <c r="AD194" i="4"/>
  <c r="AC248" i="4" a="1"/>
  <c r="AF250" i="4"/>
  <c r="AF249" i="4"/>
  <c r="AF253" i="4"/>
  <c r="AF252" i="4"/>
  <c r="AF251" i="4"/>
  <c r="AF248" i="4"/>
  <c r="V253" i="4"/>
  <c r="V252" i="4"/>
  <c r="V248" i="4"/>
  <c r="V249" i="4"/>
  <c r="V251" i="4"/>
  <c r="V250" i="4"/>
  <c r="C365" i="4"/>
  <c r="AD197" i="4"/>
  <c r="AE198" i="4"/>
  <c r="M213" i="4"/>
  <c r="M211" i="4"/>
  <c r="M209" i="4"/>
  <c r="M207" i="4"/>
  <c r="O212" i="4"/>
  <c r="O210" i="4"/>
  <c r="O208" i="4"/>
  <c r="O206" i="4"/>
  <c r="O216" i="4" s="1"/>
  <c r="O224" i="4" s="1"/>
  <c r="O213" i="4"/>
  <c r="L211" i="4"/>
  <c r="P208" i="4"/>
  <c r="M206" i="4"/>
  <c r="M216" i="4" s="1"/>
  <c r="M224" i="4" s="1"/>
  <c r="Q212" i="4"/>
  <c r="N210" i="4"/>
  <c r="L208" i="4"/>
  <c r="Q211" i="4"/>
  <c r="O209" i="4"/>
  <c r="L207" i="4"/>
  <c r="P211" i="4"/>
  <c r="N209" i="4"/>
  <c r="Q206" i="4"/>
  <c r="Q216" i="4" s="1"/>
  <c r="Q224" i="4" s="1"/>
  <c r="N211" i="4"/>
  <c r="P207" i="4"/>
  <c r="Q210" i="4"/>
  <c r="O207" i="4"/>
  <c r="P210" i="4"/>
  <c r="N207" i="4"/>
  <c r="Q213" i="4"/>
  <c r="M210" i="4"/>
  <c r="P206" i="4"/>
  <c r="P216" i="4" s="1"/>
  <c r="P224" i="4" s="1"/>
  <c r="P213" i="4"/>
  <c r="L210" i="4"/>
  <c r="N206" i="4"/>
  <c r="N216" i="4" s="1"/>
  <c r="N224" i="4" s="1"/>
  <c r="L213" i="4"/>
  <c r="P209" i="4"/>
  <c r="L206" i="4"/>
  <c r="P212" i="4"/>
  <c r="L209" i="4"/>
  <c r="N212" i="4"/>
  <c r="Q208" i="4"/>
  <c r="M212" i="4"/>
  <c r="N208" i="4"/>
  <c r="L212" i="4"/>
  <c r="M208" i="4"/>
  <c r="O211" i="4"/>
  <c r="Q207" i="4"/>
  <c r="N213" i="4"/>
  <c r="Q209" i="4"/>
  <c r="D365" i="4"/>
  <c r="AH195" i="4"/>
  <c r="M284" i="4"/>
  <c r="AD196" i="4"/>
  <c r="AE197" i="4"/>
  <c r="C306" i="4" a="1"/>
  <c r="AC193" i="4"/>
  <c r="L169" i="4"/>
  <c r="M169" i="4" s="1"/>
  <c r="N169" i="4" s="1"/>
  <c r="O169" i="4" s="1"/>
  <c r="P169" i="4" s="1"/>
  <c r="Q169" i="4" s="1"/>
  <c r="L168" i="4"/>
  <c r="M168" i="4" s="1"/>
  <c r="N168" i="4" s="1"/>
  <c r="O168" i="4" s="1"/>
  <c r="P168" i="4" s="1"/>
  <c r="Q168" i="4" s="1"/>
  <c r="L167" i="4"/>
  <c r="S51" i="677" a="1"/>
  <c r="S51" i="677" s="1"/>
  <c r="R51" i="677" a="1"/>
  <c r="R51" i="677" s="1"/>
  <c r="N52" i="677" a="1"/>
  <c r="N52" i="677" s="1"/>
  <c r="AE194" i="4"/>
  <c r="AF194" i="4"/>
  <c r="S247" i="4" a="1"/>
  <c r="K256" i="4" a="1"/>
  <c r="K264" i="4" a="1"/>
  <c r="AF195" i="4"/>
  <c r="X252" i="4"/>
  <c r="X253" i="4"/>
  <c r="X248" i="4"/>
  <c r="X250" i="4"/>
  <c r="X249" i="4"/>
  <c r="X251" i="4"/>
  <c r="AD195" i="4"/>
  <c r="AE195" i="4"/>
  <c r="AH194" i="4"/>
  <c r="AC196" i="4"/>
  <c r="L257" i="4"/>
  <c r="T248" i="4" a="1"/>
  <c r="AC197" i="4"/>
  <c r="T285" i="4"/>
  <c r="AB285" i="4" s="1"/>
  <c r="AB287" i="4" s="1"/>
  <c r="M285" i="4"/>
  <c r="AF196" i="4"/>
  <c r="AD248" i="4" a="1"/>
  <c r="L286" i="4"/>
  <c r="AF197" i="4"/>
  <c r="AH198" i="4"/>
  <c r="AA248" i="4" a="1"/>
  <c r="K469" i="4"/>
  <c r="J472" i="4"/>
  <c r="J475" i="4" s="1"/>
  <c r="L267" i="4" l="1"/>
  <c r="L266" i="4"/>
  <c r="L269" i="4"/>
  <c r="M261" i="4"/>
  <c r="N261" i="4" s="1"/>
  <c r="L268" i="4"/>
  <c r="N285" i="4"/>
  <c r="M167" i="4"/>
  <c r="N167" i="4" s="1"/>
  <c r="O167" i="4" s="1"/>
  <c r="P167" i="4" s="1"/>
  <c r="Q167" i="4" s="1"/>
  <c r="L166" i="4"/>
  <c r="M166" i="4" s="1"/>
  <c r="N166" i="4" s="1"/>
  <c r="O166" i="4" s="1"/>
  <c r="P166" i="4" s="1"/>
  <c r="Q166" i="4" s="1"/>
  <c r="L216" i="4"/>
  <c r="AC206" i="4" a="1"/>
  <c r="M220" i="4" a="1"/>
  <c r="M220" i="4" s="1"/>
  <c r="M217" i="4" a="1"/>
  <c r="M217" i="4" s="1"/>
  <c r="M225" i="4" s="1"/>
  <c r="M218" i="4" a="1"/>
  <c r="M218" i="4" s="1"/>
  <c r="M221" i="4" a="1"/>
  <c r="M221" i="4" s="1"/>
  <c r="M219" i="4" a="1"/>
  <c r="M219" i="4" s="1"/>
  <c r="T253" i="4"/>
  <c r="T252" i="4"/>
  <c r="T261" i="4" s="1"/>
  <c r="U261" i="4" s="1"/>
  <c r="V261" i="4" s="1"/>
  <c r="W261" i="4" s="1"/>
  <c r="X261" i="4" s="1"/>
  <c r="T248" i="4"/>
  <c r="T257" i="4" s="1"/>
  <c r="U257" i="4" s="1"/>
  <c r="V257" i="4" s="1"/>
  <c r="W257" i="4" s="1"/>
  <c r="X257" i="4" s="1"/>
  <c r="T251" i="4"/>
  <c r="T260" i="4" s="1"/>
  <c r="U260" i="4" s="1"/>
  <c r="V260" i="4" s="1"/>
  <c r="W260" i="4" s="1"/>
  <c r="X260" i="4" s="1"/>
  <c r="T250" i="4"/>
  <c r="T259" i="4" s="1"/>
  <c r="U259" i="4" s="1"/>
  <c r="V259" i="4" s="1"/>
  <c r="W259" i="4" s="1"/>
  <c r="X259" i="4" s="1"/>
  <c r="T249" i="4"/>
  <c r="T258" i="4" s="1"/>
  <c r="U258" i="4" s="1"/>
  <c r="V258" i="4" s="1"/>
  <c r="W258" i="4" s="1"/>
  <c r="X258" i="4" s="1"/>
  <c r="P220" i="4" a="1"/>
  <c r="P220" i="4" s="1"/>
  <c r="P218" i="4" a="1"/>
  <c r="P218" i="4" s="1"/>
  <c r="P217" i="4" a="1"/>
  <c r="P217" i="4" s="1"/>
  <c r="P225" i="4" s="1"/>
  <c r="P219" i="4" a="1"/>
  <c r="P219" i="4" s="1"/>
  <c r="P221" i="4" a="1"/>
  <c r="P221" i="4" s="1"/>
  <c r="R52" i="677" a="1"/>
  <c r="R52" i="677" s="1"/>
  <c r="S52" i="677" a="1"/>
  <c r="S52" i="677" s="1"/>
  <c r="N53" i="677" a="1"/>
  <c r="N53" i="677" s="1"/>
  <c r="S283" i="4" a="1"/>
  <c r="O218" i="4" a="1"/>
  <c r="O218" i="4" s="1"/>
  <c r="O217" i="4" a="1"/>
  <c r="O217" i="4" s="1"/>
  <c r="O220" i="4" a="1"/>
  <c r="O220" i="4" s="1"/>
  <c r="O219" i="4" a="1"/>
  <c r="O219" i="4" s="1"/>
  <c r="O227" i="4" s="1"/>
  <c r="O221" i="4" a="1"/>
  <c r="O221" i="4" s="1"/>
  <c r="AA249" i="4"/>
  <c r="AA251" i="4"/>
  <c r="AA250" i="4"/>
  <c r="AA248" i="4"/>
  <c r="AA252" i="4"/>
  <c r="AA253" i="4"/>
  <c r="L264" i="4"/>
  <c r="P264" i="4"/>
  <c r="O264" i="4"/>
  <c r="M264" i="4"/>
  <c r="N264" i="4"/>
  <c r="K264" i="4"/>
  <c r="S264" i="4" s="1" a="1"/>
  <c r="D310" i="4"/>
  <c r="L310" i="4" s="1"/>
  <c r="D308" i="4"/>
  <c r="D306" i="4"/>
  <c r="F311" i="4"/>
  <c r="F309" i="4"/>
  <c r="F307" i="4"/>
  <c r="F310" i="4"/>
  <c r="F308" i="4"/>
  <c r="F306" i="4"/>
  <c r="C311" i="4"/>
  <c r="E308" i="4"/>
  <c r="H310" i="4"/>
  <c r="C308" i="4"/>
  <c r="E310" i="4"/>
  <c r="G307" i="4"/>
  <c r="C310" i="4"/>
  <c r="E307" i="4"/>
  <c r="H311" i="4"/>
  <c r="D309" i="4"/>
  <c r="G306" i="4"/>
  <c r="G311" i="4"/>
  <c r="C309" i="4"/>
  <c r="E306" i="4"/>
  <c r="D311" i="4"/>
  <c r="L311" i="4" s="1"/>
  <c r="G308" i="4"/>
  <c r="C306" i="4"/>
  <c r="E311" i="4"/>
  <c r="G310" i="4"/>
  <c r="H309" i="4"/>
  <c r="E309" i="4"/>
  <c r="H308" i="4"/>
  <c r="H307" i="4"/>
  <c r="D307" i="4"/>
  <c r="L307" i="4" s="1"/>
  <c r="C307" i="4"/>
  <c r="H306" i="4"/>
  <c r="G309" i="4"/>
  <c r="Q217" i="4" a="1"/>
  <c r="Q217" i="4" s="1"/>
  <c r="Q225" i="4" s="1"/>
  <c r="Q220" i="4" a="1"/>
  <c r="Q220" i="4" s="1"/>
  <c r="Q218" i="4" a="1"/>
  <c r="Q218" i="4" s="1"/>
  <c r="Q221" i="4" a="1"/>
  <c r="Q221" i="4" s="1"/>
  <c r="Q219" i="4" a="1"/>
  <c r="Q219" i="4" s="1"/>
  <c r="N259" i="4"/>
  <c r="U352" i="4" a="1"/>
  <c r="N220" i="4" a="1"/>
  <c r="N220" i="4" s="1"/>
  <c r="N228" i="4" s="1"/>
  <c r="N218" i="4" a="1"/>
  <c r="N218" i="4" s="1"/>
  <c r="N217" i="4" a="1"/>
  <c r="N217" i="4" s="1"/>
  <c r="N219" i="4" a="1"/>
  <c r="N219" i="4" s="1"/>
  <c r="N221" i="4" a="1"/>
  <c r="N221" i="4" s="1"/>
  <c r="L265" i="4"/>
  <c r="M257" i="4"/>
  <c r="M266" i="4" s="1"/>
  <c r="V247" i="4"/>
  <c r="S247" i="4"/>
  <c r="X247" i="4"/>
  <c r="W247" i="4"/>
  <c r="T247" i="4"/>
  <c r="U247" i="4"/>
  <c r="N260" i="4"/>
  <c r="L469" i="4"/>
  <c r="K472" i="4"/>
  <c r="K475" i="4" s="1"/>
  <c r="N256" i="4"/>
  <c r="O256" i="4"/>
  <c r="M256" i="4"/>
  <c r="K256" i="4"/>
  <c r="P256" i="4"/>
  <c r="L256" i="4"/>
  <c r="T286" i="4"/>
  <c r="M286" i="4"/>
  <c r="U284" i="4" s="1"/>
  <c r="AC284" i="4" s="1"/>
  <c r="AC286" i="4" s="1"/>
  <c r="N284" i="4"/>
  <c r="P82" i="4"/>
  <c r="O84" i="4"/>
  <c r="O87" i="4" s="1"/>
  <c r="N258" i="4"/>
  <c r="AD252" i="4"/>
  <c r="AD249" i="4"/>
  <c r="AD248" i="4"/>
  <c r="AD253" i="4"/>
  <c r="AD251" i="4"/>
  <c r="AD250" i="4"/>
  <c r="T284" i="4"/>
  <c r="AB284" i="4" s="1"/>
  <c r="AB286" i="4" s="1"/>
  <c r="L218" i="4" a="1"/>
  <c r="L218" i="4" s="1"/>
  <c r="L220" i="4" a="1"/>
  <c r="L220" i="4" s="1"/>
  <c r="L217" i="4" a="1"/>
  <c r="L217" i="4" s="1"/>
  <c r="L219" i="4" a="1"/>
  <c r="L219" i="4" s="1"/>
  <c r="L221" i="4" a="1"/>
  <c r="L221" i="4" s="1"/>
  <c r="L229" i="4" s="1"/>
  <c r="AC248" i="4"/>
  <c r="AC251" i="4"/>
  <c r="AC250" i="4"/>
  <c r="AC252" i="4"/>
  <c r="AC253" i="4"/>
  <c r="AC249" i="4"/>
  <c r="M267" i="4" l="1"/>
  <c r="U267" i="4" s="1"/>
  <c r="T267" i="4"/>
  <c r="T269" i="4"/>
  <c r="S256" i="4" a="1"/>
  <c r="O229" i="4"/>
  <c r="P226" i="4"/>
  <c r="M228" i="4"/>
  <c r="T310" i="4"/>
  <c r="M310" i="4"/>
  <c r="U266" i="4"/>
  <c r="AA247" i="4" a="1"/>
  <c r="O228" i="4"/>
  <c r="L224" i="4"/>
  <c r="C317" i="4" a="1"/>
  <c r="P228" i="4"/>
  <c r="O226" i="4"/>
  <c r="O258" i="4"/>
  <c r="L228" i="4"/>
  <c r="P84" i="4"/>
  <c r="P87" i="4" s="1"/>
  <c r="Q82" i="4"/>
  <c r="M469" i="4"/>
  <c r="L472" i="4"/>
  <c r="L475" i="4" s="1"/>
  <c r="N257" i="4"/>
  <c r="N266" i="4" s="1"/>
  <c r="M265" i="4"/>
  <c r="O259" i="4"/>
  <c r="L309" i="4"/>
  <c r="X283" i="4"/>
  <c r="T283" i="4"/>
  <c r="W283" i="4"/>
  <c r="S283" i="4"/>
  <c r="V283" i="4"/>
  <c r="U283" i="4"/>
  <c r="V285" i="4"/>
  <c r="AD285" i="4" s="1"/>
  <c r="AD287" i="4" s="1"/>
  <c r="O285" i="4"/>
  <c r="S53" i="677" a="1"/>
  <c r="S53" i="677" s="1"/>
  <c r="R53" i="677" a="1"/>
  <c r="R53" i="677" s="1"/>
  <c r="N54" i="677" a="1"/>
  <c r="N54" i="677" s="1"/>
  <c r="U285" i="4"/>
  <c r="AC285" i="4" s="1"/>
  <c r="AC287" i="4" s="1"/>
  <c r="U352" i="4"/>
  <c r="V352" i="4"/>
  <c r="O225" i="4"/>
  <c r="L226" i="4"/>
  <c r="T266" i="4"/>
  <c r="N229" i="4"/>
  <c r="Q227" i="4"/>
  <c r="M269" i="4"/>
  <c r="AC213" i="4"/>
  <c r="AC211" i="4"/>
  <c r="AC209" i="4"/>
  <c r="AC207" i="4"/>
  <c r="AE212" i="4"/>
  <c r="AE210" i="4"/>
  <c r="AE208" i="4"/>
  <c r="AE206" i="4"/>
  <c r="AE216" i="4" s="1"/>
  <c r="AE224" i="4" s="1"/>
  <c r="AF212" i="4"/>
  <c r="AC210" i="4"/>
  <c r="AG207" i="4"/>
  <c r="AH211" i="4"/>
  <c r="AF209" i="4"/>
  <c r="AD207" i="4"/>
  <c r="AE213" i="4"/>
  <c r="AH210" i="4"/>
  <c r="AF208" i="4"/>
  <c r="AD213" i="4"/>
  <c r="AG210" i="4"/>
  <c r="AD208" i="4"/>
  <c r="AC206" i="4"/>
  <c r="AC216" i="4" s="1"/>
  <c r="AH213" i="4"/>
  <c r="AD210" i="4"/>
  <c r="AG206" i="4"/>
  <c r="AG216" i="4" s="1"/>
  <c r="AG224" i="4" s="1"/>
  <c r="AG213" i="4"/>
  <c r="AH209" i="4"/>
  <c r="AF206" i="4"/>
  <c r="AF216" i="4" s="1"/>
  <c r="AF224" i="4" s="1"/>
  <c r="AF213" i="4"/>
  <c r="AG209" i="4"/>
  <c r="AD206" i="4"/>
  <c r="AD216" i="4" s="1"/>
  <c r="AD224" i="4" s="1"/>
  <c r="AH212" i="4"/>
  <c r="AE209" i="4"/>
  <c r="AG212" i="4"/>
  <c r="AD209" i="4"/>
  <c r="AC212" i="4"/>
  <c r="AG208" i="4"/>
  <c r="AG211" i="4"/>
  <c r="AC208" i="4"/>
  <c r="AF211" i="4"/>
  <c r="AH207" i="4"/>
  <c r="AE211" i="4"/>
  <c r="AF207" i="4"/>
  <c r="AD211" i="4"/>
  <c r="AE207" i="4"/>
  <c r="AF210" i="4"/>
  <c r="AH206" i="4"/>
  <c r="AH216" i="4" s="1"/>
  <c r="AH224" i="4" s="1"/>
  <c r="AD212" i="4"/>
  <c r="AH208" i="4"/>
  <c r="L225" i="4"/>
  <c r="N227" i="4"/>
  <c r="Q229" i="4"/>
  <c r="M227" i="4"/>
  <c r="O261" i="4"/>
  <c r="U264" i="4"/>
  <c r="V264" i="4"/>
  <c r="T264" i="4"/>
  <c r="S264" i="4"/>
  <c r="X264" i="4"/>
  <c r="W264" i="4"/>
  <c r="L227" i="4"/>
  <c r="M307" i="4"/>
  <c r="T307" i="4"/>
  <c r="T265" i="4"/>
  <c r="U286" i="4"/>
  <c r="N286" i="4"/>
  <c r="O260" i="4"/>
  <c r="M268" i="4"/>
  <c r="Q226" i="4"/>
  <c r="P229" i="4"/>
  <c r="M229" i="4"/>
  <c r="T311" i="4"/>
  <c r="M311" i="4"/>
  <c r="O284" i="4"/>
  <c r="N225" i="4"/>
  <c r="N226" i="4"/>
  <c r="Q228" i="4"/>
  <c r="K306" i="4" a="1"/>
  <c r="L308" i="4"/>
  <c r="P227" i="4"/>
  <c r="M226" i="4"/>
  <c r="T268" i="4"/>
  <c r="N267" i="4" l="1"/>
  <c r="V267" i="4" s="1"/>
  <c r="V266" i="4"/>
  <c r="AE247" i="4"/>
  <c r="AD247" i="4"/>
  <c r="AC247" i="4"/>
  <c r="AA247" i="4"/>
  <c r="AF247" i="4"/>
  <c r="AB247" i="4"/>
  <c r="M306" i="4"/>
  <c r="P306" i="4"/>
  <c r="O306" i="4"/>
  <c r="L306" i="4"/>
  <c r="K306" i="4"/>
  <c r="N306" i="4"/>
  <c r="V286" i="4"/>
  <c r="O286" i="4"/>
  <c r="R82" i="4"/>
  <c r="Q84" i="4"/>
  <c r="Q87" i="4" s="1"/>
  <c r="U268" i="4"/>
  <c r="P260" i="4"/>
  <c r="N268" i="4"/>
  <c r="AA283" i="4" a="1"/>
  <c r="N310" i="4"/>
  <c r="U310" i="4"/>
  <c r="AG218" i="4" a="1"/>
  <c r="AG218" i="4" s="1"/>
  <c r="AG220" i="4" a="1"/>
  <c r="AG220" i="4" s="1"/>
  <c r="AG217" i="4" a="1"/>
  <c r="AG217" i="4" s="1"/>
  <c r="AG221" i="4" a="1"/>
  <c r="AG221" i="4" s="1"/>
  <c r="AG229" i="4" s="1"/>
  <c r="AG219" i="4" a="1"/>
  <c r="AG219" i="4" s="1"/>
  <c r="M308" i="4"/>
  <c r="T308" i="4"/>
  <c r="AE217" i="4" a="1"/>
  <c r="AE217" i="4" s="1"/>
  <c r="AE225" i="4" s="1"/>
  <c r="AE220" i="4" a="1"/>
  <c r="AE220" i="4" s="1"/>
  <c r="AE218" i="4" a="1"/>
  <c r="AE218" i="4" s="1"/>
  <c r="AE219" i="4" a="1"/>
  <c r="AE219" i="4" s="1"/>
  <c r="AE221" i="4" a="1"/>
  <c r="AE221" i="4" s="1"/>
  <c r="W284" i="4"/>
  <c r="AE284" i="4" s="1"/>
  <c r="AE286" i="4" s="1"/>
  <c r="P284" i="4"/>
  <c r="N269" i="4"/>
  <c r="E322" i="4"/>
  <c r="E320" i="4"/>
  <c r="E318" i="4"/>
  <c r="G321" i="4"/>
  <c r="G319" i="4"/>
  <c r="O319" i="4" s="1"/>
  <c r="G317" i="4"/>
  <c r="G322" i="4"/>
  <c r="G320" i="4"/>
  <c r="G318" i="4"/>
  <c r="H321" i="4"/>
  <c r="D319" i="4"/>
  <c r="F321" i="4"/>
  <c r="C319" i="4"/>
  <c r="D321" i="4"/>
  <c r="F318" i="4"/>
  <c r="N318" i="4" s="1"/>
  <c r="C321" i="4"/>
  <c r="K321" i="4" s="1"/>
  <c r="D318" i="4"/>
  <c r="L318" i="4" s="1"/>
  <c r="H322" i="4"/>
  <c r="C320" i="4"/>
  <c r="E317" i="4"/>
  <c r="F322" i="4"/>
  <c r="H319" i="4"/>
  <c r="D317" i="4"/>
  <c r="D346" i="4" s="1"/>
  <c r="C322" i="4"/>
  <c r="E319" i="4"/>
  <c r="C317" i="4"/>
  <c r="F317" i="4"/>
  <c r="E346" i="4" s="1"/>
  <c r="D322" i="4"/>
  <c r="E321" i="4"/>
  <c r="M321" i="4" s="1"/>
  <c r="F320" i="4"/>
  <c r="D320" i="4"/>
  <c r="F319" i="4"/>
  <c r="H318" i="4"/>
  <c r="C318" i="4"/>
  <c r="H317" i="4"/>
  <c r="F346" i="4" s="1"/>
  <c r="H320" i="4"/>
  <c r="P320" i="4" s="1"/>
  <c r="W285" i="4"/>
  <c r="AE285" i="4" s="1"/>
  <c r="AE287" i="4" s="1"/>
  <c r="P285" i="4"/>
  <c r="AC224" i="4"/>
  <c r="P261" i="4"/>
  <c r="V284" i="4"/>
  <c r="AH218" i="4" a="1"/>
  <c r="AH218" i="4" s="1"/>
  <c r="AH220" i="4" a="1"/>
  <c r="AH220" i="4" s="1"/>
  <c r="AH217" i="4" a="1"/>
  <c r="AH217" i="4" s="1"/>
  <c r="AH219" i="4" a="1"/>
  <c r="AH219" i="4" s="1"/>
  <c r="AH221" i="4" a="1"/>
  <c r="AH221" i="4" s="1"/>
  <c r="AH229" i="4" s="1"/>
  <c r="AC217" i="4" a="1"/>
  <c r="AC217" i="4" s="1"/>
  <c r="C336" i="4" s="1" a="1"/>
  <c r="AC220" i="4" a="1"/>
  <c r="AC220" i="4" s="1"/>
  <c r="AC218" i="4" a="1"/>
  <c r="AC218" i="4" s="1"/>
  <c r="AC219" i="4" a="1"/>
  <c r="AC219" i="4" s="1"/>
  <c r="AC221" i="4" a="1"/>
  <c r="AC221" i="4" s="1"/>
  <c r="AC229" i="4" s="1"/>
  <c r="AA264" i="4" a="1"/>
  <c r="O257" i="4"/>
  <c r="O266" i="4" s="1"/>
  <c r="N265" i="4"/>
  <c r="M472" i="4"/>
  <c r="M475" i="4" s="1"/>
  <c r="N469" i="4"/>
  <c r="U311" i="4"/>
  <c r="N311" i="4"/>
  <c r="P258" i="4"/>
  <c r="U269" i="4"/>
  <c r="U265" i="4"/>
  <c r="AF217" i="4" a="1"/>
  <c r="AF217" i="4" s="1"/>
  <c r="AF218" i="4" a="1"/>
  <c r="AF218" i="4" s="1"/>
  <c r="AF220" i="4" a="1"/>
  <c r="AF220" i="4" s="1"/>
  <c r="AF221" i="4" a="1"/>
  <c r="AF221" i="4" s="1"/>
  <c r="AF219" i="4" a="1"/>
  <c r="AF219" i="4" s="1"/>
  <c r="AF227" i="4" s="1"/>
  <c r="N307" i="4"/>
  <c r="U307" i="4"/>
  <c r="AD218" i="4" a="1"/>
  <c r="AD218" i="4" s="1"/>
  <c r="AD217" i="4" a="1"/>
  <c r="AD217" i="4" s="1"/>
  <c r="AD225" i="4" s="1"/>
  <c r="AD220" i="4" a="1"/>
  <c r="AD220" i="4" s="1"/>
  <c r="AD221" i="4" a="1"/>
  <c r="AD221" i="4" s="1"/>
  <c r="AD219" i="4" a="1"/>
  <c r="AD219" i="4" s="1"/>
  <c r="T309" i="4"/>
  <c r="M309" i="4"/>
  <c r="S54" i="677" a="1"/>
  <c r="S54" i="677" s="1"/>
  <c r="R54" i="677" a="1"/>
  <c r="R54" i="677" s="1"/>
  <c r="N55" i="677" a="1"/>
  <c r="N55" i="677" s="1"/>
  <c r="P259" i="4"/>
  <c r="U256" i="4"/>
  <c r="T256" i="4"/>
  <c r="S256" i="4"/>
  <c r="X256" i="4"/>
  <c r="W256" i="4"/>
  <c r="V256" i="4"/>
  <c r="O267" i="4" l="1"/>
  <c r="W267" i="4" s="1"/>
  <c r="O269" i="4"/>
  <c r="W269" i="4" s="1"/>
  <c r="O268" i="4"/>
  <c r="W268" i="4" s="1"/>
  <c r="C340" i="4"/>
  <c r="C338" i="4"/>
  <c r="E341" i="4"/>
  <c r="E339" i="4"/>
  <c r="E337" i="4"/>
  <c r="E340" i="4"/>
  <c r="E338" i="4"/>
  <c r="E336" i="4"/>
  <c r="F339" i="4"/>
  <c r="H336" i="4"/>
  <c r="H341" i="4"/>
  <c r="D339" i="4"/>
  <c r="L339" i="4" s="1"/>
  <c r="G336" i="4"/>
  <c r="F341" i="4"/>
  <c r="H338" i="4"/>
  <c r="D336" i="4"/>
  <c r="D341" i="4"/>
  <c r="L341" i="4" s="1"/>
  <c r="G338" i="4"/>
  <c r="C336" i="4"/>
  <c r="F340" i="4"/>
  <c r="G337" i="4"/>
  <c r="D340" i="4"/>
  <c r="L340" i="4" s="1"/>
  <c r="F337" i="4"/>
  <c r="G339" i="4"/>
  <c r="C337" i="4"/>
  <c r="F336" i="4"/>
  <c r="G341" i="4"/>
  <c r="C341" i="4"/>
  <c r="H340" i="4"/>
  <c r="H339" i="4"/>
  <c r="C339" i="4"/>
  <c r="F338" i="4"/>
  <c r="D338" i="4"/>
  <c r="L338" i="4" s="1"/>
  <c r="H337" i="4"/>
  <c r="D337" i="4"/>
  <c r="L337" i="4" s="1"/>
  <c r="G340" i="4"/>
  <c r="O321" i="4"/>
  <c r="M318" i="4"/>
  <c r="U308" i="4"/>
  <c r="N308" i="4"/>
  <c r="AC228" i="4"/>
  <c r="K317" i="4" a="1"/>
  <c r="L321" i="4"/>
  <c r="M320" i="4"/>
  <c r="AG227" i="4"/>
  <c r="K322" i="4"/>
  <c r="N321" i="4"/>
  <c r="V269" i="4"/>
  <c r="AG225" i="4"/>
  <c r="R84" i="4"/>
  <c r="R87" i="4" s="1"/>
  <c r="S82" i="4"/>
  <c r="L322" i="4"/>
  <c r="W266" i="4"/>
  <c r="V307" i="4"/>
  <c r="O307" i="4"/>
  <c r="V311" i="4"/>
  <c r="O311" i="4"/>
  <c r="K319" i="4"/>
  <c r="AF228" i="4"/>
  <c r="O469" i="4"/>
  <c r="N472" i="4"/>
  <c r="N475" i="4" s="1"/>
  <c r="AH227" i="4"/>
  <c r="I347" i="4" a="1"/>
  <c r="C356" i="4" a="1"/>
  <c r="L319" i="4"/>
  <c r="AG228" i="4"/>
  <c r="W286" i="4"/>
  <c r="P286" i="4"/>
  <c r="X286" i="4" s="1"/>
  <c r="S55" i="677" a="1"/>
  <c r="S55" i="677" s="1"/>
  <c r="R55" i="677" a="1"/>
  <c r="R55" i="677" s="1"/>
  <c r="N56" i="677" a="1"/>
  <c r="N56" i="677" s="1"/>
  <c r="U309" i="4"/>
  <c r="N309" i="4"/>
  <c r="AF226" i="4"/>
  <c r="AH225" i="4"/>
  <c r="K318" i="4"/>
  <c r="S318" i="4" a="1"/>
  <c r="P319" i="4"/>
  <c r="P321" i="4"/>
  <c r="AG226" i="4"/>
  <c r="AC227" i="4"/>
  <c r="AH228" i="4"/>
  <c r="P318" i="4"/>
  <c r="N322" i="4"/>
  <c r="O318" i="4"/>
  <c r="AE229" i="4"/>
  <c r="AC226" i="4"/>
  <c r="AF229" i="4"/>
  <c r="AD227" i="4"/>
  <c r="P49" i="3033" a="1"/>
  <c r="V265" i="4"/>
  <c r="AH226" i="4"/>
  <c r="N319" i="4"/>
  <c r="O320" i="4"/>
  <c r="AE227" i="4"/>
  <c r="V310" i="4"/>
  <c r="O310" i="4"/>
  <c r="S306" i="4" a="1"/>
  <c r="AC225" i="4"/>
  <c r="AJ217" i="4"/>
  <c r="M322" i="4"/>
  <c r="AD229" i="4"/>
  <c r="O265" i="4"/>
  <c r="P257" i="4"/>
  <c r="P268" i="4" s="1"/>
  <c r="P45" i="3033" a="1"/>
  <c r="AD284" i="4"/>
  <c r="AD286" i="4" s="1"/>
  <c r="AD288" i="4" s="1"/>
  <c r="L320" i="4"/>
  <c r="K320" i="4"/>
  <c r="O322" i="4"/>
  <c r="AE226" i="4"/>
  <c r="AD283" i="4"/>
  <c r="AC283" i="4"/>
  <c r="AA283" i="4"/>
  <c r="AE283" i="4"/>
  <c r="AF283" i="4"/>
  <c r="AB283" i="4"/>
  <c r="AD226" i="4"/>
  <c r="M319" i="4"/>
  <c r="AK217" i="4"/>
  <c r="AF225" i="4"/>
  <c r="AA256" i="4" a="1"/>
  <c r="AD228" i="4"/>
  <c r="AA264" i="4"/>
  <c r="AF264" i="4"/>
  <c r="AE264" i="4"/>
  <c r="AC264" i="4"/>
  <c r="AB264" i="4"/>
  <c r="AD264" i="4"/>
  <c r="N320" i="4"/>
  <c r="P322" i="4"/>
  <c r="AE228" i="4"/>
  <c r="V268" i="4"/>
  <c r="P269" i="4" l="1"/>
  <c r="X269" i="4" s="1"/>
  <c r="P267" i="4"/>
  <c r="X267" i="4" s="1"/>
  <c r="X268" i="4"/>
  <c r="T337" i="4"/>
  <c r="M337" i="4"/>
  <c r="T340" i="4"/>
  <c r="M340" i="4"/>
  <c r="M338" i="4"/>
  <c r="T338" i="4"/>
  <c r="S56" i="677" a="1"/>
  <c r="S56" i="677" s="1"/>
  <c r="R56" i="677" a="1"/>
  <c r="R56" i="677" s="1"/>
  <c r="N57" i="677" a="1"/>
  <c r="N57" i="677" s="1"/>
  <c r="O472" i="4"/>
  <c r="O475" i="4" s="1"/>
  <c r="P469" i="4"/>
  <c r="X285" i="4"/>
  <c r="AF285" i="4" s="1"/>
  <c r="AF287" i="4" s="1"/>
  <c r="S84" i="4"/>
  <c r="S87" i="4" s="1"/>
  <c r="T82" i="4"/>
  <c r="K336" i="4" a="1"/>
  <c r="D356" i="4"/>
  <c r="F356" i="4"/>
  <c r="E356" i="4"/>
  <c r="C356" i="4"/>
  <c r="C361" i="4" s="1" a="1"/>
  <c r="P43" i="3033"/>
  <c r="O309" i="4"/>
  <c r="V309" i="4"/>
  <c r="W265" i="4"/>
  <c r="W311" i="4"/>
  <c r="P311" i="4"/>
  <c r="M341" i="4"/>
  <c r="T341" i="4"/>
  <c r="T339" i="4"/>
  <c r="M339" i="4"/>
  <c r="P265" i="4"/>
  <c r="AA257" i="4" a="1"/>
  <c r="P50" i="3033"/>
  <c r="P53" i="3033"/>
  <c r="P52" i="3033"/>
  <c r="P51" i="3033"/>
  <c r="P49" i="3033"/>
  <c r="O308" i="4"/>
  <c r="V308" i="4"/>
  <c r="I347" i="4"/>
  <c r="J347" i="4"/>
  <c r="K347" i="4"/>
  <c r="L347" i="4"/>
  <c r="P266" i="4"/>
  <c r="AF256" i="4"/>
  <c r="AB256" i="4"/>
  <c r="AE256" i="4"/>
  <c r="AD256" i="4"/>
  <c r="AA256" i="4"/>
  <c r="AC256" i="4"/>
  <c r="P307" i="4"/>
  <c r="X307" i="4" s="1"/>
  <c r="W307" i="4"/>
  <c r="P46" i="3033"/>
  <c r="P47" i="3033"/>
  <c r="P45" i="3033"/>
  <c r="N317" i="4"/>
  <c r="O317" i="4"/>
  <c r="M317" i="4"/>
  <c r="L317" i="4"/>
  <c r="K317" i="4"/>
  <c r="P317" i="4"/>
  <c r="S318" i="4"/>
  <c r="S322" i="4"/>
  <c r="T322" i="4" s="1"/>
  <c r="U322" i="4" s="1"/>
  <c r="V322" i="4" s="1"/>
  <c r="W322" i="4" s="1"/>
  <c r="X322" i="4" s="1"/>
  <c r="S320" i="4"/>
  <c r="T320" i="4" s="1"/>
  <c r="U320" i="4" s="1"/>
  <c r="V320" i="4" s="1"/>
  <c r="W320" i="4" s="1"/>
  <c r="X320" i="4" s="1"/>
  <c r="S319" i="4"/>
  <c r="S321" i="4"/>
  <c r="T321" i="4" s="1"/>
  <c r="U321" i="4" s="1"/>
  <c r="V321" i="4" s="1"/>
  <c r="W321" i="4" s="1"/>
  <c r="X321" i="4" s="1"/>
  <c r="X284" i="4"/>
  <c r="AF284" i="4" s="1"/>
  <c r="AF286" i="4" s="1"/>
  <c r="AK218" i="4"/>
  <c r="X306" i="4"/>
  <c r="T306" i="4"/>
  <c r="U306" i="4"/>
  <c r="V306" i="4"/>
  <c r="W306" i="4"/>
  <c r="S306" i="4"/>
  <c r="W310" i="4"/>
  <c r="P310" i="4"/>
  <c r="R57" i="677" l="1" a="1"/>
  <c r="R57" i="677" s="1"/>
  <c r="S57" i="677" a="1"/>
  <c r="S57" i="677" s="1"/>
  <c r="T319" i="4"/>
  <c r="C358" i="4"/>
  <c r="U338" i="4"/>
  <c r="N338" i="4"/>
  <c r="N339" i="4"/>
  <c r="U339" i="4"/>
  <c r="S317" i="4" a="1"/>
  <c r="T84" i="4"/>
  <c r="T87" i="4" s="1"/>
  <c r="U82" i="4"/>
  <c r="U340" i="4"/>
  <c r="N340" i="4"/>
  <c r="M347" i="4" a="1"/>
  <c r="N341" i="4"/>
  <c r="U341" i="4"/>
  <c r="P308" i="4"/>
  <c r="X308" i="4" s="1"/>
  <c r="W308" i="4"/>
  <c r="X265" i="4"/>
  <c r="T318" i="4"/>
  <c r="AA318" i="4" a="1"/>
  <c r="C359" i="4"/>
  <c r="C357" i="4"/>
  <c r="K336" i="4"/>
  <c r="L336" i="4"/>
  <c r="P336" i="4"/>
  <c r="O336" i="4"/>
  <c r="M336" i="4"/>
  <c r="N336" i="4"/>
  <c r="N337" i="4"/>
  <c r="U337" i="4"/>
  <c r="X311" i="4"/>
  <c r="X266" i="4"/>
  <c r="E361" i="4"/>
  <c r="D361" i="4"/>
  <c r="C361" i="4"/>
  <c r="F361" i="4"/>
  <c r="X310" i="4"/>
  <c r="W309" i="4"/>
  <c r="P309" i="4"/>
  <c r="X309" i="4" s="1"/>
  <c r="AA261" i="4"/>
  <c r="AA269" i="4" s="1"/>
  <c r="AA259" i="4"/>
  <c r="AA267" i="4" s="1"/>
  <c r="AC260" i="4"/>
  <c r="AC268" i="4" s="1"/>
  <c r="AC258" i="4"/>
  <c r="AC266" i="4" s="1"/>
  <c r="AA260" i="4"/>
  <c r="AA268" i="4" s="1"/>
  <c r="AE257" i="4"/>
  <c r="AE265" i="4" s="1"/>
  <c r="AF259" i="4"/>
  <c r="AF267" i="4" s="1"/>
  <c r="AD257" i="4"/>
  <c r="AD265" i="4" s="1"/>
  <c r="AF261" i="4"/>
  <c r="AF269" i="4" s="1"/>
  <c r="AD259" i="4"/>
  <c r="AD267" i="4" s="1"/>
  <c r="AB257" i="4"/>
  <c r="AB265" i="4" s="1"/>
  <c r="AE261" i="4"/>
  <c r="AE269" i="4" s="1"/>
  <c r="AC259" i="4"/>
  <c r="AC267" i="4" s="1"/>
  <c r="AA257" i="4"/>
  <c r="AA265" i="4" s="1"/>
  <c r="AF260" i="4"/>
  <c r="AF268" i="4" s="1"/>
  <c r="AD258" i="4"/>
  <c r="AD266" i="4" s="1"/>
  <c r="AE260" i="4"/>
  <c r="AE268" i="4" s="1"/>
  <c r="AB258" i="4"/>
  <c r="AB266" i="4" s="1"/>
  <c r="AB260" i="4"/>
  <c r="AB268" i="4" s="1"/>
  <c r="AF257" i="4"/>
  <c r="AF265" i="4" s="1"/>
  <c r="AD261" i="4"/>
  <c r="AD269" i="4" s="1"/>
  <c r="AC261" i="4"/>
  <c r="AC269" i="4" s="1"/>
  <c r="AB261" i="4"/>
  <c r="AB269" i="4" s="1"/>
  <c r="AD260" i="4"/>
  <c r="AD268" i="4" s="1"/>
  <c r="AB259" i="4"/>
  <c r="AB267" i="4" s="1"/>
  <c r="AF258" i="4"/>
  <c r="AF266" i="4" s="1"/>
  <c r="AE258" i="4"/>
  <c r="AE266" i="4" s="1"/>
  <c r="AA258" i="4"/>
  <c r="AA266" i="4" s="1"/>
  <c r="AC257" i="4"/>
  <c r="AC265" i="4" s="1"/>
  <c r="AE259" i="4"/>
  <c r="AE267" i="4" s="1"/>
  <c r="Q469" i="4"/>
  <c r="P472" i="4"/>
  <c r="P475" i="4" s="1"/>
  <c r="C362" i="4" l="1"/>
  <c r="C364" i="4"/>
  <c r="AB318" i="4" a="1"/>
  <c r="U318" i="4"/>
  <c r="D359" i="4"/>
  <c r="D357" i="4"/>
  <c r="AA319" i="4"/>
  <c r="AA318" i="4"/>
  <c r="AA322" i="4"/>
  <c r="AA321" i="4"/>
  <c r="AA320" i="4"/>
  <c r="V339" i="4"/>
  <c r="O339" i="4"/>
  <c r="I348" i="4" a="1"/>
  <c r="Q472" i="4"/>
  <c r="Q475" i="4" s="1"/>
  <c r="R469" i="4"/>
  <c r="V338" i="4"/>
  <c r="O338" i="4"/>
  <c r="Q348" i="4" a="1"/>
  <c r="V82" i="4"/>
  <c r="U84" i="4"/>
  <c r="U87" i="4" s="1"/>
  <c r="C363" i="4"/>
  <c r="V337" i="4"/>
  <c r="O337" i="4"/>
  <c r="V341" i="4"/>
  <c r="O341" i="4"/>
  <c r="U319" i="4"/>
  <c r="V319" i="4" s="1"/>
  <c r="D358" i="4"/>
  <c r="D363" i="4" s="1"/>
  <c r="N348" i="4" s="1" a="1"/>
  <c r="U317" i="4"/>
  <c r="T317" i="4"/>
  <c r="S317" i="4"/>
  <c r="X317" i="4"/>
  <c r="V317" i="4"/>
  <c r="W317" i="4"/>
  <c r="O347" i="4"/>
  <c r="M347" i="4"/>
  <c r="N347" i="4"/>
  <c r="P347" i="4"/>
  <c r="P42" i="3033"/>
  <c r="G273" i="4" a="1"/>
  <c r="S336" i="4" a="1"/>
  <c r="O340" i="4"/>
  <c r="V340" i="4"/>
  <c r="V84" i="4" l="1"/>
  <c r="V87" i="4" s="1"/>
  <c r="W82" i="4"/>
  <c r="W84" i="4" s="1"/>
  <c r="W87" i="4" s="1"/>
  <c r="M352" i="4" a="1"/>
  <c r="M348" i="4" a="1"/>
  <c r="W339" i="4"/>
  <c r="P339" i="4"/>
  <c r="N349" i="4"/>
  <c r="N351" i="4"/>
  <c r="N350" i="4"/>
  <c r="N348" i="4"/>
  <c r="W338" i="4"/>
  <c r="P338" i="4"/>
  <c r="Q351" i="4"/>
  <c r="Q350" i="4"/>
  <c r="Q348" i="4"/>
  <c r="Q349" i="4"/>
  <c r="D362" i="4"/>
  <c r="G277" i="4"/>
  <c r="G275" i="4"/>
  <c r="G274" i="4"/>
  <c r="G273" i="4"/>
  <c r="G276" i="4"/>
  <c r="P341" i="4"/>
  <c r="W341" i="4"/>
  <c r="R472" i="4"/>
  <c r="R475" i="4" s="1"/>
  <c r="S469" i="4"/>
  <c r="D364" i="4"/>
  <c r="I350" i="4"/>
  <c r="U350" i="4" s="1"/>
  <c r="I348" i="4"/>
  <c r="U348" i="4" s="1"/>
  <c r="I351" i="4"/>
  <c r="U351" i="4" s="1"/>
  <c r="I349" i="4"/>
  <c r="U349" i="4" s="1"/>
  <c r="W340" i="4"/>
  <c r="P340" i="4"/>
  <c r="AI317" i="4" a="1"/>
  <c r="AA317" i="4" a="1"/>
  <c r="W336" i="4"/>
  <c r="X336" i="4"/>
  <c r="V336" i="4"/>
  <c r="S336" i="4"/>
  <c r="U336" i="4"/>
  <c r="T336" i="4"/>
  <c r="W319" i="4"/>
  <c r="X319" i="4" s="1"/>
  <c r="F358" i="4" s="1"/>
  <c r="E358" i="4"/>
  <c r="Q347" i="4" a="1"/>
  <c r="P337" i="4"/>
  <c r="X337" i="4" s="1"/>
  <c r="W337" i="4"/>
  <c r="AC318" i="4" a="1"/>
  <c r="V318" i="4"/>
  <c r="AB322" i="4"/>
  <c r="AB321" i="4"/>
  <c r="AB319" i="4"/>
  <c r="AB318" i="4"/>
  <c r="AB320" i="4"/>
  <c r="H274" i="4" l="1"/>
  <c r="X339" i="4"/>
  <c r="T469" i="4"/>
  <c r="S472" i="4"/>
  <c r="S475" i="4" s="1"/>
  <c r="H277" i="4"/>
  <c r="R348" i="4" a="1"/>
  <c r="Q352" i="4" a="1"/>
  <c r="J348" i="4" a="1"/>
  <c r="I352" i="4" a="1"/>
  <c r="AD318" i="4" a="1"/>
  <c r="W318" i="4"/>
  <c r="E359" i="4"/>
  <c r="E357" i="4"/>
  <c r="E362" i="4" s="1"/>
  <c r="M350" i="4"/>
  <c r="M351" i="4"/>
  <c r="M349" i="4"/>
  <c r="M348" i="4"/>
  <c r="AL317" i="4"/>
  <c r="AK317" i="4"/>
  <c r="AI317" i="4"/>
  <c r="AM317" i="4"/>
  <c r="AJ317" i="4"/>
  <c r="AN317" i="4"/>
  <c r="X338" i="4"/>
  <c r="M352" i="4"/>
  <c r="N352" i="4"/>
  <c r="H275" i="4"/>
  <c r="AC318" i="4"/>
  <c r="AC322" i="4"/>
  <c r="AC321" i="4"/>
  <c r="AC319" i="4"/>
  <c r="AC320" i="4"/>
  <c r="AF317" i="4"/>
  <c r="AB317" i="4"/>
  <c r="AE317" i="4"/>
  <c r="AA317" i="4"/>
  <c r="AD317" i="4"/>
  <c r="AC317" i="4"/>
  <c r="H276" i="4"/>
  <c r="X341" i="4"/>
  <c r="R347" i="4"/>
  <c r="T347" i="4"/>
  <c r="S347" i="4"/>
  <c r="Q347" i="4"/>
  <c r="U347" i="4" s="1" a="1"/>
  <c r="X340" i="4"/>
  <c r="H273" i="4"/>
  <c r="D35" i="2885" a="1"/>
  <c r="D35" i="2885" s="1"/>
  <c r="E363" i="4" l="1"/>
  <c r="E364" i="4"/>
  <c r="R352" i="4"/>
  <c r="Q352" i="4"/>
  <c r="M68" i="3033" a="1"/>
  <c r="K348" i="4" a="1"/>
  <c r="C35" i="2885"/>
  <c r="R349" i="4"/>
  <c r="R351" i="4"/>
  <c r="R350" i="4"/>
  <c r="R348" i="4"/>
  <c r="S348" i="4" a="1"/>
  <c r="O348" i="4" a="1"/>
  <c r="X318" i="4"/>
  <c r="AE318" i="4" a="1"/>
  <c r="J348" i="4"/>
  <c r="V348" i="4" s="1"/>
  <c r="J350" i="4"/>
  <c r="V350" i="4" s="1"/>
  <c r="J349" i="4"/>
  <c r="V349" i="4" s="1"/>
  <c r="J351" i="4"/>
  <c r="V351" i="4" s="1"/>
  <c r="AD322" i="4"/>
  <c r="AD321" i="4"/>
  <c r="AD320" i="4"/>
  <c r="AD318" i="4"/>
  <c r="AD319" i="4"/>
  <c r="U469" i="4"/>
  <c r="T472" i="4"/>
  <c r="T475" i="4" s="1"/>
  <c r="V347" i="4"/>
  <c r="W347" i="4"/>
  <c r="X347" i="4"/>
  <c r="U347" i="4"/>
  <c r="O54" i="3033" a="1"/>
  <c r="J352" i="4"/>
  <c r="I352" i="4"/>
  <c r="Q72" i="3033" l="1"/>
  <c r="Q70" i="3033"/>
  <c r="Q68" i="3033"/>
  <c r="M73" i="3033"/>
  <c r="R70" i="3033"/>
  <c r="P68" i="3033"/>
  <c r="O72" i="3033"/>
  <c r="N70" i="3033"/>
  <c r="N72" i="3033"/>
  <c r="M70" i="3033"/>
  <c r="M68" i="3033"/>
  <c r="M72" i="3033"/>
  <c r="R69" i="3033"/>
  <c r="R71" i="3033"/>
  <c r="Q69" i="3033"/>
  <c r="R73" i="3033"/>
  <c r="Q71" i="3033"/>
  <c r="P69" i="3033"/>
  <c r="Q73" i="3033"/>
  <c r="P71" i="3033"/>
  <c r="O69" i="3033"/>
  <c r="P73" i="3033"/>
  <c r="O71" i="3033"/>
  <c r="N69" i="3033"/>
  <c r="R72" i="3033"/>
  <c r="P72" i="3033"/>
  <c r="N71" i="3033"/>
  <c r="M71" i="3033"/>
  <c r="P70" i="3033"/>
  <c r="O70" i="3033"/>
  <c r="M69" i="3033"/>
  <c r="R68" i="3033"/>
  <c r="O68" i="3033"/>
  <c r="N68" i="3033"/>
  <c r="O73" i="3033"/>
  <c r="N73" i="3033"/>
  <c r="O58" i="3033"/>
  <c r="O54" i="3033"/>
  <c r="O59" i="3033"/>
  <c r="O57" i="3033"/>
  <c r="O56" i="3033"/>
  <c r="O55" i="3033"/>
  <c r="U472" i="4"/>
  <c r="U475" i="4" s="1"/>
  <c r="V469" i="4"/>
  <c r="AF318" i="4" a="1"/>
  <c r="F359" i="4"/>
  <c r="F357" i="4"/>
  <c r="AE321" i="4"/>
  <c r="AE320" i="4"/>
  <c r="AE318" i="4"/>
  <c r="AE322" i="4"/>
  <c r="AE319" i="4"/>
  <c r="O350" i="4"/>
  <c r="O349" i="4"/>
  <c r="O348" i="4"/>
  <c r="O351" i="4"/>
  <c r="K349" i="4"/>
  <c r="W349" i="4" s="1"/>
  <c r="K348" i="4"/>
  <c r="K350" i="4"/>
  <c r="W350" i="4" s="1"/>
  <c r="K351" i="4"/>
  <c r="W351" i="4" s="1"/>
  <c r="S350" i="4"/>
  <c r="S351" i="4"/>
  <c r="S349" i="4"/>
  <c r="S348" i="4"/>
  <c r="W469" i="4" l="1"/>
  <c r="W472" i="4" s="1"/>
  <c r="W475" i="4" s="1"/>
  <c r="V472" i="4"/>
  <c r="V475" i="4" s="1"/>
  <c r="F362" i="4"/>
  <c r="F363" i="4"/>
  <c r="F364" i="4"/>
  <c r="W348" i="4"/>
  <c r="AF322" i="4"/>
  <c r="AI322" i="4" s="1" a="1"/>
  <c r="AF320" i="4"/>
  <c r="AI320" i="4" s="1" a="1"/>
  <c r="AF319" i="4"/>
  <c r="AI319" i="4" s="1" a="1"/>
  <c r="AF321" i="4"/>
  <c r="AI321" i="4" s="1" a="1"/>
  <c r="AF318" i="4"/>
  <c r="AI318" i="4" s="1" a="1"/>
  <c r="T348" i="4" l="1" a="1"/>
  <c r="S352" i="4" a="1"/>
  <c r="AM319" i="4"/>
  <c r="AN319" i="4"/>
  <c r="AL319" i="4"/>
  <c r="AJ319" i="4"/>
  <c r="AI319" i="4"/>
  <c r="AK319" i="4"/>
  <c r="L348" i="4" a="1"/>
  <c r="K352" i="4" a="1"/>
  <c r="AI322" i="4"/>
  <c r="AM322" i="4"/>
  <c r="AL322" i="4"/>
  <c r="AJ322" i="4"/>
  <c r="AN322" i="4"/>
  <c r="AK322" i="4"/>
  <c r="AN318" i="4"/>
  <c r="AL318" i="4"/>
  <c r="AK318" i="4"/>
  <c r="AI318" i="4"/>
  <c r="AM318" i="4"/>
  <c r="AJ318" i="4"/>
  <c r="AL320" i="4"/>
  <c r="AK320" i="4"/>
  <c r="AI320" i="4"/>
  <c r="AM320" i="4"/>
  <c r="AJ320" i="4"/>
  <c r="AN320" i="4"/>
  <c r="P348" i="4" a="1"/>
  <c r="O352" i="4" a="1"/>
  <c r="AM321" i="4"/>
  <c r="AJ321" i="4"/>
  <c r="AI321" i="4"/>
  <c r="AN321" i="4"/>
  <c r="AK321" i="4"/>
  <c r="AL321" i="4"/>
  <c r="P351" i="4" l="1"/>
  <c r="P348" i="4"/>
  <c r="P350" i="4"/>
  <c r="P349" i="4"/>
  <c r="T351" i="4"/>
  <c r="T350" i="4"/>
  <c r="T348" i="4"/>
  <c r="T349" i="4"/>
  <c r="L352" i="4"/>
  <c r="K352" i="4"/>
  <c r="P352" i="4"/>
  <c r="O352" i="4"/>
  <c r="S352" i="4"/>
  <c r="T352" i="4"/>
  <c r="L348" i="4"/>
  <c r="X348" i="4" s="1"/>
  <c r="L349" i="4"/>
  <c r="X349" i="4" s="1"/>
  <c r="L350" i="4"/>
  <c r="X350" i="4" s="1"/>
  <c r="L351" i="4"/>
  <c r="X351" i="4" s="1"/>
</calcChain>
</file>

<file path=xl/sharedStrings.xml><?xml version="1.0" encoding="utf-8"?>
<sst xmlns="http://schemas.openxmlformats.org/spreadsheetml/2006/main" count="10132" uniqueCount="1938">
  <si>
    <t>25-34</t>
  </si>
  <si>
    <t>35-44</t>
  </si>
  <si>
    <t>45-54</t>
  </si>
  <si>
    <t>55-64</t>
  </si>
  <si>
    <t>65-74</t>
  </si>
  <si>
    <t>85+</t>
  </si>
  <si>
    <t>Total</t>
  </si>
  <si>
    <t>Scenario</t>
  </si>
  <si>
    <t>Low</t>
  </si>
  <si>
    <t>High</t>
  </si>
  <si>
    <t>15-24</t>
  </si>
  <si>
    <t>75+</t>
  </si>
  <si>
    <t>Change</t>
  </si>
  <si>
    <t>HOUSEHOLDS</t>
  </si>
  <si>
    <t>DEMOGRAPHIC PROJECTIONS</t>
  </si>
  <si>
    <t>SHORTAGE</t>
  </si>
  <si>
    <t>SUPPRESSED HOUSEHOLDS</t>
  </si>
  <si>
    <t>All</t>
  </si>
  <si>
    <t>Positive</t>
  </si>
  <si>
    <t>Negative</t>
  </si>
  <si>
    <t>value</t>
  </si>
  <si>
    <t>sum</t>
  </si>
  <si>
    <t>VACANCY</t>
  </si>
  <si>
    <t>Vacancy</t>
  </si>
  <si>
    <t>Target vacancy</t>
  </si>
  <si>
    <t>Local vacancy</t>
  </si>
  <si>
    <t>vacancy</t>
  </si>
  <si>
    <t>RHHs</t>
  </si>
  <si>
    <t>RHH%</t>
  </si>
  <si>
    <t>EXTREME CORE HOUSING NEED</t>
  </si>
  <si>
    <t>Households</t>
  </si>
  <si>
    <t>Rate</t>
  </si>
  <si>
    <t>ECHN</t>
  </si>
  <si>
    <t>Item</t>
  </si>
  <si>
    <t>Suppressed</t>
  </si>
  <si>
    <t>Value</t>
  </si>
  <si>
    <t>ANTICIPATED NEED</t>
  </si>
  <si>
    <t>Total dwellings</t>
  </si>
  <si>
    <t>Usual dwellings</t>
  </si>
  <si>
    <t>Usual / total</t>
  </si>
  <si>
    <t>Unhoused</t>
  </si>
  <si>
    <t>UNHOUSED</t>
  </si>
  <si>
    <t>CODE</t>
  </si>
  <si>
    <t>TENUR</t>
  </si>
  <si>
    <t>hh_15_24</t>
  </si>
  <si>
    <t>hh_25_34</t>
  </si>
  <si>
    <t>hh_35_44</t>
  </si>
  <si>
    <t>hh_45_54</t>
  </si>
  <si>
    <t>hh_55_64</t>
  </si>
  <si>
    <t>hh_65_74</t>
  </si>
  <si>
    <t>hh_75</t>
  </si>
  <si>
    <t>topic</t>
  </si>
  <si>
    <t>bedrm</t>
  </si>
  <si>
    <t>dtype</t>
  </si>
  <si>
    <t>cfstruct</t>
  </si>
  <si>
    <t>NATIONAL OCCUPANCY STANDARD</t>
  </si>
  <si>
    <t>0 / 1 bed</t>
  </si>
  <si>
    <t>2 bed</t>
  </si>
  <si>
    <t>3 bed</t>
  </si>
  <si>
    <t>4+ bed</t>
  </si>
  <si>
    <t>15 to 24</t>
  </si>
  <si>
    <t>25 to 34</t>
  </si>
  <si>
    <t>35 to 44</t>
  </si>
  <si>
    <t>45 to 54</t>
  </si>
  <si>
    <t>55 to 64</t>
  </si>
  <si>
    <t>65 to 74</t>
  </si>
  <si>
    <t>Studio</t>
  </si>
  <si>
    <t>1-bed</t>
  </si>
  <si>
    <t>2-bed</t>
  </si>
  <si>
    <t>3-bed</t>
  </si>
  <si>
    <t>4-bed</t>
  </si>
  <si>
    <t>5+ bed</t>
  </si>
  <si>
    <t>0-/1-bed</t>
  </si>
  <si>
    <t>0- / 1-bed</t>
  </si>
  <si>
    <t>Owners</t>
  </si>
  <si>
    <t>Renters</t>
  </si>
  <si>
    <t>Single</t>
  </si>
  <si>
    <t>Apartment</t>
  </si>
  <si>
    <t>Missing</t>
  </si>
  <si>
    <t>CNC</t>
  </si>
  <si>
    <t>CC</t>
  </si>
  <si>
    <t>LP</t>
  </si>
  <si>
    <t>NCF</t>
  </si>
  <si>
    <t>1 person</t>
  </si>
  <si>
    <t>2 person</t>
  </si>
  <si>
    <t>3 person</t>
  </si>
  <si>
    <t>4 person</t>
  </si>
  <si>
    <t>5+ person</t>
  </si>
  <si>
    <t>Studio / 1 bed</t>
  </si>
  <si>
    <t>Couple w/o child</t>
  </si>
  <si>
    <t>Couple w/o child(ren)</t>
  </si>
  <si>
    <t>Couple w/ child(ren)</t>
  </si>
  <si>
    <t>Lone parent</t>
  </si>
  <si>
    <t>Non-census</t>
  </si>
  <si>
    <t>Other</t>
  </si>
  <si>
    <t>Owner</t>
  </si>
  <si>
    <t>Renter</t>
  </si>
  <si>
    <t>inccat</t>
  </si>
  <si>
    <t>Very low</t>
  </si>
  <si>
    <t>Moderate</t>
  </si>
  <si>
    <t>Median</t>
  </si>
  <si>
    <t>Anticipated</t>
  </si>
  <si>
    <t>Market housing</t>
  </si>
  <si>
    <t>Below-market</t>
  </si>
  <si>
    <t>Deeply affordable</t>
  </si>
  <si>
    <t>Estimated</t>
  </si>
  <si>
    <t>Market</t>
  </si>
  <si>
    <t>Age group</t>
  </si>
  <si>
    <t>LG</t>
  </si>
  <si>
    <t>M1</t>
  </si>
  <si>
    <t>M2</t>
  </si>
  <si>
    <t>M3</t>
  </si>
  <si>
    <t>M4</t>
  </si>
  <si>
    <t>M5</t>
  </si>
  <si>
    <t>M6</t>
  </si>
  <si>
    <t>HG</t>
  </si>
  <si>
    <t>SA</t>
  </si>
  <si>
    <t>FA</t>
  </si>
  <si>
    <t>10 to 14</t>
  </si>
  <si>
    <t>15 to 19</t>
  </si>
  <si>
    <t>20 to 24</t>
  </si>
  <si>
    <t>25 to 29</t>
  </si>
  <si>
    <t>30 to 34</t>
  </si>
  <si>
    <t>35 to 39</t>
  </si>
  <si>
    <t>40 to 44</t>
  </si>
  <si>
    <t>45 to 49</t>
  </si>
  <si>
    <t>50 to 54</t>
  </si>
  <si>
    <t>55 to 59</t>
  </si>
  <si>
    <t>60 to 64</t>
  </si>
  <si>
    <t>65 to 69</t>
  </si>
  <si>
    <t>75 to 79</t>
  </si>
  <si>
    <t>70 to 74</t>
  </si>
  <si>
    <t>80 to 84</t>
  </si>
  <si>
    <t>75 to 84</t>
  </si>
  <si>
    <t>Adj</t>
  </si>
  <si>
    <t>Adjusted</t>
  </si>
  <si>
    <t>O</t>
  </si>
  <si>
    <t>HHTYPE</t>
  </si>
  <si>
    <t>HHSIZE</t>
  </si>
  <si>
    <t>hh_75_</t>
  </si>
  <si>
    <t>L</t>
  </si>
  <si>
    <t>NC</t>
  </si>
  <si>
    <t>1 bed</t>
  </si>
  <si>
    <t>Since 2021</t>
  </si>
  <si>
    <t>Suppressed 2021</t>
  </si>
  <si>
    <t>LESS: Built</t>
  </si>
  <si>
    <t>Net since 2021</t>
  </si>
  <si>
    <t>YEAR</t>
  </si>
  <si>
    <t>2025e</t>
  </si>
  <si>
    <t>'21-'25</t>
  </si>
  <si>
    <t>'25-'45</t>
  </si>
  <si>
    <t xml:space="preserve"> </t>
  </si>
  <si>
    <t xml:space="preserve">    11 Agriculture, forestry, fishing and hunting</t>
  </si>
  <si>
    <t xml:space="preserve">    21 Mining, quarrying, and oil and gas extraction</t>
  </si>
  <si>
    <t xml:space="preserve">    54 Professional, scientific and technical services</t>
  </si>
  <si>
    <t xml:space="preserve">    56 Administrative and support, waste management and remediation services</t>
  </si>
  <si>
    <t xml:space="preserve">    71 Arts, entertainment and recreation</t>
  </si>
  <si>
    <t xml:space="preserve">  No certificate, diploma or degree</t>
  </si>
  <si>
    <t xml:space="preserve">  Postsecondary certificate, diploma or degree</t>
  </si>
  <si>
    <t>0 to 4</t>
  </si>
  <si>
    <t>5 to 9</t>
  </si>
  <si>
    <t>Non-movers</t>
  </si>
  <si>
    <t>Movers</t>
  </si>
  <si>
    <t>Non-migrants</t>
  </si>
  <si>
    <t>Migrants</t>
  </si>
  <si>
    <t>Internal migrants</t>
  </si>
  <si>
    <t>Intraprovincial migrants</t>
  </si>
  <si>
    <t>Interprovincial migrants</t>
  </si>
  <si>
    <t>External migrants</t>
  </si>
  <si>
    <t>0 to 14</t>
  </si>
  <si>
    <t>65 to 84</t>
  </si>
  <si>
    <t>2025 total</t>
  </si>
  <si>
    <t>35 to 54</t>
  </si>
  <si>
    <t xml:space="preserve">  % of households living in a dwelling provided by the local government, First Nation or Indian band spending more than 30% on shelter costs</t>
  </si>
  <si>
    <t xml:space="preserve">  Median monthly shelter costs for dwellings provided by local government, First Nation or Indian band ($)</t>
  </si>
  <si>
    <t xml:space="preserve">  Average monthly shelter costs for dwellings provided by local government, First Nation or Indian band ($)</t>
  </si>
  <si>
    <t>Ann. change</t>
  </si>
  <si>
    <t>Estimates + Census (unadjusted)</t>
  </si>
  <si>
    <t>Estimates + Census (adjusted)</t>
  </si>
  <si>
    <t>Format</t>
  </si>
  <si>
    <t>Annual estimates</t>
  </si>
  <si>
    <t>CSD</t>
  </si>
  <si>
    <t>CD</t>
  </si>
  <si>
    <t>PR</t>
  </si>
  <si>
    <t>Intraprovincial migrant</t>
  </si>
  <si>
    <t>Interprovincial migrant</t>
  </si>
  <si>
    <t>International migrant</t>
  </si>
  <si>
    <t>Local</t>
  </si>
  <si>
    <t>Region</t>
  </si>
  <si>
    <t>Province</t>
  </si>
  <si>
    <t>Migrant category</t>
  </si>
  <si>
    <t>5-year mobility (2021)</t>
  </si>
  <si>
    <t>5-year mobility (2021) - share</t>
  </si>
  <si>
    <t>Total population</t>
  </si>
  <si>
    <t>Non-permanent residents</t>
  </si>
  <si>
    <t>In poverty</t>
  </si>
  <si>
    <t>Local migrant (moved within community)</t>
  </si>
  <si>
    <t>Local population</t>
  </si>
  <si>
    <t>Age distribution comparison to higher geographies</t>
  </si>
  <si>
    <t>Key Census indicators</t>
  </si>
  <si>
    <t>Indigenous identifying persons</t>
  </si>
  <si>
    <t>Visible minority identifying persons</t>
  </si>
  <si>
    <t>Recent immigrants</t>
  </si>
  <si>
    <t>Non-official language speakers</t>
  </si>
  <si>
    <t>Working age</t>
  </si>
  <si>
    <t>Immigrants</t>
  </si>
  <si>
    <t>Veterans</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</si>
  <si>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</si>
  <si>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</si>
  <si>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</si>
  <si>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</si>
  <si>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</si>
  <si>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</si>
  <si>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</si>
  <si>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</si>
  <si>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</si>
  <si>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</si>
  <si>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</si>
  <si>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</si>
  <si>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</si>
  <si>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</si>
  <si>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</si>
  <si>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</si>
  <si>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</si>
  <si>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</si>
  <si>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</si>
  <si>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</si>
  <si>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2021/2022</t>
  </si>
  <si>
    <t>2022/2023</t>
  </si>
  <si>
    <t>2023/2024</t>
  </si>
  <si>
    <t>2024/2025</t>
  </si>
  <si>
    <t>Births</t>
  </si>
  <si>
    <t>Deaths</t>
  </si>
  <si>
    <t>Net emigration</t>
  </si>
  <si>
    <t>Net non-permanent residents</t>
  </si>
  <si>
    <t>Net interprovincial migration</t>
  </si>
  <si>
    <t>Net intraprovincial migration</t>
  </si>
  <si>
    <t>Residual deviation</t>
  </si>
  <si>
    <t>Total persons</t>
  </si>
  <si>
    <t>Post-secondary</t>
  </si>
  <si>
    <t>In the labour force</t>
  </si>
  <si>
    <t>Employed</t>
  </si>
  <si>
    <t>Unemployed</t>
  </si>
  <si>
    <t>Not in the labour force</t>
  </si>
  <si>
    <t>Participation rate</t>
  </si>
  <si>
    <t>Employment rate</t>
  </si>
  <si>
    <t>Unemployment rate</t>
  </si>
  <si>
    <t>High school diploma or less</t>
  </si>
  <si>
    <t>Population category</t>
  </si>
  <si>
    <t>Net natural change</t>
  </si>
  <si>
    <t>Net interprovincial</t>
  </si>
  <si>
    <t>Net intraprovincial</t>
  </si>
  <si>
    <t>Net international</t>
  </si>
  <si>
    <t>Historical</t>
  </si>
  <si>
    <t>Minimum</t>
  </si>
  <si>
    <t>Maximum</t>
  </si>
  <si>
    <t>Projection range</t>
  </si>
  <si>
    <t>2035 total</t>
  </si>
  <si>
    <t>Since 2025</t>
  </si>
  <si>
    <t>Summary of age groups</t>
  </si>
  <si>
    <t>Change by age group for table</t>
  </si>
  <si>
    <t>Higher level geography rates of change by age group (2025 to 2035)</t>
  </si>
  <si>
    <t>Labour force statistics</t>
  </si>
  <si>
    <t>Labour force metric</t>
  </si>
  <si>
    <t>NAICS industries of employment</t>
  </si>
  <si>
    <t>Total (15+ years old)</t>
  </si>
  <si>
    <t>Agriculture, forestry, fishing and hunting [11]</t>
  </si>
  <si>
    <t>Mining, quarrying, and oil and gas extraction [21]</t>
  </si>
  <si>
    <t>Utilities [22]</t>
  </si>
  <si>
    <t>Construction [23]</t>
  </si>
  <si>
    <t>Manufacturing [31-33]</t>
  </si>
  <si>
    <t>Wholesale trade [41]</t>
  </si>
  <si>
    <t>Retail trade [44-45]</t>
  </si>
  <si>
    <t>Transportation and warehousing [48-49]</t>
  </si>
  <si>
    <t>Information and cultural industries [51]</t>
  </si>
  <si>
    <t>Finance and insurance [52]</t>
  </si>
  <si>
    <t>Real estate and rental and leasing [53]</t>
  </si>
  <si>
    <t>Professional, scientific and technical services [54]</t>
  </si>
  <si>
    <t>Management of companies and enterprises [55]</t>
  </si>
  <si>
    <t>Administrative and support, waste management and remediation services [56]</t>
  </si>
  <si>
    <t>Educational services [61]</t>
  </si>
  <si>
    <t>Health care and social assistance [62]</t>
  </si>
  <si>
    <t>Arts, entertainment and recreation [71]</t>
  </si>
  <si>
    <t>Accommodation and food services [72]</t>
  </si>
  <si>
    <t>Other services (except public administration) [81]</t>
  </si>
  <si>
    <t>NAICS industries of employment [shares]</t>
  </si>
  <si>
    <t>Public administration [91]</t>
  </si>
  <si>
    <t>Ranked</t>
  </si>
  <si>
    <t>NAICS industry</t>
  </si>
  <si>
    <t>Place</t>
  </si>
  <si>
    <t>Share</t>
  </si>
  <si>
    <t>Commuting patterns (in)</t>
  </si>
  <si>
    <t>Commuting patterns (out)</t>
  </si>
  <si>
    <t>85 years and over</t>
  </si>
  <si>
    <t>15 to 24 years</t>
  </si>
  <si>
    <t>25 to 34 years</t>
  </si>
  <si>
    <t>35 to 44 years</t>
  </si>
  <si>
    <t>45 to 54 years</t>
  </si>
  <si>
    <t>55 to 64 years</t>
  </si>
  <si>
    <t>65 to 74 years</t>
  </si>
  <si>
    <t>75 to 84 years</t>
  </si>
  <si>
    <t>With children</t>
  </si>
  <si>
    <t>Without children</t>
  </si>
  <si>
    <t>Commuter origins</t>
  </si>
  <si>
    <t>Total people</t>
  </si>
  <si>
    <t>% of commuters</t>
  </si>
  <si>
    <t>Commuter destinations</t>
  </si>
  <si>
    <t>Excluding local commuters</t>
  </si>
  <si>
    <t>2 persons</t>
  </si>
  <si>
    <t>3 persons</t>
  </si>
  <si>
    <t>4 persons</t>
  </si>
  <si>
    <t>Average size</t>
  </si>
  <si>
    <t>Household characteristics by tenure</t>
  </si>
  <si>
    <t>Household characteristics by geo</t>
  </si>
  <si>
    <t>By tenure</t>
  </si>
  <si>
    <t>Characteristic</t>
  </si>
  <si>
    <t>Age of primary household maintainer</t>
  </si>
  <si>
    <t>Other census family</t>
  </si>
  <si>
    <t>Household size</t>
  </si>
  <si>
    <t>Share of total households</t>
  </si>
  <si>
    <t>Census family household type</t>
  </si>
  <si>
    <t>Non-census family</t>
  </si>
  <si>
    <t>Average household size</t>
  </si>
  <si>
    <t>People</t>
  </si>
  <si>
    <t>Headship</t>
  </si>
  <si>
    <t>2021 household formation</t>
  </si>
  <si>
    <t>Actual</t>
  </si>
  <si>
    <t>Expected*</t>
  </si>
  <si>
    <t>Suppressed households</t>
  </si>
  <si>
    <t>Maintainer age</t>
  </si>
  <si>
    <t>Duplex</t>
  </si>
  <si>
    <t>Mobile</t>
  </si>
  <si>
    <t>Row</t>
  </si>
  <si>
    <t>1991 to 2000</t>
  </si>
  <si>
    <t>2011 to 2015</t>
  </si>
  <si>
    <t>2016 to 2021</t>
  </si>
  <si>
    <t>1961 to 1980</t>
  </si>
  <si>
    <t>1981 to 1990</t>
  </si>
  <si>
    <t>2001 to 2005</t>
  </si>
  <si>
    <t>2006 to 2010</t>
  </si>
  <si>
    <t>Age of construction</t>
  </si>
  <si>
    <t>&lt;1961</t>
  </si>
  <si>
    <t>x</t>
  </si>
  <si>
    <t>Total local</t>
  </si>
  <si>
    <t>Total province</t>
  </si>
  <si>
    <t>Semi</t>
  </si>
  <si>
    <t>Inventory by type</t>
  </si>
  <si>
    <t>Row house</t>
  </si>
  <si>
    <t>Apt (5+)</t>
  </si>
  <si>
    <t>Apt (&lt;5)</t>
  </si>
  <si>
    <t>Movable</t>
  </si>
  <si>
    <t>Indigenous identity</t>
  </si>
  <si>
    <t>Total visible minority population</t>
  </si>
  <si>
    <t>R</t>
  </si>
  <si>
    <t>T</t>
  </si>
  <si>
    <t>18 to 24</t>
  </si>
  <si>
    <t>25 to 54</t>
  </si>
  <si>
    <t>65 and over</t>
  </si>
  <si>
    <t>Total immigrants</t>
  </si>
  <si>
    <t>Before 2016</t>
  </si>
  <si>
    <t>Recent immigrants: 2016 to 2021</t>
  </si>
  <si>
    <t>Poverty status - applicable</t>
  </si>
  <si>
    <t>Veteran</t>
  </si>
  <si>
    <t>Unaffordable</t>
  </si>
  <si>
    <t>Examined</t>
  </si>
  <si>
    <t>Core need</t>
  </si>
  <si>
    <t>Unsuitable</t>
  </si>
  <si>
    <t>Inadequate</t>
  </si>
  <si>
    <t>Inventory by geo</t>
  </si>
  <si>
    <t>Other dwellings</t>
  </si>
  <si>
    <t>Apartment (5+ storeys)</t>
  </si>
  <si>
    <t>Apartment (&lt;5 storeys)</t>
  </si>
  <si>
    <t>Semi-detached</t>
  </si>
  <si>
    <t>Single-detached</t>
  </si>
  <si>
    <t>Apartment / flat in duplex</t>
  </si>
  <si>
    <t>Share of total dwellings</t>
  </si>
  <si>
    <t>ESTIMATED POPULATION</t>
  </si>
  <si>
    <t>Estimated dwellings</t>
  </si>
  <si>
    <t>HH --&gt; DWELLING</t>
  </si>
  <si>
    <t>Inventory by number of bedrooms</t>
  </si>
  <si>
    <t>No beds</t>
  </si>
  <si>
    <t>2 beds</t>
  </si>
  <si>
    <t>3 beds</t>
  </si>
  <si>
    <t>4+ beds</t>
  </si>
  <si>
    <t>Total private households</t>
  </si>
  <si>
    <t>In core need</t>
  </si>
  <si>
    <t>Activity limitation (1+ person)</t>
  </si>
  <si>
    <t>Activity limitation (1+ person) health issues</t>
  </si>
  <si>
    <t>Lone parent w/o additional</t>
  </si>
  <si>
    <t>Non-census: single person</t>
  </si>
  <si>
    <t>Indigenous</t>
  </si>
  <si>
    <t>Visible minority</t>
  </si>
  <si>
    <t>PHM: women+</t>
  </si>
  <si>
    <t>PHM: visible minority</t>
  </si>
  <si>
    <t>PHM: immigrant</t>
  </si>
  <si>
    <t>PHM: recent immigrant</t>
  </si>
  <si>
    <t>PHM: immigrant between 1980 and 2021</t>
  </si>
  <si>
    <t>PHM: refugee admission</t>
  </si>
  <si>
    <t>PHM: female lone parent</t>
  </si>
  <si>
    <t>PHM: &lt;25 years</t>
  </si>
  <si>
    <t>PHM: 65+ years</t>
  </si>
  <si>
    <t>PHM: 85+ years</t>
  </si>
  <si>
    <t>Household w/ transgender or non binary persons</t>
  </si>
  <si>
    <t>Overall</t>
  </si>
  <si>
    <t>CHN Examined</t>
  </si>
  <si>
    <t>Core housing need</t>
  </si>
  <si>
    <t>Households in core need</t>
  </si>
  <si>
    <t>Household examined for core housing need</t>
  </si>
  <si>
    <t>Extreme Core Need</t>
  </si>
  <si>
    <t>Total households</t>
  </si>
  <si>
    <t>Unsuitable dwellings</t>
  </si>
  <si>
    <t>Inadequate dwellings</t>
  </si>
  <si>
    <t>Unaffordable dwellings</t>
  </si>
  <si>
    <t>Deeply unaffordable dwellings *</t>
  </si>
  <si>
    <t>Households in extreme need **</t>
  </si>
  <si>
    <t>Housing need categories</t>
  </si>
  <si>
    <t>Additional priority populations [total]</t>
  </si>
  <si>
    <t>Additional priority populations [Examined]</t>
  </si>
  <si>
    <t>Additional priority populations [CHN]</t>
  </si>
  <si>
    <t>Single person</t>
  </si>
  <si>
    <t>Indigenous household</t>
  </si>
  <si>
    <t>Visible minority household</t>
  </si>
  <si>
    <t>Women+ led household</t>
  </si>
  <si>
    <t>Refugee led household</t>
  </si>
  <si>
    <t>Female lone parent</t>
  </si>
  <si>
    <t>Household with gender diverse persons</t>
  </si>
  <si>
    <t>Immigrant led household</t>
  </si>
  <si>
    <t>Recent immigrants (2016 to 2021) led household</t>
  </si>
  <si>
    <t>Non-permanent resident led household</t>
  </si>
  <si>
    <t>Households living in poverty</t>
  </si>
  <si>
    <t>Veteran led household</t>
  </si>
  <si>
    <t>Young adult (&lt;25 years old) led household</t>
  </si>
  <si>
    <t>Senior (65+ years old) led household</t>
  </si>
  <si>
    <t>Elderly (85+ years old) led household</t>
  </si>
  <si>
    <t>Share priority populations [CHN]</t>
  </si>
  <si>
    <t>Total in core need</t>
  </si>
  <si>
    <t>Owners in core need</t>
  </si>
  <si>
    <t>Renters in core need</t>
  </si>
  <si>
    <t>Vulnerable population</t>
  </si>
  <si>
    <t>Household with 1+ person with activity limitation</t>
  </si>
  <si>
    <t>Household with 1+ person with mental health related activity limitation</t>
  </si>
  <si>
    <t>Local core need</t>
  </si>
  <si>
    <t>Region core need</t>
  </si>
  <si>
    <t>Province core need</t>
  </si>
  <si>
    <t>Vulnerable population group</t>
  </si>
  <si>
    <t>Examined HHs</t>
  </si>
  <si>
    <r>
      <rPr>
        <b/>
        <sz val="11"/>
        <color theme="0"/>
        <rFont val="Arial"/>
        <family val="2"/>
      </rPr>
      <t>A:</t>
    </r>
    <r>
      <rPr>
        <sz val="11"/>
        <color theme="0"/>
        <rFont val="Arial"/>
        <family val="2"/>
      </rPr>
      <t xml:space="preserve"> Maintainer age by dwelling type (dwellings built in last 5 years)</t>
    </r>
  </si>
  <si>
    <r>
      <rPr>
        <b/>
        <sz val="11"/>
        <color theme="0"/>
        <rFont val="Arial"/>
        <family val="2"/>
      </rPr>
      <t>B:</t>
    </r>
    <r>
      <rPr>
        <sz val="11"/>
        <color theme="0"/>
        <rFont val="Arial"/>
        <family val="2"/>
      </rPr>
      <t xml:space="preserve"> % maintainer age by dwelling type (dwellings built in last 5 years)</t>
    </r>
  </si>
  <si>
    <r>
      <rPr>
        <b/>
        <sz val="11"/>
        <color theme="0"/>
        <rFont val="Arial"/>
        <family val="2"/>
      </rPr>
      <t>C:</t>
    </r>
    <r>
      <rPr>
        <sz val="11"/>
        <color theme="0"/>
        <rFont val="Arial"/>
        <family val="2"/>
      </rPr>
      <t xml:space="preserve"> Household summary</t>
    </r>
  </si>
  <si>
    <r>
      <rPr>
        <b/>
        <sz val="11"/>
        <color theme="0"/>
        <rFont val="Arial"/>
        <family val="2"/>
      </rPr>
      <t xml:space="preserve">D: </t>
    </r>
    <r>
      <rPr>
        <sz val="11"/>
        <color theme="0"/>
        <rFont val="Arial"/>
        <family val="2"/>
      </rPr>
      <t>Households distributed by number of dwellings (sum[B x C])</t>
    </r>
  </si>
  <si>
    <t>E: Distribution of number of dwellings by type</t>
  </si>
  <si>
    <t>FUTURE DWELLING TYPE DEMAND</t>
  </si>
  <si>
    <t>FUTURE FAMILY STRUCTURE DEMAND</t>
  </si>
  <si>
    <r>
      <rPr>
        <b/>
        <sz val="11"/>
        <color theme="0"/>
        <rFont val="Arial"/>
        <family val="2"/>
      </rPr>
      <t>A:</t>
    </r>
    <r>
      <rPr>
        <sz val="11"/>
        <color theme="0"/>
        <rFont val="Arial"/>
        <family val="2"/>
      </rPr>
      <t xml:space="preserve"> Maintainer age by family structure (dwellings built in last 5 years)</t>
    </r>
  </si>
  <si>
    <r>
      <rPr>
        <b/>
        <sz val="11"/>
        <color theme="0"/>
        <rFont val="Arial"/>
        <family val="2"/>
      </rPr>
      <t>B:</t>
    </r>
    <r>
      <rPr>
        <sz val="11"/>
        <color theme="0"/>
        <rFont val="Arial"/>
        <family val="2"/>
      </rPr>
      <t xml:space="preserve"> % maintainer age by family structure (dwellings built in last 5 years)</t>
    </r>
  </si>
  <si>
    <r>
      <rPr>
        <b/>
        <sz val="11"/>
        <color theme="0"/>
        <rFont val="Arial"/>
        <family val="2"/>
      </rPr>
      <t>E</t>
    </r>
    <r>
      <rPr>
        <sz val="11"/>
        <color theme="0"/>
        <rFont val="Arial"/>
        <family val="2"/>
      </rPr>
      <t>: Distribution of family structure</t>
    </r>
  </si>
  <si>
    <t>FUTURE BEDROOM (AND TENURE) DEMAND</t>
  </si>
  <si>
    <r>
      <rPr>
        <b/>
        <sz val="11"/>
        <color theme="0"/>
        <rFont val="Arial"/>
        <family val="2"/>
      </rPr>
      <t>A:</t>
    </r>
    <r>
      <rPr>
        <sz val="11"/>
        <color theme="0"/>
        <rFont val="Arial"/>
        <family val="2"/>
      </rPr>
      <t xml:space="preserve"> Maintainer age by bedroom size (dwellings built in last 5 years)</t>
    </r>
  </si>
  <si>
    <r>
      <rPr>
        <b/>
        <sz val="11"/>
        <color theme="0"/>
        <rFont val="Arial"/>
        <family val="2"/>
      </rPr>
      <t>B:</t>
    </r>
    <r>
      <rPr>
        <sz val="11"/>
        <color theme="0"/>
        <rFont val="Arial"/>
        <family val="2"/>
      </rPr>
      <t xml:space="preserve"> % maintainer age by bedroom size (dwellings built in last 5 years)</t>
    </r>
  </si>
  <si>
    <r>
      <rPr>
        <b/>
        <sz val="11"/>
        <color theme="0"/>
        <rFont val="Arial"/>
        <family val="2"/>
      </rPr>
      <t xml:space="preserve">D: </t>
    </r>
    <r>
      <rPr>
        <sz val="11"/>
        <color theme="0"/>
        <rFont val="Arial"/>
        <family val="2"/>
      </rPr>
      <t>Households distributed by family structure (sum[B x C])</t>
    </r>
  </si>
  <si>
    <r>
      <rPr>
        <b/>
        <sz val="11"/>
        <color theme="0"/>
        <rFont val="Arial"/>
        <family val="2"/>
      </rPr>
      <t xml:space="preserve">D: </t>
    </r>
    <r>
      <rPr>
        <sz val="11"/>
        <color theme="0"/>
        <rFont val="Arial"/>
        <family val="2"/>
      </rPr>
      <t>Households distributed by number of bedrooms (sum[B x C])</t>
    </r>
  </si>
  <si>
    <r>
      <rPr>
        <b/>
        <sz val="11"/>
        <color theme="0"/>
        <rFont val="Arial"/>
        <family val="2"/>
      </rPr>
      <t>E</t>
    </r>
    <r>
      <rPr>
        <sz val="11"/>
        <color theme="0"/>
        <rFont val="Arial"/>
        <family val="2"/>
      </rPr>
      <t>: Distribution of number of bedrooms</t>
    </r>
  </si>
  <si>
    <r>
      <rPr>
        <b/>
        <sz val="11"/>
        <color theme="0"/>
        <rFont val="Arial"/>
        <family val="2"/>
      </rPr>
      <t>F</t>
    </r>
    <r>
      <rPr>
        <sz val="11"/>
        <color theme="0"/>
        <rFont val="Arial"/>
        <family val="2"/>
      </rPr>
      <t>: Actual distribution of number of bedrooms</t>
    </r>
  </si>
  <si>
    <r>
      <rPr>
        <b/>
        <sz val="11"/>
        <color theme="0"/>
        <rFont val="Arial"/>
        <family val="2"/>
      </rPr>
      <t>G:</t>
    </r>
    <r>
      <rPr>
        <sz val="11"/>
        <color theme="0"/>
        <rFont val="Arial"/>
        <family val="2"/>
      </rPr>
      <t xml:space="preserve"> PUMF Owners</t>
    </r>
  </si>
  <si>
    <r>
      <rPr>
        <b/>
        <sz val="11"/>
        <color theme="0"/>
        <rFont val="Arial"/>
        <family val="2"/>
      </rPr>
      <t>H:</t>
    </r>
    <r>
      <rPr>
        <sz val="11"/>
        <color theme="0"/>
        <rFont val="Arial"/>
        <family val="2"/>
      </rPr>
      <t xml:space="preserve"> % Owner (G/A) and % Renter ( 1 - G/A)</t>
    </r>
  </si>
  <si>
    <r>
      <rPr>
        <b/>
        <sz val="11"/>
        <color theme="0"/>
        <rFont val="Arial"/>
        <family val="2"/>
      </rPr>
      <t>I</t>
    </r>
    <r>
      <rPr>
        <sz val="11"/>
        <color theme="0"/>
        <rFont val="Arial"/>
        <family val="2"/>
      </rPr>
      <t>: Number of owner / renter households (sum[A x Bprev x Dprev])</t>
    </r>
  </si>
  <si>
    <r>
      <rPr>
        <b/>
        <sz val="11"/>
        <color theme="0"/>
        <rFont val="Arial"/>
        <family val="2"/>
      </rPr>
      <t xml:space="preserve">J: </t>
    </r>
    <r>
      <rPr>
        <sz val="11"/>
        <color theme="0"/>
        <rFont val="Arial"/>
        <family val="2"/>
      </rPr>
      <t>Tenure distribution</t>
    </r>
  </si>
  <si>
    <r>
      <rPr>
        <b/>
        <sz val="11"/>
        <color theme="0"/>
        <rFont val="Arial"/>
        <family val="2"/>
      </rPr>
      <t>E</t>
    </r>
    <r>
      <rPr>
        <sz val="11"/>
        <color theme="0"/>
        <rFont val="Arial"/>
        <family val="2"/>
      </rPr>
      <t>: Distribution of income categories</t>
    </r>
  </si>
  <si>
    <r>
      <rPr>
        <b/>
        <sz val="11"/>
        <color theme="0"/>
        <rFont val="Arial"/>
        <family val="2"/>
      </rPr>
      <t>A:</t>
    </r>
    <r>
      <rPr>
        <sz val="11"/>
        <color theme="0"/>
        <rFont val="Arial"/>
        <family val="2"/>
      </rPr>
      <t xml:space="preserve"> Maintainer age by bedroom size - as per NOS (based on PUMF data)</t>
    </r>
  </si>
  <si>
    <r>
      <rPr>
        <b/>
        <sz val="11"/>
        <color theme="0"/>
        <rFont val="Arial"/>
        <family val="2"/>
      </rPr>
      <t>B:</t>
    </r>
    <r>
      <rPr>
        <sz val="11"/>
        <color theme="0"/>
        <rFont val="Arial"/>
        <family val="2"/>
      </rPr>
      <t xml:space="preserve"> Anticipated maintainers</t>
    </r>
  </si>
  <si>
    <r>
      <rPr>
        <b/>
        <sz val="11"/>
        <color theme="0"/>
        <rFont val="Arial"/>
        <family val="2"/>
      </rPr>
      <t>C:</t>
    </r>
    <r>
      <rPr>
        <sz val="11"/>
        <color theme="0"/>
        <rFont val="Arial"/>
        <family val="2"/>
      </rPr>
      <t xml:space="preserve"> Households distributed by number of bedrooms (sum[A x D&gt;])</t>
    </r>
  </si>
  <si>
    <r>
      <rPr>
        <b/>
        <sz val="11"/>
        <color theme="0"/>
        <rFont val="Arial"/>
        <family val="2"/>
      </rPr>
      <t>D</t>
    </r>
    <r>
      <rPr>
        <sz val="11"/>
        <color theme="0"/>
        <rFont val="Arial"/>
        <family val="2"/>
      </rPr>
      <t>: Distribution of number of bedrooms</t>
    </r>
  </si>
  <si>
    <t>CALCULATION OF FUTURE DEMAND BY CATEGORY</t>
  </si>
  <si>
    <t>SUMMARY OF FUTURE DEMAND</t>
  </si>
  <si>
    <t>BRIEF PROJECTION SUMMARY</t>
  </si>
  <si>
    <t>SHORTAGE SUMMARY</t>
  </si>
  <si>
    <t>CHANGE IN SUPPLY OVER TIME</t>
  </si>
  <si>
    <t>Cumulative new demand since 2025 + 2025 shortage</t>
  </si>
  <si>
    <t>Variable</t>
  </si>
  <si>
    <t>Total household demand</t>
  </si>
  <si>
    <t>Total dwelling demand</t>
  </si>
  <si>
    <t>Year over year demand</t>
  </si>
  <si>
    <t>Estimated 2025 shortage</t>
  </si>
  <si>
    <t>Cumulative new demand since 2025</t>
  </si>
  <si>
    <t>Anticipated annual construction</t>
  </si>
  <si>
    <t>Cumulative construction</t>
  </si>
  <si>
    <t>Running shortage (total demand minus cumulative supply)</t>
  </si>
  <si>
    <t>Total dwelling demand + shortage</t>
  </si>
  <si>
    <t>SUMMARY OF BEDROOMS</t>
  </si>
  <si>
    <r>
      <rPr>
        <b/>
        <sz val="11"/>
        <color theme="0"/>
        <rFont val="Arial"/>
        <family val="2"/>
      </rPr>
      <t>A:</t>
    </r>
    <r>
      <rPr>
        <sz val="11"/>
        <color theme="0"/>
        <rFont val="Arial"/>
        <family val="2"/>
      </rPr>
      <t xml:space="preserve"> Summary from Table D in "Future bedroom demand"</t>
    </r>
  </si>
  <si>
    <r>
      <rPr>
        <b/>
        <sz val="11"/>
        <color theme="0"/>
        <rFont val="Arial"/>
        <family val="2"/>
      </rPr>
      <t>B</t>
    </r>
    <r>
      <rPr>
        <sz val="11"/>
        <color theme="0"/>
        <rFont val="Arial"/>
        <family val="2"/>
      </rPr>
      <t>: Adjust results of A to match total demand + shortage</t>
    </r>
  </si>
  <si>
    <r>
      <rPr>
        <b/>
        <sz val="11"/>
        <color theme="0"/>
        <rFont val="Arial"/>
        <family val="2"/>
      </rPr>
      <t>C</t>
    </r>
    <r>
      <rPr>
        <sz val="11"/>
        <color theme="0"/>
        <rFont val="Arial"/>
        <family val="2"/>
      </rPr>
      <t>: Incorporate actual community data</t>
    </r>
  </si>
  <si>
    <r>
      <rPr>
        <b/>
        <sz val="11"/>
        <color theme="0"/>
        <rFont val="Arial"/>
        <family val="2"/>
      </rPr>
      <t>D</t>
    </r>
    <r>
      <rPr>
        <sz val="11"/>
        <color theme="0"/>
        <rFont val="Arial"/>
        <family val="2"/>
      </rPr>
      <t>: Readjust again to match total dwelling demand + shortage</t>
    </r>
  </si>
  <si>
    <t>hhsize</t>
  </si>
  <si>
    <t>FUTURE INCOME CATEGORIES</t>
  </si>
  <si>
    <t>FUTURE HOUSEHOLD SIZES</t>
  </si>
  <si>
    <t>total</t>
  </si>
  <si>
    <t>owner</t>
  </si>
  <si>
    <t>renter</t>
  </si>
  <si>
    <t>x1</t>
  </si>
  <si>
    <t>x2</t>
  </si>
  <si>
    <t>x3</t>
  </si>
  <si>
    <t>x4</t>
  </si>
  <si>
    <t>x5plus</t>
  </si>
  <si>
    <t>HH income &lt; 21% of AMHI</t>
  </si>
  <si>
    <t>HH income 21% to 50% of AMHI</t>
  </si>
  <si>
    <t>HH income 51% to 80% of AMHI</t>
  </si>
  <si>
    <t>HH income 81% to 120% of AMHI</t>
  </si>
  <si>
    <t>HH income 121%+ of AMHI</t>
  </si>
  <si>
    <t>5+ persons</t>
  </si>
  <si>
    <t>r</t>
  </si>
  <si>
    <t>rs</t>
  </si>
  <si>
    <t>Income by household size</t>
  </si>
  <si>
    <t>Income by family type</t>
  </si>
  <si>
    <t>Household size by tenure [owner]</t>
  </si>
  <si>
    <t>Household size by tenure [renter]</t>
  </si>
  <si>
    <t>Owner households</t>
  </si>
  <si>
    <t>Renter households</t>
  </si>
  <si>
    <t>By household size</t>
  </si>
  <si>
    <t>By household family type</t>
  </si>
  <si>
    <t>2 person households</t>
  </si>
  <si>
    <t>3 person households</t>
  </si>
  <si>
    <t>4 person households</t>
  </si>
  <si>
    <t>5+ person households</t>
  </si>
  <si>
    <t>1 person households</t>
  </si>
  <si>
    <t>Lone parents</t>
  </si>
  <si>
    <t>Non-census families</t>
  </si>
  <si>
    <t>Couples without child(ren)</t>
  </si>
  <si>
    <t>Couples with child(ren)</t>
  </si>
  <si>
    <t>Income categories</t>
  </si>
  <si>
    <t>Income category</t>
  </si>
  <si>
    <t>0.5% or under</t>
  </si>
  <si>
    <t>0.6% to 1.25%</t>
  </si>
  <si>
    <t>1.26% to 2%</t>
  </si>
  <si>
    <t>2.1% to 3%</t>
  </si>
  <si>
    <t>3.1% or over</t>
  </si>
  <si>
    <t>Rental housing inventory by affordability [2021]</t>
  </si>
  <si>
    <t>Total rental units</t>
  </si>
  <si>
    <t>Rental units afforded by very-low income households</t>
  </si>
  <si>
    <t>Rental units afforded by low income households</t>
  </si>
  <si>
    <t>Total rental units considered affordable</t>
  </si>
  <si>
    <t>Share of rental units considered affordable</t>
  </si>
  <si>
    <t>Rental housing inventory by affordability [built 2016 to 2021]</t>
  </si>
  <si>
    <t>Rental housing inventory by affordability [built &lt;2016]</t>
  </si>
  <si>
    <t>Rental housing inventory by subsidized [2021]</t>
  </si>
  <si>
    <t>Total rentals</t>
  </si>
  <si>
    <t>Subsidized rentals</t>
  </si>
  <si>
    <t>Subsidized rental units</t>
  </si>
  <si>
    <t>Subsidized units as share of total rental units</t>
  </si>
  <si>
    <t>TOTAL</t>
  </si>
  <si>
    <t>LATENT</t>
  </si>
  <si>
    <t>x15_24</t>
  </si>
  <si>
    <t>x25_34</t>
  </si>
  <si>
    <t>x35_44</t>
  </si>
  <si>
    <t>x45_54</t>
  </si>
  <si>
    <t>x55_64</t>
  </si>
  <si>
    <t>x65</t>
  </si>
  <si>
    <t>65</t>
  </si>
  <si>
    <t>65+</t>
  </si>
  <si>
    <t>15_24</t>
  </si>
  <si>
    <t>25_34</t>
  </si>
  <si>
    <t>35_44</t>
  </si>
  <si>
    <t>45_54</t>
  </si>
  <si>
    <t>55_64</t>
  </si>
  <si>
    <t>Rental housing inventory by affordability [2016]</t>
  </si>
  <si>
    <t>Net change in total rental units</t>
  </si>
  <si>
    <t>Net change to rental units afforded by very-low income households</t>
  </si>
  <si>
    <t>Net change to rental units afforded by low income households</t>
  </si>
  <si>
    <t>Total change to rental units considered affordable</t>
  </si>
  <si>
    <t>SUMMARY OF DWELLING TYPE</t>
  </si>
  <si>
    <r>
      <rPr>
        <b/>
        <sz val="11"/>
        <color theme="0"/>
        <rFont val="Arial"/>
        <family val="2"/>
      </rPr>
      <t>A:</t>
    </r>
    <r>
      <rPr>
        <sz val="11"/>
        <color theme="0"/>
        <rFont val="Arial"/>
        <family val="2"/>
      </rPr>
      <t xml:space="preserve"> Summary from Table D in "Future dwelling type demand"</t>
    </r>
  </si>
  <si>
    <r>
      <rPr>
        <b/>
        <sz val="11"/>
        <color theme="0"/>
        <rFont val="Arial"/>
        <family val="2"/>
      </rPr>
      <t>B:</t>
    </r>
    <r>
      <rPr>
        <sz val="11"/>
        <color theme="0"/>
        <rFont val="Arial"/>
        <family val="2"/>
      </rPr>
      <t xml:space="preserve"> Adjust to actual dwellings by type in 2021</t>
    </r>
  </si>
  <si>
    <r>
      <rPr>
        <b/>
        <sz val="11"/>
        <color theme="0"/>
        <rFont val="Arial"/>
        <family val="2"/>
      </rPr>
      <t>C:</t>
    </r>
    <r>
      <rPr>
        <sz val="11"/>
        <color theme="0"/>
        <rFont val="Arial"/>
        <family val="2"/>
      </rPr>
      <t xml:space="preserve"> Adjust to match anticipated total dwelling demand</t>
    </r>
  </si>
  <si>
    <t>SUMMARY OF FAMILY TYPES</t>
  </si>
  <si>
    <r>
      <rPr>
        <b/>
        <sz val="11"/>
        <color theme="0"/>
        <rFont val="Arial"/>
        <family val="2"/>
      </rPr>
      <t>A:</t>
    </r>
    <r>
      <rPr>
        <sz val="11"/>
        <color theme="0"/>
        <rFont val="Arial"/>
        <family val="2"/>
      </rPr>
      <t xml:space="preserve"> Summary from Table D in "Future family types"</t>
    </r>
  </si>
  <si>
    <r>
      <rPr>
        <b/>
        <sz val="11"/>
        <color theme="0"/>
        <rFont val="Arial"/>
        <family val="2"/>
      </rPr>
      <t>B:</t>
    </r>
    <r>
      <rPr>
        <sz val="11"/>
        <color theme="0"/>
        <rFont val="Arial"/>
        <family val="2"/>
      </rPr>
      <t xml:space="preserve"> Adjust to actual family types in 2021</t>
    </r>
  </si>
  <si>
    <r>
      <rPr>
        <b/>
        <sz val="11"/>
        <color theme="0"/>
        <rFont val="Arial"/>
        <family val="2"/>
      </rPr>
      <t>C:</t>
    </r>
    <r>
      <rPr>
        <sz val="11"/>
        <color theme="0"/>
        <rFont val="Arial"/>
        <family val="2"/>
      </rPr>
      <t xml:space="preserve"> Adjust to match anticipated total household demand</t>
    </r>
  </si>
  <si>
    <r>
      <rPr>
        <b/>
        <sz val="11"/>
        <color theme="0"/>
        <rFont val="Arial"/>
        <family val="2"/>
      </rPr>
      <t>A:</t>
    </r>
    <r>
      <rPr>
        <sz val="11"/>
        <color theme="0"/>
        <rFont val="Arial"/>
        <family val="2"/>
      </rPr>
      <t xml:space="preserve"> Summary from Table D in "Future income categories"</t>
    </r>
  </si>
  <si>
    <r>
      <rPr>
        <b/>
        <sz val="11"/>
        <color theme="0"/>
        <rFont val="Arial"/>
        <family val="2"/>
      </rPr>
      <t>B:</t>
    </r>
    <r>
      <rPr>
        <sz val="11"/>
        <color theme="0"/>
        <rFont val="Arial"/>
        <family val="2"/>
      </rPr>
      <t xml:space="preserve"> Convert to shares</t>
    </r>
  </si>
  <si>
    <r>
      <rPr>
        <b/>
        <sz val="11"/>
        <color theme="0"/>
        <rFont val="Arial"/>
        <family val="2"/>
      </rPr>
      <t>C:</t>
    </r>
    <r>
      <rPr>
        <sz val="11"/>
        <color theme="0"/>
        <rFont val="Arial"/>
        <family val="2"/>
      </rPr>
      <t xml:space="preserve"> Adjust from actual income categories shares in 2021</t>
    </r>
  </si>
  <si>
    <r>
      <rPr>
        <b/>
        <sz val="11"/>
        <color theme="0"/>
        <rFont val="Arial"/>
        <family val="2"/>
      </rPr>
      <t>E:</t>
    </r>
    <r>
      <rPr>
        <sz val="11"/>
        <color theme="0"/>
        <rFont val="Arial"/>
        <family val="2"/>
      </rPr>
      <t xml:space="preserve"> Multiply shares by total household demand</t>
    </r>
  </si>
  <si>
    <r>
      <rPr>
        <b/>
        <sz val="11"/>
        <color theme="0"/>
        <rFont val="Arial"/>
        <family val="2"/>
      </rPr>
      <t>D:</t>
    </r>
    <r>
      <rPr>
        <sz val="11"/>
        <color theme="0"/>
        <rFont val="Arial"/>
        <family val="2"/>
      </rPr>
      <t xml:space="preserve"> Adjust to add up to 100%</t>
    </r>
  </si>
  <si>
    <t>SUMMARY OF PRICE MODEL DEMAND</t>
  </si>
  <si>
    <t>SUMMARY OF INCOME STRUCTURE</t>
  </si>
  <si>
    <t>SUMMARY OF HOUSEHOLD SIZE</t>
  </si>
  <si>
    <t>Dwelling size</t>
  </si>
  <si>
    <t>1-bedroom</t>
  </si>
  <si>
    <t>2-bedroom</t>
  </si>
  <si>
    <t>3-bedroom</t>
  </si>
  <si>
    <t>4+bedroom</t>
  </si>
  <si>
    <t>Owned dwellings</t>
  </si>
  <si>
    <t>Rented dwellings</t>
  </si>
  <si>
    <t>by 2035</t>
  </si>
  <si>
    <t>share</t>
  </si>
  <si>
    <t>Market units</t>
  </si>
  <si>
    <t>Below-market units</t>
  </si>
  <si>
    <t>Deeply affordable units</t>
  </si>
  <si>
    <t>REGIONAL INTEGRATION</t>
  </si>
  <si>
    <t>POTENTIAL INWARD INFLUENCE</t>
  </si>
  <si>
    <t>POTENTIAL OUTWARD INFLUENCE</t>
  </si>
  <si>
    <t>NET INFLUENCE</t>
  </si>
  <si>
    <t>Total communities</t>
  </si>
  <si>
    <t>CHANGE IN SUPPLY OVER TIME (w/ regional integration)</t>
  </si>
  <si>
    <t>Estimated regional demand</t>
  </si>
  <si>
    <t>Max affordable shelter cost</t>
  </si>
  <si>
    <t>1 person HH</t>
  </si>
  <si>
    <t>2 person HH</t>
  </si>
  <si>
    <t>3 person HH</t>
  </si>
  <si>
    <t>4 person HH</t>
  </si>
  <si>
    <t>5+ person HH</t>
  </si>
  <si>
    <t>studio</t>
  </si>
  <si>
    <t>1bed</t>
  </si>
  <si>
    <t>2bed</t>
  </si>
  <si>
    <t>3+bed</t>
  </si>
  <si>
    <t>Average rent</t>
  </si>
  <si>
    <t>Total primary market rental units</t>
  </si>
  <si>
    <t>Studio units</t>
  </si>
  <si>
    <t>1 bedroom units</t>
  </si>
  <si>
    <t>2 bedroom units</t>
  </si>
  <si>
    <t>3+ bedroom units</t>
  </si>
  <si>
    <t>Most recent vacancy</t>
  </si>
  <si>
    <t>Rental universe</t>
  </si>
  <si>
    <t>Rental universe (CENSUS)</t>
  </si>
  <si>
    <t>Primary market</t>
  </si>
  <si>
    <t>Secondary market</t>
  </si>
  <si>
    <t>adj</t>
  </si>
  <si>
    <t>Running shortage/surplus (total demand + regional influence - cumulative supply)</t>
  </si>
  <si>
    <t xml:space="preserve"> Inward and outward household demand pressures</t>
  </si>
  <si>
    <t>Inward pressure from within regional employment area</t>
  </si>
  <si>
    <t>Outward pressure to other locations in regional employment area</t>
  </si>
  <si>
    <t>Net local demand pressure from regional economic relationship</t>
  </si>
  <si>
    <t>nursing homes</t>
  </si>
  <si>
    <t>senior residences</t>
  </si>
  <si>
    <t>mix of nursing home and senior residences</t>
  </si>
  <si>
    <t>residential care facilities</t>
  </si>
  <si>
    <t>SENIOR HOUSING</t>
  </si>
  <si>
    <t>PROJECTED NEED BASED ON SEVERITY OF DISABILITY</t>
  </si>
  <si>
    <t>Total seniors (65+)</t>
  </si>
  <si>
    <t>Estimated without disability</t>
  </si>
  <si>
    <t>Estimated with disability</t>
  </si>
  <si>
    <t>PROJECTED NEED BASED ON EXISTING COLLECTIVE DWELLINGS</t>
  </si>
  <si>
    <t>total people</t>
  </si>
  <si>
    <t>Total seniors in collective dwellings</t>
  </si>
  <si>
    <t>Estimated with very severe</t>
  </si>
  <si>
    <t>total people + collective</t>
  </si>
  <si>
    <t>STR</t>
  </si>
  <si>
    <t>PLTD</t>
  </si>
  <si>
    <t>2025 totals</t>
  </si>
  <si>
    <t>Change since 2019*</t>
  </si>
  <si>
    <t>Variables</t>
  </si>
  <si>
    <t>Total owned dwellings</t>
  </si>
  <si>
    <t>0 to 5</t>
  </si>
  <si>
    <t>6 to 17</t>
  </si>
  <si>
    <t>Median sale price</t>
  </si>
  <si>
    <t>Average sale price</t>
  </si>
  <si>
    <t>5-year average rent change</t>
  </si>
  <si>
    <t>5-year change</t>
  </si>
  <si>
    <t>2025 average</t>
  </si>
  <si>
    <t>collective dwelling</t>
  </si>
  <si>
    <t>Collective dwellings expressed as a share of provincial population 2021</t>
  </si>
  <si>
    <t>Select provincial collective dwellings by senior age group 2021</t>
  </si>
  <si>
    <t>SUMMARY OF PROJECTED SENIOR NEEDS</t>
  </si>
  <si>
    <t>Demand for senior housing/care based on ratio of collective dwellings</t>
  </si>
  <si>
    <t>q_instab_can</t>
  </si>
  <si>
    <t>q_ethno_can</t>
  </si>
  <si>
    <t>q_econ_can</t>
  </si>
  <si>
    <t>q_vuln_can</t>
  </si>
  <si>
    <t>q_instab_pr</t>
  </si>
  <si>
    <t>q_ethno_pr</t>
  </si>
  <si>
    <t>q_econ_pr</t>
  </si>
  <si>
    <t>q_vuln_pr</t>
  </si>
  <si>
    <t>scoremat_can</t>
  </si>
  <si>
    <t>scoresoc_can</t>
  </si>
  <si>
    <t>scoremat_pr</t>
  </si>
  <si>
    <t>scoresoc_pr</t>
  </si>
  <si>
    <t>Total in ef</t>
  </si>
  <si>
    <t>Couple ef</t>
  </si>
  <si>
    <t>Couple ef no child</t>
  </si>
  <si>
    <t>Couple ef child</t>
  </si>
  <si>
    <t>Lone parent man</t>
  </si>
  <si>
    <t>Lone parent woman</t>
  </si>
  <si>
    <t>Roommates</t>
  </si>
  <si>
    <t>Applicable for poverty measuring (MBM)</t>
  </si>
  <si>
    <t>In poverty (MBM)</t>
  </si>
  <si>
    <t>Persons in couples with child(ren)</t>
  </si>
  <si>
    <t>Persons in couples without children</t>
  </si>
  <si>
    <t>Single persons</t>
  </si>
  <si>
    <t>Persons living with non-relatives only</t>
  </si>
  <si>
    <t>Woman+ lone parent</t>
  </si>
  <si>
    <t>0 to 5 year olds</t>
  </si>
  <si>
    <t>6 to 17 year olds</t>
  </si>
  <si>
    <t>18 to 24 year olds</t>
  </si>
  <si>
    <t>25 to 54 year olds</t>
  </si>
  <si>
    <t>55 to 64 year olds</t>
  </si>
  <si>
    <t>65+ year olds</t>
  </si>
  <si>
    <t>By age group</t>
  </si>
  <si>
    <t>By economic family type</t>
  </si>
  <si>
    <t>15 to 34</t>
  </si>
  <si>
    <t>% owner</t>
  </si>
  <si>
    <t>% renter</t>
  </si>
  <si>
    <t>Total region</t>
  </si>
  <si>
    <t>Share of total usual resident occupied dwellings</t>
  </si>
  <si>
    <t>POP15</t>
  </si>
  <si>
    <t>PERC</t>
  </si>
  <si>
    <t>Total income</t>
  </si>
  <si>
    <t>Market income</t>
  </si>
  <si>
    <t>Employment income</t>
  </si>
  <si>
    <t>Wages, salaries and commissions</t>
  </si>
  <si>
    <t>Net self-employment income</t>
  </si>
  <si>
    <t>Investment income</t>
  </si>
  <si>
    <t>Private retirement income</t>
  </si>
  <si>
    <t>Old Age Security pension (OAS) and Guaranteed Income Supplement (GIS)</t>
  </si>
  <si>
    <t>Canada Pension Plan (CPP) and Quebec Pension Plan (QPP) benefits</t>
  </si>
  <si>
    <t>Employment Insurance (EI) benefits</t>
  </si>
  <si>
    <t>Child benefits</t>
  </si>
  <si>
    <t>Other government transfers</t>
  </si>
  <si>
    <t>Short-term rentals</t>
  </si>
  <si>
    <t>Population</t>
  </si>
  <si>
    <t>low</t>
  </si>
  <si>
    <t>mod</t>
  </si>
  <si>
    <t>high</t>
  </si>
  <si>
    <t>parcels</t>
  </si>
  <si>
    <t>dwell</t>
  </si>
  <si>
    <t>pop</t>
  </si>
  <si>
    <t>Material deprivation</t>
  </si>
  <si>
    <t>Residential instability</t>
  </si>
  <si>
    <t>Ethno-cultural composition</t>
  </si>
  <si>
    <t>Economic dependency</t>
  </si>
  <si>
    <t>Situational vulnerability</t>
  </si>
  <si>
    <t>Measure</t>
  </si>
  <si>
    <t>Social resilience and vulnerability</t>
  </si>
  <si>
    <t>Social resilience</t>
  </si>
  <si>
    <t>Social vulnerability</t>
  </si>
  <si>
    <t>Material and social deprivation</t>
  </si>
  <si>
    <t>Social deprivation</t>
  </si>
  <si>
    <t>Canada</t>
  </si>
  <si>
    <t>Source</t>
  </si>
  <si>
    <t>CIMD</t>
  </si>
  <si>
    <t>CISR</t>
  </si>
  <si>
    <t>CISV</t>
  </si>
  <si>
    <t>MSDI</t>
  </si>
  <si>
    <t>National index</t>
  </si>
  <si>
    <t>Provincial index</t>
  </si>
  <si>
    <t>Average measure*</t>
  </si>
  <si>
    <t>Build Canada Homes affordable rents</t>
  </si>
  <si>
    <t>Very low income</t>
  </si>
  <si>
    <t>Low income</t>
  </si>
  <si>
    <t>Moderate income</t>
  </si>
  <si>
    <t>Median income</t>
  </si>
  <si>
    <t>1 bedroom</t>
  </si>
  <si>
    <t>2 bedroom</t>
  </si>
  <si>
    <t>3 bedroom</t>
  </si>
  <si>
    <t>Maximum affordable rent per unit size</t>
  </si>
  <si>
    <t>Threshold</t>
  </si>
  <si>
    <t>0-25%</t>
  </si>
  <si>
    <t>26-50%</t>
  </si>
  <si>
    <t>51-75%</t>
  </si>
  <si>
    <t>76-100%</t>
  </si>
  <si>
    <t>4+ bedroom</t>
  </si>
  <si>
    <t>% of median income</t>
  </si>
  <si>
    <t>0 - 25%</t>
  </si>
  <si>
    <t>26 - 50%</t>
  </si>
  <si>
    <t xml:space="preserve"> 51 - 75%</t>
  </si>
  <si>
    <t>76 - 100%</t>
  </si>
  <si>
    <t>Income source</t>
  </si>
  <si>
    <t>OAS and GIS</t>
  </si>
  <si>
    <t>CPP and QPP</t>
  </si>
  <si>
    <t>Select income sources</t>
  </si>
  <si>
    <t>Employment Insurance (EI)</t>
  </si>
  <si>
    <t>Indicator</t>
  </si>
  <si>
    <t>Interpretation</t>
  </si>
  <si>
    <t>DEMOGRAPHIC</t>
  </si>
  <si>
    <t>Population growth trend (5-yr)</t>
  </si>
  <si>
    <t>Decline or stagnation relative to reg./prov. = structural housing demand risk</t>
  </si>
  <si>
    <t>Population aged 65+ (share of total)</t>
  </si>
  <si>
    <t>Table 2.1</t>
  </si>
  <si>
    <t>Elevated share signals rising demand for accessible, supported housing forms</t>
  </si>
  <si>
    <t>Table 2.2; Fig. 2.2</t>
  </si>
  <si>
    <t>Lone-parent household share</t>
  </si>
  <si>
    <t>Table 2.4</t>
  </si>
  <si>
    <t>Elevated share = compounded affordability and suitability need (bedroom count + income)</t>
  </si>
  <si>
    <t>Single-person renter household share</t>
  </si>
  <si>
    <t>High share indicates unmet demand for affordable 1BR; most acute affordability risk group</t>
  </si>
  <si>
    <t>Indigenous population share</t>
  </si>
  <si>
    <t>Table 2.3</t>
  </si>
  <si>
    <t>Elevated share warrants review of culturally appropriate supply, land security, and CHN rate</t>
  </si>
  <si>
    <t>Recent international in-migrant share</t>
  </si>
  <si>
    <t>Above-avg. share introduces access barriers: credit history, language, discrimination risk</t>
  </si>
  <si>
    <t>ECONOMIC</t>
  </si>
  <si>
    <t>Table 3.1</t>
  </si>
  <si>
    <t>&gt;8% = elevated; &gt;12% = high. Weakens income floor supporting housing affordability</t>
  </si>
  <si>
    <t>Single-sector employment concentration (top NAICS share)</t>
  </si>
  <si>
    <t>Table 3.2</t>
  </si>
  <si>
    <t>&gt;35% in one sector = dependency risk; seasonal/resource industries compound income volatility</t>
  </si>
  <si>
    <t>Table 3.4</t>
  </si>
  <si>
    <t>Well below prov. renter median = reduced purchasing power relative to market rents</t>
  </si>
  <si>
    <t>Poverty rate — Market Basket Measure (total population)</t>
  </si>
  <si>
    <t>Table 3.7</t>
  </si>
  <si>
    <t>&gt;15% = elevated; &gt;25% = high. Defines floor of households requiring subsidized housing</t>
  </si>
  <si>
    <t>HOUSING</t>
  </si>
  <si>
    <t>Renter core housing need rate</t>
  </si>
  <si>
    <t>Table 5.1</t>
  </si>
  <si>
    <t>&gt;20% = elevated; &gt;30% = high. Primary federal benchmark for housing precarity among renters</t>
  </si>
  <si>
    <t>Rental vacancy rate (primary market)</t>
  </si>
  <si>
    <t>&lt;3% = market stress; &lt;1% = crisis. Reduces renter mobility and compresses affordable choices</t>
  </si>
  <si>
    <t>5-year average rent increase</t>
  </si>
  <si>
    <t>Growth above prov. CPI or wage growth = widening affordability gap for existing renters</t>
  </si>
  <si>
    <t>Deeply unaffordable renters (STIR ≥50%)</t>
  </si>
  <si>
    <t>&gt;10% of renter households = significant acute need; elevated homelessness risk</t>
  </si>
  <si>
    <t>Negative gap where need exceeds supply = scale of unmet affordable housing requirement</t>
  </si>
  <si>
    <t>Net loss of affordable rental units (2016–2021)</t>
  </si>
  <si>
    <t>Any net loss indicates market erosion of affordable supply; size of loss indicates urgency</t>
  </si>
  <si>
    <t>Subsidized housing as % of rental stock</t>
  </si>
  <si>
    <t>Table 4.10</t>
  </si>
  <si>
    <t>Below reg. and prov. avg. = underserved relative to comparators (lower value = higher vulnerability)</t>
  </si>
  <si>
    <t>Pre-1980 housing stock share</t>
  </si>
  <si>
    <t>&gt;5% = elevated; &gt;15% = high. Physical risk to existing stock with limited substitution options</t>
  </si>
  <si>
    <t>Result</t>
  </si>
  <si>
    <t>Net outflow = loss of primary household formation cohort; weakens rental demand base</t>
  </si>
  <si>
    <t>Reference</t>
  </si>
  <si>
    <t>Effective date:</t>
  </si>
  <si>
    <t>Census subdivision #:</t>
  </si>
  <si>
    <t>Province:</t>
  </si>
  <si>
    <r>
      <t>Total population projections by scenario [</t>
    </r>
    <r>
      <rPr>
        <b/>
        <sz val="11"/>
        <color theme="0"/>
        <rFont val="Arial"/>
        <family val="2"/>
      </rPr>
      <t>COUNTY]</t>
    </r>
  </si>
  <si>
    <r>
      <t xml:space="preserve">Cleaned up projections by scenario for figure </t>
    </r>
    <r>
      <rPr>
        <b/>
        <sz val="11"/>
        <color theme="0"/>
        <rFont val="Arial"/>
        <family val="2"/>
      </rPr>
      <t>[COUNTY]</t>
    </r>
  </si>
  <si>
    <r>
      <t xml:space="preserve">Total population projections by scenario </t>
    </r>
    <r>
      <rPr>
        <b/>
        <sz val="11"/>
        <color theme="0"/>
        <rFont val="Arial"/>
        <family val="2"/>
      </rPr>
      <t>[LOCAL]</t>
    </r>
  </si>
  <si>
    <r>
      <t xml:space="preserve">Cleaned up projections by scenario for figure </t>
    </r>
    <r>
      <rPr>
        <b/>
        <sz val="11"/>
        <color theme="0"/>
        <rFont val="Arial"/>
        <family val="2"/>
      </rPr>
      <t>[LOCAL]</t>
    </r>
  </si>
  <si>
    <r>
      <t>Household suppression [</t>
    </r>
    <r>
      <rPr>
        <b/>
        <sz val="11"/>
        <color theme="0"/>
        <rFont val="Arial"/>
        <family val="2"/>
      </rPr>
      <t>LOCAL]</t>
    </r>
  </si>
  <si>
    <r>
      <t>Household suppression [</t>
    </r>
    <r>
      <rPr>
        <b/>
        <sz val="11"/>
        <color theme="0"/>
        <rFont val="Arial"/>
        <family val="2"/>
      </rPr>
      <t>CD]</t>
    </r>
  </si>
  <si>
    <t>salary</t>
  </si>
  <si>
    <t>wage</t>
  </si>
  <si>
    <t>Provincial wage increase (includes overtime, all industries)</t>
  </si>
  <si>
    <t>Income type</t>
  </si>
  <si>
    <t>5-year average change</t>
  </si>
  <si>
    <t>Province-wide salaries</t>
  </si>
  <si>
    <t>Province-wide wages</t>
  </si>
  <si>
    <t>Housing and transportation</t>
  </si>
  <si>
    <t>Housing</t>
  </si>
  <si>
    <t>Transportation</t>
  </si>
  <si>
    <t>Total population (2025)</t>
  </si>
  <si>
    <t>Population change (2021-2025)</t>
  </si>
  <si>
    <t>Change to 0 to 14 year olds (2021-2025)</t>
  </si>
  <si>
    <t>Change to 65+ year olds (2021-2025)</t>
  </si>
  <si>
    <t>Change to 15 to 34 year olds 
(2021-2025)</t>
  </si>
  <si>
    <t>Total households (2021)</t>
  </si>
  <si>
    <t>Owner households (2021)</t>
  </si>
  <si>
    <t>Renter households (2021)</t>
  </si>
  <si>
    <t>Share of population that moved to the community between 2016-2021</t>
  </si>
  <si>
    <t>DEMOGRAPHIC PROFILE</t>
  </si>
  <si>
    <t>ECONOMIC PROFILE</t>
  </si>
  <si>
    <t>Median before-tax household income (2020)</t>
  </si>
  <si>
    <t>Before-tax single person income (2020)</t>
  </si>
  <si>
    <t>Persons 15+ in the labour force (2021)</t>
  </si>
  <si>
    <t>Persons living below the poverty line (2021)</t>
  </si>
  <si>
    <t>Households with very-low or low incomes</t>
  </si>
  <si>
    <t>HOUSING PROFILE</t>
  </si>
  <si>
    <t>Total dwellings (2021)</t>
  </si>
  <si>
    <t>Single-detached dwellings (2021)</t>
  </si>
  <si>
    <t>Average annual permit totals (2018-2023)</t>
  </si>
  <si>
    <t>Dwellings built pre-1980</t>
  </si>
  <si>
    <t>Rentals considered affordable (2021)</t>
  </si>
  <si>
    <t>Change in average rents (2020-2025)</t>
  </si>
  <si>
    <t>Change in average sale prices (2020-2025)</t>
  </si>
  <si>
    <t>Not occupied by usual residents (e.g., vacant, STRs, second homes - 2021)</t>
  </si>
  <si>
    <t>HOUSING NEED</t>
  </si>
  <si>
    <t>Dwellings needing major repair (2021)</t>
  </si>
  <si>
    <t>Dwellings deemed unaffordable (2021)</t>
  </si>
  <si>
    <t>Overcrowded households (2021)</t>
  </si>
  <si>
    <t>Total households in core housing need (2021)</t>
  </si>
  <si>
    <t>Owner households in core housing need (2021)</t>
  </si>
  <si>
    <t>Renter households in core housing need (2021)</t>
  </si>
  <si>
    <t>Projected population (2035)</t>
  </si>
  <si>
    <t>Projected population change (2025-2035)</t>
  </si>
  <si>
    <t>Change to 0 to 14 year olds (2025-2035)</t>
  </si>
  <si>
    <t>Estimated 2025 dwelling deficit</t>
  </si>
  <si>
    <t>Projected total new dwelling demand (2025-2035)</t>
  </si>
  <si>
    <t>Demand for affordable units (2025-2035)</t>
  </si>
  <si>
    <t>Visible minority identifying persons (2021)</t>
  </si>
  <si>
    <t>Immigrants (2021)</t>
  </si>
  <si>
    <t>Indigenous identifying persons (2021)</t>
  </si>
  <si>
    <t>Suppressed 25 to 34 year old led households (2021)</t>
  </si>
  <si>
    <t>Persons 15+ unemployed (2021)</t>
  </si>
  <si>
    <t>Change in province-wide wage/salaries (2019-2024)</t>
  </si>
  <si>
    <t>Single person households (2021)</t>
  </si>
  <si>
    <t>Lone parent households (2021)</t>
  </si>
  <si>
    <t>Estimated short-term rentals that are potentially long-term housing (2025)</t>
  </si>
  <si>
    <t>Estimated dwellings with moderate to high flood susceptibility</t>
  </si>
  <si>
    <t>Renters living in subsidized housing (2021)</t>
  </si>
  <si>
    <t>Change in affordable rentals 
(2016-2021)</t>
  </si>
  <si>
    <r>
      <t xml:space="preserve">Total households in </t>
    </r>
    <r>
      <rPr>
        <b/>
        <sz val="8"/>
        <rFont val="Arial"/>
        <family val="2"/>
      </rPr>
      <t xml:space="preserve">extreme </t>
    </r>
    <r>
      <rPr>
        <sz val="8"/>
        <rFont val="Arial"/>
        <family val="2"/>
      </rPr>
      <t>core housing need (2021)</t>
    </r>
  </si>
  <si>
    <t>Households in core need that are very low or low income earning (2021)</t>
  </si>
  <si>
    <t>Households in core need that are single persons (2021)</t>
  </si>
  <si>
    <t>Demand for rental units (2025-2035)</t>
  </si>
  <si>
    <t>UNIT DEMAND / PROJECTED NEEDS</t>
  </si>
  <si>
    <t>Total (excl. local)</t>
  </si>
  <si>
    <t>Share of income on housing + transportation</t>
  </si>
  <si>
    <t>Non-immigrants</t>
  </si>
  <si>
    <t>1960 or before</t>
  </si>
  <si>
    <t>Total private dwellings</t>
  </si>
  <si>
    <t>Movable dwelling</t>
  </si>
  <si>
    <t>Percent of income spent on:</t>
  </si>
  <si>
    <t>25-'35</t>
  </si>
  <si>
    <r>
      <rPr>
        <b/>
        <sz val="11"/>
        <color theme="0"/>
        <rFont val="Arial"/>
        <family val="2"/>
      </rPr>
      <t>A:</t>
    </r>
    <r>
      <rPr>
        <sz val="11"/>
        <color theme="0"/>
        <rFont val="Arial"/>
        <family val="2"/>
      </rPr>
      <t xml:space="preserve"> Maintainer age by bedroom size (people who moved in last 5 years)</t>
    </r>
  </si>
  <si>
    <r>
      <rPr>
        <b/>
        <sz val="11"/>
        <color theme="0"/>
        <rFont val="Arial"/>
        <family val="2"/>
      </rPr>
      <t>B:</t>
    </r>
    <r>
      <rPr>
        <sz val="11"/>
        <color theme="0"/>
        <rFont val="Arial"/>
        <family val="2"/>
      </rPr>
      <t xml:space="preserve"> % maintainer age by bedroom size (people who moved in last 5 years)</t>
    </r>
  </si>
  <si>
    <t>Demand for housing/care demand from disability severity</t>
  </si>
  <si>
    <t>Data</t>
  </si>
  <si>
    <t xml:space="preserve">Total population </t>
  </si>
  <si>
    <t xml:space="preserve">  </t>
  </si>
  <si>
    <t>Population growth</t>
  </si>
  <si>
    <t>Percentage</t>
  </si>
  <si>
    <t xml:space="preserve">Age (years) </t>
  </si>
  <si>
    <t>Average</t>
  </si>
  <si>
    <t>Age distribution</t>
  </si>
  <si>
    <t>15 to 64</t>
  </si>
  <si>
    <t xml:space="preserve">Mobility </t>
  </si>
  <si>
    <t>Table 2.2.1: Population</t>
  </si>
  <si>
    <t>Census profile</t>
  </si>
  <si>
    <t>Recent immigrants (2016–2021)</t>
  </si>
  <si>
    <t>Interprovincial migrants (2016–2021)</t>
  </si>
  <si>
    <t>Table 2.2.2: Demographic Information</t>
  </si>
  <si>
    <t xml:space="preserve">Total number of households </t>
  </si>
  <si>
    <t xml:space="preserve">    </t>
  </si>
  <si>
    <t xml:space="preserve">Annual household income </t>
  </si>
  <si>
    <t xml:space="preserve">Annual tenant household income </t>
  </si>
  <si>
    <t>Annual owner household income</t>
  </si>
  <si>
    <t>Household breakdown by size</t>
  </si>
  <si>
    <t>5 or more persons</t>
  </si>
  <si>
    <t>Tenant households</t>
  </si>
  <si>
    <t xml:space="preserve">   </t>
  </si>
  <si>
    <t>% tenant HH in subsidized housing</t>
  </si>
  <si>
    <t>One-parent families</t>
  </si>
  <si>
    <t>Parent is a woman+</t>
  </si>
  <si>
    <t>Parent is a man+</t>
  </si>
  <si>
    <t>Household by income category</t>
  </si>
  <si>
    <t>Very low (up to 20% AMHI)</t>
  </si>
  <si>
    <t>Low (21–50% AMHI)</t>
  </si>
  <si>
    <t>Moderate (51–80% AMHI)</t>
  </si>
  <si>
    <t>Median (81–120% AMHI)</t>
  </si>
  <si>
    <t>High (&gt;120% AMHI)</t>
  </si>
  <si>
    <t>Table 3.1.1: Household Income and Profile</t>
  </si>
  <si>
    <t>Estimate</t>
  </si>
  <si>
    <t>HART</t>
  </si>
  <si>
    <t xml:space="preserve">Workers in labour force </t>
  </si>
  <si>
    <t>Workers by industry</t>
  </si>
  <si>
    <t>Unemployment rate (Percent)</t>
  </si>
  <si>
    <t>Participation rate (Percent)</t>
  </si>
  <si>
    <t>All classes of workers (Number)</t>
  </si>
  <si>
    <t>Employees</t>
  </si>
  <si>
    <t>Permanent position</t>
  </si>
  <si>
    <t>Temporary position</t>
  </si>
  <si>
    <t>Fixed term (1+ year)</t>
  </si>
  <si>
    <t>Casual, seasonal or short-term (&lt;1 year)</t>
  </si>
  <si>
    <t>Self-employed</t>
  </si>
  <si>
    <t>Commuters</t>
  </si>
  <si>
    <t>Within CSD</t>
  </si>
  <si>
    <t>To different CSD</t>
  </si>
  <si>
    <t>To different CD</t>
  </si>
  <si>
    <t>To another province/territory</t>
  </si>
  <si>
    <t>Commuting mode</t>
  </si>
  <si>
    <t>Car, truck, or van</t>
  </si>
  <si>
    <t>Table 3.4.1: Economy and Labour Force</t>
  </si>
  <si>
    <t>Public transit</t>
  </si>
  <si>
    <t>Walked</t>
  </si>
  <si>
    <t>Bicycle</t>
  </si>
  <si>
    <t>Other method</t>
  </si>
  <si>
    <t>Dwellings by structural type</t>
  </si>
  <si>
    <t>Apartment/flat in duplex</t>
  </si>
  <si>
    <t>Other single attached</t>
  </si>
  <si>
    <t>Dwellings by size</t>
  </si>
  <si>
    <t>No bedrooms</t>
  </si>
  <si>
    <t>2 bedrooms</t>
  </si>
  <si>
    <t>3 bedrooms</t>
  </si>
  <si>
    <t>4+ bedrooms</t>
  </si>
  <si>
    <t>Dwellings by date built</t>
  </si>
  <si>
    <t>1961–1980</t>
  </si>
  <si>
    <t>1981–1990</t>
  </si>
  <si>
    <t>1991–2000</t>
  </si>
  <si>
    <t>2001–2005</t>
  </si>
  <si>
    <t>2006–2010</t>
  </si>
  <si>
    <t>2011–2015</t>
  </si>
  <si>
    <t>2016–2021</t>
  </si>
  <si>
    <t>Rental vacancy rate</t>
  </si>
  <si>
    <t>3+ bedrooms</t>
  </si>
  <si>
    <t>Primary rental units</t>
  </si>
  <si>
    <t>Secondary rental units</t>
  </si>
  <si>
    <t>Short-term rental units</t>
  </si>
  <si>
    <t>Table 5.2.1: Housing Units Currently Occupied / Available</t>
  </si>
  <si>
    <t>AirDNA©</t>
  </si>
  <si>
    <t>CMHC RMS</t>
  </si>
  <si>
    <t>Subsidized housing units</t>
  </si>
  <si>
    <t>Below-market rent units (private)</t>
  </si>
  <si>
    <t>Co-operative housing units</t>
  </si>
  <si>
    <t>Other non-market units (supportive, transitional)</t>
  </si>
  <si>
    <t>Table 5.7.1: Current Non-Market Housing Units</t>
  </si>
  <si>
    <t>Median monthly tenant shelter costs</t>
  </si>
  <si>
    <t>Purpose-built rental price (average)</t>
  </si>
  <si>
    <t>Purpose-built rental price (median)</t>
  </si>
  <si>
    <t>Sale prices</t>
  </si>
  <si>
    <t>Sale prices by size (average)</t>
  </si>
  <si>
    <t>Sale prices by size (median)</t>
  </si>
  <si>
    <t>Table 5.9.1: Housing Values</t>
  </si>
  <si>
    <t>Median rent</t>
  </si>
  <si>
    <t>MLS®</t>
  </si>
  <si>
    <t>Demolished</t>
  </si>
  <si>
    <t>Tenant</t>
  </si>
  <si>
    <t>Completed</t>
  </si>
  <si>
    <t>Completed by tenure</t>
  </si>
  <si>
    <t>Condo</t>
  </si>
  <si>
    <t>Co-op</t>
  </si>
  <si>
    <t>Starts by structural type and tenure</t>
  </si>
  <si>
    <t xml:space="preserve">Table 5.9.2: Change in Housing Stock </t>
  </si>
  <si>
    <t>Local gov't</t>
  </si>
  <si>
    <t xml:space="preserve">Affordability – owner / tenant HH </t>
  </si>
  <si>
    <t>Affordability – owner / tenant HH in core need</t>
  </si>
  <si>
    <t xml:space="preserve">Affordability – tenant HH </t>
  </si>
  <si>
    <t>Affordability – tenant HH in core need</t>
  </si>
  <si>
    <t xml:space="preserve">Affordability – owner HH </t>
  </si>
  <si>
    <t>Affordability – owner HH in core need</t>
  </si>
  <si>
    <t xml:space="preserve">Adequacy – owner / tenant HH </t>
  </si>
  <si>
    <t>Adequacy – owner / tenant HH in core need</t>
  </si>
  <si>
    <t xml:space="preserve">Adequacy – tenant HH </t>
  </si>
  <si>
    <t>Adequacy – tenant HH in core need</t>
  </si>
  <si>
    <t xml:space="preserve">Adequacy – owner HH </t>
  </si>
  <si>
    <t>Adequacy – owner HH in core need</t>
  </si>
  <si>
    <t xml:space="preserve">Suitability – owner / tenant HH </t>
  </si>
  <si>
    <t>Suitability – owner / tenant HH in core need</t>
  </si>
  <si>
    <t xml:space="preserve">Suitability – tenant HH </t>
  </si>
  <si>
    <t>Suitability – tenant HH in core need</t>
  </si>
  <si>
    <t xml:space="preserve">Suitability – owner HH </t>
  </si>
  <si>
    <t>Suitability – owner HH in core need</t>
  </si>
  <si>
    <t>Total households in core housing need</t>
  </si>
  <si>
    <t>% tenant HH in core housing need</t>
  </si>
  <si>
    <t>% owner HH in core housing need</t>
  </si>
  <si>
    <t>Table 3.6.4: Households in Core Housing Need</t>
  </si>
  <si>
    <t>Income Category</t>
  </si>
  <si>
    <t>Income Range</t>
  </si>
  <si>
    <t>Max Rent (30%)</t>
  </si>
  <si>
    <t>HH Count</t>
  </si>
  <si>
    <t>% in Core Need</t>
  </si>
  <si>
    <t>Very Low</t>
  </si>
  <si>
    <t>Income Categories and Affordable Shelter Costs (HART)</t>
  </si>
  <si>
    <t>Core Housing Need by Income Category and Household Size</t>
  </si>
  <si>
    <t xml:space="preserve">Anticipated population </t>
  </si>
  <si>
    <t xml:space="preserve">Anticipated growth </t>
  </si>
  <si>
    <t xml:space="preserve">Anticipated age </t>
  </si>
  <si>
    <t>0–14</t>
  </si>
  <si>
    <t>15–19</t>
  </si>
  <si>
    <t>20–24</t>
  </si>
  <si>
    <t>25–64</t>
  </si>
  <si>
    <t>65–84</t>
  </si>
  <si>
    <t>Table 6.3.1: Anticipated Population by 2035</t>
  </si>
  <si>
    <t>Table 17-10-0162</t>
  </si>
  <si>
    <t>Current number of households</t>
  </si>
  <si>
    <t>Anticipated number of households</t>
  </si>
  <si>
    <t>Anticipated household age</t>
  </si>
  <si>
    <t>By type</t>
  </si>
  <si>
    <t>By bedrooms</t>
  </si>
  <si>
    <t xml:space="preserve">By income </t>
  </si>
  <si>
    <t>Draft approved lots</t>
  </si>
  <si>
    <t>Table 6.3.2: Anticipated Households by 2035</t>
  </si>
  <si>
    <t>See methodology</t>
  </si>
  <si>
    <t>Table 6.1.1: Projected Households by Household Size and Income Category</t>
  </si>
  <si>
    <t xml:space="preserve">        Casual, seasonal or short-term position (less than 1 year)</t>
  </si>
  <si>
    <t xml:space="preserve">  Car, truck or van</t>
  </si>
  <si>
    <t xml:space="preserve">    Car, truck or van - as a driver</t>
  </si>
  <si>
    <t xml:space="preserve">    Car, truck or van - as a passenger</t>
  </si>
  <si>
    <t>CMHC SCSS</t>
  </si>
  <si>
    <t>Examined CHN</t>
  </si>
  <si>
    <t>In CHN</t>
  </si>
  <si>
    <t>t_total</t>
  </si>
  <si>
    <t>t_single</t>
  </si>
  <si>
    <t>t_semi</t>
  </si>
  <si>
    <t>t_row</t>
  </si>
  <si>
    <t>t_apt</t>
  </si>
  <si>
    <t>h_total</t>
  </si>
  <si>
    <t>r_total</t>
  </si>
  <si>
    <t>co_total</t>
  </si>
  <si>
    <t>cp_total</t>
  </si>
  <si>
    <t>CHN: below one standard</t>
  </si>
  <si>
    <t>CHN: below affordability standard only</t>
  </si>
  <si>
    <t>CHN: below adequacy standard only</t>
  </si>
  <si>
    <t>CHN: below suitability standard only</t>
  </si>
  <si>
    <t>CHN: below affordability and suitability</t>
  </si>
  <si>
    <t>CHN: below affordability and adequacy</t>
  </si>
  <si>
    <t>CHN: below suitability and adequacy</t>
  </si>
  <si>
    <t>CHN: below affordability, suitability, and adequacy</t>
  </si>
  <si>
    <t>CHN: affordability</t>
  </si>
  <si>
    <t>CHN: suitability</t>
  </si>
  <si>
    <t>CHN: adequacy</t>
  </si>
  <si>
    <t>Table 98-10-0624</t>
  </si>
  <si>
    <t>Table 98-10-0622</t>
  </si>
  <si>
    <r>
      <t xml:space="preserve">Estimated </t>
    </r>
    <r>
      <rPr>
        <i/>
        <u/>
        <sz val="11"/>
        <color theme="0"/>
        <rFont val="Arial"/>
        <family val="2"/>
      </rPr>
      <t>average</t>
    </r>
    <r>
      <rPr>
        <sz val="11"/>
        <color theme="0"/>
        <rFont val="Arial"/>
        <family val="2"/>
      </rPr>
      <t xml:space="preserve"> household income by tenure</t>
    </r>
  </si>
  <si>
    <r>
      <t xml:space="preserve">Estimated </t>
    </r>
    <r>
      <rPr>
        <i/>
        <u/>
        <sz val="11"/>
        <color theme="0"/>
        <rFont val="Arial"/>
        <family val="2"/>
      </rPr>
      <t>median</t>
    </r>
    <r>
      <rPr>
        <sz val="11"/>
        <color theme="0"/>
        <rFont val="Arial"/>
        <family val="2"/>
      </rPr>
      <t xml:space="preserve"> household income by tenure</t>
    </r>
  </si>
  <si>
    <r>
      <t xml:space="preserve">Total </t>
    </r>
    <r>
      <rPr>
        <b/>
        <sz val="8"/>
        <color theme="1"/>
        <rFont val="Arial"/>
        <family val="2"/>
      </rPr>
      <t>maximum</t>
    </r>
    <r>
      <rPr>
        <sz val="8"/>
        <color theme="1"/>
        <rFont val="Arial"/>
        <family val="2"/>
      </rPr>
      <t xml:space="preserve"> senior housing bed/unit demand (by 2035)</t>
    </r>
  </si>
  <si>
    <t>15 to 19 years</t>
  </si>
  <si>
    <t>20 to 24 years</t>
  </si>
  <si>
    <t>1per</t>
  </si>
  <si>
    <t>2per</t>
  </si>
  <si>
    <t>3per</t>
  </si>
  <si>
    <t>4per</t>
  </si>
  <si>
    <t>5per</t>
  </si>
  <si>
    <t>mbm</t>
  </si>
  <si>
    <t>living_income</t>
  </si>
  <si>
    <t>400m from all</t>
  </si>
  <si>
    <t>500m from all</t>
  </si>
  <si>
    <t>800m from high</t>
  </si>
  <si>
    <t>1000m from high</t>
  </si>
  <si>
    <t>2000m from high</t>
  </si>
  <si>
    <t>Market basket measure</t>
  </si>
  <si>
    <t>Living wage / income</t>
  </si>
  <si>
    <t>Income distribution</t>
  </si>
  <si>
    <t>Living wage and poverty line estimates</t>
  </si>
  <si>
    <t>MBM</t>
  </si>
  <si>
    <t>Living wage</t>
  </si>
  <si>
    <t>1 person estimates</t>
  </si>
  <si>
    <t>2 person estimates</t>
  </si>
  <si>
    <t>3 person estimates</t>
  </si>
  <si>
    <t>4 person estimates</t>
  </si>
  <si>
    <t>5 person estimates</t>
  </si>
  <si>
    <t>1-person</t>
  </si>
  <si>
    <t>2-person</t>
  </si>
  <si>
    <t>3-person</t>
  </si>
  <si>
    <t>4-person</t>
  </si>
  <si>
    <t>400m from all transit</t>
  </si>
  <si>
    <t>500m from all transit</t>
  </si>
  <si>
    <t>800m from high-capacity transit</t>
  </si>
  <si>
    <t>1,000m from high-capacity transit</t>
  </si>
  <si>
    <t>2,000m from high-capacity transit</t>
  </si>
  <si>
    <t>20 to 24 year olds</t>
  </si>
  <si>
    <t>Low income persons</t>
  </si>
  <si>
    <t>Unemployed persons</t>
  </si>
  <si>
    <t>Populations</t>
  </si>
  <si>
    <t>15 to 19 year olds</t>
  </si>
  <si>
    <t>Single person renter</t>
  </si>
  <si>
    <t>The higher the share, the greater the risk of habitability, accessibility, and energy efficiency deficiencies</t>
  </si>
  <si>
    <t>hx30_2025</t>
  </si>
  <si>
    <t>hx30_2050</t>
  </si>
  <si>
    <t>hx35_2025</t>
  </si>
  <si>
    <t>hx35_2050</t>
  </si>
  <si>
    <t>hx40_2025</t>
  </si>
  <si>
    <t>hx40_2050</t>
  </si>
  <si>
    <t>tx30_2025</t>
  </si>
  <si>
    <t>tx30_2050</t>
  </si>
  <si>
    <t>tx35_2025</t>
  </si>
  <si>
    <t>tx35_2050</t>
  </si>
  <si>
    <t>wsdi_2025</t>
  </si>
  <si>
    <t>wsdi_2050</t>
  </si>
  <si>
    <t>tnm20_2025</t>
  </si>
  <si>
    <t>tnm20_2050</t>
  </si>
  <si>
    <t>r20mm_2025</t>
  </si>
  <si>
    <t>r20mm_2050</t>
  </si>
  <si>
    <t>cdd_2025</t>
  </si>
  <si>
    <t>cdd_2050</t>
  </si>
  <si>
    <t>sdii_2025</t>
  </si>
  <si>
    <t>sdii_2050</t>
  </si>
  <si>
    <t>r95days_2025</t>
  </si>
  <si>
    <t>r95days_2050</t>
  </si>
  <si>
    <t>r99days_2025</t>
  </si>
  <si>
    <t>r99days_2050</t>
  </si>
  <si>
    <t>Estimated living wage / income threshold</t>
  </si>
  <si>
    <t>Estimated Market Basket Measure threshold</t>
  </si>
  <si>
    <t>Estimated HHs below poverty line</t>
  </si>
  <si>
    <t>Estimated HHs earning below the living wage</t>
  </si>
  <si>
    <t>Estimated “ALICE” households</t>
  </si>
  <si>
    <t>Humidity</t>
  </si>
  <si>
    <t>_pctile_national</t>
  </si>
  <si>
    <t>Percentile</t>
  </si>
  <si>
    <t>Heat</t>
  </si>
  <si>
    <t>Cold</t>
  </si>
  <si>
    <t>Rain</t>
  </si>
  <si>
    <t>Days with 20mm+ precipitation</t>
  </si>
  <si>
    <t>Number of days where precipitation exceeds 95% of historical values</t>
  </si>
  <si>
    <t>Typical amount of rain during wet periods</t>
  </si>
  <si>
    <t>tnm15_2025</t>
  </si>
  <si>
    <t>tnm15_2050</t>
  </si>
  <si>
    <t>id_2025</t>
  </si>
  <si>
    <t>id_2050</t>
  </si>
  <si>
    <t>Humidex</t>
  </si>
  <si>
    <t>Precipitation</t>
  </si>
  <si>
    <t>Days below -15 ⁰C</t>
  </si>
  <si>
    <t>Days below -20 ⁰C</t>
  </si>
  <si>
    <t>Icing days**</t>
  </si>
  <si>
    <t>Days over 30 ⁰C (2050)</t>
  </si>
  <si>
    <t>Days over 30 ⁰C (2025)</t>
  </si>
  <si>
    <t>Days over 35 ⁰C (2050)</t>
  </si>
  <si>
    <t>Days over 35 ⁰C (2025)</t>
  </si>
  <si>
    <t>Cold*</t>
  </si>
  <si>
    <t>per65</t>
  </si>
  <si>
    <t>lim</t>
  </si>
  <si>
    <t>lim65</t>
  </si>
  <si>
    <t>old</t>
  </si>
  <si>
    <t>rep</t>
  </si>
  <si>
    <t>_pct</t>
  </si>
  <si>
    <t>Share of population: 65+ year olds</t>
  </si>
  <si>
    <t>Share of population in low income</t>
  </si>
  <si>
    <t>Share of 65+ year olds in low income</t>
  </si>
  <si>
    <t>Share of dwellings built in 1960 or earlier</t>
  </si>
  <si>
    <t>Share of dwellings in need of major repair</t>
  </si>
  <si>
    <t>Maximum consecutive dry days (2025)</t>
  </si>
  <si>
    <t>Maximum consecutive dry days (2050)</t>
  </si>
  <si>
    <t>r1mm_2025</t>
  </si>
  <si>
    <t>r1mm_2050</t>
  </si>
  <si>
    <t>Total dry days (2025)</t>
  </si>
  <si>
    <t>Total dry days (2050)</t>
  </si>
  <si>
    <t>Private rental housing below-market inventory  [2016]</t>
  </si>
  <si>
    <t>Private rental housing below-market inventory  [built 2016 to 2021]</t>
  </si>
  <si>
    <t>Private rental housing below-market inventory  [2021]</t>
  </si>
  <si>
    <t>Private rental housing below-market inventory  [built &lt;2016]</t>
  </si>
  <si>
    <t>Share of private market rental units considered as below-market</t>
  </si>
  <si>
    <t>Total private market rental units</t>
  </si>
  <si>
    <t>Est’d number of private market rental units that are below-market</t>
  </si>
  <si>
    <t>Flooded</t>
  </si>
  <si>
    <t>dwellings</t>
  </si>
  <si>
    <t>Buildings</t>
  </si>
  <si>
    <t>Dwelling units</t>
  </si>
  <si>
    <t>Gender:</t>
  </si>
  <si>
    <t>DATA COLLECTION</t>
  </si>
  <si>
    <t>FINAL TABLES</t>
  </si>
  <si>
    <t>Table ##</t>
  </si>
  <si>
    <t>Summary</t>
  </si>
  <si>
    <t>DATA COLLECTION &amp; FINAL TABLE</t>
  </si>
  <si>
    <t>NEED BY INCOME CATEGORY AND HH SIZE</t>
  </si>
  <si>
    <t>HOUSING NEED INDICATORS</t>
  </si>
  <si>
    <r>
      <t xml:space="preserve">DATA COLLECTION: </t>
    </r>
    <r>
      <rPr>
        <sz val="20"/>
        <color theme="1"/>
        <rFont val="Arial"/>
        <family val="2"/>
      </rPr>
      <t>HOUSING TENURE</t>
    </r>
  </si>
  <si>
    <r>
      <t xml:space="preserve">DATA COLLECTION: </t>
    </r>
    <r>
      <rPr>
        <sz val="20"/>
        <color theme="1"/>
        <rFont val="Arial"/>
        <family val="2"/>
      </rPr>
      <t>COMPARISON GEOGRAPHIES</t>
    </r>
  </si>
  <si>
    <r>
      <t>HOUSING NEED BY TENURE TYPE (</t>
    </r>
    <r>
      <rPr>
        <b/>
        <u/>
        <sz val="48"/>
        <color theme="1"/>
        <rFont val="Arial"/>
        <family val="2"/>
      </rPr>
      <t>ADD'TL PRIORITY GROUPS)</t>
    </r>
  </si>
  <si>
    <t>RENTAL STATISTICS</t>
  </si>
  <si>
    <t>RENTAL UNIVERSE</t>
  </si>
  <si>
    <t>Intermediary table</t>
  </si>
  <si>
    <t>BUILD CANADA HOMES ESTIMATES</t>
  </si>
  <si>
    <t>Incomes</t>
  </si>
  <si>
    <t>Incomes by household size</t>
  </si>
  <si>
    <t>Category</t>
  </si>
  <si>
    <t>SALES DATA</t>
  </si>
  <si>
    <t>PERMIT DATA</t>
  </si>
  <si>
    <t>Permits [Local]</t>
  </si>
  <si>
    <t>Permits [geographic comparison]</t>
  </si>
  <si>
    <t>Total dwellings [geographic comparison]</t>
  </si>
  <si>
    <t>Estimated share of total dwellings</t>
  </si>
  <si>
    <t>CONSTRUCTION AGE</t>
  </si>
  <si>
    <t>Local share</t>
  </si>
  <si>
    <t>Regional share</t>
  </si>
  <si>
    <t>Provincial share</t>
  </si>
  <si>
    <t>STRUCTURE TYPE</t>
  </si>
  <si>
    <t>% of total dwellings</t>
  </si>
  <si>
    <t>Structure type</t>
  </si>
  <si>
    <t>Local units</t>
  </si>
  <si>
    <t>Summary for projections</t>
  </si>
  <si>
    <t>NUMBER OF BEDROOMS</t>
  </si>
  <si>
    <t>SUBSIDIZED HOUSING</t>
  </si>
  <si>
    <t>AFFORDABLE HOUSING</t>
  </si>
  <si>
    <t>Percent</t>
  </si>
  <si>
    <t>BELOW-MARKET HOUSING</t>
  </si>
  <si>
    <t>SHORT-TERM RENTALS</t>
  </si>
  <si>
    <t>FLOODING</t>
  </si>
  <si>
    <t>Flooding susceptibility index (FSI)</t>
  </si>
  <si>
    <t>Year</t>
  </si>
  <si>
    <t>Total by category</t>
  </si>
  <si>
    <t>Coastal floodzone by category</t>
  </si>
  <si>
    <t>variable</t>
  </si>
  <si>
    <t>CLIMATE VARIABLES</t>
  </si>
  <si>
    <t>Vulnerable data shares</t>
  </si>
  <si>
    <t>Cleaned for final table</t>
  </si>
  <si>
    <t>HISTORICAL POPULATION</t>
  </si>
  <si>
    <t>ANNUAL ESTIMATES</t>
  </si>
  <si>
    <t>FINAL FIGURE</t>
  </si>
  <si>
    <t>Figure ##</t>
  </si>
  <si>
    <t>CENSUS DIVISION: COMPONENTS OF POPULATION CHANGE</t>
  </si>
  <si>
    <t>Component</t>
  </si>
  <si>
    <t>CD population estimate</t>
  </si>
  <si>
    <t>Census Division Population Estimates</t>
  </si>
  <si>
    <t>Census Division Components of Population Change</t>
  </si>
  <si>
    <t>NA</t>
  </si>
  <si>
    <t>Summarized Components</t>
  </si>
  <si>
    <t>FINAL FIGURES</t>
  </si>
  <si>
    <t>MOBILITY</t>
  </si>
  <si>
    <t>VULNERABLE POPULATIONS</t>
  </si>
  <si>
    <t>CENSUS DIVISION / SUBDIVISION PROJECTIONS</t>
  </si>
  <si>
    <t>SUMMARY OF PROJECTIONS</t>
  </si>
  <si>
    <t>HOUSEHOLD CHARACTERISTICS</t>
  </si>
  <si>
    <t>Characteristics</t>
  </si>
  <si>
    <t>HOUSEHOLD SUPPRESSION</t>
  </si>
  <si>
    <t>Maintainer age group</t>
  </si>
  <si>
    <t>LABOUR FORCE STATISTICS</t>
  </si>
  <si>
    <t>INDUSTRIES OF EMPLOYMENT</t>
  </si>
  <si>
    <t>Industries</t>
  </si>
  <si>
    <t>COMMUTING PATTERNS</t>
  </si>
  <si>
    <t>TRANSIT ACCESS</t>
  </si>
  <si>
    <t>Transit proximity [LOCAL]</t>
  </si>
  <si>
    <t>Transit proximity [PROVINCE]</t>
  </si>
  <si>
    <t>INCOME BY CHARACTERISTIC</t>
  </si>
  <si>
    <t>Income categories (shares)</t>
  </si>
  <si>
    <t>Incomes from HART</t>
  </si>
  <si>
    <t>Renters by geography</t>
  </si>
  <si>
    <t>MARKET BASKET MEASURE</t>
  </si>
  <si>
    <t>INCOME SOURCES</t>
  </si>
  <si>
    <t>PROVINCIAL WAGE</t>
  </si>
  <si>
    <t>ALICE HOUSEHOLD ESTIMATES</t>
  </si>
  <si>
    <t>Cumulative income distribution</t>
  </si>
  <si>
    <t>Index</t>
  </si>
  <si>
    <t>Below average</t>
  </si>
  <si>
    <t>Above average</t>
  </si>
  <si>
    <t>Definition</t>
  </si>
  <si>
    <t>The community's population is largely settled in character, with household stability and owner-occupancy above comparable communities [COMPARATOR]. Residents face relatively limited exposure to the displacement pressures and tenure fragility associated with high-transience housing markets.</t>
  </si>
  <si>
    <t>Residential stability is above average [COMPARATOR], with rates of renting, living alone, and frequent moving below wider patterns. Housing instability is not an elevated structural concern for this community relative to its peers.</t>
  </si>
  <si>
    <t>Residential stability is broadly in line with comparable communities [COMPARATOR], with rates of renting, living alone, and frequent moving consistent with wider patterns. Housing instability is not an elevated structural concern relative to peers.</t>
  </si>
  <si>
    <t>Residential instability is above average [COMPARATOR], reflecting an elevated share of renters, single-person households, and frequent movers. These households are more exposed to rent increases and vacancy-driven displacement, with limited capacity to absorb market shocks.</t>
  </si>
  <si>
    <t>Residential instability measures the degree to which a neighbourhood's population is transient and households are fragile, based on factors such as renting, living alone, and frequent moving.</t>
  </si>
  <si>
    <t>The local workforce shows strong labour force participation and limited reliance on government transfers [COMPARATOR]. Fewer households depend on income replacement programs, reducing structural vulnerability to rent increases or market-rate housing costs.</t>
  </si>
  <si>
    <t>Economic dependency is below average [COMPARATOR], with most residents employed and limited reliance on government transfers or fixed incomes. Housing affordability pressures rooted in limited income are not an elevated structural concern.</t>
  </si>
  <si>
    <t>Economic dependency (the share of residents relying on government transfers, seniors outside the labour force, or non-participants in the workforce) is consistent with comparable communities [COMPARATOR]. Housing affordability pressures are present but not structurally elevated.</t>
  </si>
  <si>
    <t>Economic dependency is above average [COMPARATOR], with an elevated share of households relying on government transfers, seniors on fixed incomes, or residents outside the labour force. For these households, housing costs consume a larger share of limited income, and modest increases in rents have an outsized effect on financial stability.</t>
  </si>
  <si>
    <t>Economic dependency is high [COMPARATOR], with a substantial share of households relying on government transfers, seniors on fixed incomes, or residents outside the labour force. Housing cost pressures fall disproportionately on these households, and modest rent increases can push them into housing need.</t>
  </si>
  <si>
    <t>Economic dependency measures the extent to which a community's population relies on government transfers rather than employment income, and includes higher shares of seniors and labour force non-participants.</t>
  </si>
  <si>
    <t>Ethno-cultural complexity (capturing linguistic isolation, recent immigration, and housing crowding) is well below average [COMPARATOR]. Barriers to navigating the housing market rooted in language or cultural factors are not an elevated concern relative to peers.</t>
  </si>
  <si>
    <t>Ethno-cultural complexity is below average [COMPARATOR]. The specific sub-dimensions that can create housing market barriers (linguistic isolation, recent immigration, and overcrowding) are present at levels below wider patterns.</t>
  </si>
  <si>
    <t>Ethno-cultural complexity is above average [COMPARATOR]. The planning concern is not diversity itself but the sub-dimensions driving the score: linguistic isolation, concentration of recent immigrants, and housing crowding. These create barriers to navigating the rental market, asserting tenant rights, and accessing housing services.</t>
  </si>
  <si>
    <t>Ethno-cultural complexity is high [COMPARATOR]. Elevated rates of linguistic isolation, recent immigration, and housing crowding create concrete barriers to navigating the rental market, asserting tenant rights, and accessing housing services; barriers that require culturally responsive approaches to outreach and service delivery.</t>
  </si>
  <si>
    <t>Ethno-cultural composition measures the concentration of immigrant and visible minority populations, including indicators of linguistic isolation and housing crowding, in the context of marginalization risk.</t>
  </si>
  <si>
    <t>Indicators of socio-demographic disadvantage (including lower educational attainment, housing in need of major repair, lone-parent family prevalence, and share of residents identifying as Indigenous) are well below average [COMPARATOR]. These structural risk factors are not concentrated to a degree that distinguishes the community from its peers.</t>
  </si>
  <si>
    <t>Situational vulnerability is below average [COMPARATOR]. Concentrations of lone-parent households, lower educational attainment, substandard housing, and Indigenous identity are present at levels below wider patterns.</t>
  </si>
  <si>
    <t>Situational vulnerability (capturing concentrations of lone-parent households, lower educational attainment, substandard housing, and Indigenous identity) is consistent with comparable communities [COMPARATOR]. These factors are present but not at levels that differentiate this community from its peers.</t>
  </si>
  <si>
    <t>Situational vulnerability is above average [COMPARATOR], driven by concentrations of lone-parent households, lower educational attainment, housing in need of major repair, and/or a higher share of residents identifying as Indigenous. These conditions compound affordability challenges and reduce households' capacity to navigate the housing market independently.</t>
  </si>
  <si>
    <t>Situational vulnerability is high [COMPARATOR], reflecting significant concentrations of lone-parent households, lower educational attainment, housing in need of major repair, and/or a substantial share of residents identifying as Indigenous. These conditions compound affordability challenges and reduce households' ability to access support when needed.</t>
  </si>
  <si>
    <t>Situational vulnerability measures socio-demographic disadvantage related to housing quality, educational attainment, single-parent households, and Indigenous identity.</t>
  </si>
  <si>
    <t>Social resilience is low [COMPARATOR], indicating reduced collective capacity (in terms of health services, civic participation, and institutional support) to buffer the effects of housing disruptions. Households facing housing stress have less systemic support to fall back on.</t>
  </si>
  <si>
    <t>Social resilience is above average [COMPARATOR], reflecting strong collective capacity (including health and social infrastructure, civic participation, and institutional support) to absorb and recover from housing disruptions. Aggregate resilience should not, however, be taken to mean that all sub-populations are equally buffered.</t>
  </si>
  <si>
    <t>Social resilience is high [COMPARATOR], a meaningful community asset reflecting well-developed health services, civic engagement, and institutional support networks. Aggregate resilience should not obscure the situation of sub-populations whose individual vulnerability remains elevated.</t>
  </si>
  <si>
    <t xml:space="preserve">Social resilience measures a community's collective capacity to withstand and recover from natural hazards by measuring its human capital and economic diversity. </t>
  </si>
  <si>
    <t>The distribution of risk factors that amplify harm during disruptions (including disability, low income, lone-parent status, and inadequate housing) is well below average [COMPARATOR]. Fewer households face the compounding disadvantages that make housing shocks particularly damaging.</t>
  </si>
  <si>
    <t>Social vulnerability is below average [COMPARATOR]. Risk factors that amplify harm during housing or community disruptions (such as disability, low income, and housing inadequacy) are present but at levels below comparable communities.</t>
  </si>
  <si>
    <t xml:space="preserve">Social vulnerability is above average [COMPARATOR], reflecting a meaningful share of residents whose circumstances (disability, low income, lone-parent status, or housing inadequacy) would intensify harm during a market disruption. </t>
  </si>
  <si>
    <t>Social vulnerability is high [COMPARATOR], with a substantial share of residents facing conditions (disability, low income, lone-parent status, or inadequate housing) that would intensify harm during a market disruption. These households warrant targeted intervention independent of aggregate resilience measures.</t>
  </si>
  <si>
    <t>Social vulnerability measures the distribution of risk factors (such as disability, low income, and housing inadequacy) that amplify harm when disruptions occur.</t>
  </si>
  <si>
    <t>Material deprivation is below average [COMPARATOR], with concentrations of low income, unemployment, and low educational attainment below wider patterns. Economic risk factors for housing stress are not elevated relative to peers.</t>
  </si>
  <si>
    <t>Material deprivation is above average [COMPARATOR], reflecting elevated concentrations of low income, unemployment, and low educational attainment. These economic conditions increase households' exposure to affordability stress and reduce capacity to access or maintain stable housing.</t>
  </si>
  <si>
    <t>Material deprivation is high [COMPARATOR], with substantial concentrations of low income, unemployment, and low educational attainment. These conditions are among the most direct drivers of housing affordability stress and core housing need.</t>
  </si>
  <si>
    <t>Material deprivation measures concentrations of low income, unemployment, and low educational attainment at the neighbourhood level.</t>
  </si>
  <si>
    <t>Social deprivation (measuring household fragmentation, lone-parent prevalence, and social isolation) is well below average [COMPARATOR]. Household structures that increase vulnerability to housing instability are not an elevated concern relative to peers.</t>
  </si>
  <si>
    <t>Social deprivation is below average [COMPARATOR], with rates of household fragmentation, lone-parent families, and social isolation below wider patterns. Structural household risk factors for housing instability are not elevated.</t>
  </si>
  <si>
    <t>Social deprivation is above average [COMPARATOR], driven by elevated rates of household fragmentation, lone-parent family structures, and social isolation. These characteristics are associated with reduced capacity to maintain housing stability and higher susceptibility to housing cost shocks.</t>
  </si>
  <si>
    <t>Social deprivation is high [COMPARATOR], with substantially elevated rates of household fragmentation, lone-parent families, and social isolation. These characteristics are among the strongest predictors of housing instability and core housing need at the individual level.</t>
  </si>
  <si>
    <t>Social deprivation measures household fragmentation, lone-parent family prevalence, and social isolation within a community.</t>
  </si>
  <si>
    <t>VULNERABILITY PROFILE — COMMUNITY SNAPSHOT TEXT</t>
  </si>
  <si>
    <t>The text below is auto-generated from the index results entered on the Inputs sheet. Copy the relevant cells into the Community Snapshot as needed. Not all indices need to appear — include those most pertinent to the community's profile.</t>
  </si>
  <si>
    <t>Generated narrative text</t>
  </si>
  <si>
    <t>Source: Canadian Index of Multiple Deprivation (CIMD), Canadian Index of Social Resilience (CISR), Canadian Index of Social Vulnerability (CISV), Material and Social Deprivation Index (MSDI). Results derived from 2021 Census dissemination area data. Note: Social resilience is inverted — high resilience is a favourable outcome.</t>
  </si>
  <si>
    <t>Ranking is based on the provincial quintile result. Social resilience is inverted (low resilience ranks as high severity). Where two indices share the same quintile result, the index appearing earlier in the table ranks first. All eight indices are available on the Generated Text sheet.</t>
  </si>
  <si>
    <t>Implication</t>
  </si>
  <si>
    <t>Issues</t>
  </si>
  <si>
    <t>Rank</t>
  </si>
  <si>
    <t>← Change this number to show more or fewer issues (1–8)</t>
  </si>
  <si>
    <t>Show top:</t>
  </si>
  <si>
    <t>PRIORITY ISSUES — TOP RANKED VULNERABILITY CONCERNS</t>
  </si>
  <si>
    <t>VULNERABILITY INDICES</t>
  </si>
  <si>
    <t>Text</t>
  </si>
  <si>
    <t>Multiple deprivation (MSDI)</t>
  </si>
  <si>
    <t>Comparator</t>
  </si>
  <si>
    <t>Score</t>
  </si>
  <si>
    <t>Ground-oriented</t>
  </si>
  <si>
    <t>Cottage</t>
  </si>
  <si>
    <t>INCOME BY CATEGORY</t>
  </si>
  <si>
    <t>Man+ lone parent</t>
  </si>
  <si>
    <t>beds</t>
  </si>
  <si>
    <t>units</t>
  </si>
  <si>
    <t>Affordable (Non-Market)</t>
  </si>
  <si>
    <t>Co-operative</t>
  </si>
  <si>
    <t>Emergency Shelter</t>
  </si>
  <si>
    <t>Supportive</t>
  </si>
  <si>
    <t>Transitional</t>
  </si>
  <si>
    <t>Subsidized Market</t>
  </si>
  <si>
    <t>Group Home</t>
  </si>
  <si>
    <t>NON-MARKET</t>
  </si>
  <si>
    <t>Inventory by geography</t>
  </si>
  <si>
    <t>Beds</t>
  </si>
  <si>
    <t>Units</t>
  </si>
  <si>
    <t>Renter median household income (estimated)</t>
  </si>
  <si>
    <t>Change in young professionals (25–34)</t>
  </si>
  <si>
    <t>Seniors</t>
  </si>
  <si>
    <t>2021 to 2025</t>
  </si>
  <si>
    <t>Tables 2.2; Table 2.3</t>
  </si>
  <si>
    <t>Table 2.1; Fig. 2.1</t>
  </si>
  <si>
    <t>Table 4.5</t>
  </si>
  <si>
    <t>Tables 4.8; Table 5.2</t>
  </si>
  <si>
    <t>Affordable rentals minus total very low/low income households</t>
  </si>
  <si>
    <t>Table 4.2</t>
  </si>
  <si>
    <t>Table 7.6</t>
  </si>
  <si>
    <t>Non-market housing inventory (beds and units)</t>
  </si>
  <si>
    <t>Shelter spaces for various population groups</t>
  </si>
  <si>
    <t>Total CD</t>
  </si>
  <si>
    <t>Estimate CSD</t>
  </si>
  <si>
    <t>Region:</t>
  </si>
  <si>
    <t>Community studied:</t>
  </si>
  <si>
    <t>Total (beds + units)</t>
  </si>
  <si>
    <t>Multiple</t>
  </si>
  <si>
    <t>Residential instability is high [COMPARATOR], reflecting a population with substantially elevated rates of renting, living alone, and frequent moves. These households face acute exposure to displacement and have the least capacity to absorb market shocks, making housing security a priority concern..</t>
  </si>
  <si>
    <t>Ethno-cultural complexity is broadly in line with comparable communities [COMPARATOR]. Indicators of linguistic isolation, recent immigration, and housing crowding are present at levels consistent with broader trends.</t>
  </si>
  <si>
    <t>Social resilience is below average [COMPARATOR], with the community's collective capacity to absorb and recover from disruptions somewhat below peers. Community infrastructure and institutional support networks are less developed than broader trends.</t>
  </si>
  <si>
    <t>Social resilience (the community's collective capacity to absorb and recover from disruptions) is broadly comparable to peers [COMPARATOR]. Community infrastructure, civic engagement, and institutional support networks look to be present at average levels.</t>
  </si>
  <si>
    <t>Social vulnerability is broadly consistent with comparable communities [COMPARATOR]. Risk factors that amplify harm during housing disruptions (such as disability, low income, and housing inadequacy) are present but not concentrated beyond expected trends.</t>
  </si>
  <si>
    <t>Material deprivation (measuring concentrations of low income, unemployment, and low educational attainment) is well below average [COMPARATOR]. Economic conditions are broadly supportive of general housing stability across income groups, though there still exist situations of hardship.</t>
  </si>
  <si>
    <t>Material deprivation (capturing concentrations of low income, unemployment, and low educational attainment) is broadly consistent with comparable communities [COMPARATOR]. Economic risk factors for housing stress are present at levels similar to broader trends.</t>
  </si>
  <si>
    <t>Social deprivation (capturing household fragmentation, lone-parent prevalence, and social isolation) is broadly consistent with comparable communities [COMPARATOR]. Household structures associated with elevated housing vulnerability are present at  levels similar to broader trends.</t>
  </si>
  <si>
    <t>Not included</t>
  </si>
  <si>
    <t>Share of housing stock with high flood susceptibility</t>
  </si>
  <si>
    <t>geo</t>
  </si>
  <si>
    <t>name</t>
  </si>
  <si>
    <t>DGUID</t>
  </si>
  <si>
    <t>NAICS</t>
  </si>
  <si>
    <t>TOTAL_21</t>
  </si>
  <si>
    <t>HOME_21</t>
  </si>
  <si>
    <t>HOME_PER</t>
  </si>
  <si>
    <t>x2022</t>
  </si>
  <si>
    <t>x2023</t>
  </si>
  <si>
    <t>x2024</t>
  </si>
  <si>
    <t>x2025</t>
  </si>
  <si>
    <t>11</t>
  </si>
  <si>
    <t>21</t>
  </si>
  <si>
    <t>22</t>
  </si>
  <si>
    <t>23</t>
  </si>
  <si>
    <t>31</t>
  </si>
  <si>
    <t>41</t>
  </si>
  <si>
    <t>44</t>
  </si>
  <si>
    <t>48</t>
  </si>
  <si>
    <t>51</t>
  </si>
  <si>
    <t>52</t>
  </si>
  <si>
    <t>53</t>
  </si>
  <si>
    <t>54</t>
  </si>
  <si>
    <t>55</t>
  </si>
  <si>
    <t>56</t>
  </si>
  <si>
    <t>61</t>
  </si>
  <si>
    <t>62</t>
  </si>
  <si>
    <t>71</t>
  </si>
  <si>
    <t>72</t>
  </si>
  <si>
    <t>81</t>
  </si>
  <si>
    <t>RES</t>
  </si>
  <si>
    <t>WORK</t>
  </si>
  <si>
    <t>P_OUT</t>
  </si>
  <si>
    <t>T_OUT</t>
  </si>
  <si>
    <t>FLOW</t>
  </si>
  <si>
    <t>HH</t>
  </si>
  <si>
    <t>RES_NAME</t>
  </si>
  <si>
    <t>WORK_NAME</t>
  </si>
  <si>
    <t>VARID</t>
  </si>
  <si>
    <t>VALUE</t>
  </si>
  <si>
    <t>var</t>
  </si>
  <si>
    <t>Total - Labour force aged 15 years and over by class of worker including job permanency - 25% sample data</t>
  </si>
  <si>
    <t>Class of worker - not applicable</t>
  </si>
  <si>
    <t>All classes of workers</t>
  </si>
  <si>
    <t>Employee</t>
  </si>
  <si>
    <t>Fixed term (1 year or more)</t>
  </si>
  <si>
    <t>Total - Place of work status for the employed labour force aged 15 years and over - 25% sample data</t>
  </si>
  <si>
    <t>Worked at home</t>
  </si>
  <si>
    <t>Worked outside Canada</t>
  </si>
  <si>
    <t>No fixed workplace address</t>
  </si>
  <si>
    <t>Usual place of work</t>
  </si>
  <si>
    <t>Total - Commuting destination for the employed labour force aged 15 years and over with a usual place of work - 25% sample data</t>
  </si>
  <si>
    <t>Commute within census subdivision (CSD) of residence</t>
  </si>
  <si>
    <t>Commute to a different census subdivision (CSD) within census division (CD) of residence</t>
  </si>
  <si>
    <t>Commute to a different census subdivision (CSD) and census division (CD) within province or territory of residence</t>
  </si>
  <si>
    <t>Commute to a different province or territory</t>
  </si>
  <si>
    <t>Total - Main mode of commuting for the employed labour force aged 15 years and over with a usual place of work or no fixed workplace address - 25% sample data</t>
  </si>
  <si>
    <t>Total - Labour force aged 15 years and over by industry - Sectors - North American Industry Classification System (NAICS) 2017 - 25% sample data</t>
  </si>
  <si>
    <t>Industry - not applicable</t>
  </si>
  <si>
    <t>All industries</t>
  </si>
  <si>
    <t>22 Utilities</t>
  </si>
  <si>
    <t>23 Construction</t>
  </si>
  <si>
    <t>31-33 Manufacturing</t>
  </si>
  <si>
    <t>41 Wholesale trade</t>
  </si>
  <si>
    <t>44-45 Retail trade</t>
  </si>
  <si>
    <t>48-49 Transportation and warehousing</t>
  </si>
  <si>
    <t>51 Information and cultural industries</t>
  </si>
  <si>
    <t>52 Finance and insurance</t>
  </si>
  <si>
    <t>53 Real estate and rental and leasing</t>
  </si>
  <si>
    <t>55 Management of companies and enterprises</t>
  </si>
  <si>
    <t>61 Educational services</t>
  </si>
  <si>
    <t>62 Health care and social assistance</t>
  </si>
  <si>
    <t>72 Accommodation and food services</t>
  </si>
  <si>
    <t>81 Other services (except public administration)</t>
  </si>
  <si>
    <t>91 Public administration</t>
  </si>
  <si>
    <t>period</t>
  </si>
  <si>
    <t>dguid</t>
  </si>
  <si>
    <t>char</t>
  </si>
  <si>
    <t>other</t>
  </si>
  <si>
    <t>SUB</t>
  </si>
  <si>
    <t>Total - Age groups of the population - 100% data</t>
  </si>
  <si>
    <t>Census</t>
  </si>
  <si>
    <t>0 to 4 years</t>
  </si>
  <si>
    <t>5 to 9 years</t>
  </si>
  <si>
    <t>10 to 14 years</t>
  </si>
  <si>
    <t>25 to 29 years</t>
  </si>
  <si>
    <t>30 to 34 years</t>
  </si>
  <si>
    <t>35 to 39 years</t>
  </si>
  <si>
    <t>40 to 44 years</t>
  </si>
  <si>
    <t>45 to 49 years</t>
  </si>
  <si>
    <t>50 to 54 years</t>
  </si>
  <si>
    <t>55 to 59 years</t>
  </si>
  <si>
    <t>60 to 64 years</t>
  </si>
  <si>
    <t>65 to 69 years</t>
  </si>
  <si>
    <t>70 to 74 years</t>
  </si>
  <si>
    <t>75 to 79 years</t>
  </si>
  <si>
    <t>80 to 84 years</t>
  </si>
  <si>
    <t>Average age of the population</t>
  </si>
  <si>
    <t>Median age of the population</t>
  </si>
  <si>
    <t>85 to 89 years</t>
  </si>
  <si>
    <t>90 to 94 years</t>
  </si>
  <si>
    <t>95 to 99 years</t>
  </si>
  <si>
    <t>100 years and over</t>
  </si>
  <si>
    <t>0 to 14 years</t>
  </si>
  <si>
    <t>15 to 64 years</t>
  </si>
  <si>
    <t>65 years and over</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</si>
  <si>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</si>
  <si>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</si>
  <si>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</si>
  <si>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</si>
  <si>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</si>
  <si>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</si>
  <si>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</si>
  <si>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</si>
  <si>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</si>
  <si>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</si>
  <si>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</si>
  <si>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</si>
  <si>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</si>
  <si>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</si>
  <si>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</si>
  <si>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</si>
  <si>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</si>
  <si>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</si>
  <si>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</si>
  <si>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</si>
  <si>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</si>
  <si>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</si>
  <si>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</si>
  <si>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</si>
  <si>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</si>
  <si>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age</t>
  </si>
  <si>
    <t>0</t>
  </si>
  <si>
    <t>1</t>
  </si>
  <si>
    <t>2</t>
  </si>
  <si>
    <t>3</t>
  </si>
  <si>
    <t>4</t>
  </si>
  <si>
    <t>5</t>
  </si>
  <si>
    <t>6</t>
  </si>
  <si>
    <t>7</t>
  </si>
  <si>
    <t>8</t>
  </si>
  <si>
    <t>9</t>
  </si>
  <si>
    <t>10</t>
  </si>
  <si>
    <t>12</t>
  </si>
  <si>
    <t>13</t>
  </si>
  <si>
    <t>14</t>
  </si>
  <si>
    <t>15</t>
  </si>
  <si>
    <t>16</t>
  </si>
  <si>
    <t>17</t>
  </si>
  <si>
    <t>18</t>
  </si>
  <si>
    <t>19</t>
  </si>
  <si>
    <t>20</t>
  </si>
  <si>
    <t>24</t>
  </si>
  <si>
    <t>25</t>
  </si>
  <si>
    <t>26</t>
  </si>
  <si>
    <t>27</t>
  </si>
  <si>
    <t>28</t>
  </si>
  <si>
    <t>29</t>
  </si>
  <si>
    <t>30</t>
  </si>
  <si>
    <t>32</t>
  </si>
  <si>
    <t>33</t>
  </si>
  <si>
    <t>34</t>
  </si>
  <si>
    <t>35</t>
  </si>
  <si>
    <t>36</t>
  </si>
  <si>
    <t>37</t>
  </si>
  <si>
    <t>38</t>
  </si>
  <si>
    <t>39</t>
  </si>
  <si>
    <t>40</t>
  </si>
  <si>
    <t>42</t>
  </si>
  <si>
    <t>43</t>
  </si>
  <si>
    <t>45</t>
  </si>
  <si>
    <t>46</t>
  </si>
  <si>
    <t>47</t>
  </si>
  <si>
    <t>49</t>
  </si>
  <si>
    <t>50</t>
  </si>
  <si>
    <t>57</t>
  </si>
  <si>
    <t>58</t>
  </si>
  <si>
    <t>59</t>
  </si>
  <si>
    <t>60</t>
  </si>
  <si>
    <t>63</t>
  </si>
  <si>
    <t>64</t>
  </si>
  <si>
    <t>66</t>
  </si>
  <si>
    <t>67</t>
  </si>
  <si>
    <t>68</t>
  </si>
  <si>
    <t>69</t>
  </si>
  <si>
    <t>70</t>
  </si>
  <si>
    <t>73</t>
  </si>
  <si>
    <t>74</t>
  </si>
  <si>
    <t>75</t>
  </si>
  <si>
    <t>76</t>
  </si>
  <si>
    <t>77</t>
  </si>
  <si>
    <t>78</t>
  </si>
  <si>
    <t>79</t>
  </si>
  <si>
    <t>80</t>
  </si>
  <si>
    <t>82</t>
  </si>
  <si>
    <t>83</t>
  </si>
  <si>
    <t>84</t>
  </si>
  <si>
    <t>85</t>
  </si>
  <si>
    <t>86</t>
  </si>
  <si>
    <t>87</t>
  </si>
  <si>
    <t>88</t>
  </si>
  <si>
    <t>89</t>
  </si>
  <si>
    <t>90+</t>
  </si>
  <si>
    <t>component</t>
  </si>
  <si>
    <t>row</t>
  </si>
  <si>
    <t>-1</t>
  </si>
  <si>
    <t>disability</t>
  </si>
  <si>
    <t>rate</t>
  </si>
  <si>
    <t>scenario</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</si>
  <si>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</si>
  <si>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</si>
  <si>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</si>
  <si>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</si>
  <si>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</si>
  <si>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</si>
  <si>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</si>
  <si>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</si>
  <si>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</si>
  <si>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</si>
  <si>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</si>
  <si>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</si>
  <si>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</si>
  <si>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</si>
  <si>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</si>
  <si>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</si>
  <si>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</si>
  <si>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</si>
  <si>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</si>
  <si>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</si>
  <si>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</si>
  <si>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</si>
  <si>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</si>
  <si>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</si>
  <si>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</si>
  <si>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year</t>
  </si>
  <si>
    <t>Total - Indigenous identity for the population in private households - 25% sample data</t>
  </si>
  <si>
    <t>Non-Indigenous identity</t>
  </si>
  <si>
    <t>Total - Highest certificate, diploma or degree for the population aged 25 to 64 years in private households - 25% sample data</t>
  </si>
  <si>
    <t>High (secondary) school diploma or equivalency certificate</t>
  </si>
  <si>
    <t>Total - Knowledge of official languages for the total population excluding institutional residents - 100% data</t>
  </si>
  <si>
    <t>Neither English nor French</t>
  </si>
  <si>
    <t>Total - Mobility status 1 year ago - 25% sample data</t>
  </si>
  <si>
    <t>Total - Mobility status 5 years ago - 25% sample data</t>
  </si>
  <si>
    <t>Total - Citizenship for the population in private households - 25% sample data</t>
  </si>
  <si>
    <t>Canadian citizens</t>
  </si>
  <si>
    <t>Canadian citizens aged under 18</t>
  </si>
  <si>
    <t>Canadian citizens aged 18 and over</t>
  </si>
  <si>
    <t>Not Canadian citizens</t>
  </si>
  <si>
    <t>Total - Immigrant status and period of immigration for the population in private households - 25% sample data</t>
  </si>
  <si>
    <t>Before 1980</t>
  </si>
  <si>
    <t>1980 to 1990</t>
  </si>
  <si>
    <t>2001 to 2010</t>
  </si>
  <si>
    <t>2011 to 2021</t>
  </si>
  <si>
    <t>Total - Generation status for the population in private households - 25% sample data</t>
  </si>
  <si>
    <t>First generation</t>
  </si>
  <si>
    <t>Second generation</t>
  </si>
  <si>
    <t>Third generation or more</t>
  </si>
  <si>
    <t>Total - Admission category and applicant type for the immigrant population in private households who were admitted between 1980 and 2021 - 25% sample data</t>
  </si>
  <si>
    <t>Economic immigrants</t>
  </si>
  <si>
    <t>Principal applicants</t>
  </si>
  <si>
    <t>Secondary applicants</t>
  </si>
  <si>
    <t>Immigrants sponsored by family</t>
  </si>
  <si>
    <t>Refugees</t>
  </si>
  <si>
    <t>Other immigrants</t>
  </si>
  <si>
    <t>Total - Visible minority for the population in private households - 25% sample data</t>
  </si>
  <si>
    <t>Median total income of household in 2020 ($)</t>
  </si>
  <si>
    <t>Average total income of household in 2020 ($)</t>
  </si>
  <si>
    <t>Median monthly shelter costs for rented dwellings ($)</t>
  </si>
  <si>
    <t>Total - Private households by age of primary household maintainers - 25% sample data</t>
  </si>
  <si>
    <t>ref_date</t>
  </si>
  <si>
    <t>index</t>
  </si>
  <si>
    <t>csd</t>
  </si>
  <si>
    <t>date</t>
  </si>
  <si>
    <t>&lt;1960</t>
  </si>
  <si>
    <t>1960-1979</t>
  </si>
  <si>
    <t>1980-1999</t>
  </si>
  <si>
    <t>2000+</t>
  </si>
  <si>
    <t>3-5units</t>
  </si>
  <si>
    <t>6-19units</t>
  </si>
  <si>
    <t>20-49units</t>
  </si>
  <si>
    <t>50-199units</t>
  </si>
  <si>
    <t>200+units</t>
  </si>
  <si>
    <t>unit_type</t>
  </si>
  <si>
    <t>price</t>
  </si>
  <si>
    <t>pr</t>
  </si>
  <si>
    <t>score_cisr</t>
  </si>
  <si>
    <t>q_cisr_can</t>
  </si>
  <si>
    <t>q_score_pr</t>
  </si>
  <si>
    <t>score_cisv</t>
  </si>
  <si>
    <t>q_cisv_can</t>
  </si>
  <si>
    <t>munic</t>
  </si>
  <si>
    <t>scoremat</t>
  </si>
  <si>
    <t>scoresoc</t>
  </si>
  <si>
    <t>building_type</t>
  </si>
  <si>
    <t>employee</t>
  </si>
  <si>
    <t>hhtype</t>
  </si>
  <si>
    <t>hh2021</t>
  </si>
  <si>
    <t>hh2016</t>
  </si>
  <si>
    <t>medINC2021</t>
  </si>
  <si>
    <t>medINC2016</t>
  </si>
  <si>
    <t>SOURCE</t>
  </si>
  <si>
    <t>MEDIAN</t>
  </si>
  <si>
    <t>hh</t>
  </si>
  <si>
    <t>income</t>
  </si>
  <si>
    <t>shelco</t>
  </si>
  <si>
    <t>indic</t>
  </si>
  <si>
    <t>lower_bound</t>
  </si>
  <si>
    <t>upper_bound</t>
  </si>
  <si>
    <t>geo_source</t>
  </si>
  <si>
    <t>econ</t>
  </si>
  <si>
    <t>stats</t>
  </si>
  <si>
    <t>mbm_appl</t>
  </si>
  <si>
    <t>mbm_yes</t>
  </si>
  <si>
    <t>0 to 17</t>
  </si>
  <si>
    <t>o</t>
  </si>
  <si>
    <t>om</t>
  </si>
  <si>
    <t>onm</t>
  </si>
  <si>
    <t>rns</t>
  </si>
  <si>
    <t>owm</t>
  </si>
  <si>
    <t>varid</t>
  </si>
  <si>
    <t>h_single</t>
  </si>
  <si>
    <t>h_semi</t>
  </si>
  <si>
    <t>h_row</t>
  </si>
  <si>
    <t>h_apt</t>
  </si>
  <si>
    <t>r_single</t>
  </si>
  <si>
    <t>r_semi</t>
  </si>
  <si>
    <t>r_row</t>
  </si>
  <si>
    <t>r_apt</t>
  </si>
  <si>
    <t>co_single</t>
  </si>
  <si>
    <t>co_semi</t>
  </si>
  <si>
    <t>co_row</t>
  </si>
  <si>
    <t>co_apt</t>
  </si>
  <si>
    <t>cp_single</t>
  </si>
  <si>
    <t>cp_semi</t>
  </si>
  <si>
    <t>cp_row</t>
  </si>
  <si>
    <t>cp_apt</t>
  </si>
  <si>
    <t>Total - Occupied private dwellings by period of construction - 25% sample data</t>
  </si>
  <si>
    <t>Total - Occupied private dwellings by structural type of dwelling - 100% data</t>
  </si>
  <si>
    <t>Single-detached house</t>
  </si>
  <si>
    <t>Semi-detached house</t>
  </si>
  <si>
    <t>Apartment or flat in a duplex</t>
  </si>
  <si>
    <t>Apartment in a building that has fewer than five storeys</t>
  </si>
  <si>
    <t>Apartment in a building that has five or more storeys</t>
  </si>
  <si>
    <t>Other single-attached house</t>
  </si>
  <si>
    <t>type</t>
  </si>
  <si>
    <t>geoname</t>
  </si>
  <si>
    <t>housing_type</t>
  </si>
  <si>
    <t>shelter_type</t>
  </si>
  <si>
    <t>category</t>
  </si>
  <si>
    <t>unhoused</t>
  </si>
  <si>
    <t>distance</t>
  </si>
  <si>
    <t>demo</t>
  </si>
  <si>
    <t>No school</t>
  </si>
  <si>
    <t>High school</t>
  </si>
  <si>
    <t>400m from low</t>
  </si>
  <si>
    <t>500m from low</t>
  </si>
  <si>
    <t>property_type</t>
  </si>
  <si>
    <t>resident_owned</t>
  </si>
  <si>
    <t>residents_only</t>
  </si>
  <si>
    <t>non_resident_owned</t>
  </si>
  <si>
    <t>non_resident_partic</t>
  </si>
  <si>
    <t>own_2_or_more</t>
  </si>
  <si>
    <t>own_1</t>
  </si>
  <si>
    <t>own_2</t>
  </si>
  <si>
    <t>own_3</t>
  </si>
  <si>
    <t>own_4_or_more</t>
  </si>
  <si>
    <t>Total - Private households by housing suitability - 25% sample data</t>
  </si>
  <si>
    <t>Suitable</t>
  </si>
  <si>
    <t>Not suitable</t>
  </si>
  <si>
    <t>Total - Occupied private dwellings by dwelling condition - 25% sample data</t>
  </si>
  <si>
    <t>Only regular maintenance and minor repairs needed</t>
  </si>
  <si>
    <t>Major repairs needed</t>
  </si>
  <si>
    <t>Total - Owner and tenant households with household total income greater than zero, in non-farm, non-reserve private dwellings by shelter-cost-to-income ratio - 25% sample data</t>
  </si>
  <si>
    <t>Spending 30% or more of income on shelter costs</t>
  </si>
  <si>
    <t>Total - Occupied private dwellings by housing indicators - 25% sample data</t>
  </si>
  <si>
    <t>Total - Households 'spending 30% or more of income on shelter costs' or 'not suitable' or 'major repairs needed'</t>
  </si>
  <si>
    <t>Spending 30% or more of income on shelter costs only</t>
  </si>
  <si>
    <t>Not suitable only</t>
  </si>
  <si>
    <t>Major repairs needed only</t>
  </si>
  <si>
    <t>'Spending 30% or more of income on shelter costs' and 'not suitable'</t>
  </si>
  <si>
    <t>'Spending 30% or more of income on shelter costs' and 'major repairs needed'</t>
  </si>
  <si>
    <t>'Not suitable' and 'major repairs needed'</t>
  </si>
  <si>
    <t>'Spending 30% or more of income on shelter costs' and 'not suitable' and 'major repairs needed'</t>
  </si>
  <si>
    <t>Acceptable housing</t>
  </si>
  <si>
    <t>Total - Owner and tenant households with household total income greater than zero and shelter-cost-to-income ratio less than 100%, in non-farm, non-reserve private dwellings - 25% sample data</t>
  </si>
  <si>
    <t>Not in core need</t>
  </si>
  <si>
    <t>Total - Owner households in non-farm, non-reserve private dwellings - 25% sample data</t>
  </si>
  <si>
    <t>% of owner households with a mortgage</t>
  </si>
  <si>
    <t>% of owner households spending 30% or more of its income on shelter costs</t>
  </si>
  <si>
    <t>% in core housing need</t>
  </si>
  <si>
    <t>Median monthly shelter costs for owned dwellings ($)</t>
  </si>
  <si>
    <t>Average monthly shelter costs for owned dwellings ($)</t>
  </si>
  <si>
    <t>Total - Tenant households in non-farm, non-reserve private dwellings - 25% sample data</t>
  </si>
  <si>
    <t>% of tenant households in subsidized housing</t>
  </si>
  <si>
    <t>% of tenant households spending 30% or more of its income on shelter costs</t>
  </si>
  <si>
    <t>Average monthly shelter costs for rented dwellings ($)</t>
  </si>
  <si>
    <t>Total - Households living in a dwelling provided by the local government, First Nation or Indian band in non-farm private dwellings - 25% sample data</t>
  </si>
  <si>
    <t>GENDER</t>
  </si>
  <si>
    <t>M</t>
  </si>
  <si>
    <t>W</t>
  </si>
  <si>
    <t>stir</t>
  </si>
  <si>
    <t>chn</t>
  </si>
  <si>
    <t>50% or more</t>
  </si>
  <si>
    <t>mean_fsi</t>
  </si>
  <si>
    <t>median_fsi</t>
  </si>
  <si>
    <t>parcels_low</t>
  </si>
  <si>
    <t>parcels_mod</t>
  </si>
  <si>
    <t>parcels_high</t>
  </si>
  <si>
    <t>dwell_low</t>
  </si>
  <si>
    <t>dwell_mod</t>
  </si>
  <si>
    <t>dwell_high</t>
  </si>
  <si>
    <t>pop_low</t>
  </si>
  <si>
    <t>pop_mod</t>
  </si>
  <si>
    <t>pop_high</t>
  </si>
  <si>
    <t>n_parcels</t>
  </si>
  <si>
    <t>pct_high</t>
  </si>
  <si>
    <t>mean_fsi_pctile_national</t>
  </si>
  <si>
    <t>pct_high_pctile_national</t>
  </si>
  <si>
    <t>geo_level</t>
  </si>
  <si>
    <t>total_parcels</t>
  </si>
  <si>
    <t>flood_parcels</t>
  </si>
  <si>
    <t>pct_parcels</t>
  </si>
  <si>
    <t>total_dwellings</t>
  </si>
  <si>
    <t>flood_dwellings</t>
  </si>
  <si>
    <t>pct_dwellings</t>
  </si>
  <si>
    <t>total_pop</t>
  </si>
  <si>
    <t>flood_pop</t>
  </si>
  <si>
    <t>pct_pop</t>
  </si>
  <si>
    <t>CSDUID</t>
  </si>
  <si>
    <t>CDUID</t>
  </si>
  <si>
    <t>PRUID</t>
  </si>
  <si>
    <t>area_km2</t>
  </si>
  <si>
    <t>hx_extrapolated</t>
  </si>
  <si>
    <t>hx30_2025_cd_mean</t>
  </si>
  <si>
    <t>hx30_2050_cd_mean</t>
  </si>
  <si>
    <t>hx35_2025_cd_mean</t>
  </si>
  <si>
    <t>hx35_2050_cd_mean</t>
  </si>
  <si>
    <t>hx40_2025_cd_mean</t>
  </si>
  <si>
    <t>hx40_2050_cd_mean</t>
  </si>
  <si>
    <t>hx30_2025_pr_mean</t>
  </si>
  <si>
    <t>hx30_2050_pr_mean</t>
  </si>
  <si>
    <t>hx35_2025_pr_mean</t>
  </si>
  <si>
    <t>hx35_2050_pr_mean</t>
  </si>
  <si>
    <t>hx40_2025_pr_mean</t>
  </si>
  <si>
    <t>hx40_2050_pr_mean</t>
  </si>
  <si>
    <t>hx30_2025_pctile_national</t>
  </si>
  <si>
    <t>hx30_2050_pctile_national</t>
  </si>
  <si>
    <t>hx35_2025_pctile_national</t>
  </si>
  <si>
    <t>hx35_2050_pctile_national</t>
  </si>
  <si>
    <t>hx40_2025_pctile_national</t>
  </si>
  <si>
    <t>hx40_2050_pctile_national</t>
  </si>
  <si>
    <t>tx_extrapolated</t>
  </si>
  <si>
    <t>tx30_2025_cd_mean</t>
  </si>
  <si>
    <t>tx30_2050_cd_mean</t>
  </si>
  <si>
    <t>tx35_2025_cd_mean</t>
  </si>
  <si>
    <t>tx35_2050_cd_mean</t>
  </si>
  <si>
    <t>wsdi_2025_cd_mean</t>
  </si>
  <si>
    <t>wsdi_2050_cd_mean</t>
  </si>
  <si>
    <t>tx30_2025_pr_mean</t>
  </si>
  <si>
    <t>tx30_2050_pr_mean</t>
  </si>
  <si>
    <t>tx35_2025_pr_mean</t>
  </si>
  <si>
    <t>tx35_2050_pr_mean</t>
  </si>
  <si>
    <t>wsdi_2025_pr_mean</t>
  </si>
  <si>
    <t>wsdi_2050_pr_mean</t>
  </si>
  <si>
    <t>tx30_2025_pctile_national</t>
  </si>
  <si>
    <t>tx30_2050_pctile_national</t>
  </si>
  <si>
    <t>tx35_2025_pctile_national</t>
  </si>
  <si>
    <t>tx35_2050_pctile_national</t>
  </si>
  <si>
    <t>wsdi_2025_pctile_national</t>
  </si>
  <si>
    <t>wsdi_2050_pctile_national</t>
  </si>
  <si>
    <t>cold_extrapolated</t>
  </si>
  <si>
    <t>tnm20_2025_cd_mean</t>
  </si>
  <si>
    <t>tnm20_2050_cd_mean</t>
  </si>
  <si>
    <t>tnm15_2025_cd_mean</t>
  </si>
  <si>
    <t>tnm15_2050_cd_mean</t>
  </si>
  <si>
    <t>id_2025_cd_mean</t>
  </si>
  <si>
    <t>id_2050_cd_mean</t>
  </si>
  <si>
    <t>tnm20_2025_pr_mean</t>
  </si>
  <si>
    <t>tnm20_2050_pr_mean</t>
  </si>
  <si>
    <t>tnm15_2025_pr_mean</t>
  </si>
  <si>
    <t>tnm15_2050_pr_mean</t>
  </si>
  <si>
    <t>id_2025_pr_mean</t>
  </si>
  <si>
    <t>id_2050_pr_mean</t>
  </si>
  <si>
    <t>tnm20_2025_pctile_national</t>
  </si>
  <si>
    <t>tnm20_2050_pctile_national</t>
  </si>
  <si>
    <t>tnm15_2025_pctile_national</t>
  </si>
  <si>
    <t>tnm15_2050_pctile_national</t>
  </si>
  <si>
    <t>id_2025_pctile_national</t>
  </si>
  <si>
    <t>id_2050_pctile_national</t>
  </si>
  <si>
    <t>precip_extrapolated</t>
  </si>
  <si>
    <t>r20mm_2025_cd_mean</t>
  </si>
  <si>
    <t>r20mm_2050_cd_mean</t>
  </si>
  <si>
    <t>cdd_2025_cd_mean</t>
  </si>
  <si>
    <t>cdd_2050_cd_mean</t>
  </si>
  <si>
    <t>r1mm_2025_cd_mean</t>
  </si>
  <si>
    <t>r1mm_2050_cd_mean</t>
  </si>
  <si>
    <t>sdii_2025_cd_mean</t>
  </si>
  <si>
    <t>sdii_2050_cd_mean</t>
  </si>
  <si>
    <t>r95days_2025_cd_mean</t>
  </si>
  <si>
    <t>r95days_2050_cd_mean</t>
  </si>
  <si>
    <t>r99days_2025_cd_mean</t>
  </si>
  <si>
    <t>r99days_2050_cd_mean</t>
  </si>
  <si>
    <t>r20mm_2025_pr_mean</t>
  </si>
  <si>
    <t>r20mm_2050_pr_mean</t>
  </si>
  <si>
    <t>cdd_2025_pr_mean</t>
  </si>
  <si>
    <t>cdd_2050_pr_mean</t>
  </si>
  <si>
    <t>r1mm_2025_pr_mean</t>
  </si>
  <si>
    <t>r1mm_2050_pr_mean</t>
  </si>
  <si>
    <t>sdii_2025_pr_mean</t>
  </si>
  <si>
    <t>sdii_2050_pr_mean</t>
  </si>
  <si>
    <t>r95days_2025_pr_mean</t>
  </si>
  <si>
    <t>r95days_2050_pr_mean</t>
  </si>
  <si>
    <t>r99days_2025_pr_mean</t>
  </si>
  <si>
    <t>r99days_2050_pr_mean</t>
  </si>
  <si>
    <t>r20mm_2025_pctile_national</t>
  </si>
  <si>
    <t>r20mm_2050_pctile_national</t>
  </si>
  <si>
    <t>cdd_2025_pctile_national</t>
  </si>
  <si>
    <t>cdd_2050_pctile_national</t>
  </si>
  <si>
    <t>r1mm_2025_pctile_national</t>
  </si>
  <si>
    <t>r1mm_2050_pctile_national</t>
  </si>
  <si>
    <t>sdii_2025_pctile_national</t>
  </si>
  <si>
    <t>sdii_2050_pctile_national</t>
  </si>
  <si>
    <t>r95days_2025_pctile_national</t>
  </si>
  <si>
    <t>r95days_2050_pctile_national</t>
  </si>
  <si>
    <t>r99days_2025_pctile_national</t>
  </si>
  <si>
    <t>r99days_2050_pctile_national</t>
  </si>
  <si>
    <t>per65_pct</t>
  </si>
  <si>
    <t>lim_pct</t>
  </si>
  <si>
    <t>lim65_pct</t>
  </si>
  <si>
    <t>old_pct</t>
  </si>
  <si>
    <t>rep_pct</t>
  </si>
  <si>
    <t>Incoming</t>
  </si>
  <si>
    <t>Outgoing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</si>
</sst>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64" formatCode="&quot;$&quot;#,##0"/>
    <numFmt numFmtId="165" formatCode="0.0%"/>
    <numFmt numFmtId="166" formatCode="0.0"/>
    <numFmt numFmtId="167" formatCode="#,##0.0"/>
    <numFmt numFmtId="168" formatCode="&quot;$&quot;#,##0.00"/>
    <numFmt numFmtId="169" formatCode="yyyy"/>
  </numFmts>
  <fonts count="42" x14ac:knownFonts="1">
    <font>
      <sz val="11"/>
      <color theme="1"/>
      <name val="Arial"/>
      <family val="2"/>
    </font>
    <font>
      <sz val="11"/>
      <color theme="1"/>
      <name val="Arial"/>
      <family val="2"/>
    </font>
    <font>
      <b/>
      <sz val="11"/>
      <color rgb="FF2E3D4F"/>
      <name val="Arial"/>
      <family val="2"/>
    </font>
    <font>
      <b/>
      <sz val="10"/>
      <color rgb="FF000000"/>
      <name val="Arial"/>
      <family val="2"/>
    </font>
    <font>
      <sz val="10"/>
      <color rgb="FF000000"/>
      <name val="Arial"/>
      <family val="2"/>
    </font>
    <font>
      <b/>
      <sz val="12"/>
      <color rgb="FFFFFFFF"/>
      <name val="Arial"/>
      <family val="2"/>
    </font>
    <font>
      <i/>
      <sz val="9"/>
      <color rgb="FF444444"/>
      <name val="Arial"/>
      <family val="2"/>
    </font>
    <font>
      <i/>
      <sz val="9"/>
      <color rgb="FF666666"/>
      <name val="Arial"/>
      <family val="2"/>
    </font>
    <font>
      <b/>
      <sz val="10"/>
      <color rgb="FFFFFFFF"/>
      <name val="Arial"/>
      <family val="2"/>
    </font>
    <font>
      <b/>
      <sz val="9"/>
      <color rgb="FFFFFFFF"/>
      <name val="Arial"/>
      <family val="2"/>
    </font>
    <font>
      <sz val="9"/>
      <color rgb="FF000000"/>
      <name val="Arial"/>
      <family val="2"/>
    </font>
    <font>
      <b/>
      <sz val="9"/>
      <color rgb="FF000000"/>
      <name val="Arial"/>
      <family val="2"/>
    </font>
    <font>
      <b/>
      <sz val="11"/>
      <color theme="1"/>
      <name val="Arial"/>
      <family val="2"/>
    </font>
    <font>
      <b/>
      <sz val="13"/>
      <color theme="1"/>
      <name val="Arial"/>
      <family val="2"/>
    </font>
    <font>
      <sz val="8"/>
      <color theme="1"/>
      <name val="Arial"/>
      <family val="2"/>
    </font>
    <font>
      <sz val="9"/>
      <color theme="1"/>
      <name val="Arial"/>
      <family val="2"/>
    </font>
    <font>
      <sz val="11"/>
      <color theme="0" tint="-0.249977111117893"/>
      <name val="Arial"/>
      <family val="2"/>
    </font>
    <font>
      <sz val="11"/>
      <color rgb="FFFF0000"/>
      <name val="Arial"/>
      <family val="2"/>
    </font>
    <font>
      <sz val="11"/>
      <color theme="0"/>
      <name val="Arial"/>
      <family val="2"/>
    </font>
    <font>
      <sz val="11"/>
      <color theme="1" tint="4.9989318521683403E-2"/>
      <name val="Arial"/>
      <family val="2"/>
    </font>
    <font>
      <sz val="9"/>
      <color theme="0"/>
      <name val="Arial"/>
      <family val="2"/>
    </font>
    <font>
      <sz val="8"/>
      <color theme="0" tint="-0.249977111117893"/>
      <name val="Arial"/>
      <family val="2"/>
    </font>
    <font>
      <b/>
      <sz val="11"/>
      <color rgb="FFC00000"/>
      <name val="Arial"/>
      <family val="2"/>
    </font>
    <font>
      <b/>
      <sz val="48"/>
      <color theme="1"/>
      <name val="Arial"/>
      <family val="2"/>
    </font>
    <font>
      <b/>
      <sz val="20"/>
      <color theme="1"/>
      <name val="Arial"/>
      <family val="2"/>
    </font>
    <font>
      <b/>
      <sz val="11"/>
      <color rgb="FF7030A0"/>
      <name val="Arial"/>
      <family val="2"/>
    </font>
    <font>
      <sz val="9"/>
      <color rgb="FFFFFFFF"/>
      <name val="Arial"/>
      <family val="2"/>
    </font>
    <font>
      <sz val="9"/>
      <color theme="0" tint="-0.249977111117893"/>
      <name val="Arial"/>
      <family val="2"/>
    </font>
    <font>
      <sz val="9"/>
      <color theme="1" tint="4.9989318521683403E-2"/>
      <name val="Arial"/>
      <family val="2"/>
    </font>
    <font>
      <sz val="10"/>
      <color theme="1"/>
      <name val="Arial"/>
      <family val="2"/>
    </font>
    <font>
      <sz val="11"/>
      <color theme="0" tint="-0.14999847407452621"/>
      <name val="Arial"/>
      <family val="2"/>
    </font>
    <font>
      <sz val="9"/>
      <color theme="0" tint="-0.14999847407452621"/>
      <name val="Arial"/>
      <family val="2"/>
    </font>
    <font>
      <sz val="10"/>
      <color rgb="FFFFFFFF"/>
      <name val="Arial"/>
      <family val="2"/>
    </font>
    <font>
      <b/>
      <sz val="9"/>
      <color theme="0"/>
      <name val="Arial"/>
      <family val="2"/>
    </font>
    <font>
      <b/>
      <sz val="9"/>
      <color theme="1"/>
      <name val="Arial"/>
      <family val="2"/>
    </font>
    <font>
      <b/>
      <sz val="11"/>
      <color theme="0"/>
      <name val="Arial"/>
      <family val="2"/>
    </font>
    <font>
      <b/>
      <sz val="8"/>
      <name val="Arial"/>
      <family val="2"/>
    </font>
    <font>
      <sz val="8"/>
      <name val="Arial"/>
      <family val="2"/>
    </font>
    <font>
      <i/>
      <u/>
      <sz val="11"/>
      <color theme="0"/>
      <name val="Arial"/>
      <family val="2"/>
    </font>
    <font>
      <b/>
      <sz val="8"/>
      <color theme="1"/>
      <name val="Arial"/>
      <family val="2"/>
    </font>
    <font>
      <sz val="20"/>
      <color theme="1"/>
      <name val="Arial"/>
      <family val="2"/>
    </font>
    <font>
      <b/>
      <u/>
      <sz val="48"/>
      <color theme="1"/>
      <name val="Arial"/>
      <family val="2"/>
    </font>
  </fonts>
  <fills count="36">
    <fill>
      <patternFill patternType="none"/>
    </fill>
    <fill>
      <patternFill patternType="gray125"/>
    </fill>
    <fill>
      <patternFill patternType="solid">
        <fgColor rgb="FFFFFFFF"/>
        <bgColor rgb="FFF2F2F2"/>
      </patternFill>
    </fill>
    <fill>
      <patternFill patternType="solid">
        <fgColor rgb="FFF2F2F2"/>
        <bgColor rgb="FFFFFFFF"/>
      </patternFill>
    </fill>
    <fill>
      <patternFill patternType="solid">
        <fgColor theme="9"/>
        <bgColor rgb="FF444444"/>
      </patternFill>
    </fill>
    <fill>
      <patternFill patternType="solid">
        <fgColor theme="7"/>
        <bgColor rgb="FF444444"/>
      </patternFill>
    </fill>
    <fill>
      <patternFill patternType="solid">
        <fgColor theme="4" tint="-0.249977111117893"/>
        <bgColor rgb="FF444444"/>
      </patternFill>
    </fill>
    <fill>
      <patternFill patternType="solid">
        <fgColor theme="8"/>
        <bgColor rgb="FF666666"/>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59999389629810485"/>
        <bgColor indexed="64"/>
      </patternFill>
    </fill>
    <fill>
      <patternFill patternType="solid">
        <fgColor theme="4"/>
        <bgColor indexed="64"/>
      </patternFill>
    </fill>
    <fill>
      <patternFill patternType="solid">
        <fgColor theme="5"/>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C00000"/>
        <bgColor indexed="64"/>
      </patternFill>
    </fill>
    <fill>
      <patternFill patternType="solid">
        <fgColor rgb="FFF2F2F2"/>
        <bgColor indexed="64"/>
      </patternFill>
    </fill>
    <fill>
      <patternFill patternType="solid">
        <fgColor rgb="FFFFFFFF"/>
        <bgColor indexed="64"/>
      </patternFill>
    </fill>
    <fill>
      <patternFill patternType="solid">
        <fgColor rgb="FF1B4F72"/>
        <bgColor indexed="64"/>
      </patternFill>
    </fill>
    <fill>
      <patternFill patternType="solid">
        <fgColor rgb="FFF2F3F4"/>
        <bgColor indexed="64"/>
      </patternFill>
    </fill>
    <fill>
      <patternFill patternType="solid">
        <fgColor rgb="FF03557C"/>
        <bgColor indexed="64"/>
      </patternFill>
    </fill>
    <fill>
      <patternFill patternType="solid">
        <fgColor rgb="FF808080"/>
        <bgColor indexed="64"/>
      </patternFill>
    </fill>
    <fill>
      <patternFill patternType="solid">
        <fgColor theme="9"/>
        <bgColor indexed="64"/>
      </patternFill>
    </fill>
    <fill>
      <patternFill patternType="solid">
        <fgColor theme="7"/>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8"/>
        <bgColor indexed="64"/>
      </patternFill>
    </fill>
    <fill>
      <patternFill patternType="solid">
        <fgColor theme="0" tint="-4.9989318521683403E-2"/>
        <bgColor rgb="FFF2F2F2"/>
      </patternFill>
    </fill>
    <fill>
      <patternFill patternType="solid">
        <fgColor theme="0"/>
        <bgColor rgb="FFF2F2F2"/>
      </patternFill>
    </fill>
    <fill>
      <patternFill patternType="solid">
        <fgColor theme="6" tint="0.59999389629810485"/>
        <bgColor indexed="64"/>
      </patternFill>
    </fill>
    <fill>
      <patternFill patternType="solid">
        <fgColor theme="7" tint="0.59999389629810485"/>
        <bgColor indexed="64"/>
      </patternFill>
    </fill>
  </fills>
  <borders count="113">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hair">
        <color theme="0" tint="-0.24994659260841701"/>
      </left>
      <right style="thin">
        <color indexed="64"/>
      </right>
      <top/>
      <bottom style="thin">
        <color indexed="64"/>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indexed="64"/>
      </right>
      <top style="thin">
        <color indexed="64"/>
      </top>
      <bottom style="thin">
        <color indexed="64"/>
      </bottom>
      <diagonal/>
    </border>
    <border>
      <left style="hair">
        <color theme="0" tint="-0.24994659260841701"/>
      </left>
      <right style="hair">
        <color theme="0" tint="-0.24994659260841701"/>
      </right>
      <top style="thin">
        <color indexed="64"/>
      </top>
      <bottom/>
      <diagonal/>
    </border>
    <border>
      <left style="thin">
        <color indexed="64"/>
      </left>
      <right style="thin">
        <color indexed="64"/>
      </right>
      <top style="thin">
        <color indexed="64"/>
      </top>
      <bottom style="thin">
        <color theme="0" tint="-0.24994659260841701"/>
      </bottom>
      <diagonal/>
    </border>
    <border>
      <left/>
      <right style="hair">
        <color theme="0" tint="-0.2499465926084170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right style="thin">
        <color indexed="64"/>
      </right>
      <top/>
      <bottom style="thin">
        <color indexed="64"/>
      </bottom>
      <diagonal/>
    </border>
    <border>
      <left style="thin">
        <color indexed="64"/>
      </left>
      <right style="thin">
        <color theme="0" tint="-0.24994659260841701"/>
      </right>
      <top style="thin">
        <color indexed="64"/>
      </top>
      <bottom/>
      <diagonal/>
    </border>
    <border>
      <left style="thin">
        <color indexed="64"/>
      </left>
      <right style="hair">
        <color theme="0" tint="-0.24994659260841701"/>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theme="0" tint="-0.24994659260841701"/>
      </right>
      <top/>
      <bottom/>
      <diagonal/>
    </border>
    <border>
      <left style="hair">
        <color theme="0" tint="-0.24994659260841701"/>
      </left>
      <right style="thin">
        <color indexed="64"/>
      </right>
      <top style="thin">
        <color indexed="64"/>
      </top>
      <bottom/>
      <diagonal/>
    </border>
    <border>
      <left style="thin">
        <color indexed="64"/>
      </left>
      <right style="thin">
        <color theme="0" tint="-0.24994659260841701"/>
      </right>
      <top style="thin">
        <color theme="0" tint="-0.24994659260841701"/>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theme="0" tint="-0.24994659260841701"/>
      </right>
      <top style="thin">
        <color indexed="64"/>
      </top>
      <bottom style="thin">
        <color indexed="64"/>
      </bottom>
      <diagonal/>
    </border>
    <border>
      <left style="hair">
        <color theme="0" tint="-0.24994659260841701"/>
      </left>
      <right style="hair">
        <color theme="0" tint="-0.24994659260841701"/>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theme="0" tint="-0.24994659260841701"/>
      </top>
      <bottom style="thin">
        <color indexed="64"/>
      </bottom>
      <diagonal/>
    </border>
    <border>
      <left style="thin">
        <color indexed="64"/>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indexed="64"/>
      </top>
      <bottom style="thin">
        <color indexed="64"/>
      </bottom>
      <diagonal/>
    </border>
    <border>
      <left style="thin">
        <color indexed="64"/>
      </left>
      <right style="thin">
        <color indexed="64"/>
      </right>
      <top style="thin">
        <color theme="0" tint="-0.24994659260841701"/>
      </top>
      <bottom style="thin">
        <color indexed="64"/>
      </bottom>
      <diagonal/>
    </border>
    <border>
      <left style="hair">
        <color theme="0" tint="-0.24994659260841701"/>
      </left>
      <right style="thin">
        <color indexed="64"/>
      </right>
      <top/>
      <bottom/>
      <diagonal/>
    </border>
    <border>
      <left style="hair">
        <color theme="0" tint="-0.24994659260841701"/>
      </left>
      <right style="thick">
        <color rgb="FFC00000"/>
      </right>
      <top/>
      <bottom/>
      <diagonal/>
    </border>
    <border>
      <left style="thin">
        <color indexed="64"/>
      </left>
      <right style="thin">
        <color theme="0" tint="-0.24994659260841701"/>
      </right>
      <top style="thin">
        <color theme="0" tint="-0.24994659260841701"/>
      </top>
      <bottom/>
      <diagonal/>
    </border>
    <border>
      <left style="thin">
        <color indexed="64"/>
      </left>
      <right style="thin">
        <color theme="0" tint="-0.24994659260841701"/>
      </right>
      <top style="thin">
        <color indexed="64"/>
      </top>
      <bottom style="thin">
        <color theme="0" tint="-0.24994659260841701"/>
      </bottom>
      <diagonal/>
    </border>
    <border>
      <left style="thin">
        <color indexed="64"/>
      </left>
      <right style="thin">
        <color indexed="64"/>
      </right>
      <top style="thin">
        <color theme="0" tint="-0.24994659260841701"/>
      </top>
      <bottom/>
      <diagonal/>
    </border>
    <border>
      <left style="thick">
        <color rgb="FFC00000"/>
      </left>
      <right style="thin">
        <color indexed="64"/>
      </right>
      <top/>
      <bottom style="thin">
        <color indexed="64"/>
      </bottom>
      <diagonal/>
    </border>
    <border>
      <left style="hair">
        <color theme="0" tint="-0.24994659260841701"/>
      </left>
      <right style="hair">
        <color theme="0" tint="-0.24994659260841701"/>
      </right>
      <top/>
      <bottom style="thin">
        <color indexed="64"/>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bottom/>
      <diagonal/>
    </border>
    <border>
      <left style="thin">
        <color indexed="64"/>
      </left>
      <right style="thin">
        <color theme="0" tint="-0.24994659260841701"/>
      </right>
      <top/>
      <bottom/>
      <diagonal/>
    </border>
    <border>
      <left style="thin">
        <color indexed="64"/>
      </left>
      <right/>
      <top style="thin">
        <color theme="0" tint="-0.24994659260841701"/>
      </top>
      <bottom style="thin">
        <color theme="0" tint="-0.24994659260841701"/>
      </bottom>
      <diagonal/>
    </border>
    <border>
      <left style="thin">
        <color indexed="64"/>
      </left>
      <right style="thin">
        <color indexed="64"/>
      </right>
      <top/>
      <bottom style="double">
        <color indexed="64"/>
      </bottom>
      <diagonal/>
    </border>
    <border>
      <left/>
      <right style="hair">
        <color theme="0" tint="-0.24994659260841701"/>
      </right>
      <top/>
      <bottom style="thin">
        <color indexed="64"/>
      </bottom>
      <diagonal/>
    </border>
    <border>
      <left/>
      <right style="hair">
        <color theme="0" tint="-0.24994659260841701"/>
      </right>
      <top style="thin">
        <color indexed="64"/>
      </top>
      <bottom/>
      <diagonal/>
    </border>
    <border>
      <left/>
      <right/>
      <top style="thin">
        <color indexed="64"/>
      </top>
      <bottom/>
      <diagonal/>
    </border>
    <border>
      <left style="thin">
        <color theme="0" tint="-0.24994659260841701"/>
      </left>
      <right style="thin">
        <color theme="0" tint="-0.24994659260841701"/>
      </right>
      <top style="thin">
        <color theme="0" tint="-0.24994659260841701"/>
      </top>
      <bottom style="thin">
        <color indexed="64"/>
      </bottom>
      <diagonal/>
    </border>
    <border>
      <left style="hair">
        <color theme="0" tint="-0.24994659260841701"/>
      </left>
      <right style="thick">
        <color rgb="FFC00000"/>
      </right>
      <top style="thin">
        <color indexed="64"/>
      </top>
      <bottom/>
      <diagonal/>
    </border>
    <border>
      <left style="hair">
        <color theme="0" tint="-0.24994659260841701"/>
      </left>
      <right style="thin">
        <color indexed="64"/>
      </right>
      <top style="thin">
        <color indexed="64"/>
      </top>
      <bottom style="thin">
        <color indexed="64"/>
      </bottom>
      <diagonal/>
    </border>
    <border>
      <left style="thick">
        <color rgb="FFC00000"/>
      </left>
      <right style="thin">
        <color indexed="64"/>
      </right>
      <top/>
      <bottom/>
      <diagonal/>
    </border>
    <border>
      <left style="thin">
        <color indexed="64"/>
      </left>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right style="thin">
        <color indexed="64"/>
      </right>
      <top/>
      <bottom style="double">
        <color indexed="64"/>
      </bottom>
      <diagonal/>
    </border>
    <border>
      <left style="hair">
        <color theme="0" tint="-0.24994659260841701"/>
      </left>
      <right style="hair">
        <color theme="0" tint="-0.24994659260841701"/>
      </right>
      <top style="thin">
        <color indexed="64"/>
      </top>
      <bottom style="thin">
        <color indexed="64"/>
      </bottom>
      <diagonal/>
    </border>
    <border>
      <left style="hair">
        <color theme="0" tint="-0.24994659260841701"/>
      </left>
      <right style="thin">
        <color indexed="64"/>
      </right>
      <top style="thin">
        <color indexed="64"/>
      </top>
      <bottom style="thick">
        <color rgb="FFC00000"/>
      </bottom>
      <diagonal/>
    </border>
    <border>
      <left style="thin">
        <color theme="0" tint="-0.24994659260841701"/>
      </left>
      <right style="thin">
        <color indexed="64"/>
      </right>
      <top style="thin">
        <color indexed="64"/>
      </top>
      <bottom/>
      <diagonal/>
    </border>
    <border>
      <left style="thin">
        <color indexed="64"/>
      </left>
      <right style="hair">
        <color theme="0" tint="-0.24994659260841701"/>
      </right>
      <top style="thin">
        <color indexed="64"/>
      </top>
      <bottom style="thick">
        <color rgb="FFC00000"/>
      </bottom>
      <diagonal/>
    </border>
    <border>
      <left style="thin">
        <color theme="0" tint="-0.24994659260841701"/>
      </left>
      <right style="thin">
        <color indexed="64"/>
      </right>
      <top style="thin">
        <color theme="0" tint="-0.24994659260841701"/>
      </top>
      <bottom/>
      <diagonal/>
    </border>
    <border>
      <left style="thick">
        <color rgb="FFC00000"/>
      </left>
      <right style="thin">
        <color indexed="64"/>
      </right>
      <top style="thick">
        <color rgb="FFC00000"/>
      </top>
      <bottom style="thin">
        <color indexed="64"/>
      </bottom>
      <diagonal/>
    </border>
    <border>
      <left/>
      <right style="hair">
        <color theme="0" tint="-0.24994659260841701"/>
      </right>
      <top style="thin">
        <color indexed="64"/>
      </top>
      <bottom style="thick">
        <color rgb="FFC00000"/>
      </bottom>
      <diagonal/>
    </border>
    <border>
      <left style="thin">
        <color theme="0" tint="-0.24994659260841701"/>
      </left>
      <right/>
      <top/>
      <bottom/>
      <diagonal/>
    </border>
    <border>
      <left style="thin">
        <color indexed="64"/>
      </left>
      <right style="hair">
        <color theme="0" tint="-0.24994659260841701"/>
      </right>
      <top style="thick">
        <color rgb="FFC00000"/>
      </top>
      <bottom style="thin">
        <color indexed="64"/>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bottom style="thin">
        <color theme="0" tint="-0.24994659260841701"/>
      </bottom>
      <diagonal/>
    </border>
    <border>
      <left style="thin">
        <color indexed="64"/>
      </left>
      <right style="hair">
        <color theme="0" tint="-0.24994659260841701"/>
      </right>
      <top style="thin">
        <color indexed="64"/>
      </top>
      <bottom/>
      <diagonal/>
    </border>
    <border>
      <left style="hair">
        <color theme="0" tint="-0.24994659260841701"/>
      </left>
      <right style="thick">
        <color rgb="FFC00000"/>
      </right>
      <top style="thin">
        <color indexed="64"/>
      </top>
      <bottom style="thick">
        <color rgb="FFC00000"/>
      </bottom>
      <diagonal/>
    </border>
    <border>
      <left/>
      <right style="thin">
        <color theme="0" tint="-0.24994659260841701"/>
      </right>
      <top style="thin">
        <color indexed="64"/>
      </top>
      <bottom style="thin">
        <color indexed="64"/>
      </bottom>
      <diagonal/>
    </border>
    <border>
      <left style="hair">
        <color theme="0" tint="-0.24994659260841701"/>
      </left>
      <right style="thin">
        <color indexed="64"/>
      </right>
      <top style="thick">
        <color rgb="FFC00000"/>
      </top>
      <bottom style="thin">
        <color indexed="64"/>
      </bottom>
      <diagonal/>
    </border>
    <border>
      <left style="thin">
        <color theme="0" tint="-0.24994659260841701"/>
      </left>
      <right style="thin">
        <color theme="0" tint="-0.24994659260841701"/>
      </right>
      <top style="thin">
        <color indexed="64"/>
      </top>
      <bottom/>
      <diagonal/>
    </border>
    <border>
      <left/>
      <right style="hair">
        <color theme="0" tint="-0.24994659260841701"/>
      </right>
      <top style="thick">
        <color rgb="FFC00000"/>
      </top>
      <bottom style="thin">
        <color indexed="64"/>
      </bottom>
      <diagonal/>
    </border>
    <border>
      <left style="thick">
        <color rgb="FFC00000"/>
      </left>
      <right style="thin">
        <color indexed="64"/>
      </right>
      <top/>
      <bottom style="thick">
        <color rgb="FFC00000"/>
      </bottom>
      <diagonal/>
    </border>
    <border>
      <left style="hair">
        <color theme="0" tint="-0.24994659260841701"/>
      </left>
      <right style="thick">
        <color rgb="FFC00000"/>
      </right>
      <top/>
      <bottom style="thin">
        <color indexed="64"/>
      </bottom>
      <diagonal/>
    </border>
    <border>
      <left/>
      <right style="thin">
        <color theme="0" tint="-0.24994659260841701"/>
      </right>
      <top style="thin">
        <color indexed="64"/>
      </top>
      <bottom style="thin">
        <color theme="0" tint="-0.24994659260841701"/>
      </bottom>
      <diagonal/>
    </border>
    <border>
      <left style="hair">
        <color theme="0" tint="-0.24994659260841701"/>
      </left>
      <right style="thick">
        <color rgb="FFC00000"/>
      </right>
      <top style="thick">
        <color rgb="FFC00000"/>
      </top>
      <bottom style="thin">
        <color indexed="64"/>
      </bottom>
      <diagonal/>
    </border>
    <border>
      <left/>
      <right style="thin">
        <color theme="0" tint="-0.24994659260841701"/>
      </right>
      <top style="thin">
        <color theme="0" tint="-0.24994659260841701"/>
      </top>
      <bottom style="thin">
        <color indexed="64"/>
      </bottom>
      <diagonal/>
    </border>
    <border>
      <left/>
      <right style="medium">
        <color rgb="FFBDC3C7"/>
      </right>
      <top/>
      <bottom style="medium">
        <color rgb="FFBDC3C7"/>
      </bottom>
      <diagonal/>
    </border>
    <border>
      <left style="medium">
        <color rgb="FFBDC3C7"/>
      </left>
      <right style="medium">
        <color rgb="FFBDC3C7"/>
      </right>
      <top style="medium">
        <color rgb="FFBDC3C7"/>
      </top>
      <bottom style="medium">
        <color rgb="FFBDC3C7"/>
      </bottom>
      <diagonal/>
    </border>
    <border>
      <left/>
      <right style="medium">
        <color rgb="FFBDC3C7"/>
      </right>
      <top style="medium">
        <color rgb="FFBDC3C7"/>
      </top>
      <bottom style="medium">
        <color rgb="FFBDC3C7"/>
      </bottom>
      <diagonal/>
    </border>
    <border>
      <left style="medium">
        <color rgb="FFBDC3C7"/>
      </left>
      <right style="medium">
        <color rgb="FFBDC3C7"/>
      </right>
      <top/>
      <bottom style="medium">
        <color rgb="FFBDC3C7"/>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thin">
        <color indexed="64"/>
      </left>
      <right/>
      <top style="thin">
        <color theme="0" tint="-0.24994659260841701"/>
      </top>
      <bottom/>
      <diagonal/>
    </border>
    <border>
      <left/>
      <right style="thin">
        <color theme="0" tint="-0.24994659260841701"/>
      </right>
      <top style="thin">
        <color theme="0" tint="-0.24994659260841701"/>
      </top>
      <bottom/>
      <diagonal/>
    </border>
    <border>
      <left style="thin">
        <color indexed="64"/>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right style="thin">
        <color indexed="64"/>
      </right>
      <top/>
      <bottom style="thin">
        <color theme="0" tint="-0.24994659260841701"/>
      </bottom>
      <diagonal/>
    </border>
    <border>
      <left/>
      <right style="thin">
        <color indexed="64"/>
      </right>
      <top style="thin">
        <color theme="0" tint="-0.24994659260841701"/>
      </top>
      <bottom/>
      <diagonal/>
    </border>
    <border>
      <left/>
      <right style="thin">
        <color indexed="64"/>
      </right>
      <top style="thin">
        <color indexed="64"/>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top/>
      <bottom style="thin">
        <color theme="0" tint="-0.24994659260841701"/>
      </bottom>
      <diagonal/>
    </border>
    <border>
      <left/>
      <right style="thin">
        <color indexed="64"/>
      </right>
      <top style="thin">
        <color theme="0" tint="-0.24994659260841701"/>
      </top>
      <bottom style="thin">
        <color theme="0" tint="-0.24994659260841701"/>
      </bottom>
      <diagonal/>
    </border>
    <border>
      <left/>
      <right style="thin">
        <color indexed="64"/>
      </right>
      <top style="thin">
        <color theme="0" tint="-0.24994659260841701"/>
      </top>
      <bottom style="thin">
        <color indexed="64"/>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indexed="64"/>
      </bottom>
      <diagonal/>
    </border>
    <border>
      <left style="thin">
        <color theme="0" tint="-0.24994659260841701"/>
      </left>
      <right/>
      <top style="thin">
        <color indexed="64"/>
      </top>
      <bottom/>
      <diagonal/>
    </border>
    <border>
      <left style="thin">
        <color indexed="64"/>
      </left>
      <right style="thin">
        <color indexed="64"/>
      </right>
      <top style="thin">
        <color indexed="64"/>
      </top>
      <bottom style="thin">
        <color rgb="FFCCCCCC"/>
      </bottom>
      <diagonal/>
    </border>
    <border>
      <left style="thin">
        <color indexed="64"/>
      </left>
      <right/>
      <top style="thin">
        <color indexed="64"/>
      </top>
      <bottom style="thin">
        <color rgb="FFCCCCCC"/>
      </bottom>
      <diagonal/>
    </border>
    <border>
      <left style="thin">
        <color indexed="64"/>
      </left>
      <right style="thin">
        <color indexed="64"/>
      </right>
      <top style="thin">
        <color rgb="FFCCCCCC"/>
      </top>
      <bottom style="thin">
        <color theme="0" tint="-0.24994659260841701"/>
      </bottom>
      <diagonal/>
    </border>
  </borders>
  <cellStyleXfs count="1">
    <xf numFmtId="0" fontId="0" fillId="0" borderId="0"/>
  </cellStyleXfs>
  <cellXfs count="1306">
    <xf numFmtId="0" fontId="0" fillId="0" borderId="0" xfId="0"/>
    <xf numFmtId="0" fontId="1" fillId="0" borderId="0" xfId="0" applyFont="1" applyAlignment="1">
      <alignment vertical="center"/>
    </xf>
    <xf numFmtId="0" fontId="1" fillId="0" borderId="0" xfId="0" applyFont="1" applyAlignment="1">
      <alignment horizontal="left" vertical="center"/>
    </xf>
    <xf numFmtId="14" fontId="1" fillId="0" borderId="0" xfId="0" applyNumberFormat="1" applyFont="1" applyAlignment="1">
      <alignment horizontal="left" vertic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7" fillId="3" borderId="1" xfId="0" applyFont="1" applyFill="1" applyBorder="1" applyAlignment="1">
      <alignment horizontal="left" vertical="top" wrapText="1"/>
    </xf>
    <xf numFmtId="0" fontId="10" fillId="2"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2" fillId="0" borderId="0" xfId="0" applyFont="1" applyAlignment="1">
      <alignment vertical="center"/>
    </xf>
    <xf numFmtId="0" fontId="1" fillId="0" borderId="0" xfId="0" applyFont="1" applyAlignment="1">
      <alignment vertical="center" wrapText="1"/>
    </xf>
    <xf numFmtId="164" fontId="13" fillId="8" borderId="3" xfId="0" applyNumberFormat="1" applyFont="1" applyFill="1" applyBorder="1" applyAlignment="1">
      <alignment horizontal="center" wrapText="1"/>
    </xf>
    <xf numFmtId="164" fontId="13" fillId="9" borderId="3" xfId="0" applyNumberFormat="1" applyFont="1" applyFill="1" applyBorder="1" applyAlignment="1">
      <alignment horizontal="center" wrapText="1"/>
    </xf>
    <xf numFmtId="165" fontId="13" fillId="8" borderId="3" xfId="0" applyNumberFormat="1" applyFont="1" applyFill="1" applyBorder="1" applyAlignment="1">
      <alignment horizontal="center" wrapText="1"/>
    </xf>
    <xf numFmtId="165" fontId="13" fillId="9" borderId="3" xfId="0" applyNumberFormat="1" applyFont="1" applyFill="1" applyBorder="1" applyAlignment="1">
      <alignment horizontal="center" wrapText="1"/>
    </xf>
    <xf numFmtId="3" fontId="13" fillId="8" borderId="4" xfId="0" applyNumberFormat="1" applyFont="1" applyFill="1" applyBorder="1" applyAlignment="1">
      <alignment horizontal="center" wrapText="1"/>
    </xf>
    <xf numFmtId="9" fontId="13" fillId="9" borderId="4" xfId="0" applyNumberFormat="1" applyFont="1" applyFill="1" applyBorder="1" applyAlignment="1">
      <alignment horizontal="center" wrapText="1"/>
    </xf>
    <xf numFmtId="9" fontId="14" fillId="8" borderId="5" xfId="0" applyNumberFormat="1" applyFont="1" applyFill="1" applyBorder="1" applyAlignment="1">
      <alignment horizontal="center" vertical="top" wrapText="1"/>
    </xf>
    <xf numFmtId="0" fontId="14" fillId="9" borderId="5" xfId="0" applyFont="1" applyFill="1" applyBorder="1" applyAlignment="1">
      <alignment horizontal="center" vertical="top" wrapText="1"/>
    </xf>
    <xf numFmtId="0" fontId="14" fillId="8" borderId="5" xfId="0" applyFont="1" applyFill="1" applyBorder="1" applyAlignment="1">
      <alignment horizontal="center" vertical="top" wrapText="1"/>
    </xf>
    <xf numFmtId="9" fontId="13" fillId="8" borderId="3" xfId="0" applyNumberFormat="1" applyFont="1" applyFill="1" applyBorder="1" applyAlignment="1">
      <alignment horizontal="center" wrapText="1"/>
    </xf>
    <xf numFmtId="9" fontId="13" fillId="9" borderId="3" xfId="0" applyNumberFormat="1" applyFont="1" applyFill="1" applyBorder="1" applyAlignment="1">
      <alignment horizontal="center" wrapText="1"/>
    </xf>
    <xf numFmtId="3" fontId="13" fillId="8" borderId="3" xfId="0" applyNumberFormat="1" applyFont="1" applyFill="1" applyBorder="1" applyAlignment="1">
      <alignment horizontal="center" wrapText="1"/>
    </xf>
    <xf numFmtId="3" fontId="13" fillId="9" borderId="3" xfId="0" applyNumberFormat="1" applyFont="1" applyFill="1" applyBorder="1" applyAlignment="1">
      <alignment horizontal="center" wrapText="1"/>
    </xf>
    <xf numFmtId="9" fontId="1" fillId="10" borderId="6" xfId="0" applyNumberFormat="1" applyFont="1" applyFill="1" applyBorder="1" applyAlignment="1">
      <alignment vertical="center"/>
    </xf>
    <xf numFmtId="9" fontId="15" fillId="9" borderId="8" xfId="0" applyNumberFormat="1" applyFont="1" applyFill="1" applyBorder="1" applyAlignment="1">
      <alignment horizontal="right" vertical="center"/>
    </xf>
    <xf numFmtId="9" fontId="1" fillId="9" borderId="9" xfId="0" applyNumberFormat="1" applyFont="1" applyFill="1" applyBorder="1" applyAlignment="1">
      <alignment vertical="center"/>
    </xf>
    <xf numFmtId="9" fontId="15" fillId="0" borderId="10" xfId="0" applyNumberFormat="1" applyFont="1" applyBorder="1" applyAlignment="1">
      <alignment horizontal="right" vertical="center"/>
    </xf>
    <xf numFmtId="3" fontId="1" fillId="9" borderId="11" xfId="0" applyNumberFormat="1" applyFont="1" applyFill="1" applyBorder="1" applyAlignment="1">
      <alignment horizontal="right" vertical="center"/>
    </xf>
    <xf numFmtId="3" fontId="1" fillId="9" borderId="0" xfId="0" applyNumberFormat="1" applyFont="1" applyFill="1" applyAlignment="1">
      <alignment horizontal="right" vertical="center"/>
    </xf>
    <xf numFmtId="3" fontId="1" fillId="9" borderId="12" xfId="0" applyNumberFormat="1" applyFont="1" applyFill="1" applyBorder="1" applyAlignment="1">
      <alignment horizontal="right" vertical="center"/>
    </xf>
    <xf numFmtId="0" fontId="1" fillId="9" borderId="13" xfId="0" applyFont="1" applyFill="1" applyBorder="1" applyAlignment="1">
      <alignment vertical="center"/>
    </xf>
    <xf numFmtId="3" fontId="15" fillId="9" borderId="14" xfId="0" applyNumberFormat="1" applyFont="1" applyFill="1" applyBorder="1" applyAlignment="1">
      <alignment horizontal="right" vertical="center"/>
    </xf>
    <xf numFmtId="0" fontId="1" fillId="9" borderId="15" xfId="0" applyFont="1" applyFill="1" applyBorder="1"/>
    <xf numFmtId="0" fontId="15" fillId="11" borderId="16" xfId="0" applyFont="1" applyFill="1" applyBorder="1" applyAlignment="1">
      <alignment horizontal="right" vertical="center"/>
    </xf>
    <xf numFmtId="9" fontId="1" fillId="10" borderId="17" xfId="0" applyNumberFormat="1" applyFont="1" applyFill="1" applyBorder="1" applyAlignment="1">
      <alignment vertical="center"/>
    </xf>
    <xf numFmtId="3" fontId="1" fillId="9" borderId="18" xfId="0" applyNumberFormat="1" applyFont="1" applyFill="1" applyBorder="1" applyAlignment="1">
      <alignment vertical="center"/>
    </xf>
    <xf numFmtId="3" fontId="1" fillId="9" borderId="19" xfId="0" applyNumberFormat="1" applyFont="1" applyFill="1" applyBorder="1" applyAlignment="1">
      <alignment vertical="center"/>
    </xf>
    <xf numFmtId="1" fontId="1" fillId="9" borderId="9" xfId="0" applyNumberFormat="1" applyFont="1" applyFill="1" applyBorder="1" applyAlignment="1">
      <alignment vertical="center"/>
    </xf>
    <xf numFmtId="9" fontId="1" fillId="10" borderId="20" xfId="0" applyNumberFormat="1" applyFont="1" applyFill="1" applyBorder="1" applyAlignment="1">
      <alignment vertical="center"/>
    </xf>
    <xf numFmtId="3" fontId="1" fillId="9" borderId="21" xfId="0" applyNumberFormat="1" applyFont="1" applyFill="1" applyBorder="1" applyAlignment="1">
      <alignment vertical="center"/>
    </xf>
    <xf numFmtId="0" fontId="15" fillId="9" borderId="12" xfId="0" applyFont="1" applyFill="1" applyBorder="1" applyAlignment="1">
      <alignment vertical="center"/>
    </xf>
    <xf numFmtId="9" fontId="16" fillId="0" borderId="0" xfId="0" applyNumberFormat="1" applyFont="1" applyAlignment="1">
      <alignment horizontal="left"/>
    </xf>
    <xf numFmtId="0" fontId="1" fillId="9" borderId="23" xfId="0" applyFont="1" applyFill="1" applyBorder="1" applyAlignment="1">
      <alignment vertical="center"/>
    </xf>
    <xf numFmtId="9" fontId="1" fillId="9" borderId="24" xfId="0" applyNumberFormat="1" applyFont="1" applyFill="1" applyBorder="1" applyAlignment="1">
      <alignment horizontal="right" vertical="center"/>
    </xf>
    <xf numFmtId="0" fontId="1" fillId="9" borderId="25" xfId="0" applyFont="1" applyFill="1" applyBorder="1" applyAlignment="1">
      <alignment vertical="center" wrapText="1"/>
    </xf>
    <xf numFmtId="0" fontId="1" fillId="10" borderId="15" xfId="0" applyFont="1" applyFill="1" applyBorder="1" applyAlignment="1">
      <alignment vertical="center"/>
    </xf>
    <xf numFmtId="0" fontId="1" fillId="10" borderId="26" xfId="0" applyFont="1" applyFill="1" applyBorder="1" applyAlignment="1">
      <alignment horizontal="right" vertical="center"/>
    </xf>
    <xf numFmtId="0" fontId="17" fillId="12" borderId="13" xfId="0" applyFont="1" applyFill="1" applyBorder="1" applyAlignment="1">
      <alignment vertical="center"/>
    </xf>
    <xf numFmtId="1" fontId="1" fillId="10" borderId="6" xfId="0" applyNumberFormat="1" applyFont="1" applyFill="1" applyBorder="1" applyAlignment="1">
      <alignment vertical="center"/>
    </xf>
    <xf numFmtId="165" fontId="1" fillId="10" borderId="27" xfId="0" applyNumberFormat="1" applyFont="1" applyFill="1" applyBorder="1" applyAlignment="1">
      <alignment vertical="center"/>
    </xf>
    <xf numFmtId="3" fontId="1" fillId="10" borderId="13" xfId="0" applyNumberFormat="1" applyFont="1" applyFill="1" applyBorder="1" applyAlignment="1">
      <alignment horizontal="right" vertical="center"/>
    </xf>
    <xf numFmtId="9" fontId="1" fillId="9" borderId="28" xfId="0" applyNumberFormat="1" applyFont="1" applyFill="1" applyBorder="1" applyAlignment="1">
      <alignment vertical="center"/>
    </xf>
    <xf numFmtId="0" fontId="1" fillId="13" borderId="0" xfId="0" applyFont="1" applyFill="1" applyAlignment="1">
      <alignment vertical="center"/>
    </xf>
    <xf numFmtId="9" fontId="1" fillId="9" borderId="19" xfId="0" applyNumberFormat="1" applyFont="1" applyFill="1" applyBorder="1" applyAlignment="1">
      <alignment horizontal="right" vertical="center"/>
    </xf>
    <xf numFmtId="0" fontId="15" fillId="9" borderId="32" xfId="0" applyFont="1" applyFill="1" applyBorder="1" applyAlignment="1">
      <alignment horizontal="left" vertical="center" wrapText="1"/>
    </xf>
    <xf numFmtId="0" fontId="1" fillId="10" borderId="28" xfId="0" applyFont="1" applyFill="1" applyBorder="1" applyAlignment="1">
      <alignment horizontal="left" vertical="center"/>
    </xf>
    <xf numFmtId="3" fontId="1" fillId="10" borderId="33" xfId="0" applyNumberFormat="1" applyFont="1" applyFill="1" applyBorder="1" applyAlignment="1">
      <alignment vertical="center"/>
    </xf>
    <xf numFmtId="3" fontId="15" fillId="9" borderId="34" xfId="0" applyNumberFormat="1" applyFont="1" applyFill="1" applyBorder="1" applyAlignment="1">
      <alignment horizontal="right" vertical="center"/>
    </xf>
    <xf numFmtId="0" fontId="18" fillId="12" borderId="19" xfId="0" applyFont="1" applyFill="1" applyBorder="1" applyAlignment="1">
      <alignment horizontal="left" vertical="center"/>
    </xf>
    <xf numFmtId="9" fontId="1" fillId="9" borderId="11" xfId="0" applyNumberFormat="1" applyFont="1" applyFill="1" applyBorder="1" applyAlignment="1">
      <alignment vertical="center"/>
    </xf>
    <xf numFmtId="3" fontId="16" fillId="9" borderId="0" xfId="0" applyNumberFormat="1" applyFont="1" applyFill="1" applyAlignment="1">
      <alignment vertical="center"/>
    </xf>
    <xf numFmtId="0" fontId="20" fillId="14" borderId="19" xfId="0" applyFont="1" applyFill="1" applyBorder="1" applyAlignment="1">
      <alignment vertical="center"/>
    </xf>
    <xf numFmtId="0" fontId="15" fillId="9" borderId="10" xfId="0" applyFont="1" applyFill="1" applyBorder="1" applyAlignment="1">
      <alignment vertical="center"/>
    </xf>
    <xf numFmtId="3" fontId="15" fillId="0" borderId="22" xfId="0" applyNumberFormat="1" applyFont="1" applyBorder="1" applyAlignment="1">
      <alignment horizontal="right" vertical="center"/>
    </xf>
    <xf numFmtId="0" fontId="15" fillId="9" borderId="35" xfId="0" applyFont="1" applyFill="1" applyBorder="1" applyAlignment="1">
      <alignment vertical="center"/>
    </xf>
    <xf numFmtId="0" fontId="1" fillId="0" borderId="13" xfId="0" applyFont="1" applyBorder="1"/>
    <xf numFmtId="9" fontId="15" fillId="10" borderId="36" xfId="0" applyNumberFormat="1" applyFont="1" applyFill="1" applyBorder="1" applyAlignment="1">
      <alignment horizontal="right" vertical="center"/>
    </xf>
    <xf numFmtId="9" fontId="15" fillId="0" borderId="38" xfId="0" applyNumberFormat="1" applyFont="1" applyBorder="1" applyAlignment="1">
      <alignment horizontal="right" vertical="center"/>
    </xf>
    <xf numFmtId="0" fontId="1" fillId="10" borderId="28" xfId="0" applyFont="1" applyFill="1" applyBorder="1" applyAlignment="1">
      <alignment vertical="center"/>
    </xf>
    <xf numFmtId="0" fontId="1" fillId="10" borderId="33" xfId="0" applyFont="1" applyFill="1" applyBorder="1" applyAlignment="1">
      <alignment vertical="center"/>
    </xf>
    <xf numFmtId="0" fontId="18" fillId="14" borderId="19" xfId="0" applyFont="1" applyFill="1" applyBorder="1" applyAlignment="1">
      <alignment vertical="center"/>
    </xf>
    <xf numFmtId="0" fontId="20" fillId="14" borderId="16" xfId="0" applyFont="1" applyFill="1" applyBorder="1" applyAlignment="1">
      <alignment horizontal="right" vertical="center"/>
    </xf>
    <xf numFmtId="3" fontId="1" fillId="10" borderId="31" xfId="0" applyNumberFormat="1" applyFont="1" applyFill="1" applyBorder="1" applyAlignment="1">
      <alignment horizontal="right" vertical="center"/>
    </xf>
    <xf numFmtId="3" fontId="1" fillId="9" borderId="23" xfId="0" applyNumberFormat="1" applyFont="1" applyFill="1" applyBorder="1" applyAlignment="1">
      <alignment horizontal="right" vertical="center"/>
    </xf>
    <xf numFmtId="1" fontId="1" fillId="10" borderId="27" xfId="0" applyNumberFormat="1" applyFont="1" applyFill="1" applyBorder="1" applyAlignment="1">
      <alignment vertical="center"/>
    </xf>
    <xf numFmtId="0" fontId="15" fillId="10" borderId="32" xfId="0" applyFont="1" applyFill="1" applyBorder="1" applyAlignment="1">
      <alignment horizontal="left" vertical="center" wrapText="1"/>
    </xf>
    <xf numFmtId="3" fontId="1" fillId="10" borderId="39" xfId="0" applyNumberFormat="1" applyFont="1" applyFill="1" applyBorder="1" applyAlignment="1">
      <alignment horizontal="right" vertical="center"/>
    </xf>
    <xf numFmtId="0" fontId="1" fillId="0" borderId="28" xfId="0" applyFont="1" applyBorder="1" applyAlignment="1">
      <alignment vertical="center"/>
    </xf>
    <xf numFmtId="3" fontId="1" fillId="10" borderId="40" xfId="0" applyNumberFormat="1" applyFont="1" applyFill="1" applyBorder="1" applyAlignment="1">
      <alignment vertical="center"/>
    </xf>
    <xf numFmtId="3" fontId="15" fillId="9" borderId="37" xfId="0" applyNumberFormat="1" applyFont="1" applyFill="1" applyBorder="1" applyAlignment="1">
      <alignment horizontal="right" vertical="center"/>
    </xf>
    <xf numFmtId="0" fontId="1" fillId="9" borderId="28" xfId="0" applyFont="1" applyFill="1" applyBorder="1" applyAlignment="1">
      <alignment horizontal="left" vertical="center" wrapText="1"/>
    </xf>
    <xf numFmtId="9" fontId="1" fillId="10" borderId="6" xfId="0" applyNumberFormat="1" applyFont="1" applyFill="1" applyBorder="1" applyAlignment="1">
      <alignment horizontal="right" vertical="center"/>
    </xf>
    <xf numFmtId="9" fontId="15" fillId="9" borderId="14" xfId="0" applyNumberFormat="1" applyFont="1" applyFill="1" applyBorder="1" applyAlignment="1">
      <alignment horizontal="right" vertical="center"/>
    </xf>
    <xf numFmtId="0" fontId="15" fillId="0" borderId="41" xfId="0" applyFont="1" applyBorder="1" applyAlignment="1">
      <alignment vertical="center"/>
    </xf>
    <xf numFmtId="3" fontId="1" fillId="10" borderId="28" xfId="0" applyNumberFormat="1" applyFont="1" applyFill="1" applyBorder="1" applyAlignment="1">
      <alignment vertical="center"/>
    </xf>
    <xf numFmtId="0" fontId="15" fillId="0" borderId="22" xfId="0" applyFont="1" applyBorder="1" applyAlignment="1">
      <alignment vertical="center"/>
    </xf>
    <xf numFmtId="1" fontId="1" fillId="9" borderId="21" xfId="0" applyNumberFormat="1" applyFont="1" applyFill="1" applyBorder="1" applyAlignment="1">
      <alignment vertical="center"/>
    </xf>
    <xf numFmtId="0" fontId="15" fillId="0" borderId="42" xfId="0" applyFont="1" applyBorder="1" applyAlignment="1">
      <alignment vertical="center"/>
    </xf>
    <xf numFmtId="0" fontId="15" fillId="0" borderId="43" xfId="0" applyFont="1" applyBorder="1" applyAlignment="1">
      <alignment vertical="center"/>
    </xf>
    <xf numFmtId="0" fontId="17" fillId="12" borderId="19" xfId="0" applyFont="1" applyFill="1" applyBorder="1" applyAlignment="1">
      <alignment vertical="center"/>
    </xf>
    <xf numFmtId="0" fontId="15" fillId="9" borderId="19" xfId="0" applyFont="1" applyFill="1" applyBorder="1" applyAlignment="1">
      <alignment vertical="center"/>
    </xf>
    <xf numFmtId="0" fontId="1" fillId="9" borderId="44" xfId="0" applyFont="1" applyFill="1" applyBorder="1" applyAlignment="1">
      <alignment vertical="center"/>
    </xf>
    <xf numFmtId="1" fontId="1" fillId="0" borderId="0" xfId="0" applyNumberFormat="1" applyFont="1" applyAlignment="1">
      <alignment horizontal="left" vertical="center"/>
    </xf>
    <xf numFmtId="165" fontId="1" fillId="9" borderId="45" xfId="0" applyNumberFormat="1" applyFont="1" applyFill="1" applyBorder="1" applyAlignment="1">
      <alignment vertical="center"/>
    </xf>
    <xf numFmtId="3" fontId="15" fillId="0" borderId="46" xfId="0" applyNumberFormat="1" applyFont="1" applyBorder="1" applyAlignment="1">
      <alignment horizontal="right" vertical="center"/>
    </xf>
    <xf numFmtId="0" fontId="15" fillId="9" borderId="47" xfId="0" applyFont="1" applyFill="1" applyBorder="1" applyAlignment="1">
      <alignment vertical="center"/>
    </xf>
    <xf numFmtId="3" fontId="1" fillId="10" borderId="15" xfId="0" applyNumberFormat="1" applyFont="1" applyFill="1" applyBorder="1" applyAlignment="1">
      <alignment vertical="center"/>
    </xf>
    <xf numFmtId="0" fontId="18" fillId="12" borderId="12" xfId="0" applyFont="1" applyFill="1" applyBorder="1" applyAlignment="1">
      <alignment horizontal="right" vertical="center"/>
    </xf>
    <xf numFmtId="3" fontId="1" fillId="9" borderId="20" xfId="0" applyNumberFormat="1" applyFont="1" applyFill="1" applyBorder="1" applyAlignment="1">
      <alignment horizontal="right" vertical="center"/>
    </xf>
    <xf numFmtId="3" fontId="1" fillId="17" borderId="9" xfId="0" applyNumberFormat="1" applyFont="1" applyFill="1" applyBorder="1" applyAlignment="1">
      <alignment horizontal="right" vertical="center"/>
    </xf>
    <xf numFmtId="0" fontId="1" fillId="10" borderId="24" xfId="0" applyFont="1" applyFill="1" applyBorder="1" applyAlignment="1">
      <alignment vertical="center"/>
    </xf>
    <xf numFmtId="3" fontId="15" fillId="9" borderId="48" xfId="0" applyNumberFormat="1" applyFont="1" applyFill="1" applyBorder="1" applyAlignment="1">
      <alignment horizontal="right" vertical="center"/>
    </xf>
    <xf numFmtId="0" fontId="1" fillId="9" borderId="49" xfId="0" applyFont="1" applyFill="1" applyBorder="1" applyAlignment="1">
      <alignment horizontal="left" vertical="center" wrapText="1"/>
    </xf>
    <xf numFmtId="9" fontId="15" fillId="0" borderId="36" xfId="0" applyNumberFormat="1" applyFont="1" applyBorder="1" applyAlignment="1">
      <alignment horizontal="right" vertical="center"/>
    </xf>
    <xf numFmtId="3" fontId="1" fillId="9" borderId="0" xfId="0" applyNumberFormat="1" applyFont="1" applyFill="1" applyAlignment="1">
      <alignment vertical="center"/>
    </xf>
    <xf numFmtId="9" fontId="1" fillId="9" borderId="21" xfId="0" applyNumberFormat="1" applyFont="1" applyFill="1" applyBorder="1" applyAlignment="1">
      <alignment vertical="center"/>
    </xf>
    <xf numFmtId="3" fontId="1" fillId="10" borderId="0" xfId="0" applyNumberFormat="1" applyFont="1" applyFill="1" applyAlignment="1">
      <alignment vertical="center"/>
    </xf>
    <xf numFmtId="3" fontId="1" fillId="9" borderId="9" xfId="0" applyNumberFormat="1" applyFont="1" applyFill="1" applyBorder="1" applyAlignment="1">
      <alignment horizontal="right" vertical="center"/>
    </xf>
    <xf numFmtId="0" fontId="21" fillId="0" borderId="0" xfId="0" applyFont="1" applyAlignment="1">
      <alignment horizontal="left" vertical="center"/>
    </xf>
    <xf numFmtId="1" fontId="1" fillId="9" borderId="27" xfId="0" applyNumberFormat="1" applyFont="1" applyFill="1" applyBorder="1" applyAlignment="1">
      <alignment vertical="center"/>
    </xf>
    <xf numFmtId="0" fontId="1" fillId="0" borderId="24" xfId="0" applyFont="1" applyBorder="1" applyAlignment="1">
      <alignment horizontal="right" vertical="center"/>
    </xf>
    <xf numFmtId="0" fontId="1" fillId="10" borderId="49" xfId="0" applyFont="1" applyFill="1" applyBorder="1" applyAlignment="1">
      <alignment vertical="center"/>
    </xf>
    <xf numFmtId="3" fontId="1" fillId="9" borderId="30" xfId="0" applyNumberFormat="1" applyFont="1" applyFill="1" applyBorder="1" applyAlignment="1">
      <alignment vertical="center"/>
    </xf>
    <xf numFmtId="0" fontId="20" fillId="14" borderId="50" xfId="0" applyFont="1" applyFill="1" applyBorder="1" applyAlignment="1">
      <alignment horizontal="right" vertical="center"/>
    </xf>
    <xf numFmtId="0" fontId="15" fillId="9" borderId="51" xfId="0" applyFont="1" applyFill="1" applyBorder="1" applyAlignment="1">
      <alignment horizontal="left" vertical="center" wrapText="1"/>
    </xf>
    <xf numFmtId="3" fontId="16" fillId="10" borderId="0" xfId="0" applyNumberFormat="1" applyFont="1" applyFill="1" applyAlignment="1">
      <alignment vertical="center"/>
    </xf>
    <xf numFmtId="3" fontId="15" fillId="9" borderId="46" xfId="0" applyNumberFormat="1" applyFont="1" applyFill="1" applyBorder="1" applyAlignment="1">
      <alignment horizontal="right" vertical="center"/>
    </xf>
    <xf numFmtId="0" fontId="1" fillId="10" borderId="31" xfId="0" applyFont="1" applyFill="1" applyBorder="1" applyAlignment="1">
      <alignment vertical="center"/>
    </xf>
    <xf numFmtId="0" fontId="19" fillId="18" borderId="8" xfId="0" applyFont="1" applyFill="1" applyBorder="1" applyAlignment="1">
      <alignment horizontal="right" vertical="center"/>
    </xf>
    <xf numFmtId="1" fontId="1" fillId="10" borderId="17" xfId="0" applyNumberFormat="1" applyFont="1" applyFill="1" applyBorder="1" applyAlignment="1">
      <alignment vertical="center"/>
    </xf>
    <xf numFmtId="3" fontId="1" fillId="9" borderId="26" xfId="0" applyNumberFormat="1" applyFont="1" applyFill="1" applyBorder="1" applyAlignment="1">
      <alignment vertical="center"/>
    </xf>
    <xf numFmtId="0" fontId="1" fillId="0" borderId="12" xfId="0" applyFont="1" applyBorder="1" applyAlignment="1">
      <alignment horizontal="right" vertical="center"/>
    </xf>
    <xf numFmtId="3" fontId="15" fillId="9" borderId="19" xfId="0" applyNumberFormat="1" applyFont="1" applyFill="1" applyBorder="1" applyAlignment="1">
      <alignment horizontal="right" vertical="center"/>
    </xf>
    <xf numFmtId="0" fontId="20" fillId="14" borderId="37" xfId="0" applyFont="1" applyFill="1" applyBorder="1" applyAlignment="1">
      <alignment horizontal="right" vertical="center"/>
    </xf>
    <xf numFmtId="0" fontId="1" fillId="10" borderId="52" xfId="0" applyFont="1" applyFill="1" applyBorder="1" applyAlignment="1">
      <alignment vertical="center"/>
    </xf>
    <xf numFmtId="0" fontId="1" fillId="10" borderId="13" xfId="0" applyFont="1" applyFill="1" applyBorder="1" applyAlignment="1">
      <alignment vertical="center"/>
    </xf>
    <xf numFmtId="3" fontId="1" fillId="10" borderId="53" xfId="0" applyNumberFormat="1" applyFont="1" applyFill="1" applyBorder="1" applyAlignment="1">
      <alignment horizontal="right" vertical="center"/>
    </xf>
    <xf numFmtId="0" fontId="1" fillId="10" borderId="54" xfId="0" applyFont="1" applyFill="1" applyBorder="1" applyAlignment="1">
      <alignment vertical="center"/>
    </xf>
    <xf numFmtId="9" fontId="15" fillId="9" borderId="36" xfId="0" applyNumberFormat="1" applyFont="1" applyFill="1" applyBorder="1" applyAlignment="1">
      <alignment horizontal="right" vertical="center"/>
    </xf>
    <xf numFmtId="0" fontId="18" fillId="12" borderId="19" xfId="0" applyFont="1" applyFill="1" applyBorder="1" applyAlignment="1">
      <alignment vertical="center"/>
    </xf>
    <xf numFmtId="3" fontId="1" fillId="10" borderId="55" xfId="0" applyNumberFormat="1" applyFont="1" applyFill="1" applyBorder="1" applyAlignment="1">
      <alignment vertical="center"/>
    </xf>
    <xf numFmtId="9" fontId="1" fillId="0" borderId="28" xfId="0" applyNumberFormat="1" applyFont="1" applyBorder="1" applyAlignment="1">
      <alignment vertical="center"/>
    </xf>
    <xf numFmtId="3" fontId="1" fillId="9" borderId="28" xfId="0" applyNumberFormat="1" applyFont="1" applyFill="1" applyBorder="1" applyAlignment="1">
      <alignment horizontal="right" vertical="center"/>
    </xf>
    <xf numFmtId="3" fontId="16" fillId="9" borderId="18" xfId="0" applyNumberFormat="1" applyFont="1" applyFill="1" applyBorder="1" applyAlignment="1">
      <alignment vertical="center"/>
    </xf>
    <xf numFmtId="165" fontId="1" fillId="10" borderId="39" xfId="0" applyNumberFormat="1" applyFont="1" applyFill="1" applyBorder="1" applyAlignment="1">
      <alignment vertical="center"/>
    </xf>
    <xf numFmtId="9" fontId="1" fillId="10" borderId="39" xfId="0" applyNumberFormat="1" applyFont="1" applyFill="1" applyBorder="1" applyAlignment="1">
      <alignment vertical="center"/>
    </xf>
    <xf numFmtId="0" fontId="22" fillId="10" borderId="19" xfId="0" applyFont="1" applyFill="1" applyBorder="1" applyAlignment="1">
      <alignment horizontal="left" vertical="center"/>
    </xf>
    <xf numFmtId="0" fontId="20" fillId="14" borderId="25" xfId="0" applyFont="1" applyFill="1" applyBorder="1" applyAlignment="1">
      <alignment horizontal="right" vertical="center"/>
    </xf>
    <xf numFmtId="0" fontId="1" fillId="9" borderId="29" xfId="0" applyFont="1" applyFill="1" applyBorder="1" applyAlignment="1">
      <alignment vertical="center"/>
    </xf>
    <xf numFmtId="3" fontId="1" fillId="9" borderId="27" xfId="0" applyNumberFormat="1" applyFont="1" applyFill="1" applyBorder="1" applyAlignment="1">
      <alignment horizontal="right" vertical="center"/>
    </xf>
    <xf numFmtId="0" fontId="21" fillId="0" borderId="0" xfId="0" applyFont="1" applyAlignment="1">
      <alignment vertical="center"/>
    </xf>
    <xf numFmtId="3" fontId="1" fillId="9" borderId="28" xfId="0" applyNumberFormat="1" applyFont="1" applyFill="1" applyBorder="1" applyAlignment="1">
      <alignment vertical="center"/>
    </xf>
    <xf numFmtId="0" fontId="18" fillId="14" borderId="24" xfId="0" applyFont="1" applyFill="1" applyBorder="1"/>
    <xf numFmtId="9" fontId="1" fillId="9" borderId="20" xfId="0" applyNumberFormat="1" applyFont="1" applyFill="1" applyBorder="1" applyAlignment="1">
      <alignment vertical="center"/>
    </xf>
    <xf numFmtId="3" fontId="1" fillId="10" borderId="39" xfId="0" applyNumberFormat="1" applyFont="1" applyFill="1" applyBorder="1" applyAlignment="1">
      <alignment vertical="center"/>
    </xf>
    <xf numFmtId="3" fontId="1" fillId="10" borderId="18" xfId="0" applyNumberFormat="1" applyFont="1" applyFill="1" applyBorder="1" applyAlignment="1">
      <alignment horizontal="right" vertical="center"/>
    </xf>
    <xf numFmtId="3" fontId="1" fillId="10" borderId="20" xfId="0" applyNumberFormat="1" applyFont="1" applyFill="1" applyBorder="1" applyAlignment="1">
      <alignment horizontal="right" vertical="center"/>
    </xf>
    <xf numFmtId="0" fontId="20" fillId="14" borderId="0" xfId="0" applyFont="1" applyFill="1" applyAlignment="1">
      <alignment vertical="center"/>
    </xf>
    <xf numFmtId="3" fontId="1" fillId="9" borderId="57" xfId="0" applyNumberFormat="1" applyFont="1" applyFill="1" applyBorder="1" applyAlignment="1">
      <alignment vertical="center"/>
    </xf>
    <xf numFmtId="0" fontId="1" fillId="10" borderId="19" xfId="0" applyFont="1" applyFill="1" applyBorder="1" applyAlignment="1">
      <alignment vertical="center" wrapText="1"/>
    </xf>
    <xf numFmtId="0" fontId="15" fillId="9" borderId="42" xfId="0" applyFont="1" applyFill="1" applyBorder="1" applyAlignment="1">
      <alignment vertical="center"/>
    </xf>
    <xf numFmtId="0" fontId="1" fillId="9" borderId="31" xfId="0" applyFont="1" applyFill="1" applyBorder="1" applyAlignment="1">
      <alignment vertical="center"/>
    </xf>
    <xf numFmtId="0" fontId="23" fillId="13" borderId="0" xfId="0" applyFont="1" applyFill="1" applyAlignment="1">
      <alignment vertical="center"/>
    </xf>
    <xf numFmtId="3" fontId="1" fillId="9" borderId="55" xfId="0" applyNumberFormat="1" applyFont="1" applyFill="1" applyBorder="1" applyAlignment="1">
      <alignment vertical="center"/>
    </xf>
    <xf numFmtId="9" fontId="1" fillId="10" borderId="27" xfId="0" applyNumberFormat="1" applyFont="1" applyFill="1" applyBorder="1" applyAlignment="1">
      <alignment horizontal="right" vertical="center"/>
    </xf>
    <xf numFmtId="9" fontId="1" fillId="9" borderId="12" xfId="0" applyNumberFormat="1" applyFont="1" applyFill="1" applyBorder="1" applyAlignment="1">
      <alignment horizontal="right" vertical="center"/>
    </xf>
    <xf numFmtId="3" fontId="1" fillId="19" borderId="15" xfId="0" applyNumberFormat="1" applyFont="1" applyFill="1" applyBorder="1" applyAlignment="1">
      <alignment horizontal="right" vertical="center"/>
    </xf>
    <xf numFmtId="3" fontId="1" fillId="9" borderId="24" xfId="0" applyNumberFormat="1" applyFont="1" applyFill="1" applyBorder="1" applyAlignment="1">
      <alignment horizontal="right" vertical="center"/>
    </xf>
    <xf numFmtId="3" fontId="1" fillId="10" borderId="19" xfId="0" applyNumberFormat="1" applyFont="1" applyFill="1" applyBorder="1" applyAlignment="1">
      <alignment horizontal="right" vertical="center"/>
    </xf>
    <xf numFmtId="3" fontId="1" fillId="9" borderId="58" xfId="0" applyNumberFormat="1" applyFont="1" applyFill="1" applyBorder="1" applyAlignment="1">
      <alignment vertical="center"/>
    </xf>
    <xf numFmtId="3" fontId="1" fillId="10" borderId="17" xfId="0" applyNumberFormat="1" applyFont="1" applyFill="1" applyBorder="1" applyAlignment="1">
      <alignment horizontal="right" vertical="center"/>
    </xf>
    <xf numFmtId="9" fontId="1" fillId="10" borderId="45" xfId="0" applyNumberFormat="1" applyFont="1" applyFill="1" applyBorder="1" applyAlignment="1">
      <alignment horizontal="right" vertical="center"/>
    </xf>
    <xf numFmtId="3" fontId="1" fillId="9" borderId="31" xfId="0" applyNumberFormat="1" applyFont="1" applyFill="1" applyBorder="1" applyAlignment="1">
      <alignment horizontal="left" vertical="center"/>
    </xf>
    <xf numFmtId="1" fontId="1" fillId="9" borderId="6" xfId="0" applyNumberFormat="1" applyFont="1" applyFill="1" applyBorder="1" applyAlignment="1">
      <alignment vertical="center"/>
    </xf>
    <xf numFmtId="0" fontId="20" fillId="14" borderId="4" xfId="0" applyFont="1" applyFill="1" applyBorder="1" applyAlignment="1">
      <alignment horizontal="right" vertical="center"/>
    </xf>
    <xf numFmtId="3" fontId="1" fillId="10" borderId="23" xfId="0" applyNumberFormat="1" applyFont="1" applyFill="1" applyBorder="1" applyAlignment="1">
      <alignment horizontal="right" vertical="center"/>
    </xf>
    <xf numFmtId="0" fontId="1" fillId="0" borderId="23" xfId="0" applyFont="1" applyBorder="1"/>
    <xf numFmtId="3" fontId="1" fillId="17" borderId="24" xfId="0" applyNumberFormat="1" applyFont="1" applyFill="1" applyBorder="1" applyAlignment="1">
      <alignment horizontal="right" vertical="center"/>
    </xf>
    <xf numFmtId="0" fontId="24" fillId="11" borderId="0" xfId="0" applyFont="1" applyFill="1" applyAlignment="1">
      <alignment vertical="center"/>
    </xf>
    <xf numFmtId="9" fontId="1" fillId="10" borderId="27" xfId="0" applyNumberFormat="1" applyFont="1" applyFill="1" applyBorder="1" applyAlignment="1">
      <alignment vertical="center"/>
    </xf>
    <xf numFmtId="0" fontId="1" fillId="9" borderId="59" xfId="0" applyFont="1" applyFill="1" applyBorder="1" applyAlignment="1">
      <alignment vertical="center"/>
    </xf>
    <xf numFmtId="0" fontId="15" fillId="9" borderId="60" xfId="0" applyFont="1" applyFill="1" applyBorder="1" applyAlignment="1">
      <alignment vertical="center"/>
    </xf>
    <xf numFmtId="0" fontId="1" fillId="9" borderId="33" xfId="0" applyFont="1" applyFill="1" applyBorder="1" applyAlignment="1">
      <alignment vertical="center"/>
    </xf>
    <xf numFmtId="0" fontId="1" fillId="10" borderId="49" xfId="0" applyFont="1" applyFill="1" applyBorder="1" applyAlignment="1">
      <alignment vertical="center" wrapText="1"/>
    </xf>
    <xf numFmtId="3" fontId="1" fillId="9" borderId="23" xfId="0" applyNumberFormat="1" applyFont="1" applyFill="1" applyBorder="1" applyAlignment="1">
      <alignment vertical="center"/>
    </xf>
    <xf numFmtId="9" fontId="1" fillId="9" borderId="54" xfId="0" applyNumberFormat="1" applyFont="1" applyFill="1" applyBorder="1" applyAlignment="1">
      <alignment vertical="center"/>
    </xf>
    <xf numFmtId="0" fontId="1" fillId="10" borderId="58" xfId="0" applyFont="1" applyFill="1" applyBorder="1" applyAlignment="1">
      <alignment vertical="center"/>
    </xf>
    <xf numFmtId="9" fontId="1" fillId="9" borderId="49" xfId="0" applyNumberFormat="1" applyFont="1" applyFill="1" applyBorder="1" applyAlignment="1">
      <alignment vertical="center"/>
    </xf>
    <xf numFmtId="3" fontId="1" fillId="9" borderId="15" xfId="0" applyNumberFormat="1" applyFont="1" applyFill="1" applyBorder="1" applyAlignment="1">
      <alignment horizontal="right" vertical="center"/>
    </xf>
    <xf numFmtId="0" fontId="1" fillId="0" borderId="0" xfId="0" applyFont="1" applyAlignment="1">
      <alignment horizontal="right" vertical="center"/>
    </xf>
    <xf numFmtId="0" fontId="15" fillId="0" borderId="47" xfId="0" applyFont="1" applyBorder="1" applyAlignment="1">
      <alignment vertical="center"/>
    </xf>
    <xf numFmtId="0" fontId="25" fillId="0" borderId="0" xfId="0" applyFont="1" applyAlignment="1">
      <alignment vertical="center"/>
    </xf>
    <xf numFmtId="0" fontId="1" fillId="9" borderId="24" xfId="0" applyFont="1" applyFill="1" applyBorder="1" applyAlignment="1">
      <alignment vertical="center"/>
    </xf>
    <xf numFmtId="3" fontId="1" fillId="17" borderId="21" xfId="0" applyNumberFormat="1" applyFont="1" applyFill="1" applyBorder="1" applyAlignment="1">
      <alignment horizontal="right" vertical="center"/>
    </xf>
    <xf numFmtId="1" fontId="1" fillId="9" borderId="45" xfId="0" applyNumberFormat="1" applyFont="1" applyFill="1" applyBorder="1" applyAlignment="1">
      <alignment vertical="center"/>
    </xf>
    <xf numFmtId="0" fontId="17" fillId="12" borderId="12" xfId="0" applyFont="1" applyFill="1" applyBorder="1" applyAlignment="1">
      <alignment vertical="center"/>
    </xf>
    <xf numFmtId="3" fontId="1" fillId="9" borderId="33" xfId="0" applyNumberFormat="1" applyFont="1" applyFill="1" applyBorder="1" applyAlignment="1">
      <alignment horizontal="right" vertical="center"/>
    </xf>
    <xf numFmtId="0" fontId="18" fillId="14" borderId="24" xfId="0" applyFont="1" applyFill="1" applyBorder="1" applyAlignment="1">
      <alignment vertical="center"/>
    </xf>
    <xf numFmtId="9" fontId="15" fillId="9" borderId="61" xfId="0" applyNumberFormat="1" applyFont="1" applyFill="1" applyBorder="1" applyAlignment="1">
      <alignment horizontal="right" vertical="center"/>
    </xf>
    <xf numFmtId="9" fontId="15" fillId="0" borderId="46" xfId="0" applyNumberFormat="1" applyFont="1" applyBorder="1" applyAlignment="1">
      <alignment horizontal="right" vertical="center"/>
    </xf>
    <xf numFmtId="3" fontId="1" fillId="10" borderId="63" xfId="0" applyNumberFormat="1" applyFont="1" applyFill="1" applyBorder="1" applyAlignment="1">
      <alignment horizontal="right" vertical="center"/>
    </xf>
    <xf numFmtId="3" fontId="1" fillId="10" borderId="28" xfId="0" applyNumberFormat="1" applyFont="1" applyFill="1" applyBorder="1" applyAlignment="1">
      <alignment horizontal="right" vertical="center"/>
    </xf>
    <xf numFmtId="9" fontId="1" fillId="9" borderId="0" xfId="0" applyNumberFormat="1" applyFont="1" applyFill="1" applyAlignment="1">
      <alignment vertical="center"/>
    </xf>
    <xf numFmtId="0" fontId="19" fillId="18" borderId="37" xfId="0" applyFont="1" applyFill="1" applyBorder="1" applyAlignment="1">
      <alignment horizontal="right" vertical="center"/>
    </xf>
    <xf numFmtId="9" fontId="1" fillId="0" borderId="23" xfId="0" applyNumberFormat="1" applyFont="1" applyBorder="1" applyAlignment="1">
      <alignment vertical="center"/>
    </xf>
    <xf numFmtId="3" fontId="1" fillId="9" borderId="17" xfId="0" applyNumberFormat="1" applyFont="1" applyFill="1" applyBorder="1" applyAlignment="1">
      <alignment vertical="center"/>
    </xf>
    <xf numFmtId="0" fontId="18" fillId="14" borderId="12" xfId="0" applyFont="1" applyFill="1" applyBorder="1" applyAlignment="1">
      <alignment vertical="center"/>
    </xf>
    <xf numFmtId="3" fontId="1" fillId="9" borderId="39" xfId="0" applyNumberFormat="1" applyFont="1" applyFill="1" applyBorder="1" applyAlignment="1">
      <alignment horizontal="right" vertical="center"/>
    </xf>
    <xf numFmtId="3" fontId="1" fillId="9" borderId="54" xfId="0" applyNumberFormat="1" applyFont="1" applyFill="1" applyBorder="1" applyAlignment="1">
      <alignment vertical="center"/>
    </xf>
    <xf numFmtId="0" fontId="1" fillId="0" borderId="12" xfId="0" applyFont="1" applyBorder="1" applyAlignment="1">
      <alignment vertical="center"/>
    </xf>
    <xf numFmtId="3" fontId="15" fillId="0" borderId="10" xfId="0" applyNumberFormat="1" applyFont="1" applyBorder="1" applyAlignment="1">
      <alignment horizontal="right" vertical="center"/>
    </xf>
    <xf numFmtId="3" fontId="1" fillId="9" borderId="31" xfId="0" applyNumberFormat="1" applyFont="1" applyFill="1" applyBorder="1" applyAlignment="1">
      <alignment vertical="center"/>
    </xf>
    <xf numFmtId="3" fontId="1" fillId="10" borderId="49" xfId="0" applyNumberFormat="1" applyFont="1" applyFill="1" applyBorder="1" applyAlignment="1">
      <alignment horizontal="right" vertical="center"/>
    </xf>
    <xf numFmtId="9" fontId="15" fillId="9" borderId="48" xfId="0" applyNumberFormat="1" applyFont="1" applyFill="1" applyBorder="1" applyAlignment="1">
      <alignment horizontal="right" vertical="center"/>
    </xf>
    <xf numFmtId="0" fontId="1" fillId="9" borderId="25" xfId="0" applyFont="1" applyFill="1" applyBorder="1" applyAlignment="1">
      <alignment vertical="center"/>
    </xf>
    <xf numFmtId="0" fontId="1" fillId="9" borderId="12" xfId="0" applyFont="1" applyFill="1" applyBorder="1" applyAlignment="1">
      <alignment vertical="center"/>
    </xf>
    <xf numFmtId="0" fontId="1" fillId="10" borderId="64" xfId="0" applyFont="1" applyFill="1" applyBorder="1" applyAlignment="1">
      <alignment vertical="center"/>
    </xf>
    <xf numFmtId="0" fontId="1" fillId="9" borderId="15" xfId="0" applyFont="1" applyFill="1" applyBorder="1" applyAlignment="1">
      <alignment vertical="center"/>
    </xf>
    <xf numFmtId="0" fontId="1" fillId="10" borderId="26" xfId="0" applyFont="1" applyFill="1" applyBorder="1" applyAlignment="1">
      <alignment vertical="center"/>
    </xf>
    <xf numFmtId="165" fontId="1" fillId="9" borderId="39" xfId="0" applyNumberFormat="1" applyFont="1" applyFill="1" applyBorder="1" applyAlignment="1">
      <alignment vertical="center"/>
    </xf>
    <xf numFmtId="3" fontId="15" fillId="9" borderId="47" xfId="0" applyNumberFormat="1" applyFont="1" applyFill="1" applyBorder="1" applyAlignment="1">
      <alignment vertical="center"/>
    </xf>
    <xf numFmtId="3" fontId="15" fillId="0" borderId="47" xfId="0" applyNumberFormat="1" applyFont="1" applyBorder="1" applyAlignment="1">
      <alignment horizontal="right" vertical="center"/>
    </xf>
    <xf numFmtId="0" fontId="15" fillId="9" borderId="51" xfId="0" applyFont="1" applyFill="1" applyBorder="1" applyAlignment="1">
      <alignment vertical="center"/>
    </xf>
    <xf numFmtId="9" fontId="1" fillId="9" borderId="6" xfId="0" applyNumberFormat="1" applyFont="1" applyFill="1" applyBorder="1" applyAlignment="1">
      <alignment vertical="center"/>
    </xf>
    <xf numFmtId="3" fontId="1" fillId="10" borderId="65" xfId="0" applyNumberFormat="1" applyFont="1" applyFill="1" applyBorder="1" applyAlignment="1">
      <alignment vertical="center"/>
    </xf>
    <xf numFmtId="165" fontId="1" fillId="9" borderId="0" xfId="0" applyNumberFormat="1" applyFont="1" applyFill="1" applyAlignment="1">
      <alignment horizontal="right" vertical="center"/>
    </xf>
    <xf numFmtId="0" fontId="16" fillId="0" borderId="0" xfId="0" applyFont="1"/>
    <xf numFmtId="0" fontId="1" fillId="10" borderId="19" xfId="0" applyFont="1" applyFill="1" applyBorder="1" applyAlignment="1">
      <alignment horizontal="right" vertical="center"/>
    </xf>
    <xf numFmtId="0" fontId="20" fillId="14" borderId="66" xfId="0" applyFont="1" applyFill="1" applyBorder="1" applyAlignment="1">
      <alignment vertical="center"/>
    </xf>
    <xf numFmtId="9" fontId="1" fillId="0" borderId="12" xfId="0" applyNumberFormat="1" applyFont="1" applyBorder="1" applyAlignment="1">
      <alignment vertical="center"/>
    </xf>
    <xf numFmtId="3" fontId="1" fillId="10" borderId="45" xfId="0" applyNumberFormat="1" applyFont="1" applyFill="1" applyBorder="1" applyAlignment="1">
      <alignment horizontal="right" vertical="center"/>
    </xf>
    <xf numFmtId="3" fontId="1" fillId="10" borderId="67" xfId="0" applyNumberFormat="1" applyFont="1" applyFill="1" applyBorder="1" applyAlignment="1">
      <alignment vertical="center"/>
    </xf>
    <xf numFmtId="0" fontId="1" fillId="9" borderId="18" xfId="0" applyFont="1" applyFill="1" applyBorder="1" applyAlignment="1">
      <alignment vertical="center"/>
    </xf>
    <xf numFmtId="3" fontId="16" fillId="10" borderId="55" xfId="0" applyNumberFormat="1" applyFont="1" applyFill="1" applyBorder="1" applyAlignment="1">
      <alignment vertical="center"/>
    </xf>
    <xf numFmtId="3" fontId="15" fillId="0" borderId="36" xfId="0" applyNumberFormat="1" applyFont="1" applyBorder="1" applyAlignment="1">
      <alignment horizontal="right" vertical="center"/>
    </xf>
    <xf numFmtId="9" fontId="15" fillId="0" borderId="48" xfId="0" applyNumberFormat="1" applyFont="1" applyBorder="1" applyAlignment="1">
      <alignment horizontal="right" vertical="center"/>
    </xf>
    <xf numFmtId="3" fontId="1" fillId="9" borderId="13" xfId="0" applyNumberFormat="1" applyFont="1" applyFill="1" applyBorder="1" applyAlignment="1">
      <alignment vertical="center"/>
    </xf>
    <xf numFmtId="3" fontId="15" fillId="0" borderId="68" xfId="0" applyNumberFormat="1" applyFont="1" applyBorder="1" applyAlignment="1">
      <alignment horizontal="right" vertical="center"/>
    </xf>
    <xf numFmtId="3" fontId="1" fillId="10" borderId="11" xfId="0" applyNumberFormat="1" applyFont="1" applyFill="1" applyBorder="1" applyAlignment="1">
      <alignment vertical="center"/>
    </xf>
    <xf numFmtId="3" fontId="15" fillId="0" borderId="56" xfId="0" applyNumberFormat="1" applyFont="1" applyBorder="1" applyAlignment="1">
      <alignment horizontal="right" vertical="center"/>
    </xf>
    <xf numFmtId="0" fontId="1" fillId="10" borderId="69" xfId="0" applyFont="1" applyFill="1" applyBorder="1" applyAlignment="1">
      <alignment vertical="center"/>
    </xf>
    <xf numFmtId="10" fontId="1" fillId="0" borderId="0" xfId="0" applyNumberFormat="1" applyFont="1" applyAlignment="1">
      <alignment vertical="center"/>
    </xf>
    <xf numFmtId="3" fontId="1" fillId="0" borderId="0" xfId="0" applyNumberFormat="1" applyFont="1" applyAlignment="1">
      <alignment vertical="center"/>
    </xf>
    <xf numFmtId="3" fontId="1" fillId="10" borderId="70" xfId="0" applyNumberFormat="1" applyFont="1" applyFill="1" applyBorder="1" applyAlignment="1">
      <alignment vertical="center"/>
    </xf>
    <xf numFmtId="9" fontId="1" fillId="9" borderId="27" xfId="0" applyNumberFormat="1" applyFont="1" applyFill="1" applyBorder="1" applyAlignment="1">
      <alignment vertical="center"/>
    </xf>
    <xf numFmtId="3" fontId="1" fillId="9" borderId="20" xfId="0" applyNumberFormat="1" applyFont="1" applyFill="1" applyBorder="1" applyAlignment="1">
      <alignment vertical="center"/>
    </xf>
    <xf numFmtId="3" fontId="1" fillId="9" borderId="25" xfId="0" applyNumberFormat="1" applyFont="1" applyFill="1" applyBorder="1" applyAlignment="1">
      <alignment horizontal="right" vertical="center"/>
    </xf>
    <xf numFmtId="0" fontId="20" fillId="14" borderId="71" xfId="0" applyFont="1" applyFill="1" applyBorder="1" applyAlignment="1">
      <alignment horizontal="right" vertical="center"/>
    </xf>
    <xf numFmtId="1" fontId="1" fillId="9" borderId="20" xfId="0" applyNumberFormat="1" applyFont="1" applyFill="1" applyBorder="1" applyAlignment="1">
      <alignment vertical="center"/>
    </xf>
    <xf numFmtId="0" fontId="20" fillId="14" borderId="14" xfId="0" applyFont="1" applyFill="1" applyBorder="1" applyAlignment="1">
      <alignment horizontal="right" vertical="center"/>
    </xf>
    <xf numFmtId="0" fontId="1" fillId="17" borderId="25" xfId="0" applyFont="1" applyFill="1" applyBorder="1" applyAlignment="1">
      <alignment vertical="center" wrapText="1"/>
    </xf>
    <xf numFmtId="0" fontId="1" fillId="10" borderId="12" xfId="0" applyFont="1" applyFill="1" applyBorder="1" applyAlignment="1">
      <alignment vertical="center"/>
    </xf>
    <xf numFmtId="3" fontId="1" fillId="9" borderId="49" xfId="0" applyNumberFormat="1" applyFont="1" applyFill="1" applyBorder="1" applyAlignment="1">
      <alignment vertical="center"/>
    </xf>
    <xf numFmtId="0" fontId="18" fillId="14" borderId="13" xfId="0" applyFont="1" applyFill="1" applyBorder="1" applyAlignment="1">
      <alignment vertical="center"/>
    </xf>
    <xf numFmtId="0" fontId="20" fillId="14" borderId="16" xfId="0" applyFont="1" applyFill="1" applyBorder="1" applyAlignment="1">
      <alignment vertical="center"/>
    </xf>
    <xf numFmtId="0" fontId="1" fillId="10" borderId="72" xfId="0" applyFont="1" applyFill="1" applyBorder="1" applyAlignment="1">
      <alignment horizontal="right" vertical="center"/>
    </xf>
    <xf numFmtId="9" fontId="1" fillId="10" borderId="45" xfId="0" applyNumberFormat="1" applyFont="1" applyFill="1" applyBorder="1" applyAlignment="1">
      <alignment vertical="center"/>
    </xf>
    <xf numFmtId="9" fontId="15" fillId="9" borderId="73" xfId="0" applyNumberFormat="1" applyFont="1" applyFill="1" applyBorder="1" applyAlignment="1">
      <alignment horizontal="right" vertical="center"/>
    </xf>
    <xf numFmtId="1" fontId="1" fillId="10" borderId="45" xfId="0" applyNumberFormat="1" applyFont="1" applyFill="1" applyBorder="1" applyAlignment="1">
      <alignment vertical="center"/>
    </xf>
    <xf numFmtId="0" fontId="18" fillId="14" borderId="13" xfId="0" applyFont="1" applyFill="1" applyBorder="1"/>
    <xf numFmtId="9" fontId="1" fillId="10" borderId="39" xfId="0" applyNumberFormat="1" applyFont="1" applyFill="1" applyBorder="1" applyAlignment="1">
      <alignment horizontal="right" vertical="center"/>
    </xf>
    <xf numFmtId="0" fontId="1" fillId="9" borderId="28" xfId="0" applyFont="1" applyFill="1" applyBorder="1" applyAlignment="1">
      <alignment vertical="center"/>
    </xf>
    <xf numFmtId="3" fontId="1" fillId="17" borderId="12" xfId="0" applyNumberFormat="1" applyFont="1" applyFill="1" applyBorder="1" applyAlignment="1">
      <alignment horizontal="right" vertical="center"/>
    </xf>
    <xf numFmtId="3" fontId="15" fillId="0" borderId="61" xfId="0" applyNumberFormat="1" applyFont="1" applyBorder="1" applyAlignment="1">
      <alignment horizontal="right" vertical="center"/>
    </xf>
    <xf numFmtId="9" fontId="1" fillId="9" borderId="75" xfId="0" applyNumberFormat="1" applyFont="1" applyFill="1" applyBorder="1" applyAlignment="1">
      <alignment vertical="center"/>
    </xf>
    <xf numFmtId="9" fontId="1" fillId="0" borderId="0" xfId="0" applyNumberFormat="1" applyFont="1" applyAlignment="1">
      <alignment vertical="center"/>
    </xf>
    <xf numFmtId="0" fontId="1" fillId="10" borderId="28" xfId="0" applyFont="1" applyFill="1" applyBorder="1" applyAlignment="1">
      <alignment horizontal="left" vertical="center" wrapText="1"/>
    </xf>
    <xf numFmtId="0" fontId="15" fillId="0" borderId="0" xfId="0" applyFont="1"/>
    <xf numFmtId="0" fontId="1" fillId="10" borderId="31" xfId="0" applyFont="1" applyFill="1" applyBorder="1" applyAlignment="1">
      <alignment horizontal="left" vertical="center"/>
    </xf>
    <xf numFmtId="0" fontId="22" fillId="10" borderId="19" xfId="0" applyFont="1" applyFill="1" applyBorder="1" applyAlignment="1">
      <alignment vertical="center"/>
    </xf>
    <xf numFmtId="0" fontId="15" fillId="10" borderId="51" xfId="0" applyFont="1" applyFill="1" applyBorder="1" applyAlignment="1">
      <alignment horizontal="left" vertical="center" wrapText="1"/>
    </xf>
    <xf numFmtId="0" fontId="18" fillId="12" borderId="24" xfId="0" applyFont="1" applyFill="1" applyBorder="1" applyAlignment="1">
      <alignment horizontal="right" vertical="center"/>
    </xf>
    <xf numFmtId="3" fontId="1" fillId="10" borderId="30" xfId="0" applyNumberFormat="1" applyFont="1" applyFill="1" applyBorder="1" applyAlignment="1">
      <alignment vertical="center"/>
    </xf>
    <xf numFmtId="3" fontId="1" fillId="9" borderId="29" xfId="0" applyNumberFormat="1" applyFont="1" applyFill="1" applyBorder="1" applyAlignment="1">
      <alignment horizontal="right" vertical="center"/>
    </xf>
    <xf numFmtId="0" fontId="1" fillId="10" borderId="49" xfId="0" applyFont="1" applyFill="1" applyBorder="1" applyAlignment="1">
      <alignment horizontal="left" vertical="center" wrapText="1"/>
    </xf>
    <xf numFmtId="0" fontId="20" fillId="14" borderId="66" xfId="0" applyFont="1" applyFill="1" applyBorder="1" applyAlignment="1">
      <alignment horizontal="right" vertical="center"/>
    </xf>
    <xf numFmtId="0" fontId="18" fillId="12" borderId="13" xfId="0" applyFont="1" applyFill="1" applyBorder="1" applyAlignment="1">
      <alignment horizontal="right" vertical="center"/>
    </xf>
    <xf numFmtId="3" fontId="1" fillId="10" borderId="6" xfId="0" applyNumberFormat="1" applyFont="1" applyFill="1" applyBorder="1" applyAlignment="1">
      <alignment horizontal="right" vertical="center"/>
    </xf>
    <xf numFmtId="3" fontId="15" fillId="9" borderId="42" xfId="0" applyNumberFormat="1" applyFont="1" applyFill="1" applyBorder="1" applyAlignment="1">
      <alignment vertical="center"/>
    </xf>
    <xf numFmtId="0" fontId="1" fillId="10" borderId="75" xfId="0" applyFont="1" applyFill="1" applyBorder="1" applyAlignment="1">
      <alignment vertical="center"/>
    </xf>
    <xf numFmtId="0" fontId="1" fillId="9" borderId="49" xfId="0" applyFont="1" applyFill="1" applyBorder="1" applyAlignment="1">
      <alignment vertical="center"/>
    </xf>
    <xf numFmtId="0" fontId="15" fillId="10" borderId="51" xfId="0" applyFont="1" applyFill="1" applyBorder="1" applyAlignment="1">
      <alignment horizontal="left" vertical="center"/>
    </xf>
    <xf numFmtId="1" fontId="1" fillId="9" borderId="75" xfId="0" applyNumberFormat="1" applyFont="1" applyFill="1" applyBorder="1" applyAlignment="1">
      <alignment vertical="center"/>
    </xf>
    <xf numFmtId="0" fontId="15" fillId="0" borderId="38" xfId="0" applyFont="1" applyBorder="1" applyAlignment="1">
      <alignment vertical="center"/>
    </xf>
    <xf numFmtId="9" fontId="15" fillId="9" borderId="46" xfId="0" applyNumberFormat="1" applyFont="1" applyFill="1" applyBorder="1" applyAlignment="1">
      <alignment horizontal="right" vertical="center"/>
    </xf>
    <xf numFmtId="0" fontId="20" fillId="14" borderId="12" xfId="0" applyFont="1" applyFill="1" applyBorder="1" applyAlignment="1">
      <alignment vertical="center"/>
    </xf>
    <xf numFmtId="9" fontId="1" fillId="9" borderId="17" xfId="0" applyNumberFormat="1" applyFont="1" applyFill="1" applyBorder="1" applyAlignment="1">
      <alignment vertical="center"/>
    </xf>
    <xf numFmtId="0" fontId="1" fillId="10" borderId="23" xfId="0" applyFont="1" applyFill="1" applyBorder="1" applyAlignment="1">
      <alignment vertical="center"/>
    </xf>
    <xf numFmtId="165" fontId="1" fillId="9" borderId="75" xfId="0" applyNumberFormat="1" applyFont="1" applyFill="1" applyBorder="1" applyAlignment="1">
      <alignment vertical="center"/>
    </xf>
    <xf numFmtId="3" fontId="1" fillId="9" borderId="6" xfId="0" applyNumberFormat="1" applyFont="1" applyFill="1" applyBorder="1" applyAlignment="1">
      <alignment vertical="center"/>
    </xf>
    <xf numFmtId="0" fontId="1" fillId="9" borderId="31" xfId="0" applyFont="1" applyFill="1" applyBorder="1" applyAlignment="1">
      <alignment horizontal="left" vertical="center" wrapText="1"/>
    </xf>
    <xf numFmtId="0" fontId="15" fillId="11" borderId="66" xfId="0" applyFont="1" applyFill="1" applyBorder="1" applyAlignment="1">
      <alignment horizontal="right" vertical="center"/>
    </xf>
    <xf numFmtId="0" fontId="1" fillId="10" borderId="21" xfId="0" applyFont="1" applyFill="1" applyBorder="1" applyAlignment="1">
      <alignment vertical="center"/>
    </xf>
    <xf numFmtId="3" fontId="15" fillId="10" borderId="47" xfId="0" applyNumberFormat="1" applyFont="1" applyFill="1" applyBorder="1" applyAlignment="1">
      <alignment vertical="center"/>
    </xf>
    <xf numFmtId="3" fontId="1" fillId="9" borderId="21" xfId="0" applyNumberFormat="1" applyFont="1" applyFill="1" applyBorder="1" applyAlignment="1">
      <alignment horizontal="right" vertical="center"/>
    </xf>
    <xf numFmtId="0" fontId="1" fillId="9" borderId="23" xfId="0" applyFont="1" applyFill="1" applyBorder="1"/>
    <xf numFmtId="3" fontId="1" fillId="19" borderId="26" xfId="0" applyNumberFormat="1" applyFont="1" applyFill="1" applyBorder="1" applyAlignment="1">
      <alignment vertical="center"/>
    </xf>
    <xf numFmtId="166" fontId="1" fillId="0" borderId="0" xfId="0" applyNumberFormat="1" applyFont="1" applyAlignment="1">
      <alignment vertical="center"/>
    </xf>
    <xf numFmtId="165" fontId="1" fillId="9" borderId="20" xfId="0" applyNumberFormat="1" applyFont="1" applyFill="1" applyBorder="1" applyAlignment="1">
      <alignment vertical="center"/>
    </xf>
    <xf numFmtId="3" fontId="1" fillId="10" borderId="27" xfId="0" applyNumberFormat="1" applyFont="1" applyFill="1" applyBorder="1" applyAlignment="1">
      <alignment horizontal="right" vertical="center"/>
    </xf>
    <xf numFmtId="3" fontId="15" fillId="0" borderId="62" xfId="0" applyNumberFormat="1" applyFont="1" applyBorder="1" applyAlignment="1">
      <alignment horizontal="right" vertical="center"/>
    </xf>
    <xf numFmtId="0" fontId="1" fillId="10" borderId="59" xfId="0" applyFont="1" applyFill="1" applyBorder="1" applyAlignment="1">
      <alignment vertical="center"/>
    </xf>
    <xf numFmtId="0" fontId="16" fillId="0" borderId="0" xfId="0" applyFont="1" applyAlignment="1">
      <alignment vertical="center"/>
    </xf>
    <xf numFmtId="3" fontId="1" fillId="9" borderId="55" xfId="0" applyNumberFormat="1" applyFont="1" applyFill="1" applyBorder="1" applyAlignment="1">
      <alignment horizontal="right" vertical="center"/>
    </xf>
    <xf numFmtId="0" fontId="18" fillId="14" borderId="13" xfId="0" applyFont="1" applyFill="1" applyBorder="1" applyAlignment="1">
      <alignment horizontal="right" vertical="center"/>
    </xf>
    <xf numFmtId="0" fontId="1" fillId="0" borderId="13" xfId="0" applyFont="1" applyBorder="1" applyAlignment="1">
      <alignment horizontal="right" vertical="center"/>
    </xf>
    <xf numFmtId="3" fontId="1" fillId="10" borderId="30" xfId="0" applyNumberFormat="1" applyFont="1" applyFill="1" applyBorder="1" applyAlignment="1">
      <alignment horizontal="right" vertical="center"/>
    </xf>
    <xf numFmtId="9" fontId="15" fillId="0" borderId="61" xfId="0" applyNumberFormat="1" applyFont="1" applyBorder="1" applyAlignment="1">
      <alignment horizontal="right" vertical="center"/>
    </xf>
    <xf numFmtId="0" fontId="1" fillId="10" borderId="49" xfId="0" applyFont="1" applyFill="1" applyBorder="1" applyAlignment="1">
      <alignment horizontal="left" vertical="center"/>
    </xf>
    <xf numFmtId="0" fontId="15" fillId="0" borderId="51" xfId="0" applyFont="1" applyBorder="1" applyAlignment="1">
      <alignment vertical="center"/>
    </xf>
    <xf numFmtId="3" fontId="1" fillId="10" borderId="17" xfId="0" applyNumberFormat="1" applyFont="1" applyFill="1" applyBorder="1" applyAlignment="1">
      <alignment vertical="center"/>
    </xf>
    <xf numFmtId="3" fontId="1" fillId="10" borderId="76" xfId="0" applyNumberFormat="1" applyFont="1" applyFill="1" applyBorder="1" applyAlignment="1">
      <alignment vertical="center"/>
    </xf>
    <xf numFmtId="0" fontId="1" fillId="9" borderId="0" xfId="0" applyFont="1" applyFill="1" applyAlignment="1">
      <alignment vertical="center"/>
    </xf>
    <xf numFmtId="0" fontId="1" fillId="11" borderId="0" xfId="0" applyFont="1" applyFill="1"/>
    <xf numFmtId="3" fontId="1" fillId="10" borderId="11" xfId="0" applyNumberFormat="1" applyFont="1" applyFill="1" applyBorder="1" applyAlignment="1">
      <alignment horizontal="right" vertical="center"/>
    </xf>
    <xf numFmtId="0" fontId="18" fillId="12" borderId="19" xfId="0" applyFont="1" applyFill="1" applyBorder="1" applyAlignment="1">
      <alignment horizontal="right" vertical="center"/>
    </xf>
    <xf numFmtId="3" fontId="15" fillId="9" borderId="47" xfId="0" applyNumberFormat="1" applyFont="1" applyFill="1" applyBorder="1" applyAlignment="1">
      <alignment horizontal="right" vertical="center"/>
    </xf>
    <xf numFmtId="3" fontId="15" fillId="9" borderId="62" xfId="0" applyNumberFormat="1" applyFont="1" applyFill="1" applyBorder="1" applyAlignment="1">
      <alignment horizontal="right" vertical="center"/>
    </xf>
    <xf numFmtId="3" fontId="1" fillId="10" borderId="19" xfId="0" applyNumberFormat="1" applyFont="1" applyFill="1" applyBorder="1" applyAlignment="1">
      <alignment horizontal="left" vertical="center"/>
    </xf>
    <xf numFmtId="9" fontId="15" fillId="9" borderId="77" xfId="0" applyNumberFormat="1" applyFont="1" applyFill="1" applyBorder="1" applyAlignment="1">
      <alignment horizontal="right" vertical="center"/>
    </xf>
    <xf numFmtId="0" fontId="20" fillId="14" borderId="8" xfId="0" applyFont="1" applyFill="1" applyBorder="1" applyAlignment="1">
      <alignment horizontal="right" vertical="center"/>
    </xf>
    <xf numFmtId="9" fontId="1" fillId="10" borderId="49" xfId="0" applyNumberFormat="1" applyFont="1" applyFill="1" applyBorder="1" applyAlignment="1">
      <alignment vertical="center"/>
    </xf>
    <xf numFmtId="9" fontId="1" fillId="10" borderId="31" xfId="0" applyNumberFormat="1" applyFont="1" applyFill="1" applyBorder="1" applyAlignment="1">
      <alignment vertical="center"/>
    </xf>
    <xf numFmtId="165" fontId="1" fillId="9" borderId="17" xfId="0" applyNumberFormat="1" applyFont="1" applyFill="1" applyBorder="1" applyAlignment="1">
      <alignment vertical="center"/>
    </xf>
    <xf numFmtId="0" fontId="1" fillId="10" borderId="78" xfId="0" applyFont="1" applyFill="1" applyBorder="1" applyAlignment="1">
      <alignment horizontal="right" vertical="center"/>
    </xf>
    <xf numFmtId="3" fontId="1" fillId="9" borderId="39" xfId="0" applyNumberFormat="1" applyFont="1" applyFill="1" applyBorder="1" applyAlignment="1">
      <alignment vertical="center"/>
    </xf>
    <xf numFmtId="9" fontId="15" fillId="0" borderId="62" xfId="0" applyNumberFormat="1" applyFont="1" applyBorder="1" applyAlignment="1">
      <alignment horizontal="right" vertical="center"/>
    </xf>
    <xf numFmtId="9" fontId="1" fillId="9" borderId="25" xfId="0" applyNumberFormat="1" applyFont="1" applyFill="1" applyBorder="1" applyAlignment="1">
      <alignment vertical="center"/>
    </xf>
    <xf numFmtId="165" fontId="1" fillId="9" borderId="21" xfId="0" applyNumberFormat="1" applyFont="1" applyFill="1" applyBorder="1" applyAlignment="1">
      <alignment vertical="center"/>
    </xf>
    <xf numFmtId="0" fontId="20" fillId="14" borderId="79" xfId="0" applyFont="1" applyFill="1" applyBorder="1" applyAlignment="1">
      <alignment horizontal="right" vertical="center"/>
    </xf>
    <xf numFmtId="3" fontId="1" fillId="9" borderId="9" xfId="0" applyNumberFormat="1" applyFont="1" applyFill="1" applyBorder="1" applyAlignment="1">
      <alignment vertical="center"/>
    </xf>
    <xf numFmtId="0" fontId="1" fillId="10" borderId="31" xfId="0" applyFont="1" applyFill="1" applyBorder="1" applyAlignment="1">
      <alignment horizontal="left" vertical="center" wrapText="1"/>
    </xf>
    <xf numFmtId="3" fontId="1" fillId="10" borderId="23" xfId="0" applyNumberFormat="1" applyFont="1" applyFill="1" applyBorder="1" applyAlignment="1">
      <alignment vertical="center"/>
    </xf>
    <xf numFmtId="0" fontId="1" fillId="10" borderId="19" xfId="0" applyFont="1" applyFill="1" applyBorder="1" applyAlignment="1">
      <alignment vertical="center"/>
    </xf>
    <xf numFmtId="9" fontId="15" fillId="0" borderId="34" xfId="0" applyNumberFormat="1" applyFont="1" applyBorder="1" applyAlignment="1">
      <alignment horizontal="right" vertical="center"/>
    </xf>
    <xf numFmtId="0" fontId="1" fillId="9" borderId="49" xfId="0" applyFont="1" applyFill="1" applyBorder="1" applyAlignment="1">
      <alignment vertical="center" wrapText="1"/>
    </xf>
    <xf numFmtId="3" fontId="1" fillId="10" borderId="20" xfId="0" applyNumberFormat="1" applyFont="1" applyFill="1" applyBorder="1" applyAlignment="1">
      <alignment vertical="center"/>
    </xf>
    <xf numFmtId="165" fontId="1" fillId="9" borderId="27" xfId="0" applyNumberFormat="1" applyFont="1" applyFill="1" applyBorder="1" applyAlignment="1">
      <alignment vertical="center"/>
    </xf>
    <xf numFmtId="0" fontId="18" fillId="12" borderId="13" xfId="0" applyFont="1" applyFill="1" applyBorder="1" applyAlignment="1">
      <alignment vertical="center"/>
    </xf>
    <xf numFmtId="3" fontId="1" fillId="9" borderId="31" xfId="0" applyNumberFormat="1" applyFont="1" applyFill="1" applyBorder="1" applyAlignment="1">
      <alignment horizontal="right" vertical="center"/>
    </xf>
    <xf numFmtId="3" fontId="15" fillId="0" borderId="3" xfId="0" applyNumberFormat="1" applyFont="1" applyBorder="1" applyAlignment="1">
      <alignment horizontal="right" vertical="center"/>
    </xf>
    <xf numFmtId="3" fontId="15" fillId="9" borderId="8" xfId="0" applyNumberFormat="1" applyFont="1" applyFill="1" applyBorder="1" applyAlignment="1">
      <alignment horizontal="right" vertical="center"/>
    </xf>
    <xf numFmtId="3" fontId="1" fillId="9" borderId="75" xfId="0" applyNumberFormat="1" applyFont="1" applyFill="1" applyBorder="1" applyAlignment="1">
      <alignment vertical="center"/>
    </xf>
    <xf numFmtId="0" fontId="1" fillId="10" borderId="9" xfId="0" applyFont="1" applyFill="1" applyBorder="1" applyAlignment="1">
      <alignment vertical="center"/>
    </xf>
    <xf numFmtId="3" fontId="15" fillId="0" borderId="42" xfId="0" applyNumberFormat="1" applyFont="1" applyBorder="1" applyAlignment="1">
      <alignment horizontal="right" vertical="center"/>
    </xf>
    <xf numFmtId="1" fontId="1" fillId="10" borderId="39" xfId="0" applyNumberFormat="1" applyFont="1" applyFill="1" applyBorder="1" applyAlignment="1">
      <alignment vertical="center"/>
    </xf>
    <xf numFmtId="9" fontId="1" fillId="9" borderId="39" xfId="0" applyNumberFormat="1" applyFont="1" applyFill="1" applyBorder="1" applyAlignment="1">
      <alignment horizontal="right" vertical="center"/>
    </xf>
    <xf numFmtId="0" fontId="1" fillId="10" borderId="80" xfId="0" applyFont="1" applyFill="1" applyBorder="1" applyAlignment="1">
      <alignment horizontal="right" vertical="center"/>
    </xf>
    <xf numFmtId="3" fontId="1" fillId="9" borderId="27" xfId="0" applyNumberFormat="1" applyFont="1" applyFill="1" applyBorder="1" applyAlignment="1">
      <alignment vertical="center"/>
    </xf>
    <xf numFmtId="9" fontId="1" fillId="0" borderId="24" xfId="0" applyNumberFormat="1" applyFont="1" applyBorder="1" applyAlignment="1">
      <alignment vertical="center"/>
    </xf>
    <xf numFmtId="3" fontId="1" fillId="9" borderId="15" xfId="0" applyNumberFormat="1" applyFont="1" applyFill="1" applyBorder="1" applyAlignment="1">
      <alignment vertical="center"/>
    </xf>
    <xf numFmtId="3" fontId="1" fillId="9" borderId="53" xfId="0" applyNumberFormat="1" applyFont="1" applyFill="1" applyBorder="1" applyAlignment="1">
      <alignment vertical="center"/>
    </xf>
    <xf numFmtId="0" fontId="1" fillId="13" borderId="49" xfId="0" applyFont="1" applyFill="1" applyBorder="1" applyAlignment="1">
      <alignment vertical="center"/>
    </xf>
    <xf numFmtId="3" fontId="1" fillId="10" borderId="13" xfId="0" applyNumberFormat="1" applyFont="1" applyFill="1" applyBorder="1" applyAlignment="1">
      <alignment vertical="center"/>
    </xf>
    <xf numFmtId="0" fontId="1" fillId="13" borderId="0" xfId="0" applyFont="1" applyFill="1"/>
    <xf numFmtId="3" fontId="1" fillId="13" borderId="23" xfId="0" applyNumberFormat="1" applyFont="1" applyFill="1" applyBorder="1" applyAlignment="1">
      <alignment horizontal="right" vertical="center"/>
    </xf>
    <xf numFmtId="9" fontId="1" fillId="0" borderId="13" xfId="0" applyNumberFormat="1" applyFont="1" applyBorder="1" applyAlignment="1">
      <alignment vertical="center"/>
    </xf>
    <xf numFmtId="0" fontId="1" fillId="10" borderId="25" xfId="0" applyFont="1" applyFill="1" applyBorder="1" applyAlignment="1">
      <alignment vertical="center"/>
    </xf>
    <xf numFmtId="0" fontId="1" fillId="10" borderId="0" xfId="0" applyFont="1" applyFill="1" applyAlignment="1">
      <alignment vertical="center"/>
    </xf>
    <xf numFmtId="1" fontId="1" fillId="9" borderId="17" xfId="0" applyNumberFormat="1" applyFont="1" applyFill="1" applyBorder="1" applyAlignment="1">
      <alignment vertical="center"/>
    </xf>
    <xf numFmtId="3" fontId="1" fillId="10" borderId="29" xfId="0" applyNumberFormat="1" applyFont="1" applyFill="1" applyBorder="1" applyAlignment="1">
      <alignment horizontal="right" vertical="center"/>
    </xf>
    <xf numFmtId="3" fontId="1" fillId="9" borderId="45" xfId="0" applyNumberFormat="1" applyFont="1" applyFill="1" applyBorder="1" applyAlignment="1">
      <alignment vertical="center"/>
    </xf>
    <xf numFmtId="0" fontId="1" fillId="0" borderId="23" xfId="0" applyFont="1" applyBorder="1" applyAlignment="1">
      <alignment vertical="center"/>
    </xf>
    <xf numFmtId="3" fontId="15" fillId="0" borderId="48" xfId="0" applyNumberFormat="1" applyFont="1" applyBorder="1" applyAlignment="1">
      <alignment horizontal="right" vertical="center"/>
    </xf>
    <xf numFmtId="3" fontId="1" fillId="17" borderId="75" xfId="0" applyNumberFormat="1" applyFont="1" applyFill="1" applyBorder="1" applyAlignment="1">
      <alignment horizontal="right" vertical="center"/>
    </xf>
    <xf numFmtId="165" fontId="1" fillId="9" borderId="9" xfId="0" applyNumberFormat="1" applyFont="1" applyFill="1" applyBorder="1" applyAlignment="1">
      <alignment vertical="center"/>
    </xf>
    <xf numFmtId="3" fontId="1" fillId="17" borderId="25" xfId="0" applyNumberFormat="1" applyFont="1" applyFill="1" applyBorder="1" applyAlignment="1">
      <alignment horizontal="right" vertical="center"/>
    </xf>
    <xf numFmtId="3" fontId="1" fillId="10" borderId="27" xfId="0" applyNumberFormat="1" applyFont="1" applyFill="1" applyBorder="1" applyAlignment="1">
      <alignment vertical="center"/>
    </xf>
    <xf numFmtId="165" fontId="1" fillId="10" borderId="20" xfId="0" applyNumberFormat="1" applyFont="1" applyFill="1" applyBorder="1" applyAlignment="1">
      <alignment vertical="center"/>
    </xf>
    <xf numFmtId="3" fontId="1" fillId="9" borderId="24" xfId="0" applyNumberFormat="1" applyFont="1" applyFill="1" applyBorder="1" applyAlignment="1">
      <alignment vertical="center"/>
    </xf>
    <xf numFmtId="0" fontId="15" fillId="0" borderId="60" xfId="0" applyFont="1" applyBorder="1" applyAlignment="1">
      <alignment vertical="center"/>
    </xf>
    <xf numFmtId="3" fontId="1" fillId="9" borderId="19" xfId="0" applyNumberFormat="1" applyFont="1" applyFill="1" applyBorder="1" applyAlignment="1">
      <alignment horizontal="right" vertical="center"/>
    </xf>
    <xf numFmtId="3" fontId="1" fillId="10" borderId="33" xfId="0" applyNumberFormat="1" applyFont="1" applyFill="1" applyBorder="1" applyAlignment="1">
      <alignment horizontal="right" vertical="center"/>
    </xf>
    <xf numFmtId="1" fontId="1" fillId="9" borderId="39" xfId="0" applyNumberFormat="1" applyFont="1" applyFill="1" applyBorder="1" applyAlignment="1">
      <alignment vertical="center"/>
    </xf>
    <xf numFmtId="0" fontId="21" fillId="0" borderId="0" xfId="0" applyFont="1" applyAlignment="1">
      <alignment horizontal="right" vertical="center"/>
    </xf>
    <xf numFmtId="0" fontId="1" fillId="10" borderId="31" xfId="0" applyFont="1" applyFill="1" applyBorder="1" applyAlignment="1">
      <alignment vertical="center" wrapText="1"/>
    </xf>
    <xf numFmtId="3" fontId="1" fillId="10" borderId="24" xfId="0" applyNumberFormat="1" applyFont="1" applyFill="1" applyBorder="1" applyAlignment="1">
      <alignment vertical="center"/>
    </xf>
    <xf numFmtId="9" fontId="15" fillId="9" borderId="34" xfId="0" applyNumberFormat="1" applyFont="1" applyFill="1" applyBorder="1" applyAlignment="1">
      <alignment horizontal="right" vertical="center"/>
    </xf>
    <xf numFmtId="3" fontId="1" fillId="10" borderId="45" xfId="0" applyNumberFormat="1" applyFont="1" applyFill="1" applyBorder="1" applyAlignment="1">
      <alignment vertical="center"/>
    </xf>
    <xf numFmtId="0" fontId="20" fillId="14" borderId="25" xfId="0" applyFont="1" applyFill="1" applyBorder="1" applyAlignment="1">
      <alignment vertical="center"/>
    </xf>
    <xf numFmtId="3" fontId="1" fillId="9" borderId="64" xfId="0" applyNumberFormat="1" applyFont="1" applyFill="1" applyBorder="1" applyAlignment="1">
      <alignment vertical="center"/>
    </xf>
    <xf numFmtId="3" fontId="1" fillId="9" borderId="54" xfId="0" applyNumberFormat="1" applyFont="1" applyFill="1" applyBorder="1" applyAlignment="1">
      <alignment horizontal="right" vertical="center"/>
    </xf>
    <xf numFmtId="9" fontId="1" fillId="9" borderId="39" xfId="0" applyNumberFormat="1" applyFont="1" applyFill="1" applyBorder="1" applyAlignment="1">
      <alignment vertical="center"/>
    </xf>
    <xf numFmtId="3" fontId="1" fillId="19" borderId="58" xfId="0" applyNumberFormat="1" applyFont="1" applyFill="1" applyBorder="1" applyAlignment="1">
      <alignment vertical="center"/>
    </xf>
    <xf numFmtId="9" fontId="15" fillId="9" borderId="19" xfId="0" applyNumberFormat="1" applyFont="1" applyFill="1" applyBorder="1" applyAlignment="1">
      <alignment horizontal="right" vertical="center"/>
    </xf>
    <xf numFmtId="0" fontId="17" fillId="10" borderId="9" xfId="0" applyFont="1" applyFill="1" applyBorder="1" applyAlignment="1">
      <alignment vertical="center"/>
    </xf>
    <xf numFmtId="9" fontId="15" fillId="0" borderId="56" xfId="0" applyNumberFormat="1" applyFont="1" applyBorder="1" applyAlignment="1">
      <alignment horizontal="right" vertical="center"/>
    </xf>
    <xf numFmtId="0" fontId="1" fillId="10" borderId="81" xfId="0" applyFont="1" applyFill="1" applyBorder="1" applyAlignment="1">
      <alignment vertical="center"/>
    </xf>
    <xf numFmtId="0" fontId="1" fillId="10" borderId="64" xfId="0" applyFont="1" applyFill="1" applyBorder="1" applyAlignment="1">
      <alignment horizontal="right" vertical="center"/>
    </xf>
    <xf numFmtId="3" fontId="1" fillId="9" borderId="82" xfId="0" applyNumberFormat="1" applyFont="1" applyFill="1" applyBorder="1" applyAlignment="1">
      <alignment vertical="center"/>
    </xf>
    <xf numFmtId="9" fontId="15" fillId="0" borderId="83" xfId="0" applyNumberFormat="1" applyFont="1" applyBorder="1" applyAlignment="1">
      <alignment horizontal="right" vertical="center"/>
    </xf>
    <xf numFmtId="0" fontId="15" fillId="0" borderId="32" xfId="0" applyFont="1" applyBorder="1" applyAlignment="1">
      <alignment vertical="center"/>
    </xf>
    <xf numFmtId="3" fontId="15" fillId="9" borderId="36" xfId="0" applyNumberFormat="1" applyFont="1" applyFill="1" applyBorder="1" applyAlignment="1">
      <alignment horizontal="right" vertical="center"/>
    </xf>
    <xf numFmtId="9" fontId="1" fillId="9" borderId="23" xfId="0" applyNumberFormat="1" applyFont="1" applyFill="1" applyBorder="1" applyAlignment="1">
      <alignment vertical="center"/>
    </xf>
    <xf numFmtId="3" fontId="1" fillId="9" borderId="49" xfId="0" applyNumberFormat="1" applyFont="1" applyFill="1" applyBorder="1" applyAlignment="1">
      <alignment horizontal="right" vertical="center"/>
    </xf>
    <xf numFmtId="3" fontId="15" fillId="0" borderId="34" xfId="0" applyNumberFormat="1" applyFont="1" applyBorder="1" applyAlignment="1">
      <alignment horizontal="right" vertical="center"/>
    </xf>
    <xf numFmtId="3" fontId="1" fillId="9" borderId="30" xfId="0" applyNumberFormat="1" applyFont="1" applyFill="1" applyBorder="1" applyAlignment="1">
      <alignment horizontal="right" vertical="center"/>
    </xf>
    <xf numFmtId="0" fontId="1" fillId="10" borderId="84" xfId="0" applyFont="1" applyFill="1" applyBorder="1" applyAlignment="1">
      <alignment horizontal="right" vertical="center"/>
    </xf>
    <xf numFmtId="165" fontId="1" fillId="10" borderId="18" xfId="0" applyNumberFormat="1" applyFont="1" applyFill="1" applyBorder="1" applyAlignment="1">
      <alignment horizontal="right" vertical="center"/>
    </xf>
    <xf numFmtId="9" fontId="1" fillId="10" borderId="53" xfId="0" applyNumberFormat="1" applyFont="1" applyFill="1" applyBorder="1" applyAlignment="1">
      <alignment vertical="center"/>
    </xf>
    <xf numFmtId="9" fontId="1" fillId="9" borderId="45" xfId="0" applyNumberFormat="1" applyFont="1" applyFill="1" applyBorder="1" applyAlignment="1">
      <alignment vertical="center"/>
    </xf>
    <xf numFmtId="9" fontId="1" fillId="9" borderId="27" xfId="0" applyNumberFormat="1" applyFont="1" applyFill="1" applyBorder="1" applyAlignment="1">
      <alignment horizontal="right" vertical="center"/>
    </xf>
    <xf numFmtId="0" fontId="1" fillId="9" borderId="30" xfId="0" applyFont="1" applyFill="1" applyBorder="1" applyAlignment="1">
      <alignment vertical="center"/>
    </xf>
    <xf numFmtId="9" fontId="1" fillId="10" borderId="11" xfId="0" applyNumberFormat="1" applyFont="1" applyFill="1" applyBorder="1" applyAlignment="1">
      <alignment vertical="center"/>
    </xf>
    <xf numFmtId="4" fontId="1" fillId="9" borderId="13" xfId="0" applyNumberFormat="1" applyFont="1" applyFill="1" applyBorder="1" applyAlignment="1">
      <alignment horizontal="right" vertical="center"/>
    </xf>
    <xf numFmtId="3" fontId="1" fillId="10" borderId="15" xfId="0" applyNumberFormat="1" applyFont="1" applyFill="1" applyBorder="1" applyAlignment="1">
      <alignment horizontal="right" vertical="center"/>
    </xf>
    <xf numFmtId="3" fontId="15" fillId="0" borderId="38" xfId="0" applyNumberFormat="1" applyFont="1" applyBorder="1" applyAlignment="1">
      <alignment horizontal="right" vertical="center"/>
    </xf>
    <xf numFmtId="3" fontId="1" fillId="10" borderId="18" xfId="0" applyNumberFormat="1" applyFont="1" applyFill="1" applyBorder="1" applyAlignment="1">
      <alignment vertical="center"/>
    </xf>
    <xf numFmtId="9" fontId="15" fillId="0" borderId="73" xfId="0" applyNumberFormat="1" applyFont="1" applyBorder="1" applyAlignment="1">
      <alignment horizontal="right" vertical="center"/>
    </xf>
    <xf numFmtId="3" fontId="1" fillId="9" borderId="13" xfId="0" applyNumberFormat="1" applyFont="1" applyFill="1" applyBorder="1" applyAlignment="1">
      <alignment horizontal="right" vertical="center"/>
    </xf>
    <xf numFmtId="9" fontId="15" fillId="0" borderId="85" xfId="0" applyNumberFormat="1" applyFont="1" applyBorder="1" applyAlignment="1">
      <alignment horizontal="right" vertical="center"/>
    </xf>
    <xf numFmtId="3" fontId="1" fillId="0" borderId="0" xfId="0" applyNumberFormat="1" applyFont="1"/>
    <xf numFmtId="3" fontId="15" fillId="9" borderId="22" xfId="0" applyNumberFormat="1" applyFont="1" applyFill="1" applyBorder="1" applyAlignment="1">
      <alignment vertical="center"/>
    </xf>
    <xf numFmtId="1" fontId="1" fillId="10" borderId="20" xfId="0" applyNumberFormat="1" applyFont="1" applyFill="1" applyBorder="1" applyAlignment="1">
      <alignment vertical="center"/>
    </xf>
    <xf numFmtId="0" fontId="15" fillId="9" borderId="37" xfId="0" applyFont="1" applyFill="1" applyBorder="1" applyAlignment="1">
      <alignment vertical="center"/>
    </xf>
    <xf numFmtId="0" fontId="1" fillId="10" borderId="18" xfId="0" applyFont="1" applyFill="1" applyBorder="1" applyAlignment="1">
      <alignment vertical="center"/>
    </xf>
    <xf numFmtId="165" fontId="1" fillId="9" borderId="6" xfId="0" applyNumberFormat="1" applyFont="1" applyFill="1" applyBorder="1" applyAlignment="1">
      <alignment vertical="center"/>
    </xf>
    <xf numFmtId="3" fontId="1" fillId="10" borderId="6" xfId="0" applyNumberFormat="1" applyFont="1" applyFill="1" applyBorder="1" applyAlignment="1">
      <alignment vertical="center"/>
    </xf>
    <xf numFmtId="0" fontId="1" fillId="10" borderId="58" xfId="0" applyFont="1" applyFill="1" applyBorder="1" applyAlignment="1">
      <alignment horizontal="right" vertical="center"/>
    </xf>
    <xf numFmtId="3" fontId="1" fillId="9" borderId="29" xfId="0" applyNumberFormat="1" applyFont="1" applyFill="1" applyBorder="1" applyAlignment="1">
      <alignment vertical="center"/>
    </xf>
    <xf numFmtId="0" fontId="15" fillId="9" borderId="86" xfId="0" applyFont="1" applyFill="1" applyBorder="1" applyAlignment="1">
      <alignment horizontal="right" vertical="center" wrapText="1"/>
    </xf>
    <xf numFmtId="164" fontId="15" fillId="10" borderId="86" xfId="0" applyNumberFormat="1" applyFont="1" applyFill="1" applyBorder="1" applyAlignment="1">
      <alignment horizontal="right" vertical="center" wrapText="1"/>
    </xf>
    <xf numFmtId="166" fontId="15" fillId="20" borderId="86" xfId="0" applyNumberFormat="1" applyFont="1" applyFill="1" applyBorder="1" applyAlignment="1">
      <alignment horizontal="right" vertical="center" wrapText="1"/>
    </xf>
    <xf numFmtId="166" fontId="15" fillId="21" borderId="86" xfId="0" applyNumberFormat="1" applyFont="1" applyFill="1" applyBorder="1" applyAlignment="1">
      <alignment horizontal="right" vertical="center" wrapText="1"/>
    </xf>
    <xf numFmtId="165" fontId="15" fillId="20" borderId="86" xfId="0" applyNumberFormat="1" applyFont="1" applyFill="1" applyBorder="1" applyAlignment="1">
      <alignment horizontal="right" vertical="center" wrapText="1"/>
    </xf>
    <xf numFmtId="3" fontId="16" fillId="0" borderId="0" xfId="0" applyNumberFormat="1" applyFont="1" applyAlignment="1">
      <alignment horizontal="right" vertical="center"/>
    </xf>
    <xf numFmtId="165" fontId="15" fillId="21" borderId="86" xfId="0" applyNumberFormat="1" applyFont="1" applyFill="1" applyBorder="1" applyAlignment="1">
      <alignment horizontal="right" vertical="center" wrapText="1"/>
    </xf>
    <xf numFmtId="3" fontId="16" fillId="0" borderId="0" xfId="0" applyNumberFormat="1" applyFont="1" applyAlignment="1">
      <alignment horizontal="left" vertical="center"/>
    </xf>
    <xf numFmtId="3" fontId="15" fillId="10" borderId="86" xfId="0" applyNumberFormat="1" applyFont="1" applyFill="1" applyBorder="1" applyAlignment="1">
      <alignment horizontal="right" vertical="center" wrapText="1"/>
    </xf>
    <xf numFmtId="14" fontId="16" fillId="0" borderId="0" xfId="0" applyNumberFormat="1" applyFont="1" applyAlignment="1">
      <alignment horizontal="right" vertical="center"/>
    </xf>
    <xf numFmtId="0" fontId="26" fillId="22" borderId="87" xfId="0" applyFont="1" applyFill="1" applyBorder="1" applyAlignment="1">
      <alignment vertical="center" wrapText="1"/>
    </xf>
    <xf numFmtId="0" fontId="26" fillId="22" borderId="88" xfId="0" applyFont="1" applyFill="1" applyBorder="1" applyAlignment="1">
      <alignment vertical="center" wrapText="1"/>
    </xf>
    <xf numFmtId="0" fontId="26" fillId="22" borderId="88" xfId="0" applyFont="1" applyFill="1" applyBorder="1" applyAlignment="1">
      <alignment horizontal="right" vertical="center" wrapText="1"/>
    </xf>
    <xf numFmtId="0" fontId="10" fillId="20" borderId="89" xfId="0" applyFont="1" applyFill="1" applyBorder="1" applyAlignment="1">
      <alignment vertical="center" wrapText="1"/>
    </xf>
    <xf numFmtId="0" fontId="10" fillId="20" borderId="86" xfId="0" applyFont="1" applyFill="1" applyBorder="1" applyAlignment="1">
      <alignment vertical="center" wrapText="1"/>
    </xf>
    <xf numFmtId="0" fontId="15" fillId="20" borderId="86" xfId="0" applyFont="1" applyFill="1" applyBorder="1" applyAlignment="1">
      <alignment horizontal="right" vertical="center" wrapText="1"/>
    </xf>
    <xf numFmtId="0" fontId="10" fillId="21" borderId="89" xfId="0" applyFont="1" applyFill="1" applyBorder="1" applyAlignment="1">
      <alignment vertical="center" wrapText="1"/>
    </xf>
    <xf numFmtId="0" fontId="10" fillId="21" borderId="86" xfId="0" applyFont="1" applyFill="1" applyBorder="1" applyAlignment="1">
      <alignment vertical="center" wrapText="1"/>
    </xf>
    <xf numFmtId="0" fontId="15" fillId="21" borderId="86" xfId="0" applyFont="1" applyFill="1" applyBorder="1" applyAlignment="1">
      <alignment horizontal="right" vertical="center" wrapText="1"/>
    </xf>
    <xf numFmtId="0" fontId="15" fillId="21" borderId="89" xfId="0" applyFont="1" applyFill="1" applyBorder="1" applyAlignment="1">
      <alignment vertical="center" wrapText="1"/>
    </xf>
    <xf numFmtId="0" fontId="15" fillId="20" borderId="89" xfId="0" applyFont="1" applyFill="1" applyBorder="1" applyAlignment="1">
      <alignment vertical="center" wrapText="1"/>
    </xf>
    <xf numFmtId="0" fontId="26" fillId="22" borderId="88" xfId="0" applyFont="1" applyFill="1" applyBorder="1" applyAlignment="1">
      <alignment horizontal="left" vertical="center" wrapText="1"/>
    </xf>
    <xf numFmtId="0" fontId="10" fillId="20" borderId="86" xfId="0" applyFont="1" applyFill="1" applyBorder="1" applyAlignment="1">
      <alignment horizontal="left" vertical="center" wrapText="1"/>
    </xf>
    <xf numFmtId="0" fontId="10" fillId="21" borderId="86" xfId="0" applyFont="1" applyFill="1" applyBorder="1" applyAlignment="1">
      <alignment horizontal="left" vertical="center" wrapText="1"/>
    </xf>
    <xf numFmtId="0" fontId="15" fillId="20" borderId="86" xfId="0" applyFont="1" applyFill="1" applyBorder="1" applyAlignment="1">
      <alignment horizontal="left" vertical="center" wrapText="1"/>
    </xf>
    <xf numFmtId="3" fontId="15" fillId="20" borderId="86" xfId="0" applyNumberFormat="1" applyFont="1" applyFill="1" applyBorder="1" applyAlignment="1">
      <alignment horizontal="right" vertical="center" wrapText="1"/>
    </xf>
    <xf numFmtId="0" fontId="15" fillId="21" borderId="86" xfId="0" applyFont="1" applyFill="1" applyBorder="1" applyAlignment="1">
      <alignment horizontal="left" vertical="center" wrapText="1"/>
    </xf>
    <xf numFmtId="3" fontId="15" fillId="21" borderId="86" xfId="0" applyNumberFormat="1" applyFont="1" applyFill="1" applyBorder="1" applyAlignment="1">
      <alignment horizontal="right" vertical="center" wrapText="1"/>
    </xf>
    <xf numFmtId="0" fontId="15" fillId="20" borderId="86" xfId="0" applyFont="1" applyFill="1" applyBorder="1" applyAlignment="1">
      <alignment vertical="center" wrapText="1"/>
    </xf>
    <xf numFmtId="0" fontId="15" fillId="21" borderId="86" xfId="0" applyFont="1" applyFill="1" applyBorder="1" applyAlignment="1">
      <alignment vertical="center" wrapText="1"/>
    </xf>
    <xf numFmtId="3" fontId="15" fillId="20" borderId="86" xfId="0" applyNumberFormat="1" applyFont="1" applyFill="1" applyBorder="1" applyAlignment="1">
      <alignment horizontal="left" vertical="center" wrapText="1"/>
    </xf>
    <xf numFmtId="164" fontId="15" fillId="21" borderId="86" xfId="0" applyNumberFormat="1" applyFont="1" applyFill="1" applyBorder="1" applyAlignment="1">
      <alignment horizontal="right" vertical="center" wrapText="1"/>
    </xf>
    <xf numFmtId="164" fontId="15" fillId="20" borderId="86" xfId="0" applyNumberFormat="1" applyFont="1" applyFill="1" applyBorder="1" applyAlignment="1">
      <alignment horizontal="right" vertical="center" wrapText="1"/>
    </xf>
    <xf numFmtId="9" fontId="15" fillId="20" borderId="86" xfId="0" applyNumberFormat="1" applyFont="1" applyFill="1" applyBorder="1" applyAlignment="1">
      <alignment horizontal="right" vertical="center" wrapText="1"/>
    </xf>
    <xf numFmtId="9" fontId="15" fillId="21" borderId="86" xfId="0" applyNumberFormat="1" applyFont="1" applyFill="1" applyBorder="1" applyAlignment="1">
      <alignment horizontal="right" vertical="center" wrapText="1"/>
    </xf>
    <xf numFmtId="164" fontId="15" fillId="9" borderId="86" xfId="0" applyNumberFormat="1" applyFont="1" applyFill="1" applyBorder="1" applyAlignment="1">
      <alignment horizontal="right" vertical="center" wrapText="1"/>
    </xf>
    <xf numFmtId="0" fontId="10" fillId="23" borderId="89" xfId="0" applyFont="1" applyFill="1" applyBorder="1" applyAlignment="1">
      <alignment vertical="center" wrapText="1"/>
    </xf>
    <xf numFmtId="0" fontId="10" fillId="23" borderId="86" xfId="0" applyFont="1" applyFill="1" applyBorder="1" applyAlignment="1">
      <alignment horizontal="right" vertical="center" wrapText="1"/>
    </xf>
    <xf numFmtId="0" fontId="15" fillId="0" borderId="89" xfId="0" applyFont="1" applyBorder="1" applyAlignment="1">
      <alignment vertical="center" wrapText="1"/>
    </xf>
    <xf numFmtId="0" fontId="15" fillId="0" borderId="86" xfId="0" applyFont="1" applyBorder="1" applyAlignment="1">
      <alignment horizontal="right" vertical="center" wrapText="1"/>
    </xf>
    <xf numFmtId="0" fontId="12" fillId="0" borderId="0" xfId="0" applyFont="1"/>
    <xf numFmtId="0" fontId="26" fillId="24" borderId="90" xfId="0" applyFont="1" applyFill="1" applyBorder="1" applyAlignment="1">
      <alignment vertical="center"/>
    </xf>
    <xf numFmtId="0" fontId="26" fillId="24" borderId="91" xfId="0" applyFont="1" applyFill="1" applyBorder="1" applyAlignment="1">
      <alignment horizontal="right" vertical="center"/>
    </xf>
    <xf numFmtId="0" fontId="10" fillId="20" borderId="92" xfId="0" applyFont="1" applyFill="1" applyBorder="1" applyAlignment="1">
      <alignment vertical="center"/>
    </xf>
    <xf numFmtId="0" fontId="10" fillId="25" borderId="93" xfId="0" applyFont="1" applyFill="1" applyBorder="1" applyAlignment="1">
      <alignment horizontal="right" vertical="center"/>
    </xf>
    <xf numFmtId="3" fontId="10" fillId="20" borderId="93" xfId="0" applyNumberFormat="1" applyFont="1" applyFill="1" applyBorder="1" applyAlignment="1">
      <alignment horizontal="right" vertical="center"/>
    </xf>
    <xf numFmtId="0" fontId="10" fillId="20" borderId="93" xfId="0" applyFont="1" applyFill="1" applyBorder="1" applyAlignment="1">
      <alignment horizontal="right" vertical="center"/>
    </xf>
    <xf numFmtId="0" fontId="10" fillId="0" borderId="92" xfId="0" applyFont="1" applyBorder="1" applyAlignment="1">
      <alignment vertical="center"/>
    </xf>
    <xf numFmtId="6" fontId="10" fillId="0" borderId="93" xfId="0" applyNumberFormat="1" applyFont="1" applyBorder="1" applyAlignment="1">
      <alignment horizontal="right" vertical="center"/>
    </xf>
    <xf numFmtId="0" fontId="10" fillId="0" borderId="93" xfId="0" applyFont="1" applyBorder="1" applyAlignment="1">
      <alignment horizontal="right" vertical="center"/>
    </xf>
    <xf numFmtId="6" fontId="10" fillId="20" borderId="93" xfId="0" applyNumberFormat="1" applyFont="1" applyFill="1" applyBorder="1" applyAlignment="1">
      <alignment horizontal="right" vertical="center"/>
    </xf>
    <xf numFmtId="9" fontId="10" fillId="23" borderId="86" xfId="0" applyNumberFormat="1" applyFont="1" applyFill="1" applyBorder="1" applyAlignment="1">
      <alignment horizontal="right" vertical="center" wrapText="1"/>
    </xf>
    <xf numFmtId="9" fontId="15" fillId="0" borderId="86" xfId="0" applyNumberFormat="1" applyFont="1" applyBorder="1" applyAlignment="1">
      <alignment horizontal="right" vertical="center" wrapText="1"/>
    </xf>
    <xf numFmtId="3" fontId="10" fillId="23" borderId="86" xfId="0" applyNumberFormat="1" applyFont="1" applyFill="1" applyBorder="1" applyAlignment="1">
      <alignment horizontal="right" vertical="center" wrapText="1"/>
    </xf>
    <xf numFmtId="3" fontId="15" fillId="0" borderId="86" xfId="0" applyNumberFormat="1" applyFont="1" applyBorder="1" applyAlignment="1">
      <alignment horizontal="right" vertical="center" wrapText="1"/>
    </xf>
    <xf numFmtId="0" fontId="27" fillId="0" borderId="0" xfId="0" applyFont="1" applyAlignment="1">
      <alignment vertical="center"/>
    </xf>
    <xf numFmtId="164" fontId="10" fillId="23" borderId="86" xfId="0" applyNumberFormat="1" applyFont="1" applyFill="1" applyBorder="1" applyAlignment="1">
      <alignment horizontal="right" vertical="center" wrapText="1"/>
    </xf>
    <xf numFmtId="164" fontId="15" fillId="0" borderId="86" xfId="0" applyNumberFormat="1" applyFont="1" applyBorder="1" applyAlignment="1">
      <alignment horizontal="right" vertical="center" wrapText="1"/>
    </xf>
    <xf numFmtId="3" fontId="10" fillId="0" borderId="93" xfId="0" applyNumberFormat="1" applyFont="1" applyBorder="1" applyAlignment="1">
      <alignment horizontal="right" vertical="center"/>
    </xf>
    <xf numFmtId="0" fontId="16" fillId="0" borderId="0" xfId="0" applyFont="1" applyAlignment="1">
      <alignment horizontal="right" vertical="center"/>
    </xf>
    <xf numFmtId="0" fontId="16" fillId="0" borderId="0" xfId="0" applyFont="1" applyAlignment="1">
      <alignment horizontal="left"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24" xfId="0" applyFont="1" applyBorder="1" applyAlignment="1">
      <alignment horizontal="center" vertical="center"/>
    </xf>
    <xf numFmtId="9" fontId="1" fillId="0" borderId="24" xfId="0" applyNumberFormat="1" applyFont="1" applyBorder="1" applyAlignment="1">
      <alignment horizontal="right" vertical="center"/>
    </xf>
    <xf numFmtId="9" fontId="1" fillId="0" borderId="13" xfId="0" applyNumberFormat="1" applyFont="1" applyBorder="1" applyAlignment="1">
      <alignment horizontal="right" vertical="center"/>
    </xf>
    <xf numFmtId="0" fontId="1" fillId="0" borderId="19" xfId="0" applyFont="1" applyBorder="1" applyAlignment="1">
      <alignment vertical="center"/>
    </xf>
    <xf numFmtId="0" fontId="12" fillId="0" borderId="19" xfId="0" applyFont="1" applyBorder="1" applyAlignment="1">
      <alignment vertical="center"/>
    </xf>
    <xf numFmtId="9" fontId="1" fillId="0" borderId="29" xfId="0" applyNumberFormat="1" applyFont="1" applyBorder="1" applyAlignment="1">
      <alignment vertical="center"/>
    </xf>
    <xf numFmtId="9" fontId="1" fillId="0" borderId="33" xfId="0" applyNumberFormat="1" applyFont="1" applyBorder="1" applyAlignment="1">
      <alignment vertical="center"/>
    </xf>
    <xf numFmtId="0" fontId="1" fillId="0" borderId="19" xfId="0" applyFont="1" applyBorder="1"/>
    <xf numFmtId="3" fontId="1" fillId="0" borderId="25" xfId="0" applyNumberFormat="1" applyFont="1" applyBorder="1" applyAlignment="1">
      <alignment vertical="center"/>
    </xf>
    <xf numFmtId="3" fontId="1" fillId="0" borderId="49" xfId="0" applyNumberFormat="1" applyFont="1" applyBorder="1" applyAlignment="1">
      <alignment vertical="center"/>
    </xf>
    <xf numFmtId="3" fontId="1" fillId="0" borderId="31" xfId="0" applyNumberFormat="1" applyFont="1" applyBorder="1" applyAlignment="1">
      <alignment vertical="center"/>
    </xf>
    <xf numFmtId="3" fontId="1" fillId="0" borderId="19" xfId="0" applyNumberFormat="1" applyFont="1" applyBorder="1" applyAlignment="1">
      <alignment vertical="center"/>
    </xf>
    <xf numFmtId="0" fontId="1" fillId="0" borderId="12" xfId="0" applyFont="1" applyBorder="1"/>
    <xf numFmtId="0" fontId="1" fillId="0" borderId="30" xfId="0" applyFont="1" applyBorder="1"/>
    <xf numFmtId="0" fontId="1" fillId="0" borderId="15" xfId="0" applyFont="1" applyBorder="1"/>
    <xf numFmtId="0" fontId="1" fillId="0" borderId="25" xfId="0" applyFont="1" applyBorder="1" applyAlignment="1">
      <alignment horizontal="left" vertical="center"/>
    </xf>
    <xf numFmtId="0" fontId="1" fillId="0" borderId="49" xfId="0" applyFont="1" applyBorder="1" applyAlignment="1">
      <alignment horizontal="left" vertical="center"/>
    </xf>
    <xf numFmtId="0" fontId="1" fillId="0" borderId="31" xfId="0" applyFont="1" applyBorder="1" applyAlignment="1">
      <alignment horizontal="left" vertical="center"/>
    </xf>
    <xf numFmtId="0" fontId="1" fillId="0" borderId="18" xfId="0" applyFont="1" applyBorder="1" applyAlignment="1">
      <alignment vertical="center"/>
    </xf>
    <xf numFmtId="0" fontId="1" fillId="0" borderId="15" xfId="0" applyFont="1" applyBorder="1" applyAlignment="1">
      <alignment vertical="center"/>
    </xf>
    <xf numFmtId="0" fontId="1" fillId="0" borderId="19" xfId="0" applyFont="1" applyBorder="1" applyAlignment="1">
      <alignment horizontal="left" vertical="center"/>
    </xf>
    <xf numFmtId="0" fontId="1" fillId="0" borderId="19" xfId="0" applyFont="1" applyBorder="1" applyAlignment="1">
      <alignment horizontal="center" vertical="center"/>
    </xf>
    <xf numFmtId="9" fontId="1" fillId="0" borderId="30" xfId="0" applyNumberFormat="1" applyFont="1" applyBorder="1" applyAlignment="1">
      <alignment horizontal="right" vertical="center"/>
    </xf>
    <xf numFmtId="9" fontId="1" fillId="0" borderId="23" xfId="0" applyNumberFormat="1" applyFont="1" applyBorder="1" applyAlignment="1">
      <alignment horizontal="right" vertical="center"/>
    </xf>
    <xf numFmtId="9" fontId="1" fillId="0" borderId="15" xfId="0" applyNumberFormat="1" applyFont="1" applyBorder="1" applyAlignment="1">
      <alignment horizontal="right" vertical="center"/>
    </xf>
    <xf numFmtId="165" fontId="1" fillId="0" borderId="23" xfId="0" applyNumberFormat="1" applyFont="1" applyBorder="1" applyAlignment="1">
      <alignment vertical="center"/>
    </xf>
    <xf numFmtId="3" fontId="1" fillId="0" borderId="24" xfId="0" applyNumberFormat="1" applyFont="1" applyBorder="1" applyAlignment="1">
      <alignment horizontal="right" vertical="center"/>
    </xf>
    <xf numFmtId="0" fontId="1" fillId="0" borderId="0" xfId="0" applyFont="1"/>
    <xf numFmtId="0" fontId="1" fillId="0" borderId="55" xfId="0" applyFont="1" applyBorder="1"/>
    <xf numFmtId="9" fontId="1" fillId="0" borderId="55" xfId="0" applyNumberFormat="1" applyFont="1" applyBorder="1" applyAlignment="1">
      <alignment vertical="center"/>
    </xf>
    <xf numFmtId="9" fontId="1" fillId="0" borderId="30" xfId="0" applyNumberFormat="1" applyFont="1" applyBorder="1" applyAlignment="1">
      <alignment vertical="center"/>
    </xf>
    <xf numFmtId="0" fontId="1" fillId="0" borderId="12" xfId="0" applyFont="1" applyBorder="1" applyAlignment="1">
      <alignment horizontal="left" vertical="center"/>
    </xf>
    <xf numFmtId="0" fontId="1" fillId="0" borderId="28" xfId="0" applyFont="1" applyBorder="1" applyAlignment="1">
      <alignment horizontal="left" vertical="center"/>
    </xf>
    <xf numFmtId="0" fontId="1" fillId="0" borderId="33" xfId="0" applyFont="1" applyBorder="1" applyAlignment="1">
      <alignment horizontal="left" vertical="center"/>
    </xf>
    <xf numFmtId="9" fontId="1" fillId="0" borderId="18" xfId="0" applyNumberFormat="1" applyFont="1" applyBorder="1" applyAlignment="1">
      <alignment vertical="center"/>
    </xf>
    <xf numFmtId="9" fontId="1" fillId="0" borderId="15" xfId="0" applyNumberFormat="1" applyFont="1" applyBorder="1" applyAlignment="1">
      <alignment vertical="center"/>
    </xf>
    <xf numFmtId="0" fontId="1" fillId="17" borderId="30" xfId="0" applyFont="1" applyFill="1" applyBorder="1"/>
    <xf numFmtId="0" fontId="20" fillId="14" borderId="19" xfId="0" applyFont="1" applyFill="1" applyBorder="1" applyAlignment="1">
      <alignment horizontal="right" vertical="center"/>
    </xf>
    <xf numFmtId="0" fontId="28" fillId="9" borderId="10" xfId="0" applyFont="1" applyFill="1" applyBorder="1" applyAlignment="1">
      <alignment vertical="center"/>
    </xf>
    <xf numFmtId="3" fontId="28" fillId="9" borderId="42" xfId="0" applyNumberFormat="1" applyFont="1" applyFill="1" applyBorder="1" applyAlignment="1">
      <alignment vertical="center"/>
    </xf>
    <xf numFmtId="9" fontId="28" fillId="9" borderId="48" xfId="0" applyNumberFormat="1" applyFont="1" applyFill="1" applyBorder="1" applyAlignment="1">
      <alignment vertical="center"/>
    </xf>
    <xf numFmtId="0" fontId="28" fillId="10" borderId="46" xfId="0" applyFont="1" applyFill="1" applyBorder="1" applyAlignment="1">
      <alignment vertical="center"/>
    </xf>
    <xf numFmtId="0" fontId="28" fillId="9" borderId="38" xfId="0" applyFont="1" applyFill="1" applyBorder="1" applyAlignment="1">
      <alignment vertical="center"/>
    </xf>
    <xf numFmtId="9" fontId="28" fillId="9" borderId="61" xfId="0" applyNumberFormat="1" applyFont="1" applyFill="1" applyBorder="1" applyAlignment="1">
      <alignment vertical="center"/>
    </xf>
    <xf numFmtId="0" fontId="28" fillId="10" borderId="38" xfId="0" applyFont="1" applyFill="1" applyBorder="1" applyAlignment="1">
      <alignment vertical="center" wrapText="1"/>
    </xf>
    <xf numFmtId="9" fontId="28" fillId="10" borderId="38" xfId="0" applyNumberFormat="1" applyFont="1" applyFill="1" applyBorder="1" applyAlignment="1">
      <alignment horizontal="right" vertical="center"/>
    </xf>
    <xf numFmtId="9" fontId="28" fillId="10" borderId="22" xfId="0" applyNumberFormat="1" applyFont="1" applyFill="1" applyBorder="1" applyAlignment="1">
      <alignment horizontal="right" vertical="center"/>
    </xf>
    <xf numFmtId="9" fontId="28" fillId="10" borderId="56" xfId="0" applyNumberFormat="1" applyFont="1" applyFill="1" applyBorder="1" applyAlignment="1">
      <alignment horizontal="right" vertical="center"/>
    </xf>
    <xf numFmtId="9" fontId="28" fillId="10" borderId="61" xfId="0" applyNumberFormat="1" applyFont="1" applyFill="1" applyBorder="1" applyAlignment="1">
      <alignment horizontal="right" vertical="center"/>
    </xf>
    <xf numFmtId="0" fontId="15" fillId="17" borderId="12" xfId="0" applyFont="1" applyFill="1" applyBorder="1" applyAlignment="1">
      <alignment vertical="center"/>
    </xf>
    <xf numFmtId="0" fontId="15" fillId="17" borderId="24" xfId="0" applyFont="1" applyFill="1" applyBorder="1" applyAlignment="1">
      <alignment vertical="center"/>
    </xf>
    <xf numFmtId="0" fontId="15" fillId="17" borderId="13" xfId="0" applyFont="1" applyFill="1" applyBorder="1" applyAlignment="1">
      <alignment vertical="center"/>
    </xf>
    <xf numFmtId="0" fontId="28" fillId="0" borderId="32" xfId="0" applyFont="1" applyBorder="1" applyAlignment="1">
      <alignment vertical="center"/>
    </xf>
    <xf numFmtId="0" fontId="28" fillId="0" borderId="51" xfId="0" applyFont="1" applyBorder="1" applyAlignment="1">
      <alignment vertical="center"/>
    </xf>
    <xf numFmtId="0" fontId="28" fillId="9" borderId="51" xfId="0" applyFont="1" applyFill="1" applyBorder="1" applyAlignment="1">
      <alignment vertical="center"/>
    </xf>
    <xf numFmtId="0" fontId="28" fillId="9" borderId="60" xfId="0" applyFont="1" applyFill="1" applyBorder="1" applyAlignment="1">
      <alignment vertical="center"/>
    </xf>
    <xf numFmtId="0" fontId="28" fillId="9" borderId="32" xfId="0" applyFont="1" applyFill="1" applyBorder="1" applyAlignment="1">
      <alignment vertical="center"/>
    </xf>
    <xf numFmtId="165" fontId="28" fillId="9" borderId="42" xfId="0" applyNumberFormat="1" applyFont="1" applyFill="1" applyBorder="1" applyAlignment="1">
      <alignment horizontal="right" vertical="center"/>
    </xf>
    <xf numFmtId="165" fontId="28" fillId="9" borderId="62" xfId="0" applyNumberFormat="1" applyFont="1" applyFill="1" applyBorder="1" applyAlignment="1">
      <alignment horizontal="right" vertical="center"/>
    </xf>
    <xf numFmtId="165" fontId="28" fillId="9" borderId="48" xfId="0" applyNumberFormat="1" applyFont="1" applyFill="1" applyBorder="1" applyAlignment="1">
      <alignment horizontal="right" vertical="center"/>
    </xf>
    <xf numFmtId="165" fontId="28" fillId="0" borderId="47" xfId="0" applyNumberFormat="1" applyFont="1" applyBorder="1" applyAlignment="1">
      <alignment horizontal="right" vertical="center"/>
    </xf>
    <xf numFmtId="165" fontId="28" fillId="0" borderId="34" xfId="0" applyNumberFormat="1" applyFont="1" applyBorder="1" applyAlignment="1">
      <alignment horizontal="right" vertical="center"/>
    </xf>
    <xf numFmtId="165" fontId="28" fillId="0" borderId="36" xfId="0" applyNumberFormat="1" applyFont="1" applyBorder="1" applyAlignment="1">
      <alignment horizontal="right" vertical="center"/>
    </xf>
    <xf numFmtId="165" fontId="28" fillId="9" borderId="47" xfId="0" applyNumberFormat="1" applyFont="1" applyFill="1" applyBorder="1" applyAlignment="1">
      <alignment horizontal="right" vertical="center"/>
    </xf>
    <xf numFmtId="165" fontId="28" fillId="9" borderId="34" xfId="0" applyNumberFormat="1" applyFont="1" applyFill="1" applyBorder="1" applyAlignment="1">
      <alignment horizontal="right" vertical="center"/>
    </xf>
    <xf numFmtId="165" fontId="28" fillId="9" borderId="36" xfId="0" applyNumberFormat="1" applyFont="1" applyFill="1" applyBorder="1" applyAlignment="1">
      <alignment horizontal="right" vertical="center"/>
    </xf>
    <xf numFmtId="165" fontId="28" fillId="0" borderId="22" xfId="0" applyNumberFormat="1" applyFont="1" applyBorder="1" applyAlignment="1">
      <alignment horizontal="right" vertical="center"/>
    </xf>
    <xf numFmtId="165" fontId="28" fillId="0" borderId="56" xfId="0" applyNumberFormat="1" applyFont="1" applyBorder="1" applyAlignment="1">
      <alignment horizontal="right" vertical="center"/>
    </xf>
    <xf numFmtId="165" fontId="28" fillId="0" borderId="61" xfId="0" applyNumberFormat="1" applyFont="1" applyBorder="1" applyAlignment="1">
      <alignment horizontal="right" vertical="center"/>
    </xf>
    <xf numFmtId="165" fontId="28" fillId="9" borderId="22" xfId="0" applyNumberFormat="1" applyFont="1" applyFill="1" applyBorder="1" applyAlignment="1">
      <alignment horizontal="right" vertical="center"/>
    </xf>
    <xf numFmtId="165" fontId="28" fillId="9" borderId="56" xfId="0" applyNumberFormat="1" applyFont="1" applyFill="1" applyBorder="1" applyAlignment="1">
      <alignment horizontal="right" vertical="center"/>
    </xf>
    <xf numFmtId="165" fontId="28" fillId="9" borderId="61" xfId="0" applyNumberFormat="1" applyFont="1" applyFill="1" applyBorder="1" applyAlignment="1">
      <alignment horizontal="right" vertical="center"/>
    </xf>
    <xf numFmtId="3" fontId="1" fillId="0" borderId="23" xfId="0" applyNumberFormat="1" applyFont="1" applyBorder="1" applyAlignment="1">
      <alignment vertical="center"/>
    </xf>
    <xf numFmtId="3" fontId="1" fillId="0" borderId="18" xfId="0" applyNumberFormat="1" applyFont="1" applyBorder="1" applyAlignment="1">
      <alignment vertical="center"/>
    </xf>
    <xf numFmtId="3" fontId="1" fillId="0" borderId="15" xfId="0" applyNumberFormat="1" applyFont="1" applyBorder="1" applyAlignment="1">
      <alignment vertical="center"/>
    </xf>
    <xf numFmtId="3" fontId="1" fillId="0" borderId="55" xfId="0" applyNumberFormat="1" applyFont="1" applyBorder="1" applyAlignment="1">
      <alignment vertical="center"/>
    </xf>
    <xf numFmtId="3" fontId="1" fillId="0" borderId="30" xfId="0" applyNumberFormat="1" applyFont="1" applyBorder="1" applyAlignment="1">
      <alignment vertical="center"/>
    </xf>
    <xf numFmtId="3" fontId="1" fillId="0" borderId="29" xfId="0" applyNumberFormat="1" applyFont="1" applyBorder="1" applyAlignment="1">
      <alignment vertical="center"/>
    </xf>
    <xf numFmtId="3" fontId="1" fillId="0" borderId="28" xfId="0" applyNumberFormat="1" applyFont="1" applyBorder="1" applyAlignment="1">
      <alignment vertical="center"/>
    </xf>
    <xf numFmtId="3" fontId="1" fillId="0" borderId="33" xfId="0" applyNumberFormat="1" applyFont="1" applyBorder="1" applyAlignment="1">
      <alignment vertical="center"/>
    </xf>
    <xf numFmtId="0" fontId="1" fillId="0" borderId="0" xfId="0" applyFont="1" applyAlignment="1">
      <alignment horizontal="right"/>
    </xf>
    <xf numFmtId="0" fontId="1" fillId="0" borderId="30" xfId="0" applyFont="1" applyBorder="1" applyAlignment="1">
      <alignment vertical="center"/>
    </xf>
    <xf numFmtId="0" fontId="1" fillId="0" borderId="13" xfId="0" applyFont="1" applyBorder="1" applyAlignment="1">
      <alignment vertical="center"/>
    </xf>
    <xf numFmtId="0" fontId="1" fillId="0" borderId="24" xfId="0" applyFont="1" applyBorder="1" applyAlignment="1">
      <alignment vertical="center"/>
    </xf>
    <xf numFmtId="3" fontId="1" fillId="0" borderId="12" xfId="0" applyNumberFormat="1" applyFont="1" applyBorder="1" applyAlignment="1">
      <alignment vertical="center"/>
    </xf>
    <xf numFmtId="3" fontId="1" fillId="0" borderId="24" xfId="0" applyNumberFormat="1" applyFont="1" applyBorder="1" applyAlignment="1">
      <alignment vertical="center"/>
    </xf>
    <xf numFmtId="3" fontId="1" fillId="0" borderId="13" xfId="0" applyNumberFormat="1" applyFont="1" applyBorder="1" applyAlignment="1">
      <alignment vertical="center"/>
    </xf>
    <xf numFmtId="0" fontId="1" fillId="0" borderId="55" xfId="0" applyFont="1" applyBorder="1" applyAlignment="1">
      <alignment vertical="center"/>
    </xf>
    <xf numFmtId="165" fontId="1" fillId="0" borderId="15" xfId="0" applyNumberFormat="1" applyFont="1" applyBorder="1" applyAlignment="1">
      <alignment vertical="center"/>
    </xf>
    <xf numFmtId="0" fontId="1" fillId="0" borderId="33" xfId="0" applyFont="1" applyBorder="1" applyAlignment="1">
      <alignment vertical="center"/>
    </xf>
    <xf numFmtId="0" fontId="1" fillId="0" borderId="29" xfId="0" applyFont="1" applyBorder="1" applyAlignment="1">
      <alignment vertical="center"/>
    </xf>
    <xf numFmtId="0" fontId="1" fillId="0" borderId="19" xfId="0" applyFont="1" applyBorder="1" applyAlignment="1">
      <alignment horizontal="right" vertical="center"/>
    </xf>
    <xf numFmtId="9" fontId="1" fillId="0" borderId="12" xfId="0" applyNumberFormat="1" applyFont="1" applyBorder="1" applyAlignment="1">
      <alignment horizontal="right" vertical="center"/>
    </xf>
    <xf numFmtId="9" fontId="1" fillId="0" borderId="19" xfId="0" applyNumberFormat="1" applyFont="1" applyBorder="1" applyAlignment="1">
      <alignment vertical="center"/>
    </xf>
    <xf numFmtId="3" fontId="1" fillId="17" borderId="55" xfId="0" applyNumberFormat="1" applyFont="1" applyFill="1" applyBorder="1" applyAlignment="1">
      <alignment vertical="center"/>
    </xf>
    <xf numFmtId="3" fontId="1" fillId="17" borderId="0" xfId="0" applyNumberFormat="1" applyFont="1" applyFill="1" applyAlignment="1">
      <alignment vertical="center"/>
    </xf>
    <xf numFmtId="3" fontId="1" fillId="17" borderId="18" xfId="0" applyNumberFormat="1" applyFont="1" applyFill="1" applyBorder="1" applyAlignment="1">
      <alignment vertical="center"/>
    </xf>
    <xf numFmtId="3" fontId="1" fillId="17" borderId="29" xfId="0" applyNumberFormat="1" applyFont="1" applyFill="1" applyBorder="1" applyAlignment="1">
      <alignment vertical="center"/>
    </xf>
    <xf numFmtId="3" fontId="1" fillId="17" borderId="28" xfId="0" applyNumberFormat="1" applyFont="1" applyFill="1" applyBorder="1" applyAlignment="1">
      <alignment vertical="center"/>
    </xf>
    <xf numFmtId="3" fontId="1" fillId="17" borderId="33" xfId="0" applyNumberFormat="1" applyFont="1" applyFill="1" applyBorder="1" applyAlignment="1">
      <alignment vertical="center"/>
    </xf>
    <xf numFmtId="0" fontId="1" fillId="17" borderId="29" xfId="0" applyFont="1" applyFill="1" applyBorder="1" applyAlignment="1">
      <alignment vertical="center"/>
    </xf>
    <xf numFmtId="0" fontId="1" fillId="17" borderId="55" xfId="0" applyFont="1" applyFill="1" applyBorder="1" applyAlignment="1">
      <alignment vertical="center"/>
    </xf>
    <xf numFmtId="0" fontId="1" fillId="17" borderId="28" xfId="0" applyFont="1" applyFill="1" applyBorder="1" applyAlignment="1">
      <alignment vertical="center"/>
    </xf>
    <xf numFmtId="0" fontId="1" fillId="17" borderId="0" xfId="0" applyFont="1" applyFill="1" applyAlignment="1">
      <alignment vertical="center"/>
    </xf>
    <xf numFmtId="0" fontId="1" fillId="17" borderId="33" xfId="0" applyFont="1" applyFill="1" applyBorder="1" applyAlignment="1">
      <alignment vertical="center"/>
    </xf>
    <xf numFmtId="0" fontId="1" fillId="17" borderId="18" xfId="0" applyFont="1" applyFill="1" applyBorder="1" applyAlignment="1">
      <alignment vertical="center"/>
    </xf>
    <xf numFmtId="3" fontId="1" fillId="17" borderId="24" xfId="0" applyNumberFormat="1" applyFont="1" applyFill="1" applyBorder="1" applyAlignment="1">
      <alignment vertical="center"/>
    </xf>
    <xf numFmtId="3" fontId="1" fillId="17" borderId="13" xfId="0" applyNumberFormat="1" applyFont="1" applyFill="1" applyBorder="1" applyAlignment="1">
      <alignment vertical="center"/>
    </xf>
    <xf numFmtId="9" fontId="1" fillId="0" borderId="29" xfId="0" applyNumberFormat="1" applyFont="1" applyBorder="1" applyAlignment="1">
      <alignment horizontal="right" vertical="center"/>
    </xf>
    <xf numFmtId="9" fontId="1" fillId="0" borderId="55" xfId="0" applyNumberFormat="1" applyFont="1" applyBorder="1" applyAlignment="1">
      <alignment horizontal="right" vertical="center"/>
    </xf>
    <xf numFmtId="9" fontId="1" fillId="0" borderId="28" xfId="0" applyNumberFormat="1" applyFont="1" applyBorder="1" applyAlignment="1">
      <alignment horizontal="right" vertical="center"/>
    </xf>
    <xf numFmtId="9" fontId="1" fillId="0" borderId="0" xfId="0" applyNumberFormat="1" applyFont="1" applyAlignment="1">
      <alignment horizontal="right" vertical="center"/>
    </xf>
    <xf numFmtId="9" fontId="1" fillId="0" borderId="33" xfId="0" applyNumberFormat="1" applyFont="1" applyBorder="1" applyAlignment="1">
      <alignment horizontal="right" vertical="center"/>
    </xf>
    <xf numFmtId="9" fontId="1" fillId="0" borderId="18" xfId="0" applyNumberFormat="1" applyFont="1" applyBorder="1" applyAlignment="1">
      <alignment horizontal="right" vertical="center"/>
    </xf>
    <xf numFmtId="9" fontId="1" fillId="0" borderId="25" xfId="0" applyNumberFormat="1" applyFont="1" applyBorder="1" applyAlignment="1">
      <alignment horizontal="right" vertical="center"/>
    </xf>
    <xf numFmtId="9" fontId="1" fillId="0" borderId="31" xfId="0" applyNumberFormat="1" applyFont="1" applyBorder="1" applyAlignment="1">
      <alignment horizontal="right" vertical="center"/>
    </xf>
    <xf numFmtId="0" fontId="28" fillId="10" borderId="38" xfId="0" applyFont="1" applyFill="1" applyBorder="1" applyAlignment="1">
      <alignment vertical="center"/>
    </xf>
    <xf numFmtId="0" fontId="28" fillId="9" borderId="46" xfId="0" applyFont="1" applyFill="1" applyBorder="1" applyAlignment="1">
      <alignment vertical="center"/>
    </xf>
    <xf numFmtId="9" fontId="28" fillId="9" borderId="46" xfId="0" applyNumberFormat="1" applyFont="1" applyFill="1" applyBorder="1" applyAlignment="1">
      <alignment horizontal="right" vertical="center"/>
    </xf>
    <xf numFmtId="9" fontId="28" fillId="9" borderId="47" xfId="0" applyNumberFormat="1" applyFont="1" applyFill="1" applyBorder="1" applyAlignment="1">
      <alignment horizontal="right" vertical="center"/>
    </xf>
    <xf numFmtId="9" fontId="28" fillId="9" borderId="34" xfId="0" applyNumberFormat="1" applyFont="1" applyFill="1" applyBorder="1" applyAlignment="1">
      <alignment horizontal="right" vertical="center"/>
    </xf>
    <xf numFmtId="9" fontId="28" fillId="9" borderId="36" xfId="0" applyNumberFormat="1" applyFont="1" applyFill="1" applyBorder="1" applyAlignment="1">
      <alignment horizontal="right" vertical="center"/>
    </xf>
    <xf numFmtId="167" fontId="1" fillId="0" borderId="33" xfId="0" applyNumberFormat="1" applyFont="1" applyBorder="1" applyAlignment="1">
      <alignment vertical="center"/>
    </xf>
    <xf numFmtId="167" fontId="1" fillId="0" borderId="18" xfId="0" applyNumberFormat="1" applyFont="1" applyBorder="1" applyAlignment="1">
      <alignment vertical="center"/>
    </xf>
    <xf numFmtId="167" fontId="1" fillId="0" borderId="15" xfId="0" applyNumberFormat="1" applyFont="1" applyBorder="1" applyAlignment="1">
      <alignment vertical="center"/>
    </xf>
    <xf numFmtId="4" fontId="1" fillId="0" borderId="12" xfId="0" applyNumberFormat="1" applyFont="1" applyBorder="1" applyAlignment="1">
      <alignment vertical="center"/>
    </xf>
    <xf numFmtId="4" fontId="1" fillId="0" borderId="13" xfId="0" applyNumberFormat="1" applyFont="1" applyBorder="1" applyAlignment="1">
      <alignment vertical="center"/>
    </xf>
    <xf numFmtId="4" fontId="1" fillId="0" borderId="29" xfId="0" applyNumberFormat="1" applyFont="1" applyBorder="1" applyAlignment="1">
      <alignment vertical="center"/>
    </xf>
    <xf numFmtId="4" fontId="1" fillId="0" borderId="30" xfId="0" applyNumberFormat="1" applyFont="1" applyBorder="1" applyAlignment="1">
      <alignment vertical="center"/>
    </xf>
    <xf numFmtId="4" fontId="1" fillId="0" borderId="28" xfId="0" applyNumberFormat="1" applyFont="1" applyBorder="1" applyAlignment="1">
      <alignment vertical="center"/>
    </xf>
    <xf numFmtId="4" fontId="1" fillId="0" borderId="23" xfId="0" applyNumberFormat="1" applyFont="1" applyBorder="1" applyAlignment="1">
      <alignment vertical="center"/>
    </xf>
    <xf numFmtId="4" fontId="1" fillId="0" borderId="33" xfId="0" applyNumberFormat="1" applyFont="1" applyBorder="1" applyAlignment="1">
      <alignment vertical="center"/>
    </xf>
    <xf numFmtId="4" fontId="1" fillId="0" borderId="15" xfId="0" applyNumberFormat="1" applyFont="1" applyBorder="1" applyAlignment="1">
      <alignment vertical="center"/>
    </xf>
    <xf numFmtId="0" fontId="15" fillId="0" borderId="0" xfId="0" applyFont="1" applyAlignment="1">
      <alignment vertical="center"/>
    </xf>
    <xf numFmtId="0" fontId="28" fillId="0" borderId="12" xfId="0" applyFont="1" applyBorder="1" applyAlignment="1">
      <alignment vertical="center"/>
    </xf>
    <xf numFmtId="0" fontId="28" fillId="11" borderId="25" xfId="0" applyFont="1" applyFill="1" applyBorder="1" applyAlignment="1">
      <alignment horizontal="right" vertical="center"/>
    </xf>
    <xf numFmtId="0" fontId="28" fillId="11" borderId="37" xfId="0" applyFont="1" applyFill="1" applyBorder="1" applyAlignment="1">
      <alignment horizontal="right" vertical="center"/>
    </xf>
    <xf numFmtId="0" fontId="28" fillId="11" borderId="8" xfId="0" applyFont="1" applyFill="1" applyBorder="1" applyAlignment="1">
      <alignment horizontal="right" vertical="center"/>
    </xf>
    <xf numFmtId="0" fontId="28" fillId="18" borderId="37" xfId="0" applyFont="1" applyFill="1" applyBorder="1" applyAlignment="1">
      <alignment horizontal="right" vertical="center"/>
    </xf>
    <xf numFmtId="0" fontId="28" fillId="18" borderId="14" xfId="0" applyFont="1" applyFill="1" applyBorder="1" applyAlignment="1">
      <alignment horizontal="right" vertical="center"/>
    </xf>
    <xf numFmtId="0" fontId="28" fillId="18" borderId="8" xfId="0" applyFont="1" applyFill="1" applyBorder="1" applyAlignment="1">
      <alignment horizontal="right" vertical="center"/>
    </xf>
    <xf numFmtId="0" fontId="28" fillId="11" borderId="37" xfId="0" applyFont="1" applyFill="1" applyBorder="1" applyAlignment="1">
      <alignment vertical="center"/>
    </xf>
    <xf numFmtId="0" fontId="28" fillId="11" borderId="8" xfId="0" applyFont="1" applyFill="1" applyBorder="1" applyAlignment="1">
      <alignment vertical="center"/>
    </xf>
    <xf numFmtId="0" fontId="28" fillId="0" borderId="10" xfId="0" applyFont="1" applyBorder="1" applyAlignment="1">
      <alignment vertical="center"/>
    </xf>
    <xf numFmtId="3" fontId="28" fillId="0" borderId="42" xfId="0" applyNumberFormat="1" applyFont="1" applyBorder="1" applyAlignment="1">
      <alignment horizontal="right" vertical="center"/>
    </xf>
    <xf numFmtId="3" fontId="28" fillId="0" borderId="48" xfId="0" applyNumberFormat="1" applyFont="1" applyBorder="1" applyAlignment="1">
      <alignment horizontal="right" vertical="center"/>
    </xf>
    <xf numFmtId="0" fontId="28" fillId="0" borderId="46" xfId="0" applyFont="1" applyBorder="1" applyAlignment="1">
      <alignment vertical="center"/>
    </xf>
    <xf numFmtId="3" fontId="28" fillId="0" borderId="47" xfId="0" applyNumberFormat="1" applyFont="1" applyBorder="1" applyAlignment="1">
      <alignment horizontal="right" vertical="center"/>
    </xf>
    <xf numFmtId="3" fontId="28" fillId="0" borderId="36" xfId="0" applyNumberFormat="1" applyFont="1" applyBorder="1" applyAlignment="1">
      <alignment horizontal="right" vertical="center"/>
    </xf>
    <xf numFmtId="0" fontId="28" fillId="9" borderId="19" xfId="0" applyFont="1" applyFill="1" applyBorder="1" applyAlignment="1">
      <alignment vertical="center"/>
    </xf>
    <xf numFmtId="3" fontId="28" fillId="9" borderId="37" xfId="0" applyNumberFormat="1" applyFont="1" applyFill="1" applyBorder="1" applyAlignment="1">
      <alignment horizontal="right" vertical="center"/>
    </xf>
    <xf numFmtId="3" fontId="28" fillId="9" borderId="8" xfId="0" applyNumberFormat="1" applyFont="1" applyFill="1" applyBorder="1" applyAlignment="1">
      <alignment horizontal="right" vertical="center"/>
    </xf>
    <xf numFmtId="3" fontId="28" fillId="9" borderId="47" xfId="0" applyNumberFormat="1" applyFont="1" applyFill="1" applyBorder="1" applyAlignment="1">
      <alignment horizontal="right" vertical="center"/>
    </xf>
    <xf numFmtId="3" fontId="28" fillId="9" borderId="36" xfId="0" applyNumberFormat="1" applyFont="1" applyFill="1" applyBorder="1" applyAlignment="1">
      <alignment horizontal="right" vertical="center"/>
    </xf>
    <xf numFmtId="3" fontId="28" fillId="9" borderId="22" xfId="0" applyNumberFormat="1" applyFont="1" applyFill="1" applyBorder="1" applyAlignment="1">
      <alignment horizontal="right" vertical="center"/>
    </xf>
    <xf numFmtId="3" fontId="28" fillId="9" borderId="61" xfId="0" applyNumberFormat="1" applyFont="1" applyFill="1" applyBorder="1" applyAlignment="1">
      <alignment horizontal="right" vertical="center"/>
    </xf>
    <xf numFmtId="0" fontId="28" fillId="17" borderId="12" xfId="0" applyFont="1" applyFill="1" applyBorder="1" applyAlignment="1">
      <alignment vertical="center"/>
    </xf>
    <xf numFmtId="0" fontId="28" fillId="9" borderId="12" xfId="0" applyFont="1" applyFill="1" applyBorder="1" applyAlignment="1">
      <alignment vertical="center"/>
    </xf>
    <xf numFmtId="0" fontId="28" fillId="9" borderId="94" xfId="0" applyFont="1" applyFill="1" applyBorder="1" applyAlignment="1">
      <alignment vertical="center"/>
    </xf>
    <xf numFmtId="0" fontId="20" fillId="14" borderId="29" xfId="0" applyFont="1" applyFill="1" applyBorder="1" applyAlignment="1">
      <alignment vertical="center"/>
    </xf>
    <xf numFmtId="4" fontId="28" fillId="9" borderId="37" xfId="0" applyNumberFormat="1" applyFont="1" applyFill="1" applyBorder="1" applyAlignment="1">
      <alignment horizontal="right" vertical="center"/>
    </xf>
    <xf numFmtId="4" fontId="28" fillId="0" borderId="42" xfId="0" applyNumberFormat="1" applyFont="1" applyBorder="1" applyAlignment="1">
      <alignment horizontal="right" vertical="center"/>
    </xf>
    <xf numFmtId="4" fontId="28" fillId="9" borderId="47" xfId="0" applyNumberFormat="1" applyFont="1" applyFill="1" applyBorder="1" applyAlignment="1">
      <alignment horizontal="right" vertical="center"/>
    </xf>
    <xf numFmtId="4" fontId="28" fillId="0" borderId="47" xfId="0" applyNumberFormat="1" applyFont="1" applyBorder="1" applyAlignment="1">
      <alignment horizontal="right" vertical="center"/>
    </xf>
    <xf numFmtId="4" fontId="28" fillId="9" borderId="22" xfId="0" applyNumberFormat="1" applyFont="1" applyFill="1" applyBorder="1" applyAlignment="1">
      <alignment horizontal="right" vertical="center"/>
    </xf>
    <xf numFmtId="9" fontId="28" fillId="9" borderId="83" xfId="0" applyNumberFormat="1" applyFont="1" applyFill="1" applyBorder="1" applyAlignment="1">
      <alignment horizontal="right" vertical="center"/>
    </xf>
    <xf numFmtId="3" fontId="28" fillId="9" borderId="19" xfId="0" applyNumberFormat="1" applyFont="1" applyFill="1" applyBorder="1" applyAlignment="1">
      <alignment horizontal="right" vertical="center"/>
    </xf>
    <xf numFmtId="9" fontId="28" fillId="9" borderId="77" xfId="0" applyNumberFormat="1" applyFont="1" applyFill="1" applyBorder="1" applyAlignment="1">
      <alignment horizontal="right" vertical="center"/>
    </xf>
    <xf numFmtId="9" fontId="28" fillId="9" borderId="8" xfId="0" applyNumberFormat="1" applyFont="1" applyFill="1" applyBorder="1" applyAlignment="1">
      <alignment horizontal="right" vertical="center"/>
    </xf>
    <xf numFmtId="3" fontId="28" fillId="9" borderId="14" xfId="0" applyNumberFormat="1" applyFont="1" applyFill="1" applyBorder="1" applyAlignment="1">
      <alignment horizontal="right" vertical="center"/>
    </xf>
    <xf numFmtId="0" fontId="28" fillId="17" borderId="24" xfId="0" applyFont="1" applyFill="1" applyBorder="1" applyAlignment="1">
      <alignment horizontal="right" vertical="center"/>
    </xf>
    <xf numFmtId="0" fontId="28" fillId="17" borderId="13" xfId="0" applyFont="1" applyFill="1" applyBorder="1" applyAlignment="1">
      <alignment horizontal="right" vertical="center"/>
    </xf>
    <xf numFmtId="3" fontId="28" fillId="9" borderId="10" xfId="0" applyNumberFormat="1" applyFont="1" applyFill="1" applyBorder="1" applyAlignment="1">
      <alignment horizontal="right" vertical="center"/>
    </xf>
    <xf numFmtId="9" fontId="28" fillId="9" borderId="48" xfId="0" applyNumberFormat="1" applyFont="1" applyFill="1" applyBorder="1" applyAlignment="1">
      <alignment horizontal="right" vertical="center"/>
    </xf>
    <xf numFmtId="9" fontId="28" fillId="9" borderId="42" xfId="0" applyNumberFormat="1" applyFont="1" applyFill="1" applyBorder="1" applyAlignment="1">
      <alignment horizontal="right" vertical="center"/>
    </xf>
    <xf numFmtId="9" fontId="28" fillId="9" borderId="62" xfId="0" applyNumberFormat="1" applyFont="1" applyFill="1" applyBorder="1" applyAlignment="1">
      <alignment horizontal="right" vertical="center"/>
    </xf>
    <xf numFmtId="3" fontId="28" fillId="0" borderId="46" xfId="0" applyNumberFormat="1" applyFont="1" applyBorder="1" applyAlignment="1">
      <alignment horizontal="right" vertical="center"/>
    </xf>
    <xf numFmtId="9" fontId="28" fillId="0" borderId="73" xfId="0" applyNumberFormat="1" applyFont="1" applyBorder="1" applyAlignment="1">
      <alignment horizontal="right" vertical="center"/>
    </xf>
    <xf numFmtId="9" fontId="28" fillId="0" borderId="36" xfId="0" applyNumberFormat="1" applyFont="1" applyBorder="1" applyAlignment="1">
      <alignment horizontal="right" vertical="center"/>
    </xf>
    <xf numFmtId="9" fontId="28" fillId="0" borderId="47" xfId="0" applyNumberFormat="1" applyFont="1" applyBorder="1" applyAlignment="1">
      <alignment horizontal="right" vertical="center"/>
    </xf>
    <xf numFmtId="9" fontId="28" fillId="0" borderId="34" xfId="0" applyNumberFormat="1" applyFont="1" applyBorder="1" applyAlignment="1">
      <alignment horizontal="right" vertical="center"/>
    </xf>
    <xf numFmtId="3" fontId="28" fillId="9" borderId="46" xfId="0" applyNumberFormat="1" applyFont="1" applyFill="1" applyBorder="1" applyAlignment="1">
      <alignment horizontal="right" vertical="center"/>
    </xf>
    <xf numFmtId="9" fontId="28" fillId="9" borderId="73" xfId="0" applyNumberFormat="1" applyFont="1" applyFill="1" applyBorder="1" applyAlignment="1">
      <alignment horizontal="right" vertical="center"/>
    </xf>
    <xf numFmtId="3" fontId="28" fillId="0" borderId="38" xfId="0" applyNumberFormat="1" applyFont="1" applyBorder="1" applyAlignment="1">
      <alignment horizontal="right" vertical="center"/>
    </xf>
    <xf numFmtId="9" fontId="28" fillId="0" borderId="85" xfId="0" applyNumberFormat="1" applyFont="1" applyBorder="1" applyAlignment="1">
      <alignment horizontal="right" vertical="center"/>
    </xf>
    <xf numFmtId="9" fontId="28" fillId="0" borderId="61" xfId="0" applyNumberFormat="1" applyFont="1" applyBorder="1" applyAlignment="1">
      <alignment horizontal="right" vertical="center"/>
    </xf>
    <xf numFmtId="9" fontId="28" fillId="0" borderId="56" xfId="0" applyNumberFormat="1" applyFont="1" applyBorder="1" applyAlignment="1">
      <alignment horizontal="right" vertical="center"/>
    </xf>
    <xf numFmtId="3" fontId="28" fillId="9" borderId="38" xfId="0" applyNumberFormat="1" applyFont="1" applyFill="1" applyBorder="1" applyAlignment="1">
      <alignment horizontal="right" vertical="center"/>
    </xf>
    <xf numFmtId="9" fontId="28" fillId="9" borderId="85" xfId="0" applyNumberFormat="1" applyFont="1" applyFill="1" applyBorder="1" applyAlignment="1">
      <alignment horizontal="right" vertical="center"/>
    </xf>
    <xf numFmtId="9" fontId="28" fillId="9" borderId="61" xfId="0" applyNumberFormat="1" applyFont="1" applyFill="1" applyBorder="1" applyAlignment="1">
      <alignment horizontal="right" vertical="center"/>
    </xf>
    <xf numFmtId="9" fontId="28" fillId="9" borderId="56" xfId="0" applyNumberFormat="1" applyFont="1" applyFill="1" applyBorder="1" applyAlignment="1">
      <alignment horizontal="right" vertical="center"/>
    </xf>
    <xf numFmtId="9" fontId="28" fillId="9" borderId="95" xfId="0" applyNumberFormat="1" applyFont="1" applyFill="1" applyBorder="1" applyAlignment="1">
      <alignment horizontal="right" vertical="center"/>
    </xf>
    <xf numFmtId="9" fontId="28" fillId="9" borderId="68" xfId="0" applyNumberFormat="1" applyFont="1" applyFill="1" applyBorder="1" applyAlignment="1">
      <alignment horizontal="right" vertical="center"/>
    </xf>
    <xf numFmtId="9" fontId="28" fillId="9" borderId="3" xfId="0" applyNumberFormat="1" applyFont="1" applyFill="1" applyBorder="1" applyAlignment="1">
      <alignment horizontal="right" vertical="center"/>
    </xf>
    <xf numFmtId="167" fontId="28" fillId="0" borderId="19" xfId="0" applyNumberFormat="1" applyFont="1" applyBorder="1" applyAlignment="1">
      <alignment horizontal="right" vertical="center"/>
    </xf>
    <xf numFmtId="167" fontId="28" fillId="0" borderId="77" xfId="0" applyNumberFormat="1" applyFont="1" applyBorder="1" applyAlignment="1">
      <alignment horizontal="right" vertical="center"/>
    </xf>
    <xf numFmtId="167" fontId="28" fillId="0" borderId="8" xfId="0" applyNumberFormat="1" applyFont="1" applyBorder="1" applyAlignment="1">
      <alignment horizontal="right" vertical="center"/>
    </xf>
    <xf numFmtId="167" fontId="28" fillId="0" borderId="37" xfId="0" applyNumberFormat="1" applyFont="1" applyBorder="1" applyAlignment="1">
      <alignment horizontal="right" vertical="center"/>
    </xf>
    <xf numFmtId="167" fontId="28" fillId="0" borderId="14" xfId="0" applyNumberFormat="1" applyFont="1" applyBorder="1" applyAlignment="1">
      <alignment horizontal="right" vertical="center"/>
    </xf>
    <xf numFmtId="165" fontId="1" fillId="0" borderId="28" xfId="0" applyNumberFormat="1" applyFont="1" applyBorder="1" applyAlignment="1">
      <alignment vertical="center"/>
    </xf>
    <xf numFmtId="165" fontId="1" fillId="0" borderId="25" xfId="0" applyNumberFormat="1" applyFont="1" applyBorder="1" applyAlignment="1">
      <alignment vertical="center"/>
    </xf>
    <xf numFmtId="165" fontId="1" fillId="0" borderId="49" xfId="0" applyNumberFormat="1" applyFont="1" applyBorder="1" applyAlignment="1">
      <alignment vertical="center"/>
    </xf>
    <xf numFmtId="165" fontId="1" fillId="0" borderId="31" xfId="0" applyNumberFormat="1" applyFont="1" applyBorder="1" applyAlignment="1">
      <alignment vertical="center"/>
    </xf>
    <xf numFmtId="0" fontId="1" fillId="0" borderId="24" xfId="0" applyFont="1" applyBorder="1"/>
    <xf numFmtId="0" fontId="1" fillId="0" borderId="18" xfId="0" applyFont="1" applyBorder="1"/>
    <xf numFmtId="0" fontId="1" fillId="17" borderId="15" xfId="0" applyFont="1" applyFill="1" applyBorder="1"/>
    <xf numFmtId="165" fontId="1" fillId="0" borderId="0" xfId="0" applyNumberFormat="1" applyFont="1" applyAlignment="1">
      <alignment vertical="center"/>
    </xf>
    <xf numFmtId="165" fontId="15" fillId="0" borderId="83" xfId="0" applyNumberFormat="1" applyFont="1" applyBorder="1" applyAlignment="1">
      <alignment horizontal="right" vertical="center"/>
    </xf>
    <xf numFmtId="165" fontId="15" fillId="9" borderId="73" xfId="0" applyNumberFormat="1" applyFont="1" applyFill="1" applyBorder="1" applyAlignment="1">
      <alignment horizontal="right" vertical="center"/>
    </xf>
    <xf numFmtId="165" fontId="15" fillId="0" borderId="73" xfId="0" applyNumberFormat="1" applyFont="1" applyBorder="1" applyAlignment="1">
      <alignment horizontal="right" vertical="center"/>
    </xf>
    <xf numFmtId="165" fontId="15" fillId="0" borderId="85" xfId="0" applyNumberFormat="1" applyFont="1" applyBorder="1" applyAlignment="1">
      <alignment horizontal="right" vertical="center"/>
    </xf>
    <xf numFmtId="0" fontId="15" fillId="11" borderId="37" xfId="0" applyFont="1" applyFill="1" applyBorder="1" applyAlignment="1">
      <alignment horizontal="right" vertical="center"/>
    </xf>
    <xf numFmtId="0" fontId="15" fillId="11" borderId="8" xfId="0" applyFont="1" applyFill="1" applyBorder="1" applyAlignment="1">
      <alignment horizontal="right" vertical="center"/>
    </xf>
    <xf numFmtId="165" fontId="15" fillId="9" borderId="77" xfId="0" applyNumberFormat="1" applyFont="1" applyFill="1" applyBorder="1" applyAlignment="1">
      <alignment horizontal="right" vertical="center"/>
    </xf>
    <xf numFmtId="165" fontId="15" fillId="0" borderId="42" xfId="0" applyNumberFormat="1" applyFont="1" applyBorder="1" applyAlignment="1">
      <alignment horizontal="right" vertical="center"/>
    </xf>
    <xf numFmtId="165" fontId="15" fillId="0" borderId="62" xfId="0" applyNumberFormat="1" applyFont="1" applyBorder="1" applyAlignment="1">
      <alignment horizontal="right" vertical="center"/>
    </xf>
    <xf numFmtId="165" fontId="15" fillId="0" borderId="48" xfId="0" applyNumberFormat="1" applyFont="1" applyBorder="1" applyAlignment="1">
      <alignment horizontal="right" vertical="center"/>
    </xf>
    <xf numFmtId="165" fontId="15" fillId="0" borderId="47" xfId="0" applyNumberFormat="1" applyFont="1" applyBorder="1" applyAlignment="1">
      <alignment horizontal="right" vertical="center"/>
    </xf>
    <xf numFmtId="165" fontId="15" fillId="0" borderId="34" xfId="0" applyNumberFormat="1" applyFont="1" applyBorder="1" applyAlignment="1">
      <alignment horizontal="right" vertical="center"/>
    </xf>
    <xf numFmtId="165" fontId="15" fillId="0" borderId="36" xfId="0" applyNumberFormat="1" applyFont="1" applyBorder="1" applyAlignment="1">
      <alignment horizontal="right" vertical="center"/>
    </xf>
    <xf numFmtId="165" fontId="15" fillId="0" borderId="22" xfId="0" applyNumberFormat="1" applyFont="1" applyBorder="1" applyAlignment="1">
      <alignment horizontal="right" vertical="center"/>
    </xf>
    <xf numFmtId="165" fontId="15" fillId="0" borderId="56" xfId="0" applyNumberFormat="1" applyFont="1" applyBorder="1" applyAlignment="1">
      <alignment horizontal="right" vertical="center"/>
    </xf>
    <xf numFmtId="165" fontId="15" fillId="0" borderId="61" xfId="0" applyNumberFormat="1" applyFont="1" applyBorder="1" applyAlignment="1">
      <alignment horizontal="right" vertical="center"/>
    </xf>
    <xf numFmtId="0" fontId="15" fillId="9" borderId="31" xfId="0" applyFont="1" applyFill="1" applyBorder="1" applyAlignment="1">
      <alignment vertical="center"/>
    </xf>
    <xf numFmtId="165" fontId="15" fillId="9" borderId="96" xfId="0" applyNumberFormat="1" applyFont="1" applyFill="1" applyBorder="1" applyAlignment="1">
      <alignment horizontal="right" vertical="center"/>
    </xf>
    <xf numFmtId="165" fontId="15" fillId="9" borderId="97" xfId="0" applyNumberFormat="1" applyFont="1" applyFill="1" applyBorder="1" applyAlignment="1">
      <alignment horizontal="right" vertical="center"/>
    </xf>
    <xf numFmtId="165" fontId="15" fillId="9" borderId="98" xfId="0" applyNumberFormat="1" applyFont="1" applyFill="1" applyBorder="1" applyAlignment="1">
      <alignment horizontal="right" vertical="center"/>
    </xf>
    <xf numFmtId="165" fontId="15" fillId="9" borderId="47" xfId="0" applyNumberFormat="1" applyFont="1" applyFill="1" applyBorder="1" applyAlignment="1">
      <alignment horizontal="right" vertical="center"/>
    </xf>
    <xf numFmtId="165" fontId="15" fillId="9" borderId="34" xfId="0" applyNumberFormat="1" applyFont="1" applyFill="1" applyBorder="1" applyAlignment="1">
      <alignment horizontal="right" vertical="center"/>
    </xf>
    <xf numFmtId="165" fontId="15" fillId="9" borderId="36" xfId="0" applyNumberFormat="1" applyFont="1" applyFill="1" applyBorder="1" applyAlignment="1">
      <alignment horizontal="right" vertical="center"/>
    </xf>
    <xf numFmtId="3" fontId="28" fillId="0" borderId="47" xfId="0" applyNumberFormat="1" applyFont="1" applyBorder="1" applyAlignment="1">
      <alignment vertical="center"/>
    </xf>
    <xf numFmtId="3" fontId="28" fillId="9" borderId="47" xfId="0" applyNumberFormat="1" applyFont="1" applyFill="1" applyBorder="1" applyAlignment="1">
      <alignment vertical="center"/>
    </xf>
    <xf numFmtId="3" fontId="28" fillId="9" borderId="22" xfId="0" applyNumberFormat="1" applyFont="1" applyFill="1" applyBorder="1" applyAlignment="1">
      <alignment vertical="center"/>
    </xf>
    <xf numFmtId="9" fontId="28" fillId="0" borderId="36" xfId="0" applyNumberFormat="1" applyFont="1" applyBorder="1" applyAlignment="1">
      <alignment vertical="center"/>
    </xf>
    <xf numFmtId="9" fontId="28" fillId="9" borderId="36" xfId="0" applyNumberFormat="1" applyFont="1" applyFill="1" applyBorder="1" applyAlignment="1">
      <alignment vertical="center"/>
    </xf>
    <xf numFmtId="0" fontId="20" fillId="15" borderId="37" xfId="0" applyFont="1" applyFill="1" applyBorder="1" applyAlignment="1">
      <alignment horizontal="right" vertical="center"/>
    </xf>
    <xf numFmtId="0" fontId="20" fillId="15" borderId="8" xfId="0" applyFont="1" applyFill="1" applyBorder="1" applyAlignment="1">
      <alignment horizontal="right" vertical="center"/>
    </xf>
    <xf numFmtId="0" fontId="20" fillId="15" borderId="12" xfId="0" applyFont="1" applyFill="1" applyBorder="1" applyAlignment="1">
      <alignment vertical="center"/>
    </xf>
    <xf numFmtId="9" fontId="28" fillId="28" borderId="19" xfId="0" applyNumberFormat="1" applyFont="1" applyFill="1" applyBorder="1" applyAlignment="1">
      <alignment vertical="center"/>
    </xf>
    <xf numFmtId="3" fontId="28" fillId="0" borderId="12" xfId="0" applyNumberFormat="1" applyFont="1" applyBorder="1" applyAlignment="1">
      <alignment vertical="center"/>
    </xf>
    <xf numFmtId="0" fontId="17" fillId="0" borderId="0" xfId="0" applyFont="1"/>
    <xf numFmtId="0" fontId="15" fillId="0" borderId="10" xfId="0" applyFont="1" applyBorder="1" applyAlignment="1">
      <alignment vertical="center"/>
    </xf>
    <xf numFmtId="0" fontId="15" fillId="9" borderId="46" xfId="0" applyFont="1" applyFill="1" applyBorder="1" applyAlignment="1">
      <alignment vertical="center"/>
    </xf>
    <xf numFmtId="0" fontId="15" fillId="0" borderId="46" xfId="0" applyFont="1" applyBorder="1" applyAlignment="1">
      <alignment vertical="center"/>
    </xf>
    <xf numFmtId="165" fontId="15" fillId="9" borderId="37" xfId="0" applyNumberFormat="1" applyFont="1" applyFill="1" applyBorder="1" applyAlignment="1">
      <alignment horizontal="right" vertical="center"/>
    </xf>
    <xf numFmtId="165" fontId="15" fillId="9" borderId="8" xfId="0" applyNumberFormat="1" applyFont="1" applyFill="1" applyBorder="1" applyAlignment="1">
      <alignment horizontal="right" vertical="center"/>
    </xf>
    <xf numFmtId="165" fontId="1" fillId="0" borderId="29" xfId="0" applyNumberFormat="1" applyFont="1" applyBorder="1" applyAlignment="1">
      <alignment vertical="center"/>
    </xf>
    <xf numFmtId="165" fontId="1" fillId="0" borderId="55" xfId="0" applyNumberFormat="1" applyFont="1" applyBorder="1" applyAlignment="1">
      <alignment vertical="center"/>
    </xf>
    <xf numFmtId="165" fontId="1" fillId="0" borderId="30" xfId="0" applyNumberFormat="1" applyFont="1" applyBorder="1" applyAlignment="1">
      <alignment vertical="center"/>
    </xf>
    <xf numFmtId="165" fontId="1" fillId="0" borderId="33" xfId="0" applyNumberFormat="1" applyFont="1" applyBorder="1" applyAlignment="1">
      <alignment vertical="center"/>
    </xf>
    <xf numFmtId="165" fontId="1" fillId="0" borderId="18" xfId="0" applyNumberFormat="1" applyFont="1" applyBorder="1" applyAlignment="1">
      <alignment vertical="center"/>
    </xf>
    <xf numFmtId="0" fontId="1" fillId="0" borderId="28" xfId="0" applyFont="1" applyBorder="1" applyAlignment="1">
      <alignment horizontal="left" vertical="center" indent="1"/>
    </xf>
    <xf numFmtId="9" fontId="15" fillId="9" borderId="38" xfId="0" applyNumberFormat="1" applyFont="1" applyFill="1" applyBorder="1" applyAlignment="1">
      <alignment horizontal="right" vertical="center"/>
    </xf>
    <xf numFmtId="9" fontId="15" fillId="9" borderId="22" xfId="0" applyNumberFormat="1" applyFont="1" applyFill="1" applyBorder="1" applyAlignment="1">
      <alignment horizontal="right" vertical="center"/>
    </xf>
    <xf numFmtId="9" fontId="15" fillId="9" borderId="56" xfId="0" applyNumberFormat="1" applyFont="1" applyFill="1" applyBorder="1" applyAlignment="1">
      <alignment horizontal="right" vertical="center"/>
    </xf>
    <xf numFmtId="3" fontId="15" fillId="9" borderId="22" xfId="0" applyNumberFormat="1" applyFont="1" applyFill="1" applyBorder="1" applyAlignment="1">
      <alignment horizontal="right" vertical="center"/>
    </xf>
    <xf numFmtId="3" fontId="15" fillId="9" borderId="38" xfId="0" applyNumberFormat="1" applyFont="1" applyFill="1" applyBorder="1" applyAlignment="1">
      <alignment horizontal="right" vertical="center"/>
    </xf>
    <xf numFmtId="3" fontId="15" fillId="10" borderId="10" xfId="0" applyNumberFormat="1" applyFont="1" applyFill="1" applyBorder="1" applyAlignment="1">
      <alignment horizontal="right" vertical="center"/>
    </xf>
    <xf numFmtId="3" fontId="15" fillId="10" borderId="46" xfId="0" applyNumberFormat="1" applyFont="1" applyFill="1" applyBorder="1" applyAlignment="1">
      <alignment horizontal="right" vertical="center"/>
    </xf>
    <xf numFmtId="3" fontId="15" fillId="10" borderId="38" xfId="0" applyNumberFormat="1" applyFont="1" applyFill="1" applyBorder="1" applyAlignment="1">
      <alignment horizontal="right" vertical="center"/>
    </xf>
    <xf numFmtId="3" fontId="15" fillId="9" borderId="42" xfId="0" applyNumberFormat="1" applyFont="1" applyFill="1" applyBorder="1" applyAlignment="1">
      <alignment horizontal="right" vertical="center"/>
    </xf>
    <xf numFmtId="9" fontId="15" fillId="9" borderId="37" xfId="0" applyNumberFormat="1" applyFont="1" applyFill="1" applyBorder="1" applyAlignment="1">
      <alignment horizontal="right" vertical="center"/>
    </xf>
    <xf numFmtId="9" fontId="15" fillId="9" borderId="47" xfId="0" applyNumberFormat="1" applyFont="1" applyFill="1" applyBorder="1" applyAlignment="1">
      <alignment horizontal="right" vertical="center"/>
    </xf>
    <xf numFmtId="1" fontId="1" fillId="0" borderId="55" xfId="0" applyNumberFormat="1" applyFont="1" applyBorder="1" applyAlignment="1">
      <alignment vertical="center"/>
    </xf>
    <xf numFmtId="164" fontId="16" fillId="0" borderId="13" xfId="0" applyNumberFormat="1" applyFont="1" applyBorder="1" applyAlignment="1">
      <alignment horizontal="right" vertical="center"/>
    </xf>
    <xf numFmtId="164" fontId="16" fillId="0" borderId="30" xfId="0" applyNumberFormat="1" applyFont="1" applyBorder="1" applyAlignment="1">
      <alignment horizontal="right" vertical="center"/>
    </xf>
    <xf numFmtId="164" fontId="16" fillId="0" borderId="23" xfId="0" applyNumberFormat="1" applyFont="1" applyBorder="1" applyAlignment="1">
      <alignment horizontal="right" vertical="center"/>
    </xf>
    <xf numFmtId="164" fontId="16" fillId="0" borderId="15" xfId="0" applyNumberFormat="1" applyFont="1" applyBorder="1" applyAlignment="1">
      <alignment horizontal="right" vertical="center"/>
    </xf>
    <xf numFmtId="0" fontId="16" fillId="0" borderId="13" xfId="0" applyFont="1" applyBorder="1" applyAlignment="1">
      <alignment vertical="center"/>
    </xf>
    <xf numFmtId="3" fontId="1" fillId="0" borderId="12" xfId="0" applyNumberFormat="1" applyFont="1" applyBorder="1" applyAlignment="1">
      <alignment horizontal="right" vertical="center"/>
    </xf>
    <xf numFmtId="3" fontId="1" fillId="0" borderId="13" xfId="0" applyNumberFormat="1" applyFont="1" applyBorder="1" applyAlignment="1">
      <alignment horizontal="right" vertical="center"/>
    </xf>
    <xf numFmtId="3" fontId="1" fillId="0" borderId="29" xfId="0" applyNumberFormat="1" applyFont="1" applyBorder="1" applyAlignment="1">
      <alignment horizontal="right" vertical="center"/>
    </xf>
    <xf numFmtId="3" fontId="1" fillId="0" borderId="55" xfId="0" applyNumberFormat="1" applyFont="1" applyBorder="1" applyAlignment="1">
      <alignment horizontal="right" vertical="center"/>
    </xf>
    <xf numFmtId="3" fontId="1" fillId="0" borderId="30" xfId="0" applyNumberFormat="1" applyFont="1" applyBorder="1" applyAlignment="1">
      <alignment horizontal="right" vertical="center"/>
    </xf>
    <xf numFmtId="3" fontId="1" fillId="0" borderId="28" xfId="0" applyNumberFormat="1" applyFont="1" applyBorder="1" applyAlignment="1">
      <alignment horizontal="right" vertical="center"/>
    </xf>
    <xf numFmtId="3" fontId="1" fillId="0" borderId="23" xfId="0" applyNumberFormat="1" applyFont="1" applyBorder="1" applyAlignment="1">
      <alignment horizontal="right" vertical="center"/>
    </xf>
    <xf numFmtId="3" fontId="1" fillId="0" borderId="33" xfId="0" applyNumberFormat="1" applyFont="1" applyBorder="1" applyAlignment="1">
      <alignment horizontal="right" vertical="center"/>
    </xf>
    <xf numFmtId="3" fontId="1" fillId="0" borderId="18" xfId="0" applyNumberFormat="1" applyFont="1" applyBorder="1" applyAlignment="1">
      <alignment horizontal="right" vertical="center"/>
    </xf>
    <xf numFmtId="3" fontId="1" fillId="0" borderId="15" xfId="0" applyNumberFormat="1" applyFont="1" applyBorder="1" applyAlignment="1">
      <alignment horizontal="right" vertical="center"/>
    </xf>
    <xf numFmtId="164" fontId="1" fillId="0" borderId="24" xfId="0" applyNumberFormat="1" applyFont="1" applyBorder="1" applyAlignment="1">
      <alignment vertical="center"/>
    </xf>
    <xf numFmtId="3" fontId="1" fillId="0" borderId="19" xfId="0" applyNumberFormat="1" applyFont="1" applyBorder="1" applyAlignment="1">
      <alignment horizontal="right" vertical="center"/>
    </xf>
    <xf numFmtId="3" fontId="1" fillId="0" borderId="25" xfId="0" applyNumberFormat="1" applyFont="1" applyBorder="1" applyAlignment="1">
      <alignment horizontal="right" vertical="center"/>
    </xf>
    <xf numFmtId="3" fontId="1" fillId="0" borderId="49" xfId="0" applyNumberFormat="1" applyFont="1" applyBorder="1" applyAlignment="1">
      <alignment horizontal="right" vertical="center"/>
    </xf>
    <xf numFmtId="3" fontId="1" fillId="0" borderId="31" xfId="0" applyNumberFormat="1" applyFont="1" applyBorder="1" applyAlignment="1">
      <alignment horizontal="right" vertical="center"/>
    </xf>
    <xf numFmtId="9" fontId="1" fillId="0" borderId="19" xfId="0" applyNumberFormat="1" applyFont="1" applyBorder="1" applyAlignment="1">
      <alignment horizontal="right" vertical="center"/>
    </xf>
    <xf numFmtId="9" fontId="1" fillId="0" borderId="49" xfId="0" applyNumberFormat="1" applyFont="1" applyBorder="1" applyAlignment="1">
      <alignment horizontal="right" vertical="center"/>
    </xf>
    <xf numFmtId="6" fontId="27" fillId="0" borderId="0" xfId="0" applyNumberFormat="1" applyFont="1" applyAlignment="1">
      <alignment horizontal="right" vertical="center"/>
    </xf>
    <xf numFmtId="0" fontId="27" fillId="0" borderId="0" xfId="0" applyFont="1" applyAlignment="1">
      <alignment horizontal="right" vertical="center"/>
    </xf>
    <xf numFmtId="0" fontId="27" fillId="0" borderId="0" xfId="0" applyFont="1" applyAlignment="1">
      <alignment horizontal="right"/>
    </xf>
    <xf numFmtId="168" fontId="1" fillId="0" borderId="12" xfId="0" applyNumberFormat="1" applyFont="1" applyBorder="1" applyAlignment="1">
      <alignment vertical="center"/>
    </xf>
    <xf numFmtId="168" fontId="1" fillId="0" borderId="24" xfId="0" applyNumberFormat="1" applyFont="1" applyBorder="1" applyAlignment="1">
      <alignment vertical="center"/>
    </xf>
    <xf numFmtId="168" fontId="17" fillId="0" borderId="13" xfId="0" applyNumberFormat="1" applyFont="1" applyBorder="1" applyAlignment="1">
      <alignment vertical="center"/>
    </xf>
    <xf numFmtId="168" fontId="1" fillId="0" borderId="29" xfId="0" applyNumberFormat="1" applyFont="1" applyBorder="1" applyAlignment="1">
      <alignment vertical="center"/>
    </xf>
    <xf numFmtId="168" fontId="1" fillId="0" borderId="55" xfId="0" applyNumberFormat="1" applyFont="1" applyBorder="1" applyAlignment="1">
      <alignment vertical="center"/>
    </xf>
    <xf numFmtId="168" fontId="17" fillId="0" borderId="30" xfId="0" applyNumberFormat="1" applyFont="1" applyBorder="1" applyAlignment="1">
      <alignment vertical="center"/>
    </xf>
    <xf numFmtId="168" fontId="1" fillId="0" borderId="33" xfId="0" applyNumberFormat="1" applyFont="1" applyBorder="1" applyAlignment="1">
      <alignment vertical="center"/>
    </xf>
    <xf numFmtId="168" fontId="1" fillId="0" borderId="18" xfId="0" applyNumberFormat="1" applyFont="1" applyBorder="1" applyAlignment="1">
      <alignment vertical="center"/>
    </xf>
    <xf numFmtId="168" fontId="17" fillId="0" borderId="15" xfId="0" applyNumberFormat="1" applyFont="1" applyBorder="1" applyAlignment="1">
      <alignment vertical="center"/>
    </xf>
    <xf numFmtId="0" fontId="1" fillId="17" borderId="12" xfId="0" applyFont="1" applyFill="1" applyBorder="1"/>
    <xf numFmtId="0" fontId="1" fillId="17" borderId="13" xfId="0" applyFont="1" applyFill="1" applyBorder="1"/>
    <xf numFmtId="0" fontId="1" fillId="17" borderId="15" xfId="0" applyFont="1" applyFill="1" applyBorder="1" applyAlignment="1">
      <alignment horizontal="left" vertical="center"/>
    </xf>
    <xf numFmtId="164" fontId="1" fillId="0" borderId="29" xfId="0" applyNumberFormat="1" applyFont="1" applyBorder="1" applyAlignment="1">
      <alignment horizontal="left" vertical="center"/>
    </xf>
    <xf numFmtId="164" fontId="1" fillId="0" borderId="30" xfId="0" applyNumberFormat="1" applyFont="1" applyBorder="1" applyAlignment="1">
      <alignment horizontal="left" vertical="center"/>
    </xf>
    <xf numFmtId="164" fontId="1" fillId="0" borderId="28" xfId="0" applyNumberFormat="1" applyFont="1" applyBorder="1" applyAlignment="1">
      <alignment horizontal="left" vertical="center"/>
    </xf>
    <xf numFmtId="164" fontId="1" fillId="0" borderId="23" xfId="0" applyNumberFormat="1" applyFont="1" applyBorder="1" applyAlignment="1">
      <alignment horizontal="left" vertical="center"/>
    </xf>
    <xf numFmtId="164" fontId="1" fillId="0" borderId="33" xfId="0" applyNumberFormat="1" applyFont="1" applyBorder="1" applyAlignment="1">
      <alignment horizontal="left" vertical="center"/>
    </xf>
    <xf numFmtId="1" fontId="1" fillId="0" borderId="18" xfId="0" applyNumberFormat="1" applyFont="1" applyBorder="1" applyAlignment="1">
      <alignment vertical="center"/>
    </xf>
    <xf numFmtId="3" fontId="1" fillId="0" borderId="0" xfId="0" applyNumberFormat="1" applyFont="1" applyAlignment="1">
      <alignment horizontal="right" vertical="center"/>
    </xf>
    <xf numFmtId="0" fontId="29" fillId="0" borderId="0" xfId="0" applyFont="1" applyAlignment="1">
      <alignment vertical="center"/>
    </xf>
    <xf numFmtId="0" fontId="15" fillId="9" borderId="38" xfId="0" applyFont="1" applyFill="1" applyBorder="1" applyAlignment="1">
      <alignment vertical="center"/>
    </xf>
    <xf numFmtId="0" fontId="15" fillId="9" borderId="32" xfId="0" applyFont="1" applyFill="1" applyBorder="1" applyAlignment="1">
      <alignment vertical="center"/>
    </xf>
    <xf numFmtId="164" fontId="15" fillId="9" borderId="47" xfId="0" applyNumberFormat="1" applyFont="1" applyFill="1" applyBorder="1" applyAlignment="1">
      <alignment horizontal="right" vertical="center"/>
    </xf>
    <xf numFmtId="164" fontId="15" fillId="9" borderId="36" xfId="0" applyNumberFormat="1" applyFont="1" applyFill="1" applyBorder="1" applyAlignment="1">
      <alignment horizontal="right" vertical="center"/>
    </xf>
    <xf numFmtId="164" fontId="1" fillId="0" borderId="0" xfId="0" applyNumberFormat="1" applyFont="1" applyAlignment="1">
      <alignment horizontal="right" vertical="center"/>
    </xf>
    <xf numFmtId="164" fontId="15" fillId="9" borderId="42" xfId="0" applyNumberFormat="1" applyFont="1" applyFill="1" applyBorder="1" applyAlignment="1">
      <alignment horizontal="right" vertical="center"/>
    </xf>
    <xf numFmtId="164" fontId="15" fillId="9" borderId="62" xfId="0" applyNumberFormat="1" applyFont="1" applyFill="1" applyBorder="1" applyAlignment="1">
      <alignment horizontal="right" vertical="center"/>
    </xf>
    <xf numFmtId="164" fontId="15" fillId="9" borderId="48" xfId="0" applyNumberFormat="1" applyFont="1" applyFill="1" applyBorder="1" applyAlignment="1">
      <alignment horizontal="right" vertical="center"/>
    </xf>
    <xf numFmtId="164" fontId="15" fillId="9" borderId="34" xfId="0" applyNumberFormat="1" applyFont="1" applyFill="1" applyBorder="1" applyAlignment="1">
      <alignment horizontal="right" vertical="center"/>
    </xf>
    <xf numFmtId="164" fontId="15" fillId="9" borderId="37" xfId="0" applyNumberFormat="1" applyFont="1" applyFill="1" applyBorder="1" applyAlignment="1">
      <alignment horizontal="right" vertical="center"/>
    </xf>
    <xf numFmtId="164" fontId="15" fillId="9" borderId="22" xfId="0" applyNumberFormat="1" applyFont="1" applyFill="1" applyBorder="1" applyAlignment="1">
      <alignment horizontal="right" vertical="center"/>
    </xf>
    <xf numFmtId="0" fontId="15" fillId="10" borderId="38" xfId="0" applyFont="1" applyFill="1" applyBorder="1" applyAlignment="1">
      <alignment vertical="center"/>
    </xf>
    <xf numFmtId="0" fontId="29" fillId="0" borderId="0" xfId="0" applyFont="1" applyAlignment="1">
      <alignment horizontal="right" vertical="center"/>
    </xf>
    <xf numFmtId="0" fontId="20" fillId="14" borderId="30" xfId="0" applyFont="1" applyFill="1" applyBorder="1" applyAlignment="1">
      <alignment horizontal="right" vertical="center"/>
    </xf>
    <xf numFmtId="3" fontId="15" fillId="9" borderId="13" xfId="0" applyNumberFormat="1" applyFont="1" applyFill="1" applyBorder="1" applyAlignment="1">
      <alignment horizontal="right" vertical="center"/>
    </xf>
    <xf numFmtId="0" fontId="15" fillId="10" borderId="35" xfId="0" applyFont="1" applyFill="1" applyBorder="1" applyAlignment="1">
      <alignment vertical="center"/>
    </xf>
    <xf numFmtId="3" fontId="15" fillId="10" borderId="99" xfId="0" applyNumberFormat="1" applyFont="1" applyFill="1" applyBorder="1" applyAlignment="1">
      <alignment horizontal="right" vertical="center"/>
    </xf>
    <xf numFmtId="3" fontId="15" fillId="10" borderId="7" xfId="0" applyNumberFormat="1" applyFont="1" applyFill="1" applyBorder="1" applyAlignment="1">
      <alignment horizontal="right" vertical="center"/>
    </xf>
    <xf numFmtId="3" fontId="15" fillId="10" borderId="5" xfId="0" applyNumberFormat="1" applyFont="1" applyFill="1" applyBorder="1" applyAlignment="1">
      <alignment horizontal="right" vertical="center"/>
    </xf>
    <xf numFmtId="3" fontId="15" fillId="10" borderId="74" xfId="0" applyNumberFormat="1" applyFont="1" applyFill="1" applyBorder="1" applyAlignment="1">
      <alignment horizontal="right" vertical="center"/>
    </xf>
    <xf numFmtId="0" fontId="15" fillId="9" borderId="43" xfId="0" applyFont="1" applyFill="1" applyBorder="1" applyAlignment="1">
      <alignment vertical="center"/>
    </xf>
    <xf numFmtId="3" fontId="15" fillId="9" borderId="100" xfId="0" applyNumberFormat="1" applyFont="1" applyFill="1" applyBorder="1" applyAlignment="1">
      <alignment horizontal="right" vertical="center"/>
    </xf>
    <xf numFmtId="3" fontId="15" fillId="9" borderId="41" xfId="0" applyNumberFormat="1" applyFont="1" applyFill="1" applyBorder="1" applyAlignment="1">
      <alignment horizontal="right" vertical="center"/>
    </xf>
    <xf numFmtId="3" fontId="15" fillId="9" borderId="3" xfId="0" applyNumberFormat="1" applyFont="1" applyFill="1" applyBorder="1" applyAlignment="1">
      <alignment horizontal="right" vertical="center"/>
    </xf>
    <xf numFmtId="3" fontId="15" fillId="9" borderId="68" xfId="0" applyNumberFormat="1" applyFont="1" applyFill="1" applyBorder="1" applyAlignment="1">
      <alignment horizontal="right" vertical="center"/>
    </xf>
    <xf numFmtId="0" fontId="15" fillId="10" borderId="10" xfId="0" applyFont="1" applyFill="1" applyBorder="1" applyAlignment="1">
      <alignment vertical="center"/>
    </xf>
    <xf numFmtId="3" fontId="15" fillId="10" borderId="101" xfId="0" applyNumberFormat="1" applyFont="1" applyFill="1" applyBorder="1" applyAlignment="1">
      <alignment horizontal="right" vertical="center"/>
    </xf>
    <xf numFmtId="3" fontId="15" fillId="10" borderId="42" xfId="0" applyNumberFormat="1" applyFont="1" applyFill="1" applyBorder="1" applyAlignment="1">
      <alignment horizontal="right" vertical="center"/>
    </xf>
    <xf numFmtId="3" fontId="15" fillId="10" borderId="62" xfId="0" applyNumberFormat="1" applyFont="1" applyFill="1" applyBorder="1" applyAlignment="1">
      <alignment horizontal="right" vertical="center"/>
    </xf>
    <xf numFmtId="3" fontId="15" fillId="10" borderId="48" xfId="0" applyNumberFormat="1" applyFont="1" applyFill="1" applyBorder="1" applyAlignment="1">
      <alignment horizontal="right" vertical="center"/>
    </xf>
    <xf numFmtId="0" fontId="15" fillId="29" borderId="37" xfId="0" applyFont="1" applyFill="1" applyBorder="1" applyAlignment="1">
      <alignment horizontal="right" vertical="center"/>
    </xf>
    <xf numFmtId="0" fontId="15" fillId="29" borderId="14" xfId="0" applyFont="1" applyFill="1" applyBorder="1" applyAlignment="1">
      <alignment horizontal="right" vertical="center"/>
    </xf>
    <xf numFmtId="0" fontId="15" fillId="29" borderId="8" xfId="0" applyFont="1" applyFill="1" applyBorder="1" applyAlignment="1">
      <alignment horizontal="right" vertical="center"/>
    </xf>
    <xf numFmtId="0" fontId="15" fillId="10" borderId="60" xfId="0" applyFont="1" applyFill="1" applyBorder="1" applyAlignment="1">
      <alignment vertical="center"/>
    </xf>
    <xf numFmtId="0" fontId="15" fillId="10" borderId="51" xfId="0" applyFont="1" applyFill="1" applyBorder="1" applyAlignment="1">
      <alignment vertical="center"/>
    </xf>
    <xf numFmtId="0" fontId="15" fillId="10" borderId="32" xfId="0" applyFont="1" applyFill="1" applyBorder="1" applyAlignment="1">
      <alignment vertical="center"/>
    </xf>
    <xf numFmtId="0" fontId="15" fillId="17" borderId="33" xfId="0" applyFont="1" applyFill="1" applyBorder="1" applyAlignment="1">
      <alignment vertical="center"/>
    </xf>
    <xf numFmtId="0" fontId="15" fillId="9" borderId="33" xfId="0" applyFont="1" applyFill="1" applyBorder="1" applyAlignment="1">
      <alignment vertical="center"/>
    </xf>
    <xf numFmtId="9" fontId="15" fillId="9" borderId="42" xfId="0" applyNumberFormat="1" applyFont="1" applyFill="1" applyBorder="1" applyAlignment="1">
      <alignment horizontal="right" vertical="center"/>
    </xf>
    <xf numFmtId="9" fontId="15" fillId="9" borderId="62" xfId="0" applyNumberFormat="1" applyFont="1" applyFill="1" applyBorder="1" applyAlignment="1">
      <alignment horizontal="right" vertical="center"/>
    </xf>
    <xf numFmtId="9" fontId="15" fillId="10" borderId="47" xfId="0" applyNumberFormat="1" applyFont="1" applyFill="1" applyBorder="1" applyAlignment="1">
      <alignment horizontal="right" vertical="center"/>
    </xf>
    <xf numFmtId="9" fontId="15" fillId="10" borderId="34" xfId="0" applyNumberFormat="1" applyFont="1" applyFill="1" applyBorder="1" applyAlignment="1">
      <alignment horizontal="right" vertical="center"/>
    </xf>
    <xf numFmtId="0" fontId="15" fillId="10" borderId="94" xfId="0" applyFont="1" applyFill="1" applyBorder="1" applyAlignment="1">
      <alignment vertical="center"/>
    </xf>
    <xf numFmtId="9" fontId="15" fillId="10" borderId="41" xfId="0" applyNumberFormat="1" applyFont="1" applyFill="1" applyBorder="1" applyAlignment="1">
      <alignment horizontal="right" vertical="center"/>
    </xf>
    <xf numFmtId="9" fontId="15" fillId="10" borderId="3" xfId="0" applyNumberFormat="1" applyFont="1" applyFill="1" applyBorder="1" applyAlignment="1">
      <alignment horizontal="right" vertical="center"/>
    </xf>
    <xf numFmtId="9" fontId="15" fillId="10" borderId="68" xfId="0" applyNumberFormat="1" applyFont="1" applyFill="1" applyBorder="1" applyAlignment="1">
      <alignment horizontal="right" vertical="center"/>
    </xf>
    <xf numFmtId="9" fontId="15" fillId="10" borderId="22" xfId="0" applyNumberFormat="1" applyFont="1" applyFill="1" applyBorder="1" applyAlignment="1">
      <alignment horizontal="right" vertical="center"/>
    </xf>
    <xf numFmtId="9" fontId="15" fillId="10" borderId="56" xfId="0" applyNumberFormat="1" applyFont="1" applyFill="1" applyBorder="1" applyAlignment="1">
      <alignment horizontal="right" vertical="center"/>
    </xf>
    <xf numFmtId="9" fontId="15" fillId="10" borderId="61" xfId="0" applyNumberFormat="1" applyFont="1" applyFill="1" applyBorder="1" applyAlignment="1">
      <alignment horizontal="right" vertical="center"/>
    </xf>
    <xf numFmtId="164" fontId="15" fillId="10" borderId="47" xfId="0" applyNumberFormat="1" applyFont="1" applyFill="1" applyBorder="1" applyAlignment="1">
      <alignment horizontal="right" vertical="center"/>
    </xf>
    <xf numFmtId="164" fontId="15" fillId="10" borderId="34" xfId="0" applyNumberFormat="1" applyFont="1" applyFill="1" applyBorder="1" applyAlignment="1">
      <alignment horizontal="right" vertical="center"/>
    </xf>
    <xf numFmtId="164" fontId="15" fillId="10" borderId="36" xfId="0" applyNumberFormat="1" applyFont="1" applyFill="1" applyBorder="1" applyAlignment="1">
      <alignment horizontal="right" vertical="center"/>
    </xf>
    <xf numFmtId="164" fontId="15" fillId="10" borderId="22" xfId="0" applyNumberFormat="1" applyFont="1" applyFill="1" applyBorder="1" applyAlignment="1">
      <alignment horizontal="right" vertical="center"/>
    </xf>
    <xf numFmtId="164" fontId="15" fillId="10" borderId="56" xfId="0" applyNumberFormat="1" applyFont="1" applyFill="1" applyBorder="1" applyAlignment="1">
      <alignment horizontal="right" vertical="center"/>
    </xf>
    <xf numFmtId="164" fontId="15" fillId="10" borderId="61" xfId="0" applyNumberFormat="1" applyFont="1" applyFill="1" applyBorder="1" applyAlignment="1">
      <alignment horizontal="right" vertical="center"/>
    </xf>
    <xf numFmtId="9" fontId="15" fillId="10" borderId="42" xfId="0" applyNumberFormat="1" applyFont="1" applyFill="1" applyBorder="1" applyAlignment="1">
      <alignment horizontal="right" vertical="center"/>
    </xf>
    <xf numFmtId="9" fontId="15" fillId="10" borderId="62" xfId="0" applyNumberFormat="1" applyFont="1" applyFill="1" applyBorder="1" applyAlignment="1">
      <alignment horizontal="right" vertical="center"/>
    </xf>
    <xf numFmtId="9" fontId="15" fillId="10" borderId="48" xfId="0" applyNumberFormat="1" applyFont="1" applyFill="1" applyBorder="1" applyAlignment="1">
      <alignment horizontal="right" vertical="center"/>
    </xf>
    <xf numFmtId="164" fontId="15" fillId="9" borderId="14" xfId="0" applyNumberFormat="1" applyFont="1" applyFill="1" applyBorder="1" applyAlignment="1">
      <alignment horizontal="right" vertical="center"/>
    </xf>
    <xf numFmtId="164" fontId="15" fillId="9" borderId="8" xfId="0" applyNumberFormat="1" applyFont="1" applyFill="1" applyBorder="1" applyAlignment="1">
      <alignment horizontal="right" vertical="center"/>
    </xf>
    <xf numFmtId="0" fontId="15" fillId="17" borderId="18" xfId="0" applyFont="1" applyFill="1" applyBorder="1" applyAlignment="1">
      <alignment horizontal="right" vertical="center"/>
    </xf>
    <xf numFmtId="0" fontId="15" fillId="17" borderId="15" xfId="0" applyFont="1" applyFill="1" applyBorder="1" applyAlignment="1">
      <alignment horizontal="right" vertical="center"/>
    </xf>
    <xf numFmtId="164" fontId="15" fillId="9" borderId="56" xfId="0" applyNumberFormat="1" applyFont="1" applyFill="1" applyBorder="1" applyAlignment="1">
      <alignment horizontal="right" vertical="center"/>
    </xf>
    <xf numFmtId="164" fontId="15" fillId="9" borderId="61" xfId="0" applyNumberFormat="1" applyFont="1" applyFill="1" applyBorder="1" applyAlignment="1">
      <alignment horizontal="right" vertical="center"/>
    </xf>
    <xf numFmtId="0" fontId="1" fillId="0" borderId="25" xfId="0" applyFont="1" applyBorder="1" applyAlignment="1">
      <alignment vertical="center"/>
    </xf>
    <xf numFmtId="0" fontId="1" fillId="0" borderId="31" xfId="0" applyFont="1" applyBorder="1" applyAlignment="1">
      <alignment vertical="center"/>
    </xf>
    <xf numFmtId="164" fontId="1" fillId="0" borderId="12" xfId="0" applyNumberFormat="1" applyFont="1" applyBorder="1" applyAlignment="1">
      <alignment vertical="center"/>
    </xf>
    <xf numFmtId="164" fontId="1" fillId="0" borderId="13" xfId="0" applyNumberFormat="1" applyFont="1" applyBorder="1" applyAlignment="1">
      <alignment vertical="center"/>
    </xf>
    <xf numFmtId="1" fontId="1" fillId="0" borderId="33" xfId="0" applyNumberFormat="1" applyFont="1" applyBorder="1" applyAlignment="1">
      <alignment vertical="center"/>
    </xf>
    <xf numFmtId="1" fontId="1" fillId="0" borderId="29" xfId="0" applyNumberFormat="1" applyFont="1" applyBorder="1" applyAlignment="1">
      <alignment vertical="center"/>
    </xf>
    <xf numFmtId="164" fontId="1" fillId="0" borderId="12" xfId="0" applyNumberFormat="1" applyFont="1" applyBorder="1" applyAlignment="1">
      <alignment horizontal="right" vertical="center"/>
    </xf>
    <xf numFmtId="164" fontId="1" fillId="0" borderId="24" xfId="0" applyNumberFormat="1" applyFont="1" applyBorder="1" applyAlignment="1">
      <alignment horizontal="right" vertical="center"/>
    </xf>
    <xf numFmtId="164" fontId="1" fillId="0" borderId="13" xfId="0" applyNumberFormat="1" applyFont="1" applyBorder="1" applyAlignment="1">
      <alignment horizontal="right" vertical="center"/>
    </xf>
    <xf numFmtId="164" fontId="1" fillId="0" borderId="29" xfId="0" applyNumberFormat="1" applyFont="1" applyBorder="1" applyAlignment="1">
      <alignment horizontal="right" vertical="center"/>
    </xf>
    <xf numFmtId="164" fontId="1" fillId="0" borderId="55" xfId="0" applyNumberFormat="1" applyFont="1" applyBorder="1" applyAlignment="1">
      <alignment horizontal="right" vertical="center"/>
    </xf>
    <xf numFmtId="164" fontId="1" fillId="0" borderId="30" xfId="0" applyNumberFormat="1" applyFont="1" applyBorder="1" applyAlignment="1">
      <alignment horizontal="right" vertical="center"/>
    </xf>
    <xf numFmtId="164" fontId="1" fillId="0" borderId="28" xfId="0" applyNumberFormat="1" applyFont="1" applyBorder="1" applyAlignment="1">
      <alignment horizontal="right" vertical="center"/>
    </xf>
    <xf numFmtId="164" fontId="1" fillId="0" borderId="23" xfId="0" applyNumberFormat="1" applyFont="1" applyBorder="1" applyAlignment="1">
      <alignment horizontal="right" vertical="center"/>
    </xf>
    <xf numFmtId="164" fontId="1" fillId="0" borderId="33" xfId="0" applyNumberFormat="1" applyFont="1" applyBorder="1" applyAlignment="1">
      <alignment horizontal="right" vertical="center"/>
    </xf>
    <xf numFmtId="164" fontId="1" fillId="0" borderId="18" xfId="0" applyNumberFormat="1" applyFont="1" applyBorder="1" applyAlignment="1">
      <alignment horizontal="right" vertical="center"/>
    </xf>
    <xf numFmtId="164" fontId="1" fillId="0" borderId="15" xfId="0" applyNumberFormat="1" applyFont="1" applyBorder="1" applyAlignment="1">
      <alignment horizontal="right" vertical="center"/>
    </xf>
    <xf numFmtId="9" fontId="15" fillId="9" borderId="38" xfId="0" applyNumberFormat="1" applyFont="1" applyFill="1" applyBorder="1" applyAlignment="1">
      <alignment horizontal="left" vertical="center"/>
    </xf>
    <xf numFmtId="3" fontId="28" fillId="0" borderId="7" xfId="0" applyNumberFormat="1" applyFont="1" applyBorder="1" applyAlignment="1">
      <alignment horizontal="right" vertical="center"/>
    </xf>
    <xf numFmtId="3" fontId="28" fillId="9" borderId="41" xfId="0" applyNumberFormat="1" applyFont="1" applyFill="1" applyBorder="1" applyAlignment="1">
      <alignment horizontal="right" vertical="center"/>
    </xf>
    <xf numFmtId="3" fontId="28" fillId="0" borderId="37" xfId="0" applyNumberFormat="1" applyFont="1" applyBorder="1" applyAlignment="1">
      <alignment horizontal="right" vertical="center"/>
    </xf>
    <xf numFmtId="3" fontId="28" fillId="9" borderId="77" xfId="0" applyNumberFormat="1" applyFont="1" applyFill="1" applyBorder="1" applyAlignment="1">
      <alignment horizontal="right" vertical="center"/>
    </xf>
    <xf numFmtId="3" fontId="28" fillId="0" borderId="83" xfId="0" applyNumberFormat="1" applyFont="1" applyBorder="1" applyAlignment="1">
      <alignment horizontal="right" vertical="center"/>
    </xf>
    <xf numFmtId="3" fontId="28" fillId="0" borderId="62" xfId="0" applyNumberFormat="1" applyFont="1" applyBorder="1" applyAlignment="1">
      <alignment horizontal="right" vertical="center"/>
    </xf>
    <xf numFmtId="3" fontId="28" fillId="0" borderId="5" xfId="0" applyNumberFormat="1" applyFont="1" applyBorder="1" applyAlignment="1">
      <alignment horizontal="right" vertical="center"/>
    </xf>
    <xf numFmtId="3" fontId="28" fillId="0" borderId="74" xfId="0" applyNumberFormat="1" applyFont="1" applyBorder="1" applyAlignment="1">
      <alignment horizontal="right" vertical="center"/>
    </xf>
    <xf numFmtId="3" fontId="28" fillId="9" borderId="3" xfId="0" applyNumberFormat="1" applyFont="1" applyFill="1" applyBorder="1" applyAlignment="1">
      <alignment horizontal="right" vertical="center"/>
    </xf>
    <xf numFmtId="3" fontId="28" fillId="9" borderId="68" xfId="0" applyNumberFormat="1" applyFont="1" applyFill="1" applyBorder="1" applyAlignment="1">
      <alignment horizontal="right" vertical="center"/>
    </xf>
    <xf numFmtId="3" fontId="28" fillId="0" borderId="10" xfId="0" applyNumberFormat="1" applyFont="1" applyBorder="1" applyAlignment="1">
      <alignment horizontal="right" vertical="center"/>
    </xf>
    <xf numFmtId="9" fontId="28" fillId="0" borderId="83" xfId="0" applyNumberFormat="1" applyFont="1" applyBorder="1" applyAlignment="1">
      <alignment horizontal="right" vertical="center"/>
    </xf>
    <xf numFmtId="9" fontId="28" fillId="0" borderId="48" xfId="0" applyNumberFormat="1" applyFont="1" applyBorder="1" applyAlignment="1">
      <alignment horizontal="right" vertical="center"/>
    </xf>
    <xf numFmtId="9" fontId="28" fillId="0" borderId="42" xfId="0" applyNumberFormat="1" applyFont="1" applyBorder="1" applyAlignment="1">
      <alignment horizontal="right" vertical="center"/>
    </xf>
    <xf numFmtId="9" fontId="28" fillId="0" borderId="62" xfId="0" applyNumberFormat="1" applyFont="1" applyBorder="1" applyAlignment="1">
      <alignment horizontal="right" vertical="center"/>
    </xf>
    <xf numFmtId="165" fontId="15" fillId="9" borderId="61" xfId="0" applyNumberFormat="1" applyFont="1" applyFill="1" applyBorder="1" applyAlignment="1">
      <alignment horizontal="right" vertical="center"/>
    </xf>
    <xf numFmtId="0" fontId="20" fillId="14" borderId="19" xfId="0" applyFont="1" applyFill="1" applyBorder="1" applyAlignment="1">
      <alignment horizontal="left" vertical="center"/>
    </xf>
    <xf numFmtId="9" fontId="28" fillId="9" borderId="22" xfId="0" applyNumberFormat="1" applyFont="1" applyFill="1" applyBorder="1" applyAlignment="1">
      <alignment horizontal="right" vertical="center"/>
    </xf>
    <xf numFmtId="0" fontId="15" fillId="9" borderId="19" xfId="0" applyFont="1" applyFill="1" applyBorder="1" applyAlignment="1">
      <alignment horizontal="left" vertical="center"/>
    </xf>
    <xf numFmtId="166" fontId="1" fillId="0" borderId="33" xfId="0" applyNumberFormat="1" applyFont="1" applyBorder="1" applyAlignment="1">
      <alignment vertical="center"/>
    </xf>
    <xf numFmtId="166" fontId="1" fillId="0" borderId="15" xfId="0" applyNumberFormat="1" applyFont="1" applyBorder="1" applyAlignment="1">
      <alignment vertical="center"/>
    </xf>
    <xf numFmtId="1" fontId="1" fillId="0" borderId="30" xfId="0" applyNumberFormat="1" applyFont="1" applyBorder="1" applyAlignment="1">
      <alignment vertical="center"/>
    </xf>
    <xf numFmtId="165" fontId="15" fillId="9" borderId="14" xfId="0" applyNumberFormat="1" applyFont="1" applyFill="1" applyBorder="1" applyAlignment="1">
      <alignment horizontal="right" vertical="center"/>
    </xf>
    <xf numFmtId="3" fontId="15" fillId="9" borderId="25" xfId="0" applyNumberFormat="1" applyFont="1" applyFill="1" applyBorder="1" applyAlignment="1">
      <alignment horizontal="right" vertical="center"/>
    </xf>
    <xf numFmtId="164" fontId="16" fillId="0" borderId="0" xfId="0" applyNumberFormat="1" applyFont="1" applyAlignment="1">
      <alignment vertical="center"/>
    </xf>
    <xf numFmtId="0" fontId="1" fillId="0" borderId="29" xfId="0" applyFont="1" applyBorder="1" applyAlignment="1">
      <alignment horizontal="right" vertical="center"/>
    </xf>
    <xf numFmtId="9" fontId="28" fillId="10" borderId="47" xfId="0" applyNumberFormat="1" applyFont="1" applyFill="1" applyBorder="1" applyAlignment="1">
      <alignment horizontal="right" vertical="center"/>
    </xf>
    <xf numFmtId="9" fontId="28" fillId="10" borderId="36" xfId="0" applyNumberFormat="1" applyFont="1" applyFill="1" applyBorder="1" applyAlignment="1">
      <alignment horizontal="right" vertical="center"/>
    </xf>
    <xf numFmtId="0" fontId="1" fillId="0" borderId="55" xfId="0" applyFont="1" applyBorder="1" applyAlignment="1">
      <alignment horizontal="right" vertical="center"/>
    </xf>
    <xf numFmtId="0" fontId="1" fillId="0" borderId="30" xfId="0" applyFont="1" applyBorder="1" applyAlignment="1">
      <alignment horizontal="right" vertical="center"/>
    </xf>
    <xf numFmtId="0" fontId="1" fillId="0" borderId="28" xfId="0" applyFont="1" applyBorder="1" applyAlignment="1">
      <alignment horizontal="right" vertical="center"/>
    </xf>
    <xf numFmtId="0" fontId="28" fillId="10" borderId="60" xfId="0" applyFont="1" applyFill="1" applyBorder="1" applyAlignment="1">
      <alignment vertical="center"/>
    </xf>
    <xf numFmtId="3" fontId="28" fillId="10" borderId="42" xfId="0" applyNumberFormat="1" applyFont="1" applyFill="1" applyBorder="1" applyAlignment="1">
      <alignment horizontal="right" vertical="center"/>
    </xf>
    <xf numFmtId="3" fontId="28" fillId="10" borderId="48" xfId="0" applyNumberFormat="1" applyFont="1" applyFill="1" applyBorder="1" applyAlignment="1">
      <alignment horizontal="right" vertical="center"/>
    </xf>
    <xf numFmtId="0" fontId="28" fillId="10" borderId="32" xfId="0" applyFont="1" applyFill="1" applyBorder="1" applyAlignment="1">
      <alignment vertical="center"/>
    </xf>
    <xf numFmtId="3" fontId="28" fillId="10" borderId="22" xfId="0" applyNumberFormat="1" applyFont="1" applyFill="1" applyBorder="1" applyAlignment="1">
      <alignment horizontal="right" vertical="center"/>
    </xf>
    <xf numFmtId="3" fontId="28" fillId="10" borderId="61" xfId="0" applyNumberFormat="1" applyFont="1" applyFill="1" applyBorder="1" applyAlignment="1">
      <alignment horizontal="right" vertical="center"/>
    </xf>
    <xf numFmtId="3" fontId="28" fillId="10" borderId="47" xfId="0" applyNumberFormat="1" applyFont="1" applyFill="1" applyBorder="1" applyAlignment="1">
      <alignment horizontal="right" vertical="center"/>
    </xf>
    <xf numFmtId="3" fontId="28" fillId="10" borderId="36" xfId="0" applyNumberFormat="1" applyFont="1" applyFill="1" applyBorder="1" applyAlignment="1">
      <alignment horizontal="right" vertical="center"/>
    </xf>
    <xf numFmtId="0" fontId="1" fillId="0" borderId="23" xfId="0" applyFont="1" applyBorder="1" applyAlignment="1">
      <alignment horizontal="right" vertical="center"/>
    </xf>
    <xf numFmtId="0" fontId="1" fillId="0" borderId="33" xfId="0" applyFont="1" applyBorder="1" applyAlignment="1">
      <alignment horizontal="right" vertical="center"/>
    </xf>
    <xf numFmtId="0" fontId="1" fillId="0" borderId="18" xfId="0" applyFont="1" applyBorder="1" applyAlignment="1">
      <alignment horizontal="right" vertical="center"/>
    </xf>
    <xf numFmtId="0" fontId="1" fillId="0" borderId="15" xfId="0" applyFont="1" applyBorder="1" applyAlignment="1">
      <alignment horizontal="right" vertical="center"/>
    </xf>
    <xf numFmtId="166" fontId="1" fillId="0" borderId="29" xfId="0" applyNumberFormat="1" applyFont="1" applyBorder="1" applyAlignment="1">
      <alignment vertical="center"/>
    </xf>
    <xf numFmtId="166" fontId="1" fillId="0" borderId="55" xfId="0" applyNumberFormat="1" applyFont="1" applyBorder="1" applyAlignment="1">
      <alignment vertical="center"/>
    </xf>
    <xf numFmtId="166" fontId="1" fillId="0" borderId="30" xfId="0" applyNumberFormat="1" applyFont="1" applyBorder="1" applyAlignment="1">
      <alignment vertical="center"/>
    </xf>
    <xf numFmtId="166" fontId="1" fillId="0" borderId="18" xfId="0" applyNumberFormat="1" applyFont="1" applyBorder="1" applyAlignment="1">
      <alignment vertical="center"/>
    </xf>
    <xf numFmtId="0" fontId="1" fillId="0" borderId="49" xfId="0" applyFont="1" applyBorder="1" applyAlignment="1">
      <alignment vertical="center"/>
    </xf>
    <xf numFmtId="0" fontId="1" fillId="0" borderId="29" xfId="0" applyFont="1" applyBorder="1"/>
    <xf numFmtId="0" fontId="1" fillId="0" borderId="28" xfId="0" applyFont="1" applyBorder="1"/>
    <xf numFmtId="0" fontId="1" fillId="0" borderId="33" xfId="0" applyFont="1" applyBorder="1"/>
    <xf numFmtId="9" fontId="15" fillId="17" borderId="25" xfId="0" applyNumberFormat="1" applyFont="1" applyFill="1" applyBorder="1" applyAlignment="1">
      <alignment horizontal="right" vertical="center"/>
    </xf>
    <xf numFmtId="0" fontId="15" fillId="17" borderId="49" xfId="0" applyFont="1" applyFill="1" applyBorder="1" applyAlignment="1">
      <alignment horizontal="right" vertical="center"/>
    </xf>
    <xf numFmtId="0" fontId="15" fillId="17" borderId="31" xfId="0" applyFont="1" applyFill="1" applyBorder="1" applyAlignment="1">
      <alignment horizontal="right" vertical="center"/>
    </xf>
    <xf numFmtId="0" fontId="20" fillId="14" borderId="19" xfId="0" applyFont="1" applyFill="1" applyBorder="1" applyAlignment="1">
      <alignment horizontal="right" vertical="center" wrapText="1"/>
    </xf>
    <xf numFmtId="0" fontId="20" fillId="14" borderId="37" xfId="0" applyFont="1" applyFill="1" applyBorder="1" applyAlignment="1">
      <alignment horizontal="right" vertical="center" wrapText="1"/>
    </xf>
    <xf numFmtId="0" fontId="20" fillId="14" borderId="14" xfId="0" applyFont="1" applyFill="1" applyBorder="1" applyAlignment="1">
      <alignment horizontal="right" vertical="center" wrapText="1"/>
    </xf>
    <xf numFmtId="0" fontId="20" fillId="14" borderId="8" xfId="0" applyFont="1" applyFill="1" applyBorder="1" applyAlignment="1">
      <alignment horizontal="right" vertical="center" wrapText="1"/>
    </xf>
    <xf numFmtId="0" fontId="20" fillId="14" borderId="37" xfId="0" applyFont="1" applyFill="1" applyBorder="1" applyAlignment="1">
      <alignment vertical="center"/>
    </xf>
    <xf numFmtId="0" fontId="20" fillId="14" borderId="14" xfId="0" applyFont="1" applyFill="1" applyBorder="1" applyAlignment="1">
      <alignment vertical="center"/>
    </xf>
    <xf numFmtId="0" fontId="20" fillId="14" borderId="8" xfId="0" applyFont="1" applyFill="1" applyBorder="1" applyAlignment="1">
      <alignment vertical="center"/>
    </xf>
    <xf numFmtId="0" fontId="15" fillId="0" borderId="0" xfId="0" applyFont="1" applyAlignment="1">
      <alignment horizontal="right" vertical="center"/>
    </xf>
    <xf numFmtId="1" fontId="15" fillId="9" borderId="73" xfId="0" applyNumberFormat="1" applyFont="1" applyFill="1" applyBorder="1" applyAlignment="1">
      <alignment horizontal="right" vertical="center"/>
    </xf>
    <xf numFmtId="0" fontId="28" fillId="0" borderId="19" xfId="0" applyFont="1" applyBorder="1" applyAlignment="1">
      <alignment vertical="center"/>
    </xf>
    <xf numFmtId="0" fontId="28" fillId="0" borderId="31" xfId="0" applyFont="1" applyBorder="1" applyAlignment="1">
      <alignment vertical="center"/>
    </xf>
    <xf numFmtId="9" fontId="15" fillId="10" borderId="73" xfId="0" applyNumberFormat="1" applyFont="1" applyFill="1" applyBorder="1" applyAlignment="1">
      <alignment horizontal="right" vertical="center"/>
    </xf>
    <xf numFmtId="1" fontId="15" fillId="9" borderId="36" xfId="0" applyNumberFormat="1" applyFont="1" applyFill="1" applyBorder="1" applyAlignment="1">
      <alignment horizontal="right" vertical="center"/>
    </xf>
    <xf numFmtId="9" fontId="15" fillId="9" borderId="83" xfId="0" applyNumberFormat="1" applyFont="1" applyFill="1" applyBorder="1" applyAlignment="1">
      <alignment horizontal="right" vertical="center"/>
    </xf>
    <xf numFmtId="1" fontId="15" fillId="9" borderId="48" xfId="0" applyNumberFormat="1" applyFont="1" applyFill="1" applyBorder="1" applyAlignment="1">
      <alignment horizontal="right" vertical="center"/>
    </xf>
    <xf numFmtId="9" fontId="15" fillId="9" borderId="85" xfId="0" applyNumberFormat="1" applyFont="1" applyFill="1" applyBorder="1" applyAlignment="1">
      <alignment horizontal="right" vertical="center"/>
    </xf>
    <xf numFmtId="1" fontId="15" fillId="10" borderId="73" xfId="0" applyNumberFormat="1" applyFont="1" applyFill="1" applyBorder="1" applyAlignment="1">
      <alignment horizontal="right" vertical="center"/>
    </xf>
    <xf numFmtId="1" fontId="15" fillId="9" borderId="85" xfId="0" applyNumberFormat="1" applyFont="1" applyFill="1" applyBorder="1" applyAlignment="1">
      <alignment horizontal="right" vertical="center"/>
    </xf>
    <xf numFmtId="1" fontId="15" fillId="9" borderId="102" xfId="0" applyNumberFormat="1" applyFont="1" applyFill="1" applyBorder="1" applyAlignment="1">
      <alignment horizontal="right" vertical="center"/>
    </xf>
    <xf numFmtId="1" fontId="15" fillId="9" borderId="74" xfId="0" applyNumberFormat="1" applyFont="1" applyFill="1" applyBorder="1" applyAlignment="1">
      <alignment horizontal="right" vertical="center"/>
    </xf>
    <xf numFmtId="9" fontId="15" fillId="0" borderId="22" xfId="0" applyNumberFormat="1" applyFont="1" applyBorder="1" applyAlignment="1">
      <alignment horizontal="right" vertical="center"/>
    </xf>
    <xf numFmtId="3" fontId="16" fillId="0" borderId="0" xfId="0" applyNumberFormat="1" applyFont="1" applyAlignment="1">
      <alignment vertical="center"/>
    </xf>
    <xf numFmtId="9" fontId="15" fillId="0" borderId="42" xfId="0" applyNumberFormat="1" applyFont="1" applyBorder="1" applyAlignment="1">
      <alignment horizontal="right" vertical="center"/>
    </xf>
    <xf numFmtId="0" fontId="15" fillId="11" borderId="12" xfId="0" applyFont="1" applyFill="1" applyBorder="1" applyAlignment="1">
      <alignment vertical="center"/>
    </xf>
    <xf numFmtId="0" fontId="15" fillId="11" borderId="24" xfId="0" applyFont="1" applyFill="1" applyBorder="1" applyAlignment="1">
      <alignment vertical="center"/>
    </xf>
    <xf numFmtId="0" fontId="15" fillId="11" borderId="13" xfId="0" applyFont="1" applyFill="1" applyBorder="1" applyAlignment="1">
      <alignment vertical="center"/>
    </xf>
    <xf numFmtId="1" fontId="15" fillId="10" borderId="102" xfId="0" applyNumberFormat="1" applyFont="1" applyFill="1" applyBorder="1" applyAlignment="1">
      <alignment horizontal="right" vertical="center"/>
    </xf>
    <xf numFmtId="1" fontId="15" fillId="0" borderId="0" xfId="0" applyNumberFormat="1" applyFont="1" applyAlignment="1">
      <alignment horizontal="right" vertical="center"/>
    </xf>
    <xf numFmtId="1" fontId="15" fillId="9" borderId="61" xfId="0" applyNumberFormat="1" applyFont="1" applyFill="1" applyBorder="1" applyAlignment="1">
      <alignment horizontal="right" vertical="center"/>
    </xf>
    <xf numFmtId="0" fontId="15" fillId="10" borderId="46" xfId="0" applyFont="1" applyFill="1" applyBorder="1" applyAlignment="1">
      <alignment vertical="center"/>
    </xf>
    <xf numFmtId="1" fontId="15" fillId="10" borderId="36" xfId="0" applyNumberFormat="1" applyFont="1" applyFill="1" applyBorder="1" applyAlignment="1">
      <alignment horizontal="right" vertical="center"/>
    </xf>
    <xf numFmtId="0" fontId="28" fillId="11" borderId="19" xfId="0" applyFont="1" applyFill="1" applyBorder="1" applyAlignment="1">
      <alignment horizontal="right" vertical="center"/>
    </xf>
    <xf numFmtId="3" fontId="28" fillId="9" borderId="41" xfId="0" applyNumberFormat="1" applyFont="1" applyFill="1" applyBorder="1" applyAlignment="1">
      <alignment vertical="center"/>
    </xf>
    <xf numFmtId="3" fontId="28" fillId="9" borderId="68" xfId="0" applyNumberFormat="1" applyFont="1" applyFill="1" applyBorder="1" applyAlignment="1">
      <alignment vertical="center"/>
    </xf>
    <xf numFmtId="0" fontId="28" fillId="0" borderId="103" xfId="0" applyFont="1" applyBorder="1" applyAlignment="1">
      <alignment vertical="center"/>
    </xf>
    <xf numFmtId="0" fontId="28" fillId="0" borderId="60" xfId="0" applyFont="1" applyBorder="1" applyAlignment="1">
      <alignment vertical="center"/>
    </xf>
    <xf numFmtId="0" fontId="20" fillId="14" borderId="77" xfId="0" applyFont="1" applyFill="1" applyBorder="1" applyAlignment="1">
      <alignment horizontal="right" vertical="center"/>
    </xf>
    <xf numFmtId="0" fontId="15" fillId="9" borderId="35" xfId="0" applyFont="1" applyFill="1" applyBorder="1" applyAlignment="1">
      <alignment horizontal="left" vertical="center"/>
    </xf>
    <xf numFmtId="0" fontId="28" fillId="10" borderId="51" xfId="0" applyFont="1" applyFill="1" applyBorder="1" applyAlignment="1">
      <alignment vertical="center"/>
    </xf>
    <xf numFmtId="0" fontId="15" fillId="9" borderId="38" xfId="0" applyFont="1" applyFill="1" applyBorder="1" applyAlignment="1">
      <alignment horizontal="left" vertical="center"/>
    </xf>
    <xf numFmtId="9" fontId="15" fillId="9" borderId="35" xfId="0" applyNumberFormat="1" applyFont="1" applyFill="1" applyBorder="1" applyAlignment="1">
      <alignment horizontal="left" vertical="center"/>
    </xf>
    <xf numFmtId="9" fontId="28" fillId="10" borderId="51" xfId="0" applyNumberFormat="1" applyFont="1" applyFill="1" applyBorder="1" applyAlignment="1">
      <alignment vertical="center"/>
    </xf>
    <xf numFmtId="169" fontId="1" fillId="0" borderId="12" xfId="0" applyNumberFormat="1" applyFont="1" applyBorder="1" applyAlignment="1">
      <alignment vertical="center"/>
    </xf>
    <xf numFmtId="169" fontId="1" fillId="0" borderId="13" xfId="0" applyNumberFormat="1" applyFont="1" applyBorder="1" applyAlignment="1">
      <alignment vertical="center"/>
    </xf>
    <xf numFmtId="164" fontId="1" fillId="0" borderId="28" xfId="0" applyNumberFormat="1" applyFont="1" applyBorder="1" applyAlignment="1">
      <alignment vertical="center"/>
    </xf>
    <xf numFmtId="164" fontId="1" fillId="0" borderId="23" xfId="0" applyNumberFormat="1" applyFont="1" applyBorder="1" applyAlignment="1">
      <alignment vertical="center"/>
    </xf>
    <xf numFmtId="166" fontId="1" fillId="0" borderId="28" xfId="0" applyNumberFormat="1" applyFont="1" applyBorder="1" applyAlignment="1">
      <alignment vertical="center"/>
    </xf>
    <xf numFmtId="166" fontId="1" fillId="0" borderId="23" xfId="0" applyNumberFormat="1" applyFont="1" applyBorder="1" applyAlignment="1">
      <alignment vertical="center"/>
    </xf>
    <xf numFmtId="166" fontId="1" fillId="0" borderId="12" xfId="0" applyNumberFormat="1" applyFont="1" applyBorder="1" applyAlignment="1">
      <alignment vertical="center"/>
    </xf>
    <xf numFmtId="166" fontId="1" fillId="0" borderId="13" xfId="0" applyNumberFormat="1" applyFont="1" applyBorder="1" applyAlignment="1">
      <alignment vertical="center"/>
    </xf>
    <xf numFmtId="1" fontId="1" fillId="0" borderId="12" xfId="0" applyNumberFormat="1" applyFont="1" applyBorder="1" applyAlignment="1">
      <alignment vertical="center"/>
    </xf>
    <xf numFmtId="1" fontId="1" fillId="0" borderId="13" xfId="0" applyNumberFormat="1" applyFont="1" applyBorder="1" applyAlignment="1">
      <alignment vertical="center"/>
    </xf>
    <xf numFmtId="1" fontId="1" fillId="0" borderId="28" xfId="0" applyNumberFormat="1" applyFont="1" applyBorder="1" applyAlignment="1">
      <alignment vertical="center"/>
    </xf>
    <xf numFmtId="1" fontId="1" fillId="0" borderId="23" xfId="0" applyNumberFormat="1" applyFont="1" applyBorder="1" applyAlignment="1">
      <alignment vertical="center"/>
    </xf>
    <xf numFmtId="1" fontId="1" fillId="0" borderId="15" xfId="0" applyNumberFormat="1" applyFont="1" applyBorder="1" applyAlignment="1">
      <alignment vertical="center"/>
    </xf>
    <xf numFmtId="1" fontId="1" fillId="17" borderId="15" xfId="0" applyNumberFormat="1" applyFont="1" applyFill="1" applyBorder="1" applyAlignment="1">
      <alignment vertical="center"/>
    </xf>
    <xf numFmtId="0" fontId="1" fillId="0" borderId="25" xfId="0" applyFont="1" applyBorder="1" applyAlignment="1">
      <alignment horizontal="right" vertical="center"/>
    </xf>
    <xf numFmtId="0" fontId="1" fillId="0" borderId="49" xfId="0" applyFont="1" applyBorder="1" applyAlignment="1">
      <alignment horizontal="right" vertical="center"/>
    </xf>
    <xf numFmtId="0" fontId="1" fillId="0" borderId="31" xfId="0" applyFont="1" applyBorder="1" applyAlignment="1">
      <alignment horizontal="right" vertical="center"/>
    </xf>
    <xf numFmtId="0" fontId="15" fillId="0" borderId="12" xfId="0" applyFont="1" applyBorder="1" applyAlignment="1">
      <alignment vertical="center"/>
    </xf>
    <xf numFmtId="0" fontId="15" fillId="0" borderId="13" xfId="0" applyFont="1" applyBorder="1"/>
    <xf numFmtId="0" fontId="15" fillId="0" borderId="28" xfId="0" applyFont="1" applyBorder="1" applyAlignment="1">
      <alignment vertical="center"/>
    </xf>
    <xf numFmtId="0" fontId="15" fillId="0" borderId="23" xfId="0" applyFont="1" applyBorder="1"/>
    <xf numFmtId="0" fontId="15" fillId="0" borderId="33" xfId="0" applyFont="1" applyBorder="1" applyAlignment="1">
      <alignment vertical="center"/>
    </xf>
    <xf numFmtId="0" fontId="15" fillId="0" borderId="15" xfId="0" applyFont="1" applyBorder="1"/>
    <xf numFmtId="169" fontId="15" fillId="0" borderId="12" xfId="0" applyNumberFormat="1" applyFont="1" applyBorder="1" applyAlignment="1">
      <alignment horizontal="right" vertical="center"/>
    </xf>
    <xf numFmtId="169" fontId="15" fillId="0" borderId="13" xfId="0" applyNumberFormat="1" applyFont="1" applyBorder="1" applyAlignment="1">
      <alignment horizontal="right" vertical="center"/>
    </xf>
    <xf numFmtId="1" fontId="15" fillId="0" borderId="12" xfId="0" applyNumberFormat="1" applyFont="1" applyBorder="1" applyAlignment="1">
      <alignment horizontal="right" vertical="center"/>
    </xf>
    <xf numFmtId="1" fontId="15" fillId="0" borderId="13" xfId="0" applyNumberFormat="1" applyFont="1" applyBorder="1" applyAlignment="1">
      <alignment horizontal="right" vertical="center"/>
    </xf>
    <xf numFmtId="1" fontId="15" fillId="0" borderId="28" xfId="0" applyNumberFormat="1" applyFont="1" applyBorder="1" applyAlignment="1">
      <alignment horizontal="right" vertical="center"/>
    </xf>
    <xf numFmtId="1" fontId="15" fillId="0" borderId="23" xfId="0" applyNumberFormat="1" applyFont="1" applyBorder="1" applyAlignment="1">
      <alignment horizontal="right" vertical="center"/>
    </xf>
    <xf numFmtId="1" fontId="15" fillId="0" borderId="33" xfId="0" applyNumberFormat="1" applyFont="1" applyBorder="1" applyAlignment="1">
      <alignment horizontal="right" vertical="center"/>
    </xf>
    <xf numFmtId="1" fontId="15" fillId="0" borderId="15" xfId="0" applyNumberFormat="1" applyFont="1" applyBorder="1" applyAlignment="1">
      <alignment horizontal="right" vertical="center"/>
    </xf>
    <xf numFmtId="0" fontId="15" fillId="18" borderId="37" xfId="0" applyFont="1" applyFill="1" applyBorder="1" applyAlignment="1">
      <alignment horizontal="right" vertical="center"/>
    </xf>
    <xf numFmtId="0" fontId="15" fillId="18" borderId="8" xfId="0" applyFont="1" applyFill="1" applyBorder="1" applyAlignment="1">
      <alignment horizontal="right" vertical="center"/>
    </xf>
    <xf numFmtId="164" fontId="15" fillId="0" borderId="47" xfId="0" applyNumberFormat="1" applyFont="1" applyBorder="1" applyAlignment="1">
      <alignment horizontal="right" vertical="center"/>
    </xf>
    <xf numFmtId="0" fontId="15" fillId="11" borderId="14" xfId="0" applyFont="1" applyFill="1" applyBorder="1" applyAlignment="1">
      <alignment horizontal="right" vertical="center"/>
    </xf>
    <xf numFmtId="164" fontId="15" fillId="0" borderId="36" xfId="0" applyNumberFormat="1" applyFont="1" applyBorder="1" applyAlignment="1">
      <alignment horizontal="right" vertical="center"/>
    </xf>
    <xf numFmtId="9" fontId="16" fillId="0" borderId="0" xfId="0" applyNumberFormat="1" applyFont="1" applyAlignment="1">
      <alignment vertical="center"/>
    </xf>
    <xf numFmtId="164" fontId="15" fillId="0" borderId="34" xfId="0" applyNumberFormat="1" applyFont="1" applyBorder="1" applyAlignment="1">
      <alignment horizontal="right" vertical="center"/>
    </xf>
    <xf numFmtId="164" fontId="15" fillId="0" borderId="22" xfId="0" applyNumberFormat="1" applyFont="1" applyBorder="1" applyAlignment="1">
      <alignment horizontal="right" vertical="center"/>
    </xf>
    <xf numFmtId="164" fontId="15" fillId="0" borderId="56" xfId="0" applyNumberFormat="1" applyFont="1" applyBorder="1" applyAlignment="1">
      <alignment horizontal="right" vertical="center"/>
    </xf>
    <xf numFmtId="164" fontId="15" fillId="0" borderId="61" xfId="0" applyNumberFormat="1" applyFont="1" applyBorder="1" applyAlignment="1">
      <alignment horizontal="right" vertical="center"/>
    </xf>
    <xf numFmtId="9" fontId="15" fillId="0" borderId="47" xfId="0" applyNumberFormat="1" applyFont="1" applyBorder="1" applyAlignment="1">
      <alignment horizontal="right" vertical="center"/>
    </xf>
    <xf numFmtId="0" fontId="15" fillId="9" borderId="10" xfId="0" applyFont="1" applyFill="1" applyBorder="1" applyAlignment="1">
      <alignment horizontal="center" vertical="center"/>
    </xf>
    <xf numFmtId="0" fontId="15" fillId="0" borderId="46" xfId="0" applyFont="1" applyBorder="1" applyAlignment="1">
      <alignment horizontal="center" vertical="center"/>
    </xf>
    <xf numFmtId="0" fontId="15" fillId="9" borderId="46" xfId="0" applyFont="1" applyFill="1" applyBorder="1" applyAlignment="1">
      <alignment horizontal="center" vertical="center"/>
    </xf>
    <xf numFmtId="0" fontId="15" fillId="0" borderId="38" xfId="0" applyFont="1" applyBorder="1" applyAlignment="1">
      <alignment horizontal="center" vertical="center"/>
    </xf>
    <xf numFmtId="164" fontId="1" fillId="0" borderId="33" xfId="0" applyNumberFormat="1" applyFont="1" applyBorder="1" applyAlignment="1">
      <alignment vertical="center"/>
    </xf>
    <xf numFmtId="164" fontId="1" fillId="0" borderId="15" xfId="0" applyNumberFormat="1" applyFont="1" applyBorder="1" applyAlignment="1">
      <alignment vertical="center"/>
    </xf>
    <xf numFmtId="0" fontId="16" fillId="0" borderId="0" xfId="0" applyFont="1" applyAlignment="1">
      <alignment horizontal="right"/>
    </xf>
    <xf numFmtId="164" fontId="15" fillId="0" borderId="42" xfId="0" applyNumberFormat="1" applyFont="1" applyBorder="1" applyAlignment="1">
      <alignment horizontal="right" vertical="center"/>
    </xf>
    <xf numFmtId="9" fontId="15" fillId="0" borderId="104" xfId="0" applyNumberFormat="1" applyFont="1" applyBorder="1" applyAlignment="1">
      <alignment horizontal="right" vertical="center"/>
    </xf>
    <xf numFmtId="0" fontId="15" fillId="0" borderId="19" xfId="0" applyFont="1" applyBorder="1" applyAlignment="1">
      <alignment vertical="center"/>
    </xf>
    <xf numFmtId="9" fontId="15" fillId="0" borderId="13" xfId="0" applyNumberFormat="1" applyFont="1" applyBorder="1" applyAlignment="1">
      <alignment horizontal="right" vertical="center"/>
    </xf>
    <xf numFmtId="9" fontId="15" fillId="9" borderId="105" xfId="0" applyNumberFormat="1" applyFont="1" applyFill="1" applyBorder="1" applyAlignment="1">
      <alignment horizontal="right" vertical="center"/>
    </xf>
    <xf numFmtId="164" fontId="1" fillId="0" borderId="29" xfId="0" applyNumberFormat="1" applyFont="1" applyBorder="1" applyAlignment="1">
      <alignment vertical="center"/>
    </xf>
    <xf numFmtId="164" fontId="1" fillId="0" borderId="30" xfId="0" applyNumberFormat="1" applyFont="1" applyBorder="1" applyAlignment="1">
      <alignment vertical="center"/>
    </xf>
    <xf numFmtId="0" fontId="1" fillId="0" borderId="0" xfId="0" applyFont="1" applyAlignment="1">
      <alignment horizontal="left" vertical="center" indent="1"/>
    </xf>
    <xf numFmtId="0" fontId="30" fillId="0" borderId="0" xfId="0" applyFont="1" applyAlignment="1">
      <alignment vertical="center"/>
    </xf>
    <xf numFmtId="0" fontId="1" fillId="0" borderId="33" xfId="0" applyFont="1" applyBorder="1" applyAlignment="1">
      <alignment horizontal="left" vertical="center" indent="1"/>
    </xf>
    <xf numFmtId="165" fontId="31" fillId="0" borderId="0" xfId="0" applyNumberFormat="1" applyFont="1" applyAlignment="1">
      <alignment horizontal="right" vertical="center"/>
    </xf>
    <xf numFmtId="165" fontId="1" fillId="0" borderId="24" xfId="0" applyNumberFormat="1" applyFont="1" applyBorder="1" applyAlignment="1">
      <alignment horizontal="right" vertical="center"/>
    </xf>
    <xf numFmtId="165" fontId="1" fillId="0" borderId="13" xfId="0" applyNumberFormat="1" applyFont="1" applyBorder="1" applyAlignment="1">
      <alignment horizontal="right" vertical="center"/>
    </xf>
    <xf numFmtId="165" fontId="1" fillId="0" borderId="0" xfId="0" applyNumberFormat="1" applyFont="1" applyAlignment="1">
      <alignment horizontal="right" vertical="center"/>
    </xf>
    <xf numFmtId="165" fontId="1" fillId="0" borderId="23" xfId="0" applyNumberFormat="1" applyFont="1" applyBorder="1" applyAlignment="1">
      <alignment horizontal="right" vertical="center"/>
    </xf>
    <xf numFmtId="165" fontId="1" fillId="0" borderId="18" xfId="0" applyNumberFormat="1" applyFont="1" applyBorder="1" applyAlignment="1">
      <alignment horizontal="right" vertical="center"/>
    </xf>
    <xf numFmtId="165" fontId="1" fillId="0" borderId="15" xfId="0" applyNumberFormat="1" applyFont="1" applyBorder="1" applyAlignment="1">
      <alignment horizontal="right" vertical="center"/>
    </xf>
    <xf numFmtId="9" fontId="15" fillId="0" borderId="0" xfId="0" applyNumberFormat="1" applyFont="1" applyAlignment="1">
      <alignment vertical="center"/>
    </xf>
    <xf numFmtId="0" fontId="15" fillId="0" borderId="103" xfId="0" applyFont="1" applyBorder="1" applyAlignment="1">
      <alignment vertical="center"/>
    </xf>
    <xf numFmtId="3" fontId="15" fillId="0" borderId="35" xfId="0" applyNumberFormat="1" applyFont="1" applyBorder="1" applyAlignment="1">
      <alignment horizontal="right" vertical="center"/>
    </xf>
    <xf numFmtId="165" fontId="15" fillId="0" borderId="7" xfId="0" applyNumberFormat="1" applyFont="1" applyBorder="1" applyAlignment="1">
      <alignment horizontal="right" vertical="center"/>
    </xf>
    <xf numFmtId="165" fontId="15" fillId="0" borderId="5" xfId="0" applyNumberFormat="1" applyFont="1" applyBorder="1" applyAlignment="1">
      <alignment horizontal="right" vertical="center"/>
    </xf>
    <xf numFmtId="165" fontId="15" fillId="0" borderId="74" xfId="0" applyNumberFormat="1" applyFont="1" applyBorder="1" applyAlignment="1">
      <alignment horizontal="right" vertical="center"/>
    </xf>
    <xf numFmtId="165" fontId="15" fillId="9" borderId="22" xfId="0" applyNumberFormat="1" applyFont="1" applyFill="1" applyBorder="1" applyAlignment="1">
      <alignment horizontal="right" vertical="center"/>
    </xf>
    <xf numFmtId="165" fontId="15" fillId="9" borderId="56" xfId="0" applyNumberFormat="1" applyFont="1" applyFill="1" applyBorder="1" applyAlignment="1">
      <alignment horizontal="right" vertical="center"/>
    </xf>
    <xf numFmtId="165" fontId="28" fillId="0" borderId="7" xfId="0" applyNumberFormat="1" applyFont="1" applyBorder="1" applyAlignment="1">
      <alignment horizontal="right" vertical="center"/>
    </xf>
    <xf numFmtId="165" fontId="28" fillId="9" borderId="7" xfId="0" applyNumberFormat="1" applyFont="1" applyFill="1" applyBorder="1" applyAlignment="1">
      <alignment horizontal="right" vertical="center"/>
    </xf>
    <xf numFmtId="165" fontId="28" fillId="0" borderId="42" xfId="0" applyNumberFormat="1" applyFont="1" applyBorder="1" applyAlignment="1">
      <alignment horizontal="right" vertical="center"/>
    </xf>
    <xf numFmtId="165" fontId="28" fillId="0" borderId="62" xfId="0" applyNumberFormat="1" applyFont="1" applyBorder="1" applyAlignment="1">
      <alignment horizontal="right" vertical="center"/>
    </xf>
    <xf numFmtId="165" fontId="28" fillId="0" borderId="48" xfId="0" applyNumberFormat="1" applyFont="1" applyBorder="1" applyAlignment="1">
      <alignment horizontal="right" vertical="center"/>
    </xf>
    <xf numFmtId="165" fontId="28" fillId="9" borderId="5" xfId="0" applyNumberFormat="1" applyFont="1" applyFill="1" applyBorder="1" applyAlignment="1">
      <alignment horizontal="right" vertical="center"/>
    </xf>
    <xf numFmtId="165" fontId="28" fillId="9" borderId="74" xfId="0" applyNumberFormat="1" applyFont="1" applyFill="1" applyBorder="1" applyAlignment="1">
      <alignment horizontal="right" vertical="center"/>
    </xf>
    <xf numFmtId="165" fontId="28" fillId="0" borderId="5" xfId="0" applyNumberFormat="1" applyFont="1" applyBorder="1" applyAlignment="1">
      <alignment horizontal="right" vertical="center"/>
    </xf>
    <xf numFmtId="165" fontId="28" fillId="0" borderId="74" xfId="0" applyNumberFormat="1" applyFont="1" applyBorder="1" applyAlignment="1">
      <alignment horizontal="right" vertical="center"/>
    </xf>
    <xf numFmtId="165" fontId="28" fillId="9" borderId="37" xfId="0" applyNumberFormat="1" applyFont="1" applyFill="1" applyBorder="1" applyAlignment="1">
      <alignment horizontal="right" vertical="center"/>
    </xf>
    <xf numFmtId="0" fontId="20" fillId="0" borderId="0" xfId="0" applyFont="1" applyAlignment="1">
      <alignment horizontal="right" vertical="center"/>
    </xf>
    <xf numFmtId="164" fontId="15" fillId="30" borderId="12" xfId="0" applyNumberFormat="1" applyFont="1" applyFill="1" applyBorder="1" applyAlignment="1">
      <alignment horizontal="right" vertical="center"/>
    </xf>
    <xf numFmtId="164" fontId="15" fillId="0" borderId="106" xfId="0" applyNumberFormat="1" applyFont="1" applyBorder="1" applyAlignment="1">
      <alignment horizontal="right" vertical="center"/>
    </xf>
    <xf numFmtId="164" fontId="15" fillId="9" borderId="107" xfId="0" applyNumberFormat="1" applyFont="1" applyFill="1" applyBorder="1" applyAlignment="1">
      <alignment horizontal="right" vertical="center"/>
    </xf>
    <xf numFmtId="164" fontId="15" fillId="0" borderId="107" xfId="0" applyNumberFormat="1" applyFont="1" applyBorder="1" applyAlignment="1">
      <alignment horizontal="right" vertical="center"/>
    </xf>
    <xf numFmtId="0" fontId="15" fillId="0" borderId="108" xfId="0" applyFont="1" applyBorder="1" applyAlignment="1">
      <alignment horizontal="right" vertical="center"/>
    </xf>
    <xf numFmtId="0" fontId="20" fillId="14" borderId="109" xfId="0" applyFont="1" applyFill="1" applyBorder="1" applyAlignment="1">
      <alignment horizontal="right" vertical="center"/>
    </xf>
    <xf numFmtId="0" fontId="15" fillId="0" borderId="61" xfId="0" applyFont="1" applyBorder="1" applyAlignment="1">
      <alignment horizontal="right" vertical="center"/>
    </xf>
    <xf numFmtId="0" fontId="15" fillId="30" borderId="19" xfId="0" applyFont="1" applyFill="1" applyBorder="1" applyAlignment="1">
      <alignment horizontal="left" vertical="center"/>
    </xf>
    <xf numFmtId="0" fontId="15" fillId="0" borderId="47" xfId="0" applyFont="1" applyBorder="1" applyAlignment="1">
      <alignment horizontal="left" vertical="center"/>
    </xf>
    <xf numFmtId="0" fontId="15" fillId="0" borderId="22" xfId="0" applyFont="1" applyBorder="1" applyAlignment="1">
      <alignment horizontal="left" vertical="center"/>
    </xf>
    <xf numFmtId="0" fontId="15" fillId="9" borderId="42" xfId="0" applyFont="1" applyFill="1" applyBorder="1" applyAlignment="1">
      <alignment horizontal="left" vertical="center"/>
    </xf>
    <xf numFmtId="0" fontId="15" fillId="9" borderId="47" xfId="0" applyFont="1" applyFill="1" applyBorder="1" applyAlignment="1">
      <alignment horizontal="left" vertical="center"/>
    </xf>
    <xf numFmtId="0" fontId="15" fillId="11" borderId="37" xfId="0" applyFont="1" applyFill="1" applyBorder="1" applyAlignment="1">
      <alignment horizontal="left" vertical="center"/>
    </xf>
    <xf numFmtId="0" fontId="15" fillId="11" borderId="8" xfId="0" applyFont="1" applyFill="1" applyBorder="1" applyAlignment="1">
      <alignment horizontal="left" vertical="center"/>
    </xf>
    <xf numFmtId="0" fontId="15" fillId="0" borderId="41" xfId="0" applyFont="1" applyBorder="1" applyAlignment="1">
      <alignment horizontal="left" vertical="center"/>
    </xf>
    <xf numFmtId="0" fontId="15" fillId="17" borderId="29" xfId="0" applyFont="1" applyFill="1" applyBorder="1" applyAlignment="1">
      <alignment horizontal="left" vertical="center"/>
    </xf>
    <xf numFmtId="0" fontId="15" fillId="17" borderId="30" xfId="0" applyFont="1" applyFill="1" applyBorder="1" applyAlignment="1">
      <alignment horizontal="left" vertical="center"/>
    </xf>
    <xf numFmtId="0" fontId="15" fillId="17" borderId="33" xfId="0" applyFont="1" applyFill="1" applyBorder="1" applyAlignment="1">
      <alignment horizontal="left" vertical="center"/>
    </xf>
    <xf numFmtId="0" fontId="15" fillId="17" borderId="15" xfId="0" applyFont="1" applyFill="1" applyBorder="1" applyAlignment="1">
      <alignment horizontal="left" vertical="center"/>
    </xf>
    <xf numFmtId="0" fontId="20" fillId="14" borderId="13" xfId="0" applyFont="1" applyFill="1" applyBorder="1" applyAlignment="1">
      <alignment horizontal="left" vertical="center"/>
    </xf>
    <xf numFmtId="0" fontId="15" fillId="0" borderId="46" xfId="0" applyFont="1" applyBorder="1" applyAlignment="1">
      <alignment horizontal="left" vertical="center"/>
    </xf>
    <xf numFmtId="0" fontId="15" fillId="0" borderId="104" xfId="0" applyFont="1" applyBorder="1" applyAlignment="1">
      <alignment horizontal="left" vertical="center"/>
    </xf>
    <xf numFmtId="0" fontId="15" fillId="0" borderId="47" xfId="0" applyFont="1" applyBorder="1" applyAlignment="1">
      <alignment horizontal="right" vertical="center"/>
    </xf>
    <xf numFmtId="0" fontId="15" fillId="0" borderId="36" xfId="0" applyFont="1" applyBorder="1" applyAlignment="1">
      <alignment horizontal="right" vertical="center"/>
    </xf>
    <xf numFmtId="0" fontId="15" fillId="0" borderId="38" xfId="0" applyFont="1" applyBorder="1" applyAlignment="1">
      <alignment horizontal="left" vertical="center"/>
    </xf>
    <xf numFmtId="0" fontId="15" fillId="0" borderId="105" xfId="0" applyFont="1" applyBorder="1" applyAlignment="1">
      <alignment horizontal="left" vertical="center"/>
    </xf>
    <xf numFmtId="0" fontId="15" fillId="0" borderId="22" xfId="0" applyFont="1" applyBorder="1" applyAlignment="1">
      <alignment horizontal="right" vertical="center"/>
    </xf>
    <xf numFmtId="0" fontId="15" fillId="9" borderId="10" xfId="0" applyFont="1" applyFill="1" applyBorder="1" applyAlignment="1">
      <alignment horizontal="left" vertical="center"/>
    </xf>
    <xf numFmtId="0" fontId="15" fillId="9" borderId="101" xfId="0" applyFont="1" applyFill="1" applyBorder="1" applyAlignment="1">
      <alignment horizontal="left" vertical="center"/>
    </xf>
    <xf numFmtId="0" fontId="15" fillId="9" borderId="42" xfId="0" applyFont="1" applyFill="1" applyBorder="1" applyAlignment="1">
      <alignment horizontal="right" vertical="center"/>
    </xf>
    <xf numFmtId="0" fontId="15" fillId="9" borderId="48" xfId="0" applyFont="1" applyFill="1" applyBorder="1" applyAlignment="1">
      <alignment horizontal="right" vertical="center"/>
    </xf>
    <xf numFmtId="0" fontId="15" fillId="9" borderId="46" xfId="0" applyFont="1" applyFill="1" applyBorder="1" applyAlignment="1">
      <alignment horizontal="left" vertical="center"/>
    </xf>
    <xf numFmtId="0" fontId="15" fillId="9" borderId="104" xfId="0" applyFont="1" applyFill="1" applyBorder="1" applyAlignment="1">
      <alignment horizontal="left" vertical="center"/>
    </xf>
    <xf numFmtId="0" fontId="15" fillId="9" borderId="47" xfId="0" applyFont="1" applyFill="1" applyBorder="1" applyAlignment="1">
      <alignment horizontal="right" vertical="center"/>
    </xf>
    <xf numFmtId="0" fontId="15" fillId="9" borderId="36" xfId="0" applyFont="1" applyFill="1" applyBorder="1" applyAlignment="1">
      <alignment horizontal="right" vertical="center"/>
    </xf>
    <xf numFmtId="0" fontId="1" fillId="0" borderId="29" xfId="0" applyFont="1" applyBorder="1" applyAlignment="1">
      <alignment horizontal="left" vertical="center"/>
    </xf>
    <xf numFmtId="0" fontId="1" fillId="0" borderId="18" xfId="0" applyFont="1" applyBorder="1" applyAlignment="1">
      <alignment horizontal="left" vertical="center"/>
    </xf>
    <xf numFmtId="0" fontId="1" fillId="0" borderId="24" xfId="0" applyFont="1" applyBorder="1" applyAlignment="1">
      <alignment horizontal="left" vertical="center"/>
    </xf>
    <xf numFmtId="0" fontId="1" fillId="0" borderId="55" xfId="0" applyFont="1" applyBorder="1" applyAlignment="1">
      <alignment horizontal="left" vertical="center"/>
    </xf>
    <xf numFmtId="0" fontId="18" fillId="14" borderId="30" xfId="0" applyFont="1" applyFill="1" applyBorder="1" applyAlignment="1">
      <alignment vertical="center"/>
    </xf>
    <xf numFmtId="0" fontId="32" fillId="14" borderId="110" xfId="0" applyFont="1" applyFill="1" applyBorder="1" applyAlignment="1">
      <alignment horizontal="left" vertical="center" wrapText="1"/>
    </xf>
    <xf numFmtId="0" fontId="32" fillId="14" borderId="111" xfId="0" applyFont="1" applyFill="1" applyBorder="1" applyAlignment="1">
      <alignment horizontal="left" vertical="center" wrapText="1"/>
    </xf>
    <xf numFmtId="0" fontId="16" fillId="14" borderId="30" xfId="0" applyFont="1" applyFill="1" applyBorder="1" applyAlignment="1">
      <alignment horizontal="left" vertical="center"/>
    </xf>
    <xf numFmtId="0" fontId="15" fillId="9" borderId="103" xfId="0" applyFont="1" applyFill="1" applyBorder="1" applyAlignment="1">
      <alignment vertical="center"/>
    </xf>
    <xf numFmtId="0" fontId="1" fillId="9" borderId="99" xfId="0" applyFont="1" applyFill="1" applyBorder="1" applyAlignment="1">
      <alignment vertical="center"/>
    </xf>
    <xf numFmtId="0" fontId="4" fillId="9" borderId="112" xfId="0" applyFont="1" applyFill="1" applyBorder="1" applyAlignment="1">
      <alignment horizontal="left" vertical="center" wrapText="1"/>
    </xf>
    <xf numFmtId="0" fontId="15" fillId="9" borderId="103" xfId="0" applyFont="1" applyFill="1" applyBorder="1" applyAlignment="1">
      <alignment horizontal="left" vertical="center"/>
    </xf>
    <xf numFmtId="0" fontId="16" fillId="9" borderId="99" xfId="0" applyFont="1" applyFill="1" applyBorder="1" applyAlignment="1">
      <alignment horizontal="left" vertical="center"/>
    </xf>
    <xf numFmtId="0" fontId="1" fillId="9" borderId="104" xfId="0" applyFont="1" applyFill="1" applyBorder="1" applyAlignment="1">
      <alignment vertical="center"/>
    </xf>
    <xf numFmtId="0" fontId="4" fillId="32" borderId="46" xfId="0" applyFont="1" applyFill="1" applyBorder="1" applyAlignment="1">
      <alignment horizontal="left" vertical="center" wrapText="1"/>
    </xf>
    <xf numFmtId="0" fontId="15" fillId="9" borderId="51" xfId="0" applyFont="1" applyFill="1" applyBorder="1" applyAlignment="1">
      <alignment horizontal="left" vertical="center"/>
    </xf>
    <xf numFmtId="0" fontId="16" fillId="9" borderId="104" xfId="0" applyFont="1" applyFill="1" applyBorder="1" applyAlignment="1">
      <alignment horizontal="left" vertical="center"/>
    </xf>
    <xf numFmtId="0" fontId="1" fillId="10" borderId="104" xfId="0" applyFont="1" applyFill="1" applyBorder="1" applyAlignment="1">
      <alignment vertical="center"/>
    </xf>
    <xf numFmtId="0" fontId="4" fillId="33" borderId="46" xfId="0" applyFont="1" applyFill="1" applyBorder="1" applyAlignment="1">
      <alignment horizontal="left" vertical="center" wrapText="1"/>
    </xf>
    <xf numFmtId="0" fontId="1" fillId="10" borderId="105" xfId="0" applyFont="1" applyFill="1" applyBorder="1" applyAlignment="1">
      <alignment vertical="center"/>
    </xf>
    <xf numFmtId="0" fontId="4" fillId="33" borderId="38" xfId="0" applyFont="1" applyFill="1" applyBorder="1" applyAlignment="1">
      <alignment horizontal="left" vertical="center" wrapText="1"/>
    </xf>
    <xf numFmtId="0" fontId="32" fillId="14" borderId="110" xfId="0" applyFont="1" applyFill="1" applyBorder="1" applyAlignment="1">
      <alignment horizontal="center" vertical="center" wrapText="1"/>
    </xf>
    <xf numFmtId="0" fontId="4" fillId="9" borderId="112" xfId="0" applyFont="1" applyFill="1" applyBorder="1" applyAlignment="1">
      <alignment horizontal="center" vertical="center" wrapText="1"/>
    </xf>
    <xf numFmtId="0" fontId="4" fillId="32" borderId="46" xfId="0" applyFont="1" applyFill="1" applyBorder="1" applyAlignment="1">
      <alignment horizontal="center" vertical="center" wrapText="1"/>
    </xf>
    <xf numFmtId="0" fontId="15" fillId="9" borderId="37" xfId="0" applyFont="1" applyFill="1" applyBorder="1" applyAlignment="1">
      <alignment horizontal="right" vertical="center"/>
    </xf>
    <xf numFmtId="0" fontId="15" fillId="9" borderId="8" xfId="0" applyFont="1" applyFill="1" applyBorder="1" applyAlignment="1">
      <alignment horizontal="right" vertical="center"/>
    </xf>
    <xf numFmtId="0" fontId="15" fillId="9" borderId="46" xfId="0" applyFont="1" applyFill="1" applyBorder="1" applyAlignment="1">
      <alignment vertical="center" wrapText="1"/>
    </xf>
    <xf numFmtId="0" fontId="15" fillId="9" borderId="34" xfId="0" applyFont="1" applyFill="1" applyBorder="1" applyAlignment="1">
      <alignment horizontal="center" vertical="center" wrapText="1"/>
    </xf>
    <xf numFmtId="0" fontId="15" fillId="21" borderId="46" xfId="0" applyFont="1" applyFill="1" applyBorder="1" applyAlignment="1">
      <alignment vertical="center" wrapText="1"/>
    </xf>
    <xf numFmtId="0" fontId="15" fillId="9" borderId="43" xfId="0" applyFont="1" applyFill="1" applyBorder="1" applyAlignment="1">
      <alignment vertical="center" wrapText="1"/>
    </xf>
    <xf numFmtId="9" fontId="15" fillId="10" borderId="47" xfId="0" applyNumberFormat="1" applyFont="1" applyFill="1" applyBorder="1" applyAlignment="1">
      <alignment horizontal="center" vertical="center" wrapText="1"/>
    </xf>
    <xf numFmtId="9" fontId="15" fillId="10" borderId="34" xfId="0" applyNumberFormat="1" applyFont="1" applyFill="1" applyBorder="1" applyAlignment="1">
      <alignment horizontal="center" vertical="center" wrapText="1"/>
    </xf>
    <xf numFmtId="9" fontId="15" fillId="10" borderId="36" xfId="0" applyNumberFormat="1" applyFont="1" applyFill="1" applyBorder="1" applyAlignment="1">
      <alignment horizontal="center" vertical="center" wrapText="1"/>
    </xf>
    <xf numFmtId="9" fontId="15" fillId="9" borderId="47" xfId="0" applyNumberFormat="1" applyFont="1" applyFill="1" applyBorder="1" applyAlignment="1">
      <alignment horizontal="center" vertical="center" wrapText="1"/>
    </xf>
    <xf numFmtId="9" fontId="15" fillId="9" borderId="34" xfId="0" applyNumberFormat="1" applyFont="1" applyFill="1" applyBorder="1" applyAlignment="1">
      <alignment horizontal="center" vertical="center" wrapText="1"/>
    </xf>
    <xf numFmtId="9" fontId="15" fillId="9" borderId="36" xfId="0" applyNumberFormat="1" applyFont="1" applyFill="1" applyBorder="1" applyAlignment="1">
      <alignment horizontal="center" vertical="center" wrapText="1"/>
    </xf>
    <xf numFmtId="9" fontId="15" fillId="9" borderId="41" xfId="0" applyNumberFormat="1" applyFont="1" applyFill="1" applyBorder="1" applyAlignment="1">
      <alignment horizontal="center" vertical="center" wrapText="1"/>
    </xf>
    <xf numFmtId="9" fontId="15" fillId="9" borderId="3" xfId="0" applyNumberFormat="1" applyFont="1" applyFill="1" applyBorder="1" applyAlignment="1">
      <alignment horizontal="center" vertical="center" wrapText="1"/>
    </xf>
    <xf numFmtId="9" fontId="15" fillId="9" borderId="68" xfId="0" applyNumberFormat="1" applyFont="1" applyFill="1" applyBorder="1" applyAlignment="1">
      <alignment horizontal="center" vertical="center" wrapText="1"/>
    </xf>
    <xf numFmtId="165" fontId="15" fillId="9" borderId="42" xfId="0" applyNumberFormat="1" applyFont="1" applyFill="1" applyBorder="1" applyAlignment="1">
      <alignment horizontal="center" vertical="center" wrapText="1"/>
    </xf>
    <xf numFmtId="165" fontId="15" fillId="9" borderId="62" xfId="0" applyNumberFormat="1" applyFont="1" applyFill="1" applyBorder="1" applyAlignment="1">
      <alignment horizontal="center" vertical="center" wrapText="1"/>
    </xf>
    <xf numFmtId="165" fontId="15" fillId="9" borderId="48" xfId="0" applyNumberFormat="1" applyFont="1" applyFill="1" applyBorder="1" applyAlignment="1">
      <alignment horizontal="center" vertical="center" wrapText="1"/>
    </xf>
    <xf numFmtId="165" fontId="15" fillId="21" borderId="47" xfId="0" applyNumberFormat="1" applyFont="1" applyFill="1" applyBorder="1" applyAlignment="1">
      <alignment horizontal="center" vertical="center" wrapText="1"/>
    </xf>
    <xf numFmtId="165" fontId="15" fillId="21" borderId="34" xfId="0" applyNumberFormat="1" applyFont="1" applyFill="1" applyBorder="1" applyAlignment="1">
      <alignment horizontal="center" vertical="center" wrapText="1"/>
    </xf>
    <xf numFmtId="165" fontId="15" fillId="21" borderId="36" xfId="0" applyNumberFormat="1" applyFont="1" applyFill="1" applyBorder="1" applyAlignment="1">
      <alignment horizontal="center" vertical="center" wrapText="1"/>
    </xf>
    <xf numFmtId="0" fontId="15" fillId="10" borderId="38" xfId="0" applyFont="1" applyFill="1" applyBorder="1" applyAlignment="1">
      <alignment vertical="center" wrapText="1"/>
    </xf>
    <xf numFmtId="165" fontId="15" fillId="10" borderId="22" xfId="0" applyNumberFormat="1" applyFont="1" applyFill="1" applyBorder="1" applyAlignment="1">
      <alignment horizontal="center" vertical="center" wrapText="1"/>
    </xf>
    <xf numFmtId="165" fontId="15" fillId="10" borderId="56" xfId="0" applyNumberFormat="1" applyFont="1" applyFill="1" applyBorder="1" applyAlignment="1">
      <alignment horizontal="center" vertical="center" wrapText="1"/>
    </xf>
    <xf numFmtId="165" fontId="15" fillId="10" borderId="61" xfId="0" applyNumberFormat="1" applyFont="1" applyFill="1" applyBorder="1" applyAlignment="1">
      <alignment horizontal="center" vertical="center" wrapText="1"/>
    </xf>
    <xf numFmtId="165" fontId="15" fillId="10" borderId="47" xfId="0" applyNumberFormat="1" applyFont="1" applyFill="1" applyBorder="1" applyAlignment="1">
      <alignment horizontal="center" vertical="center" wrapText="1"/>
    </xf>
    <xf numFmtId="165" fontId="15" fillId="10" borderId="34" xfId="0" applyNumberFormat="1" applyFont="1" applyFill="1" applyBorder="1" applyAlignment="1">
      <alignment horizontal="center" vertical="center" wrapText="1"/>
    </xf>
    <xf numFmtId="165" fontId="15" fillId="10" borderId="36" xfId="0" applyNumberFormat="1" applyFont="1" applyFill="1" applyBorder="1" applyAlignment="1">
      <alignment horizontal="center" vertical="center" wrapText="1"/>
    </xf>
    <xf numFmtId="3" fontId="15" fillId="9" borderId="47" xfId="0" applyNumberFormat="1" applyFont="1" applyFill="1" applyBorder="1" applyAlignment="1">
      <alignment horizontal="center" vertical="center" wrapText="1"/>
    </xf>
    <xf numFmtId="3" fontId="15" fillId="9" borderId="34" xfId="0" applyNumberFormat="1" applyFont="1" applyFill="1" applyBorder="1" applyAlignment="1">
      <alignment horizontal="center" vertical="center" wrapText="1"/>
    </xf>
    <xf numFmtId="3" fontId="15" fillId="9" borderId="36" xfId="0" applyNumberFormat="1" applyFont="1" applyFill="1" applyBorder="1" applyAlignment="1">
      <alignment horizontal="center" vertical="center" wrapText="1"/>
    </xf>
    <xf numFmtId="3" fontId="15" fillId="10" borderId="47" xfId="0" applyNumberFormat="1" applyFont="1" applyFill="1" applyBorder="1" applyAlignment="1">
      <alignment horizontal="center" vertical="center" wrapText="1"/>
    </xf>
    <xf numFmtId="3" fontId="15" fillId="10" borderId="34" xfId="0" applyNumberFormat="1" applyFont="1" applyFill="1" applyBorder="1" applyAlignment="1">
      <alignment horizontal="center" vertical="center" wrapText="1"/>
    </xf>
    <xf numFmtId="3" fontId="15" fillId="10" borderId="36" xfId="0" applyNumberFormat="1" applyFont="1" applyFill="1" applyBorder="1" applyAlignment="1">
      <alignment horizontal="center" vertical="center" wrapText="1"/>
    </xf>
    <xf numFmtId="0" fontId="33" fillId="14" borderId="19" xfId="0" applyFont="1" applyFill="1" applyBorder="1" applyAlignment="1">
      <alignment horizontal="left" vertical="center" wrapText="1"/>
    </xf>
    <xf numFmtId="0" fontId="34" fillId="11" borderId="12" xfId="0" applyFont="1" applyFill="1" applyBorder="1" applyAlignment="1">
      <alignment vertical="center"/>
    </xf>
    <xf numFmtId="0" fontId="34" fillId="11" borderId="24" xfId="0" applyFont="1" applyFill="1" applyBorder="1" applyAlignment="1">
      <alignment vertical="center"/>
    </xf>
    <xf numFmtId="0" fontId="34" fillId="11" borderId="13" xfId="0" applyFont="1" applyFill="1" applyBorder="1" applyAlignment="1">
      <alignment vertical="center"/>
    </xf>
    <xf numFmtId="0" fontId="33" fillId="14" borderId="37" xfId="0" applyFont="1" applyFill="1" applyBorder="1" applyAlignment="1">
      <alignment horizontal="center" vertical="center" wrapText="1"/>
    </xf>
    <xf numFmtId="0" fontId="33" fillId="14" borderId="14" xfId="0" applyFont="1" applyFill="1" applyBorder="1" applyAlignment="1">
      <alignment horizontal="center" vertical="center" wrapText="1"/>
    </xf>
    <xf numFmtId="0" fontId="33" fillId="14" borderId="8" xfId="0" applyFont="1" applyFill="1" applyBorder="1" applyAlignment="1">
      <alignment horizontal="center" vertical="center" wrapText="1"/>
    </xf>
    <xf numFmtId="0" fontId="15" fillId="9" borderId="10" xfId="0" applyFont="1" applyFill="1" applyBorder="1" applyAlignment="1">
      <alignment vertical="center" wrapText="1"/>
    </xf>
    <xf numFmtId="0" fontId="15" fillId="10" borderId="46" xfId="0" applyFont="1" applyFill="1" applyBorder="1" applyAlignment="1">
      <alignment vertical="center" wrapText="1"/>
    </xf>
    <xf numFmtId="164" fontId="15" fillId="9" borderId="47" xfId="0" applyNumberFormat="1" applyFont="1" applyFill="1" applyBorder="1" applyAlignment="1">
      <alignment horizontal="center" vertical="center" wrapText="1"/>
    </xf>
    <xf numFmtId="164" fontId="15" fillId="9" borderId="34" xfId="0" applyNumberFormat="1" applyFont="1" applyFill="1" applyBorder="1" applyAlignment="1">
      <alignment horizontal="center" vertical="center" wrapText="1"/>
    </xf>
    <xf numFmtId="164" fontId="15" fillId="9" borderId="36" xfId="0" applyNumberFormat="1" applyFont="1" applyFill="1" applyBorder="1" applyAlignment="1">
      <alignment horizontal="center" vertical="center" wrapText="1"/>
    </xf>
    <xf numFmtId="0" fontId="15" fillId="9" borderId="38" xfId="0" applyFont="1" applyFill="1" applyBorder="1" applyAlignment="1">
      <alignment vertical="center" wrapText="1"/>
    </xf>
    <xf numFmtId="9" fontId="15" fillId="9" borderId="22" xfId="0" applyNumberFormat="1" applyFont="1" applyFill="1" applyBorder="1" applyAlignment="1">
      <alignment horizontal="center" vertical="center" wrapText="1"/>
    </xf>
    <xf numFmtId="9" fontId="15" fillId="9" borderId="56" xfId="0" applyNumberFormat="1" applyFont="1" applyFill="1" applyBorder="1" applyAlignment="1">
      <alignment horizontal="center" vertical="center" wrapText="1"/>
    </xf>
    <xf numFmtId="9" fontId="15" fillId="9" borderId="61" xfId="0" applyNumberFormat="1" applyFont="1" applyFill="1" applyBorder="1" applyAlignment="1">
      <alignment horizontal="center" vertical="center" wrapText="1"/>
    </xf>
    <xf numFmtId="9" fontId="15" fillId="9" borderId="42" xfId="0" applyNumberFormat="1" applyFont="1" applyFill="1" applyBorder="1" applyAlignment="1">
      <alignment horizontal="center" vertical="center" wrapText="1"/>
    </xf>
    <xf numFmtId="9" fontId="15" fillId="9" borderId="62" xfId="0" applyNumberFormat="1" applyFont="1" applyFill="1" applyBorder="1" applyAlignment="1">
      <alignment horizontal="center" vertical="center" wrapText="1"/>
    </xf>
    <xf numFmtId="9" fontId="15" fillId="9" borderId="48" xfId="0" applyNumberFormat="1" applyFont="1" applyFill="1" applyBorder="1" applyAlignment="1">
      <alignment horizontal="center" vertical="center" wrapText="1"/>
    </xf>
    <xf numFmtId="0" fontId="29" fillId="10" borderId="19" xfId="0" applyFont="1" applyFill="1" applyBorder="1" applyAlignment="1">
      <alignment vertical="center" wrapText="1"/>
    </xf>
    <xf numFmtId="0" fontId="29" fillId="34" borderId="19" xfId="0" applyFont="1" applyFill="1" applyBorder="1" applyAlignment="1">
      <alignment horizontal="right" vertical="center"/>
    </xf>
    <xf numFmtId="0" fontId="29" fillId="34" borderId="26" xfId="0" applyFont="1" applyFill="1" applyBorder="1" applyAlignment="1">
      <alignment horizontal="right" vertical="center"/>
    </xf>
    <xf numFmtId="0" fontId="29" fillId="34" borderId="64" xfId="0" applyFont="1" applyFill="1" applyBorder="1" applyAlignment="1">
      <alignment horizontal="right" vertical="center"/>
    </xf>
    <xf numFmtId="0" fontId="29" fillId="34" borderId="58" xfId="0" applyFont="1" applyFill="1" applyBorder="1" applyAlignment="1">
      <alignment horizontal="right" vertical="center"/>
    </xf>
    <xf numFmtId="0" fontId="29" fillId="10" borderId="12" xfId="0" applyFont="1" applyFill="1" applyBorder="1" applyAlignment="1">
      <alignment horizontal="left" vertical="center" wrapText="1"/>
    </xf>
    <xf numFmtId="0" fontId="29" fillId="34" borderId="26" xfId="0" applyFont="1" applyFill="1" applyBorder="1" applyAlignment="1">
      <alignment horizontal="right" vertical="center" wrapText="1"/>
    </xf>
    <xf numFmtId="0" fontId="29" fillId="35" borderId="25" xfId="0" applyFont="1" applyFill="1" applyBorder="1" applyAlignment="1">
      <alignment vertical="center" wrapText="1"/>
    </xf>
    <xf numFmtId="3" fontId="29" fillId="35" borderId="25" xfId="0" applyNumberFormat="1" applyFont="1" applyFill="1" applyBorder="1" applyAlignment="1">
      <alignment horizontal="right" vertical="center"/>
    </xf>
    <xf numFmtId="3" fontId="29" fillId="35" borderId="75" xfId="0" applyNumberFormat="1" applyFont="1" applyFill="1" applyBorder="1" applyAlignment="1">
      <alignment horizontal="right" vertical="center"/>
    </xf>
    <xf numFmtId="3" fontId="29" fillId="35" borderId="9" xfId="0" applyNumberFormat="1" applyFont="1" applyFill="1" applyBorder="1" applyAlignment="1">
      <alignment horizontal="right" vertical="center"/>
    </xf>
    <xf numFmtId="3" fontId="29" fillId="35" borderId="21" xfId="0" applyNumberFormat="1" applyFont="1" applyFill="1" applyBorder="1" applyAlignment="1">
      <alignment horizontal="right" vertical="center"/>
    </xf>
    <xf numFmtId="0" fontId="29" fillId="9" borderId="29" xfId="0" applyFont="1" applyFill="1" applyBorder="1" applyAlignment="1">
      <alignment horizontal="left" vertical="center" wrapText="1"/>
    </xf>
    <xf numFmtId="3" fontId="29" fillId="9" borderId="25" xfId="0" applyNumberFormat="1" applyFont="1" applyFill="1" applyBorder="1" applyAlignment="1">
      <alignment horizontal="right" vertical="center"/>
    </xf>
    <xf numFmtId="3" fontId="29" fillId="9" borderId="75" xfId="0" applyNumberFormat="1" applyFont="1" applyFill="1" applyBorder="1" applyAlignment="1">
      <alignment horizontal="right" vertical="center"/>
    </xf>
    <xf numFmtId="3" fontId="29" fillId="9" borderId="9" xfId="0" applyNumberFormat="1" applyFont="1" applyFill="1" applyBorder="1" applyAlignment="1">
      <alignment horizontal="right" vertical="center"/>
    </xf>
    <xf numFmtId="3" fontId="29" fillId="9" borderId="21" xfId="0" applyNumberFormat="1" applyFont="1" applyFill="1" applyBorder="1" applyAlignment="1">
      <alignment horizontal="right" vertical="center"/>
    </xf>
    <xf numFmtId="0" fontId="29" fillId="10" borderId="49" xfId="0" applyFont="1" applyFill="1" applyBorder="1" applyAlignment="1">
      <alignment vertical="center" wrapText="1"/>
    </xf>
    <xf numFmtId="3" fontId="29" fillId="10" borderId="49" xfId="0" applyNumberFormat="1" applyFont="1" applyFill="1" applyBorder="1" applyAlignment="1">
      <alignment horizontal="right" vertical="center"/>
    </xf>
    <xf numFmtId="3" fontId="29" fillId="10" borderId="20" xfId="0" applyNumberFormat="1" applyFont="1" applyFill="1" applyBorder="1" applyAlignment="1">
      <alignment horizontal="right" vertical="center"/>
    </xf>
    <xf numFmtId="3" fontId="29" fillId="10" borderId="27" xfId="0" applyNumberFormat="1" applyFont="1" applyFill="1" applyBorder="1" applyAlignment="1">
      <alignment horizontal="right" vertical="center"/>
    </xf>
    <xf numFmtId="3" fontId="29" fillId="10" borderId="39" xfId="0" applyNumberFormat="1" applyFont="1" applyFill="1" applyBorder="1" applyAlignment="1">
      <alignment horizontal="right" vertical="center"/>
    </xf>
    <xf numFmtId="0" fontId="29" fillId="10" borderId="28" xfId="0" applyFont="1" applyFill="1" applyBorder="1" applyAlignment="1">
      <alignment horizontal="left" vertical="center" wrapText="1"/>
    </xf>
    <xf numFmtId="0" fontId="29" fillId="9" borderId="49" xfId="0" applyFont="1" applyFill="1" applyBorder="1" applyAlignment="1">
      <alignment vertical="center" wrapText="1"/>
    </xf>
    <xf numFmtId="3" fontId="29" fillId="9" borderId="49" xfId="0" applyNumberFormat="1" applyFont="1" applyFill="1" applyBorder="1" applyAlignment="1">
      <alignment horizontal="right" vertical="center"/>
    </xf>
    <xf numFmtId="3" fontId="29" fillId="9" borderId="20" xfId="0" applyNumberFormat="1" applyFont="1" applyFill="1" applyBorder="1" applyAlignment="1">
      <alignment horizontal="right" vertical="center"/>
    </xf>
    <xf numFmtId="3" fontId="29" fillId="9" borderId="27" xfId="0" applyNumberFormat="1" applyFont="1" applyFill="1" applyBorder="1" applyAlignment="1">
      <alignment horizontal="right" vertical="center"/>
    </xf>
    <xf numFmtId="3" fontId="29" fillId="9" borderId="39" xfId="0" applyNumberFormat="1" applyFont="1" applyFill="1" applyBorder="1" applyAlignment="1">
      <alignment horizontal="right" vertical="center"/>
    </xf>
    <xf numFmtId="0" fontId="29" fillId="9" borderId="28" xfId="0" applyFont="1" applyFill="1" applyBorder="1" applyAlignment="1">
      <alignment horizontal="left" vertical="center" wrapText="1"/>
    </xf>
    <xf numFmtId="0" fontId="29" fillId="35" borderId="49" xfId="0" applyFont="1" applyFill="1" applyBorder="1" applyAlignment="1">
      <alignment vertical="center" wrapText="1"/>
    </xf>
    <xf numFmtId="3" fontId="29" fillId="35" borderId="49" xfId="0" applyNumberFormat="1" applyFont="1" applyFill="1" applyBorder="1" applyAlignment="1">
      <alignment horizontal="right" vertical="center"/>
    </xf>
    <xf numFmtId="3" fontId="29" fillId="35" borderId="20" xfId="0" applyNumberFormat="1" applyFont="1" applyFill="1" applyBorder="1" applyAlignment="1">
      <alignment horizontal="right" vertical="center"/>
    </xf>
    <xf numFmtId="3" fontId="29" fillId="35" borderId="27" xfId="0" applyNumberFormat="1" applyFont="1" applyFill="1" applyBorder="1" applyAlignment="1">
      <alignment horizontal="right" vertical="center"/>
    </xf>
    <xf numFmtId="3" fontId="29" fillId="35" borderId="39" xfId="0" applyNumberFormat="1" applyFont="1" applyFill="1" applyBorder="1" applyAlignment="1">
      <alignment horizontal="right" vertical="center"/>
    </xf>
    <xf numFmtId="3" fontId="29" fillId="10" borderId="31" xfId="0" applyNumberFormat="1" applyFont="1" applyFill="1" applyBorder="1" applyAlignment="1">
      <alignment horizontal="right" vertical="center"/>
    </xf>
    <xf numFmtId="3" fontId="29" fillId="10" borderId="17" xfId="0" applyNumberFormat="1" applyFont="1" applyFill="1" applyBorder="1" applyAlignment="1">
      <alignment horizontal="right" vertical="center"/>
    </xf>
    <xf numFmtId="3" fontId="29" fillId="10" borderId="45" xfId="0" applyNumberFormat="1" applyFont="1" applyFill="1" applyBorder="1" applyAlignment="1">
      <alignment horizontal="right" vertical="center"/>
    </xf>
    <xf numFmtId="3" fontId="29" fillId="10" borderId="6" xfId="0" applyNumberFormat="1" applyFont="1" applyFill="1" applyBorder="1" applyAlignment="1">
      <alignment horizontal="right" vertical="center"/>
    </xf>
    <xf numFmtId="0" fontId="29" fillId="0" borderId="0" xfId="0" applyFont="1"/>
    <xf numFmtId="9" fontId="29" fillId="0" borderId="0" xfId="0" applyNumberFormat="1" applyFont="1" applyAlignment="1">
      <alignment vertical="center"/>
    </xf>
    <xf numFmtId="0" fontId="29" fillId="10" borderId="33" xfId="0" applyFont="1" applyFill="1" applyBorder="1" applyAlignment="1">
      <alignment horizontal="left" vertical="center" wrapText="1"/>
    </xf>
    <xf numFmtId="0" fontId="29" fillId="10" borderId="31" xfId="0" applyFont="1" applyFill="1" applyBorder="1" applyAlignment="1">
      <alignment vertical="center" wrapText="1"/>
    </xf>
    <xf numFmtId="165" fontId="15" fillId="9" borderId="48" xfId="0" applyNumberFormat="1" applyFont="1" applyFill="1" applyBorder="1" applyAlignment="1">
      <alignment horizontal="right" vertical="center"/>
    </xf>
    <xf numFmtId="165" fontId="28" fillId="10" borderId="36" xfId="0" applyNumberFormat="1" applyFont="1" applyFill="1" applyBorder="1" applyAlignment="1">
      <alignment horizontal="right" vertical="center"/>
    </xf>
    <xf numFmtId="0" fontId="5" fillId="4" borderId="0" xfId="0" applyFont="1" applyFill="1" applyAlignment="1">
      <alignment horizontal="center" vertical="center" wrapText="1"/>
    </xf>
    <xf numFmtId="0" fontId="6" fillId="3" borderId="2" xfId="0" applyFont="1" applyFill="1" applyBorder="1" applyAlignment="1">
      <alignment horizontal="left" vertical="top" wrapText="1"/>
    </xf>
    <xf numFmtId="0" fontId="7" fillId="0" borderId="0" xfId="0" applyFont="1" applyAlignment="1">
      <alignment horizontal="left" vertical="top" wrapText="1"/>
    </xf>
    <xf numFmtId="0" fontId="5" fillId="5" borderId="0" xfId="0" applyFont="1" applyFill="1" applyAlignment="1">
      <alignment horizontal="center" vertical="center" wrapText="1"/>
    </xf>
    <xf numFmtId="0" fontId="18" fillId="14" borderId="0" xfId="0" applyFont="1" applyFill="1" applyAlignment="1">
      <alignment horizontal="center" vertical="center"/>
    </xf>
    <xf numFmtId="0" fontId="18" fillId="14" borderId="29" xfId="0" applyFont="1" applyFill="1" applyBorder="1" applyAlignment="1">
      <alignment horizontal="left" vertical="center"/>
    </xf>
    <xf numFmtId="0" fontId="18" fillId="14" borderId="30" xfId="0" applyFont="1" applyFill="1" applyBorder="1" applyAlignment="1">
      <alignment horizontal="left" vertical="center"/>
    </xf>
    <xf numFmtId="0" fontId="18" fillId="15" borderId="12" xfId="0" applyFont="1" applyFill="1" applyBorder="1" applyAlignment="1">
      <alignment horizontal="right" vertical="center"/>
    </xf>
    <xf numFmtId="0" fontId="18" fillId="15" borderId="13" xfId="0" applyFont="1" applyFill="1" applyBorder="1" applyAlignment="1">
      <alignment horizontal="right" vertical="center"/>
    </xf>
    <xf numFmtId="0" fontId="19" fillId="16" borderId="25" xfId="0" applyFont="1" applyFill="1" applyBorder="1" applyAlignment="1">
      <alignment horizontal="center" vertical="center" wrapText="1"/>
    </xf>
    <xf numFmtId="0" fontId="19" fillId="16" borderId="31" xfId="0" applyFont="1" applyFill="1" applyBorder="1" applyAlignment="1">
      <alignment horizontal="center" vertical="center" wrapText="1"/>
    </xf>
    <xf numFmtId="0" fontId="1" fillId="10" borderId="12" xfId="0" applyFont="1" applyFill="1" applyBorder="1" applyAlignment="1">
      <alignment horizontal="center" vertical="center"/>
    </xf>
    <xf numFmtId="0" fontId="1" fillId="10" borderId="24" xfId="0" applyFont="1" applyFill="1" applyBorder="1" applyAlignment="1">
      <alignment horizontal="center" vertical="center"/>
    </xf>
    <xf numFmtId="0" fontId="1" fillId="10" borderId="13" xfId="0" applyFont="1" applyFill="1" applyBorder="1" applyAlignment="1">
      <alignment horizontal="center" vertical="center"/>
    </xf>
    <xf numFmtId="0" fontId="18" fillId="14" borderId="12" xfId="0" applyFont="1" applyFill="1" applyBorder="1" applyAlignment="1">
      <alignment horizontal="left" vertical="center"/>
    </xf>
    <xf numFmtId="0" fontId="18" fillId="14" borderId="24" xfId="0" applyFont="1" applyFill="1" applyBorder="1" applyAlignment="1">
      <alignment horizontal="left" vertical="center"/>
    </xf>
    <xf numFmtId="0" fontId="18" fillId="14" borderId="13" xfId="0" applyFont="1" applyFill="1" applyBorder="1" applyAlignment="1">
      <alignment horizontal="left" vertical="center"/>
    </xf>
    <xf numFmtId="0" fontId="1" fillId="9" borderId="28" xfId="0" applyFont="1" applyFill="1" applyBorder="1" applyAlignment="1">
      <alignment horizontal="left" vertical="center"/>
    </xf>
    <xf numFmtId="0" fontId="1" fillId="9" borderId="0" xfId="0" applyFont="1" applyFill="1" applyAlignment="1">
      <alignment horizontal="left" vertical="center"/>
    </xf>
    <xf numFmtId="0" fontId="1" fillId="9" borderId="23" xfId="0" applyFont="1" applyFill="1" applyBorder="1" applyAlignment="1">
      <alignment horizontal="left" vertical="center"/>
    </xf>
    <xf numFmtId="0" fontId="1" fillId="10" borderId="28" xfId="0" applyFont="1" applyFill="1" applyBorder="1" applyAlignment="1">
      <alignment horizontal="left" vertical="center"/>
    </xf>
    <xf numFmtId="0" fontId="1" fillId="10" borderId="0" xfId="0" applyFont="1" applyFill="1" applyAlignment="1">
      <alignment horizontal="left" vertical="center"/>
    </xf>
    <xf numFmtId="0" fontId="1" fillId="10" borderId="23" xfId="0" applyFont="1" applyFill="1" applyBorder="1" applyAlignment="1">
      <alignment horizontal="left" vertical="center"/>
    </xf>
    <xf numFmtId="0" fontId="1" fillId="9" borderId="33" xfId="0" applyFont="1" applyFill="1" applyBorder="1" applyAlignment="1">
      <alignment horizontal="left" vertical="center"/>
    </xf>
    <xf numFmtId="0" fontId="1" fillId="9" borderId="18" xfId="0" applyFont="1" applyFill="1" applyBorder="1" applyAlignment="1">
      <alignment horizontal="left" vertical="center"/>
    </xf>
    <xf numFmtId="0" fontId="1" fillId="9" borderId="15" xfId="0" applyFont="1" applyFill="1" applyBorder="1" applyAlignment="1">
      <alignment horizontal="left" vertical="center"/>
    </xf>
    <xf numFmtId="0" fontId="20" fillId="14" borderId="12" xfId="0" applyFont="1" applyFill="1" applyBorder="1" applyAlignment="1">
      <alignment horizontal="center" vertical="center"/>
    </xf>
    <xf numFmtId="0" fontId="20" fillId="14" borderId="13" xfId="0" applyFont="1" applyFill="1" applyBorder="1" applyAlignment="1">
      <alignment horizontal="center" vertical="center"/>
    </xf>
    <xf numFmtId="0" fontId="20" fillId="14" borderId="29" xfId="0" applyFont="1" applyFill="1" applyBorder="1" applyAlignment="1">
      <alignment horizontal="center" vertical="center"/>
    </xf>
    <xf numFmtId="0" fontId="20" fillId="14" borderId="30" xfId="0" applyFont="1" applyFill="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8" fillId="26" borderId="0" xfId="0" applyFont="1" applyFill="1" applyAlignment="1">
      <alignment horizontal="center" vertical="center"/>
    </xf>
    <xf numFmtId="0" fontId="1" fillId="0" borderId="24" xfId="0" applyFont="1" applyBorder="1" applyAlignment="1">
      <alignment horizontal="center" vertical="center"/>
    </xf>
    <xf numFmtId="0" fontId="1" fillId="0" borderId="55" xfId="0" applyFont="1" applyBorder="1" applyAlignment="1">
      <alignment horizontal="center" vertical="center"/>
    </xf>
    <xf numFmtId="0" fontId="18" fillId="15" borderId="0" xfId="0" applyFont="1" applyFill="1" applyAlignment="1">
      <alignment horizontal="center" vertical="center"/>
    </xf>
    <xf numFmtId="3" fontId="1" fillId="0" borderId="29" xfId="0" applyNumberFormat="1" applyFont="1" applyBorder="1" applyAlignment="1">
      <alignment horizontal="center" vertical="center"/>
    </xf>
    <xf numFmtId="3" fontId="1" fillId="0" borderId="55" xfId="0" applyNumberFormat="1" applyFont="1" applyBorder="1" applyAlignment="1">
      <alignment horizontal="center" vertical="center"/>
    </xf>
    <xf numFmtId="3" fontId="1" fillId="0" borderId="30" xfId="0" applyNumberFormat="1" applyFont="1" applyBorder="1" applyAlignment="1">
      <alignment horizontal="center" vertical="center"/>
    </xf>
    <xf numFmtId="3" fontId="1" fillId="0" borderId="33" xfId="0" applyNumberFormat="1" applyFont="1" applyBorder="1" applyAlignment="1">
      <alignment horizontal="center" vertical="center"/>
    </xf>
    <xf numFmtId="3" fontId="1" fillId="0" borderId="18" xfId="0" applyNumberFormat="1" applyFont="1" applyBorder="1" applyAlignment="1">
      <alignment horizontal="center" vertical="center"/>
    </xf>
    <xf numFmtId="3" fontId="1" fillId="0" borderId="15" xfId="0" applyNumberFormat="1" applyFont="1" applyBorder="1" applyAlignment="1">
      <alignment horizontal="center" vertical="center"/>
    </xf>
    <xf numFmtId="0" fontId="20" fillId="15" borderId="12" xfId="0" applyFont="1" applyFill="1" applyBorder="1" applyAlignment="1">
      <alignment horizontal="right" vertical="center"/>
    </xf>
    <xf numFmtId="0" fontId="20" fillId="15" borderId="13" xfId="0" applyFont="1" applyFill="1" applyBorder="1" applyAlignment="1">
      <alignment horizontal="right" vertical="center"/>
    </xf>
    <xf numFmtId="0" fontId="28" fillId="16" borderId="25" xfId="0" applyFont="1" applyFill="1" applyBorder="1" applyAlignment="1">
      <alignment horizontal="center" vertical="center" wrapText="1"/>
    </xf>
    <xf numFmtId="0" fontId="28" fillId="16" borderId="31" xfId="0" applyFont="1" applyFill="1" applyBorder="1" applyAlignment="1">
      <alignment horizontal="center" vertical="center" wrapText="1"/>
    </xf>
    <xf numFmtId="0" fontId="20" fillId="15" borderId="12" xfId="0" applyFont="1" applyFill="1" applyBorder="1" applyAlignment="1">
      <alignment horizontal="center" vertical="center"/>
    </xf>
    <xf numFmtId="0" fontId="20" fillId="15" borderId="24" xfId="0" applyFont="1" applyFill="1" applyBorder="1" applyAlignment="1">
      <alignment horizontal="center" vertical="center"/>
    </xf>
    <xf numFmtId="0" fontId="20" fillId="15" borderId="13" xfId="0" applyFont="1" applyFill="1" applyBorder="1" applyAlignment="1">
      <alignment horizontal="center" vertical="center"/>
    </xf>
    <xf numFmtId="0" fontId="20" fillId="14" borderId="24" xfId="0" applyFont="1" applyFill="1" applyBorder="1" applyAlignment="1">
      <alignment horizontal="center" vertical="center"/>
    </xf>
    <xf numFmtId="0" fontId="18" fillId="27" borderId="0" xfId="0" applyFont="1" applyFill="1" applyAlignment="1">
      <alignment horizontal="center" vertical="center"/>
    </xf>
    <xf numFmtId="0" fontId="15" fillId="8" borderId="66" xfId="0" applyFont="1" applyFill="1" applyBorder="1" applyAlignment="1">
      <alignment horizontal="right" vertical="center" wrapText="1"/>
    </xf>
    <xf numFmtId="0" fontId="15" fillId="8" borderId="98" xfId="0" applyFont="1" applyFill="1" applyBorder="1" applyAlignment="1">
      <alignment horizontal="right" vertical="center" wrapText="1"/>
    </xf>
    <xf numFmtId="0" fontId="20" fillId="14" borderId="25" xfId="0" applyFont="1" applyFill="1" applyBorder="1" applyAlignment="1">
      <alignment horizontal="center" vertical="center"/>
    </xf>
    <xf numFmtId="0" fontId="20" fillId="14" borderId="49" xfId="0" applyFont="1" applyFill="1" applyBorder="1" applyAlignment="1">
      <alignment horizontal="center" vertical="center"/>
    </xf>
    <xf numFmtId="0" fontId="20" fillId="14" borderId="31" xfId="0" applyFont="1" applyFill="1" applyBorder="1" applyAlignment="1">
      <alignment horizontal="center" vertical="center"/>
    </xf>
    <xf numFmtId="0" fontId="15" fillId="8" borderId="79" xfId="0" applyFont="1" applyFill="1" applyBorder="1" applyAlignment="1">
      <alignment horizontal="right" vertical="center" wrapText="1"/>
    </xf>
    <xf numFmtId="0" fontId="15" fillId="8" borderId="97" xfId="0" applyFont="1" applyFill="1" applyBorder="1" applyAlignment="1">
      <alignment horizontal="right" vertical="center" wrapText="1"/>
    </xf>
    <xf numFmtId="0" fontId="15" fillId="8" borderId="16" xfId="0" applyFont="1" applyFill="1" applyBorder="1" applyAlignment="1">
      <alignment horizontal="right" vertical="center" wrapText="1"/>
    </xf>
    <xf numFmtId="0" fontId="15" fillId="8" borderId="96" xfId="0" applyFont="1" applyFill="1" applyBorder="1" applyAlignment="1">
      <alignment horizontal="right" vertical="center" wrapText="1"/>
    </xf>
    <xf numFmtId="0" fontId="20" fillId="14" borderId="25" xfId="0" applyFont="1" applyFill="1" applyBorder="1" applyAlignment="1">
      <alignment horizontal="left" vertical="center" wrapText="1"/>
    </xf>
    <xf numFmtId="0" fontId="20" fillId="14" borderId="31" xfId="0" applyFont="1" applyFill="1" applyBorder="1" applyAlignment="1">
      <alignment horizontal="left" vertical="center" wrapText="1"/>
    </xf>
    <xf numFmtId="0" fontId="20" fillId="14" borderId="25" xfId="0" applyFont="1" applyFill="1" applyBorder="1" applyAlignment="1">
      <alignment horizontal="center" vertical="center" wrapText="1"/>
    </xf>
    <xf numFmtId="0" fontId="20" fillId="14" borderId="31" xfId="0" applyFont="1" applyFill="1" applyBorder="1" applyAlignment="1">
      <alignment horizontal="center" vertical="center" wrapText="1"/>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18" fillId="31" borderId="0" xfId="0" applyFont="1" applyFill="1" applyAlignment="1">
      <alignment horizontal="center" vertical="center"/>
    </xf>
    <xf numFmtId="3" fontId="28" fillId="9" borderId="42" xfId="0" applyNumberFormat="1" applyFont="1" applyFill="1" applyBorder="1" applyAlignment="1">
      <alignment horizontal="right" vertical="center"/>
    </xf>
    <xf numFmtId="3" fontId="28" fillId="9" borderId="62" xfId="0" applyNumberFormat="1" applyFont="1" applyFill="1" applyBorder="1" applyAlignment="1">
      <alignment horizontal="right" vertical="center"/>
    </xf>
    <xf numFmtId="3" fontId="28" fillId="9" borderId="48" xfId="0" applyNumberFormat="1" applyFont="1" applyFill="1" applyBorder="1" applyAlignment="1">
      <alignment horizontal="right" vertical="center"/>
    </xf>
    <xf numFmtId="9" fontId="28" fillId="9" borderId="10" xfId="0" applyNumberFormat="1" applyFont="1" applyFill="1" applyBorder="1" applyAlignment="1">
      <alignment horizontal="right" vertical="center"/>
    </xf>
    <xf numFmtId="9" fontId="28" fillId="10" borderId="46" xfId="0" applyNumberFormat="1" applyFont="1" applyFill="1" applyBorder="1" applyAlignment="1">
      <alignment horizontal="right" vertical="center"/>
    </xf>
    <xf numFmtId="9" fontId="28" fillId="10" borderId="34" xfId="0" applyNumberFormat="1" applyFont="1" applyFill="1" applyBorder="1" applyAlignment="1">
      <alignment horizontal="right" vertical="center"/>
    </xf>
    <xf numFmtId="9" fontId="28" fillId="9" borderId="38" xfId="0" applyNumberFormat="1" applyFont="1" applyFill="1" applyBorder="1" applyAlignment="1">
      <alignment horizontal="right" vertical="center"/>
    </xf>
    <xf numFmtId="4" fontId="28" fillId="9" borderId="8" xfId="0" applyNumberFormat="1" applyFont="1" applyFill="1" applyBorder="1" applyAlignment="1">
      <alignment horizontal="right" vertical="center"/>
    </xf>
    <xf numFmtId="4" fontId="28" fillId="0" borderId="48" xfId="0" applyNumberFormat="1" applyFont="1" applyBorder="1" applyAlignment="1">
      <alignment horizontal="right" vertical="center"/>
    </xf>
    <xf numFmtId="4" fontId="28" fillId="9" borderId="36" xfId="0" applyNumberFormat="1" applyFont="1" applyFill="1" applyBorder="1" applyAlignment="1">
      <alignment horizontal="right" vertical="center"/>
    </xf>
    <xf numFmtId="4" fontId="28" fillId="0" borderId="36" xfId="0" applyNumberFormat="1" applyFont="1" applyBorder="1" applyAlignment="1">
      <alignment horizontal="right" vertical="center"/>
    </xf>
    <xf numFmtId="4" fontId="28" fillId="9" borderId="61" xfId="0" applyNumberFormat="1" applyFont="1" applyFill="1" applyBorder="1" applyAlignment="1">
      <alignment horizontal="right" vertical="center"/>
    </xf>
    <xf numFmtId="3" fontId="28" fillId="0" borderId="14" xfId="0" applyNumberFormat="1" applyFont="1" applyBorder="1" applyAlignment="1">
      <alignment horizontal="right" vertical="center"/>
    </xf>
    <xf numFmtId="3" fontId="28" fillId="0" borderId="8" xfId="0" applyNumberFormat="1" applyFont="1" applyBorder="1" applyAlignment="1">
      <alignment horizontal="right" vertical="center"/>
    </xf>
    <xf numFmtId="165" fontId="28" fillId="9" borderId="14" xfId="0" applyNumberFormat="1" applyFont="1" applyFill="1" applyBorder="1" applyAlignment="1">
      <alignment horizontal="right" vertical="center"/>
    </xf>
    <xf numFmtId="165" fontId="28" fillId="9" borderId="8" xfId="0" applyNumberFormat="1" applyFont="1" applyFill="1" applyBorder="1" applyAlignment="1">
      <alignment horizontal="right" vertical="center"/>
    </xf>
    <xf numFmtId="0" fontId="15" fillId="0" borderId="68" xfId="0" applyFont="1" applyBorder="1" applyAlignment="1">
      <alignment horizontal="right" vertical="center"/>
    </xf>
    <xf numFmtId="0" fontId="16" fillId="10" borderId="104" xfId="0" applyFont="1" applyFill="1" applyBorder="1" applyAlignment="1">
      <alignment horizontal="left" vertical="center"/>
    </xf>
    <xf numFmtId="0" fontId="4" fillId="33" borderId="46" xfId="0" applyFont="1" applyFill="1" applyBorder="1" applyAlignment="1">
      <alignment horizontal="center" vertical="center" wrapText="1"/>
    </xf>
    <xf numFmtId="0" fontId="15" fillId="10" borderId="32" xfId="0" applyFont="1" applyFill="1" applyBorder="1" applyAlignment="1">
      <alignment horizontal="left" vertical="center"/>
    </xf>
    <xf numFmtId="0" fontId="1" fillId="10" borderId="105" xfId="0" applyFont="1" applyFill="1" applyBorder="1"/>
    <xf numFmtId="0" fontId="4" fillId="33" borderId="38" xfId="0" applyFont="1" applyFill="1" applyBorder="1" applyAlignment="1">
      <alignment horizontal="center" vertical="center" wrapText="1"/>
    </xf>
    <xf numFmtId="3" fontId="15" fillId="9" borderId="10" xfId="0" applyNumberFormat="1" applyFont="1" applyFill="1" applyBorder="1" applyAlignment="1">
      <alignment horizontal="right" vertical="center"/>
    </xf>
    <xf numFmtId="3" fontId="15" fillId="10" borderId="47" xfId="0" applyNumberFormat="1" applyFont="1" applyFill="1" applyBorder="1" applyAlignment="1">
      <alignment horizontal="right" vertical="center"/>
    </xf>
    <xf numFmtId="3" fontId="15" fillId="10" borderId="34" xfId="0" applyNumberFormat="1" applyFont="1" applyFill="1" applyBorder="1" applyAlignment="1">
      <alignment horizontal="right" vertical="center"/>
    </xf>
    <xf numFmtId="3" fontId="15" fillId="10" borderId="36" xfId="0" applyNumberFormat="1" applyFont="1" applyFill="1" applyBorder="1" applyAlignment="1">
      <alignment horizontal="right" vertical="center"/>
    </xf>
    <xf numFmtId="3" fontId="15" fillId="10" borderId="22" xfId="0" applyNumberFormat="1" applyFont="1" applyFill="1" applyBorder="1" applyAlignment="1">
      <alignment horizontal="right" vertical="center"/>
    </xf>
    <xf numFmtId="3" fontId="15" fillId="10" borderId="56" xfId="0" applyNumberFormat="1" applyFont="1" applyFill="1" applyBorder="1" applyAlignment="1">
      <alignment horizontal="right" vertical="center"/>
    </xf>
    <xf numFmtId="3" fontId="15" fillId="10" borderId="61" xfId="0" applyNumberFormat="1" applyFont="1" applyFill="1" applyBorder="1" applyAlignment="1">
      <alignment horizontal="right" vertical="center"/>
    </xf>
    <xf numFmtId="3" fontId="15" fillId="9" borderId="7" xfId="0" applyNumberFormat="1" applyFont="1" applyFill="1" applyBorder="1" applyAlignment="1">
      <alignment horizontal="right" vertical="center"/>
    </xf>
    <xf numFmtId="3" fontId="15" fillId="9" borderId="74"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projection!$D$122</c:f>
              <c:strCache>
                <c:ptCount val="1"/>
                <c:pt idx="0">
                  <c:v>0 / 1 bed</c:v>
                </c:pt>
              </c:strCache>
            </c:strRef>
          </c:tx>
          <c:spPr>
            <a:solidFill>
              <a:schemeClr val="accent1"/>
            </a:solidFill>
            <a:ln>
              <a:noFill/>
            </a:ln>
            <a:effectLst/>
          </c:spPr>
          <c:invertIfNegative val="0"/>
          <c:cat>
            <c:strRef>
              <c:f>projection!$B$124:$B$130</c:f>
              <c:strCache>
                <c:ptCount val="7"/>
                <c:pt idx="0">
                  <c:v>15-24</c:v>
                </c:pt>
                <c:pt idx="1">
                  <c:v>25-34</c:v>
                </c:pt>
                <c:pt idx="2">
                  <c:v>35-44</c:v>
                </c:pt>
                <c:pt idx="3">
                  <c:v>45-54</c:v>
                </c:pt>
                <c:pt idx="4">
                  <c:v>55-64</c:v>
                </c:pt>
                <c:pt idx="5">
                  <c:v>65-74</c:v>
                </c:pt>
                <c:pt idx="6">
                  <c:v>75+</c:v>
                </c:pt>
              </c:strCache>
            </c:strRef>
          </c:cat>
          <c:val>
            <c:numRef>
              <c:f>projection!$D$124:$D$130</c:f>
              <c:numCache>
                <c:formatCode>0%</c:formatCode>
                <c:ptCount val="7"/>
                <c:pt idx="0">
                  <c:v>0.5036910690388392</c:v>
                </c:pt>
                <c:pt idx="1">
                  <c:v>0.42774869675765131</c:v>
                </c:pt>
                <c:pt idx="2">
                  <c:v>0.41855200948577576</c:v>
                </c:pt>
                <c:pt idx="3">
                  <c:v>0.56514013993231182</c:v>
                </c:pt>
                <c:pt idx="4">
                  <c:v>0.78279360704053136</c:v>
                </c:pt>
                <c:pt idx="5">
                  <c:v>0.84598957106147488</c:v>
                </c:pt>
                <c:pt idx="6">
                  <c:v>0.88249178889807278</c:v>
                </c:pt>
              </c:numCache>
            </c:numRef>
          </c:val>
          <c:extLst>
            <c:ext xmlns:c16="http://schemas.microsoft.com/office/drawing/2014/chart" uri="{C3380CC4-5D6E-409C-BE32-E72D297353CC}">
              <c16:uniqueId val="{00000000-5CD2-46DD-8CFB-6D953B0F3BD6}"/>
            </c:ext>
          </c:extLst>
        </c:ser>
        <c:ser>
          <c:idx val="1"/>
          <c:order val="1"/>
          <c:tx>
            <c:strRef>
              <c:f>projection!$E$122</c:f>
              <c:strCache>
                <c:ptCount val="1"/>
                <c:pt idx="0">
                  <c:v>2 bed</c:v>
                </c:pt>
              </c:strCache>
            </c:strRef>
          </c:tx>
          <c:spPr>
            <a:solidFill>
              <a:schemeClr val="accent2"/>
            </a:solidFill>
            <a:ln>
              <a:noFill/>
            </a:ln>
            <a:effectLst/>
          </c:spPr>
          <c:invertIfNegative val="0"/>
          <c:cat>
            <c:strRef>
              <c:f>projection!$B$124:$B$130</c:f>
              <c:strCache>
                <c:ptCount val="7"/>
                <c:pt idx="0">
                  <c:v>15-24</c:v>
                </c:pt>
                <c:pt idx="1">
                  <c:v>25-34</c:v>
                </c:pt>
                <c:pt idx="2">
                  <c:v>35-44</c:v>
                </c:pt>
                <c:pt idx="3">
                  <c:v>45-54</c:v>
                </c:pt>
                <c:pt idx="4">
                  <c:v>55-64</c:v>
                </c:pt>
                <c:pt idx="5">
                  <c:v>65-74</c:v>
                </c:pt>
                <c:pt idx="6">
                  <c:v>75+</c:v>
                </c:pt>
              </c:strCache>
            </c:strRef>
          </c:cat>
          <c:val>
            <c:numRef>
              <c:f>projection!$E$124:$E$130</c:f>
              <c:numCache>
                <c:formatCode>0%</c:formatCode>
                <c:ptCount val="7"/>
                <c:pt idx="0">
                  <c:v>0.27489046955677926</c:v>
                </c:pt>
                <c:pt idx="1">
                  <c:v>0.1932932979043917</c:v>
                </c:pt>
                <c:pt idx="2">
                  <c:v>0.15560749342590477</c:v>
                </c:pt>
                <c:pt idx="3">
                  <c:v>0.18662482299874658</c:v>
                </c:pt>
                <c:pt idx="4">
                  <c:v>0.15141744443998009</c:v>
                </c:pt>
                <c:pt idx="5">
                  <c:v>0.12153572619961685</c:v>
                </c:pt>
                <c:pt idx="6">
                  <c:v>8.9492860583229805E-2</c:v>
                </c:pt>
              </c:numCache>
            </c:numRef>
          </c:val>
          <c:extLst>
            <c:ext xmlns:c16="http://schemas.microsoft.com/office/drawing/2014/chart" uri="{C3380CC4-5D6E-409C-BE32-E72D297353CC}">
              <c16:uniqueId val="{00000001-5CD2-46DD-8CFB-6D953B0F3BD6}"/>
            </c:ext>
          </c:extLst>
        </c:ser>
        <c:ser>
          <c:idx val="2"/>
          <c:order val="2"/>
          <c:tx>
            <c:strRef>
              <c:f>projection!$F$122</c:f>
              <c:strCache>
                <c:ptCount val="1"/>
                <c:pt idx="0">
                  <c:v>3 bed</c:v>
                </c:pt>
              </c:strCache>
            </c:strRef>
          </c:tx>
          <c:spPr>
            <a:solidFill>
              <a:schemeClr val="accent3"/>
            </a:solidFill>
            <a:ln>
              <a:noFill/>
            </a:ln>
            <a:effectLst/>
          </c:spPr>
          <c:invertIfNegative val="0"/>
          <c:cat>
            <c:strRef>
              <c:f>projection!$B$124:$B$130</c:f>
              <c:strCache>
                <c:ptCount val="7"/>
                <c:pt idx="0">
                  <c:v>15-24</c:v>
                </c:pt>
                <c:pt idx="1">
                  <c:v>25-34</c:v>
                </c:pt>
                <c:pt idx="2">
                  <c:v>35-44</c:v>
                </c:pt>
                <c:pt idx="3">
                  <c:v>45-54</c:v>
                </c:pt>
                <c:pt idx="4">
                  <c:v>55-64</c:v>
                </c:pt>
                <c:pt idx="5">
                  <c:v>65-74</c:v>
                </c:pt>
                <c:pt idx="6">
                  <c:v>75+</c:v>
                </c:pt>
              </c:strCache>
            </c:strRef>
          </c:cat>
          <c:val>
            <c:numRef>
              <c:f>projection!$F$124:$F$130</c:f>
              <c:numCache>
                <c:formatCode>0%</c:formatCode>
                <c:ptCount val="7"/>
                <c:pt idx="0">
                  <c:v>0.14207316293743188</c:v>
                </c:pt>
                <c:pt idx="1">
                  <c:v>0.18448973108766215</c:v>
                </c:pt>
                <c:pt idx="2">
                  <c:v>0.20243904058421835</c:v>
                </c:pt>
                <c:pt idx="3">
                  <c:v>0.13409746404271017</c:v>
                </c:pt>
                <c:pt idx="4">
                  <c:v>4.6196925589650745E-2</c:v>
                </c:pt>
                <c:pt idx="5">
                  <c:v>2.2827738336667864E-2</c:v>
                </c:pt>
                <c:pt idx="6">
                  <c:v>2.3734815834283243E-2</c:v>
                </c:pt>
              </c:numCache>
            </c:numRef>
          </c:val>
          <c:extLst>
            <c:ext xmlns:c16="http://schemas.microsoft.com/office/drawing/2014/chart" uri="{C3380CC4-5D6E-409C-BE32-E72D297353CC}">
              <c16:uniqueId val="{00000002-5CD2-46DD-8CFB-6D953B0F3BD6}"/>
            </c:ext>
          </c:extLst>
        </c:ser>
        <c:ser>
          <c:idx val="3"/>
          <c:order val="3"/>
          <c:tx>
            <c:strRef>
              <c:f>projection!$G$122</c:f>
              <c:strCache>
                <c:ptCount val="1"/>
                <c:pt idx="0">
                  <c:v>4+ bed</c:v>
                </c:pt>
              </c:strCache>
            </c:strRef>
          </c:tx>
          <c:spPr>
            <a:solidFill>
              <a:schemeClr val="accent4"/>
            </a:solidFill>
            <a:ln>
              <a:noFill/>
            </a:ln>
            <a:effectLst/>
          </c:spPr>
          <c:invertIfNegative val="0"/>
          <c:cat>
            <c:strRef>
              <c:f>projection!$B$124:$B$130</c:f>
              <c:strCache>
                <c:ptCount val="7"/>
                <c:pt idx="0">
                  <c:v>15-24</c:v>
                </c:pt>
                <c:pt idx="1">
                  <c:v>25-34</c:v>
                </c:pt>
                <c:pt idx="2">
                  <c:v>35-44</c:v>
                </c:pt>
                <c:pt idx="3">
                  <c:v>45-54</c:v>
                </c:pt>
                <c:pt idx="4">
                  <c:v>55-64</c:v>
                </c:pt>
                <c:pt idx="5">
                  <c:v>65-74</c:v>
                </c:pt>
                <c:pt idx="6">
                  <c:v>75+</c:v>
                </c:pt>
              </c:strCache>
            </c:strRef>
          </c:cat>
          <c:val>
            <c:numRef>
              <c:f>projection!$G$124:$G$130</c:f>
              <c:numCache>
                <c:formatCode>0%</c:formatCode>
                <c:ptCount val="7"/>
                <c:pt idx="0">
                  <c:v>7.1964844388344912E-2</c:v>
                </c:pt>
                <c:pt idx="1">
                  <c:v>0.19446827425029478</c:v>
                </c:pt>
                <c:pt idx="2">
                  <c:v>0.22242500455926045</c:v>
                </c:pt>
                <c:pt idx="3">
                  <c:v>0.1141375730262315</c:v>
                </c:pt>
                <c:pt idx="4">
                  <c:v>1.9108459648743865E-2</c:v>
                </c:pt>
                <c:pt idx="5">
                  <c:v>9.0034164907744664E-3</c:v>
                </c:pt>
                <c:pt idx="6">
                  <c:v>4.2805346844139031E-3</c:v>
                </c:pt>
              </c:numCache>
            </c:numRef>
          </c:val>
          <c:extLst>
            <c:ext xmlns:c16="http://schemas.microsoft.com/office/drawing/2014/chart" uri="{C3380CC4-5D6E-409C-BE32-E72D297353CC}">
              <c16:uniqueId val="{00000003-5CD2-46DD-8CFB-6D953B0F3BD6}"/>
            </c:ext>
          </c:extLst>
        </c:ser>
        <c:dLbls>
          <c:showLegendKey val="0"/>
          <c:showVal val="0"/>
          <c:showCatName val="0"/>
          <c:showSerName val="0"/>
          <c:showPercent val="0"/>
          <c:showBubbleSize val="0"/>
        </c:dLbls>
        <c:gapWidth val="75"/>
        <c:overlap val="100"/>
        <c:axId val="1955708544"/>
        <c:axId val="1955710944"/>
      </c:barChart>
      <c:catAx>
        <c:axId val="1955708544"/>
        <c:scaling>
          <c:orientation val="minMax"/>
        </c:scaling>
        <c:delete val="0"/>
        <c:axPos val="b"/>
        <c:numFmt formatCode="General" sourceLinked="1"/>
        <c:majorTickMark val="cross"/>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10944"/>
        <c:crosses val="autoZero"/>
        <c:auto val="1"/>
        <c:lblAlgn val="ctr"/>
        <c:lblOffset val="100"/>
        <c:noMultiLvlLbl val="0"/>
      </c:catAx>
      <c:valAx>
        <c:axId val="1955710944"/>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CA"/>
                  <a:t>Share of constructed dwellings</a:t>
                </a:r>
              </a:p>
            </c:rich>
          </c:tx>
          <c:layout>
            <c:manualLayout>
              <c:xMode val="edge"/>
              <c:yMode val="edge"/>
              <c:x val="5.7823136478689363E-3"/>
              <c:y val="7.6271094352744304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CA"/>
            </a:p>
          </c:txPr>
        </c:title>
        <c:numFmt formatCode="0%" sourceLinked="1"/>
        <c:majorTickMark val="cross"/>
        <c:minorTickMark val="cross"/>
        <c:tickLblPos val="nextTo"/>
        <c:spPr>
          <a:noFill/>
          <a:ln>
            <a:solidFill>
              <a:schemeClr val="tx2"/>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08544"/>
        <c:crosses val="autoZero"/>
        <c:crossBetween val="between"/>
        <c:majorUnit val="0.2"/>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11753423887166"/>
          <c:y val="6.0082532922293569E-2"/>
          <c:w val="0.83154021212377949"/>
          <c:h val="0.74452467317951609"/>
        </c:manualLayout>
      </c:layout>
      <c:barChart>
        <c:barDir val="col"/>
        <c:grouping val="percentStacked"/>
        <c:varyColors val="0"/>
        <c:ser>
          <c:idx val="0"/>
          <c:order val="0"/>
          <c:tx>
            <c:strRef>
              <c:f>projection!$B$182</c:f>
              <c:strCache>
                <c:ptCount val="1"/>
                <c:pt idx="0">
                  <c:v>Single</c:v>
                </c:pt>
              </c:strCache>
            </c:strRef>
          </c:tx>
          <c:spPr>
            <a:solidFill>
              <a:schemeClr val="accent1"/>
            </a:solidFill>
            <a:ln>
              <a:noFill/>
            </a:ln>
            <a:effectLst/>
          </c:spPr>
          <c:invertIfNegative val="0"/>
          <c:cat>
            <c:strRef>
              <c:f>projection!$C$181:$I$181</c:f>
              <c:strCache>
                <c:ptCount val="7"/>
                <c:pt idx="0">
                  <c:v>15 to 24</c:v>
                </c:pt>
                <c:pt idx="1">
                  <c:v>25 to 34</c:v>
                </c:pt>
                <c:pt idx="2">
                  <c:v>35 to 44</c:v>
                </c:pt>
                <c:pt idx="3">
                  <c:v>45 to 54</c:v>
                </c:pt>
                <c:pt idx="4">
                  <c:v>55 to 64</c:v>
                </c:pt>
                <c:pt idx="5">
                  <c:v>65 to 74</c:v>
                </c:pt>
                <c:pt idx="6">
                  <c:v>75+</c:v>
                </c:pt>
              </c:strCache>
            </c:strRef>
          </c:cat>
          <c:val>
            <c:numRef>
              <c:f>projection!$C$182:$I$182</c:f>
              <c:numCache>
                <c:formatCode>0%</c:formatCode>
                <c:ptCount val="7"/>
                <c:pt idx="0">
                  <c:v>0.28347323066506375</c:v>
                </c:pt>
                <c:pt idx="1">
                  <c:v>0.45158008218000245</c:v>
                </c:pt>
                <c:pt idx="2">
                  <c:v>0.51072587050722296</c:v>
                </c:pt>
                <c:pt idx="3">
                  <c:v>0.45130329664974633</c:v>
                </c:pt>
                <c:pt idx="4">
                  <c:v>0.40818396349924119</c:v>
                </c:pt>
                <c:pt idx="5">
                  <c:v>0.32447631543663857</c:v>
                </c:pt>
                <c:pt idx="6">
                  <c:v>0.21896333440338198</c:v>
                </c:pt>
              </c:numCache>
            </c:numRef>
          </c:val>
          <c:extLst>
            <c:ext xmlns:c16="http://schemas.microsoft.com/office/drawing/2014/chart" uri="{C3380CC4-5D6E-409C-BE32-E72D297353CC}">
              <c16:uniqueId val="{00000000-1D20-4BE4-957B-6EED6F9D370B}"/>
            </c:ext>
          </c:extLst>
        </c:ser>
        <c:ser>
          <c:idx val="1"/>
          <c:order val="1"/>
          <c:tx>
            <c:strRef>
              <c:f>projection!$B$183</c:f>
              <c:strCache>
                <c:ptCount val="1"/>
                <c:pt idx="0">
                  <c:v>Apartment</c:v>
                </c:pt>
              </c:strCache>
            </c:strRef>
          </c:tx>
          <c:spPr>
            <a:solidFill>
              <a:schemeClr val="accent2"/>
            </a:solidFill>
            <a:ln>
              <a:noFill/>
            </a:ln>
            <a:effectLst/>
          </c:spPr>
          <c:invertIfNegative val="0"/>
          <c:cat>
            <c:strRef>
              <c:f>projection!$C$181:$I$181</c:f>
              <c:strCache>
                <c:ptCount val="7"/>
                <c:pt idx="0">
                  <c:v>15 to 24</c:v>
                </c:pt>
                <c:pt idx="1">
                  <c:v>25 to 34</c:v>
                </c:pt>
                <c:pt idx="2">
                  <c:v>35 to 44</c:v>
                </c:pt>
                <c:pt idx="3">
                  <c:v>45 to 54</c:v>
                </c:pt>
                <c:pt idx="4">
                  <c:v>55 to 64</c:v>
                </c:pt>
                <c:pt idx="5">
                  <c:v>65 to 74</c:v>
                </c:pt>
                <c:pt idx="6">
                  <c:v>75+</c:v>
                </c:pt>
              </c:strCache>
            </c:strRef>
          </c:cat>
          <c:val>
            <c:numRef>
              <c:f>projection!$C$183:$I$183</c:f>
              <c:numCache>
                <c:formatCode>0%</c:formatCode>
                <c:ptCount val="7"/>
                <c:pt idx="0">
                  <c:v>0.53469880380129609</c:v>
                </c:pt>
                <c:pt idx="1">
                  <c:v>0.33561988833222306</c:v>
                </c:pt>
                <c:pt idx="2">
                  <c:v>0.27384923901630376</c:v>
                </c:pt>
                <c:pt idx="3">
                  <c:v>0.36461460743505791</c:v>
                </c:pt>
                <c:pt idx="4">
                  <c:v>0.44384947179527495</c:v>
                </c:pt>
                <c:pt idx="5">
                  <c:v>0.57174692917715608</c:v>
                </c:pt>
                <c:pt idx="6">
                  <c:v>0.56222100587272028</c:v>
                </c:pt>
              </c:numCache>
            </c:numRef>
          </c:val>
          <c:extLst>
            <c:ext xmlns:c16="http://schemas.microsoft.com/office/drawing/2014/chart" uri="{C3380CC4-5D6E-409C-BE32-E72D297353CC}">
              <c16:uniqueId val="{00000001-1D20-4BE4-957B-6EED6F9D370B}"/>
            </c:ext>
          </c:extLst>
        </c:ser>
        <c:ser>
          <c:idx val="2"/>
          <c:order val="2"/>
          <c:tx>
            <c:strRef>
              <c:f>projection!$B$184</c:f>
              <c:strCache>
                <c:ptCount val="1"/>
                <c:pt idx="0">
                  <c:v>Missing</c:v>
                </c:pt>
              </c:strCache>
            </c:strRef>
          </c:tx>
          <c:spPr>
            <a:solidFill>
              <a:schemeClr val="accent3"/>
            </a:solidFill>
            <a:ln>
              <a:noFill/>
            </a:ln>
            <a:effectLst/>
          </c:spPr>
          <c:invertIfNegative val="0"/>
          <c:cat>
            <c:strRef>
              <c:f>projection!$C$181:$I$181</c:f>
              <c:strCache>
                <c:ptCount val="7"/>
                <c:pt idx="0">
                  <c:v>15 to 24</c:v>
                </c:pt>
                <c:pt idx="1">
                  <c:v>25 to 34</c:v>
                </c:pt>
                <c:pt idx="2">
                  <c:v>35 to 44</c:v>
                </c:pt>
                <c:pt idx="3">
                  <c:v>45 to 54</c:v>
                </c:pt>
                <c:pt idx="4">
                  <c:v>55 to 64</c:v>
                </c:pt>
                <c:pt idx="5">
                  <c:v>65 to 74</c:v>
                </c:pt>
                <c:pt idx="6">
                  <c:v>75+</c:v>
                </c:pt>
              </c:strCache>
            </c:strRef>
          </c:cat>
          <c:val>
            <c:numRef>
              <c:f>projection!$C$184:$I$184</c:f>
              <c:numCache>
                <c:formatCode>0%</c:formatCode>
                <c:ptCount val="7"/>
                <c:pt idx="0">
                  <c:v>0.18182796553364022</c:v>
                </c:pt>
                <c:pt idx="1">
                  <c:v>0.21280002948777449</c:v>
                </c:pt>
                <c:pt idx="2">
                  <c:v>0.21542489047647317</c:v>
                </c:pt>
                <c:pt idx="3">
                  <c:v>0.18408209591519578</c:v>
                </c:pt>
                <c:pt idx="4">
                  <c:v>0.14796656470548394</c:v>
                </c:pt>
                <c:pt idx="5">
                  <c:v>0.10377675538620539</c:v>
                </c:pt>
                <c:pt idx="6">
                  <c:v>0.21881565972389774</c:v>
                </c:pt>
              </c:numCache>
            </c:numRef>
          </c:val>
          <c:extLst>
            <c:ext xmlns:c16="http://schemas.microsoft.com/office/drawing/2014/chart" uri="{C3380CC4-5D6E-409C-BE32-E72D297353CC}">
              <c16:uniqueId val="{00000002-1D20-4BE4-957B-6EED6F9D370B}"/>
            </c:ext>
          </c:extLst>
        </c:ser>
        <c:dLbls>
          <c:showLegendKey val="0"/>
          <c:showVal val="0"/>
          <c:showCatName val="0"/>
          <c:showSerName val="0"/>
          <c:showPercent val="0"/>
          <c:showBubbleSize val="0"/>
        </c:dLbls>
        <c:gapWidth val="75"/>
        <c:overlap val="100"/>
        <c:axId val="1955708544"/>
        <c:axId val="1955710944"/>
      </c:barChart>
      <c:catAx>
        <c:axId val="1955708544"/>
        <c:scaling>
          <c:orientation val="minMax"/>
        </c:scaling>
        <c:delete val="0"/>
        <c:axPos val="b"/>
        <c:numFmt formatCode="General" sourceLinked="1"/>
        <c:majorTickMark val="cross"/>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10944"/>
        <c:crosses val="autoZero"/>
        <c:auto val="1"/>
        <c:lblAlgn val="ctr"/>
        <c:lblOffset val="100"/>
        <c:noMultiLvlLbl val="0"/>
      </c:catAx>
      <c:valAx>
        <c:axId val="1955710944"/>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CA"/>
                  <a:t>Share of constructed dwellings</a:t>
                </a:r>
              </a:p>
            </c:rich>
          </c:tx>
          <c:layout>
            <c:manualLayout>
              <c:xMode val="edge"/>
              <c:yMode val="edge"/>
              <c:x val="5.7823136478689363E-3"/>
              <c:y val="7.6271094352744304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CA"/>
            </a:p>
          </c:txPr>
        </c:title>
        <c:numFmt formatCode="0%" sourceLinked="1"/>
        <c:majorTickMark val="cross"/>
        <c:minorTickMark val="cross"/>
        <c:tickLblPos val="nextTo"/>
        <c:spPr>
          <a:noFill/>
          <a:ln>
            <a:solidFill>
              <a:schemeClr val="tx2"/>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08544"/>
        <c:crosses val="autoZero"/>
        <c:crossBetween val="between"/>
        <c:majorUnit val="0.2"/>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projection!$S$184</c:f>
              <c:strCache>
                <c:ptCount val="1"/>
                <c:pt idx="0">
                  <c:v>CNC</c:v>
                </c:pt>
              </c:strCache>
            </c:strRef>
          </c:tx>
          <c:spPr>
            <a:solidFill>
              <a:schemeClr val="accent1"/>
            </a:solidFill>
            <a:ln>
              <a:noFill/>
            </a:ln>
            <a:effectLst/>
          </c:spPr>
          <c:invertIfNegative val="0"/>
          <c:cat>
            <c:strRef>
              <c:f>projection!$T$183:$Z$183</c:f>
              <c:strCache>
                <c:ptCount val="7"/>
                <c:pt idx="0">
                  <c:v>15 to 24</c:v>
                </c:pt>
                <c:pt idx="1">
                  <c:v>25 to 34</c:v>
                </c:pt>
                <c:pt idx="2">
                  <c:v>35 to 44</c:v>
                </c:pt>
                <c:pt idx="3">
                  <c:v>45 to 54</c:v>
                </c:pt>
                <c:pt idx="4">
                  <c:v>55 to 64</c:v>
                </c:pt>
                <c:pt idx="5">
                  <c:v>65 to 74</c:v>
                </c:pt>
                <c:pt idx="6">
                  <c:v>75+</c:v>
                </c:pt>
              </c:strCache>
            </c:strRef>
          </c:cat>
          <c:val>
            <c:numRef>
              <c:f>projection!$T$184:$Z$184</c:f>
              <c:numCache>
                <c:formatCode>0%</c:formatCode>
                <c:ptCount val="7"/>
                <c:pt idx="0">
                  <c:v>0.17209550875876531</c:v>
                </c:pt>
                <c:pt idx="1">
                  <c:v>0.13864019362545546</c:v>
                </c:pt>
                <c:pt idx="2">
                  <c:v>8.8267913423987238E-2</c:v>
                </c:pt>
                <c:pt idx="3">
                  <c:v>0.17187042167466218</c:v>
                </c:pt>
                <c:pt idx="4">
                  <c:v>0.35310722797536109</c:v>
                </c:pt>
                <c:pt idx="5">
                  <c:v>0.39319380288307215</c:v>
                </c:pt>
                <c:pt idx="6">
                  <c:v>0.32001879284661439</c:v>
                </c:pt>
              </c:numCache>
            </c:numRef>
          </c:val>
          <c:extLst>
            <c:ext xmlns:c16="http://schemas.microsoft.com/office/drawing/2014/chart" uri="{C3380CC4-5D6E-409C-BE32-E72D297353CC}">
              <c16:uniqueId val="{00000000-68ED-4BBE-A12E-B80728A871A8}"/>
            </c:ext>
          </c:extLst>
        </c:ser>
        <c:ser>
          <c:idx val="1"/>
          <c:order val="1"/>
          <c:tx>
            <c:strRef>
              <c:f>projection!$S$185</c:f>
              <c:strCache>
                <c:ptCount val="1"/>
                <c:pt idx="0">
                  <c:v>CC</c:v>
                </c:pt>
              </c:strCache>
            </c:strRef>
          </c:tx>
          <c:spPr>
            <a:solidFill>
              <a:schemeClr val="accent2"/>
            </a:solidFill>
            <a:ln>
              <a:noFill/>
            </a:ln>
            <a:effectLst/>
          </c:spPr>
          <c:invertIfNegative val="0"/>
          <c:cat>
            <c:strRef>
              <c:f>projection!$T$183:$Z$183</c:f>
              <c:strCache>
                <c:ptCount val="7"/>
                <c:pt idx="0">
                  <c:v>15 to 24</c:v>
                </c:pt>
                <c:pt idx="1">
                  <c:v>25 to 34</c:v>
                </c:pt>
                <c:pt idx="2">
                  <c:v>35 to 44</c:v>
                </c:pt>
                <c:pt idx="3">
                  <c:v>45 to 54</c:v>
                </c:pt>
                <c:pt idx="4">
                  <c:v>55 to 64</c:v>
                </c:pt>
                <c:pt idx="5">
                  <c:v>65 to 74</c:v>
                </c:pt>
                <c:pt idx="6">
                  <c:v>75+</c:v>
                </c:pt>
              </c:strCache>
            </c:strRef>
          </c:cat>
          <c:val>
            <c:numRef>
              <c:f>projection!$T$185:$Z$185</c:f>
              <c:numCache>
                <c:formatCode>0%</c:formatCode>
                <c:ptCount val="7"/>
                <c:pt idx="0">
                  <c:v>0.1441905462536951</c:v>
                </c:pt>
                <c:pt idx="1">
                  <c:v>0.27893058336404986</c:v>
                </c:pt>
                <c:pt idx="2">
                  <c:v>0.41087717756571701</c:v>
                </c:pt>
                <c:pt idx="3">
                  <c:v>0.28446234209742555</c:v>
                </c:pt>
                <c:pt idx="4">
                  <c:v>9.4331954628968193E-2</c:v>
                </c:pt>
                <c:pt idx="5">
                  <c:v>6.5531815803609894E-2</c:v>
                </c:pt>
                <c:pt idx="6">
                  <c:v>3.0002587348294866E-2</c:v>
                </c:pt>
              </c:numCache>
            </c:numRef>
          </c:val>
          <c:extLst>
            <c:ext xmlns:c16="http://schemas.microsoft.com/office/drawing/2014/chart" uri="{C3380CC4-5D6E-409C-BE32-E72D297353CC}">
              <c16:uniqueId val="{00000001-68ED-4BBE-A12E-B80728A871A8}"/>
            </c:ext>
          </c:extLst>
        </c:ser>
        <c:ser>
          <c:idx val="2"/>
          <c:order val="2"/>
          <c:tx>
            <c:strRef>
              <c:f>projection!$S$186</c:f>
              <c:strCache>
                <c:ptCount val="1"/>
                <c:pt idx="0">
                  <c:v>LP</c:v>
                </c:pt>
              </c:strCache>
            </c:strRef>
          </c:tx>
          <c:spPr>
            <a:solidFill>
              <a:schemeClr val="accent3"/>
            </a:solidFill>
            <a:ln>
              <a:noFill/>
            </a:ln>
            <a:effectLst/>
          </c:spPr>
          <c:invertIfNegative val="0"/>
          <c:cat>
            <c:strRef>
              <c:f>projection!$T$183:$Z$183</c:f>
              <c:strCache>
                <c:ptCount val="7"/>
                <c:pt idx="0">
                  <c:v>15 to 24</c:v>
                </c:pt>
                <c:pt idx="1">
                  <c:v>25 to 34</c:v>
                </c:pt>
                <c:pt idx="2">
                  <c:v>35 to 44</c:v>
                </c:pt>
                <c:pt idx="3">
                  <c:v>45 to 54</c:v>
                </c:pt>
                <c:pt idx="4">
                  <c:v>55 to 64</c:v>
                </c:pt>
                <c:pt idx="5">
                  <c:v>65 to 74</c:v>
                </c:pt>
                <c:pt idx="6">
                  <c:v>75+</c:v>
                </c:pt>
              </c:strCache>
            </c:strRef>
          </c:cat>
          <c:val>
            <c:numRef>
              <c:f>projection!$T$186:$Z$186</c:f>
              <c:numCache>
                <c:formatCode>0%</c:formatCode>
                <c:ptCount val="7"/>
                <c:pt idx="0">
                  <c:v>0.19534669375471703</c:v>
                </c:pt>
                <c:pt idx="1">
                  <c:v>0.24962694936792706</c:v>
                </c:pt>
                <c:pt idx="2">
                  <c:v>0.23604641855204458</c:v>
                </c:pt>
                <c:pt idx="3">
                  <c:v>0.17319219323212109</c:v>
                </c:pt>
                <c:pt idx="4">
                  <c:v>9.1330903760102805E-2</c:v>
                </c:pt>
                <c:pt idx="5">
                  <c:v>8.008957808341198E-2</c:v>
                </c:pt>
                <c:pt idx="6">
                  <c:v>9.9982290076533156E-2</c:v>
                </c:pt>
              </c:numCache>
            </c:numRef>
          </c:val>
          <c:extLst>
            <c:ext xmlns:c16="http://schemas.microsoft.com/office/drawing/2014/chart" uri="{C3380CC4-5D6E-409C-BE32-E72D297353CC}">
              <c16:uniqueId val="{00000002-68ED-4BBE-A12E-B80728A871A8}"/>
            </c:ext>
          </c:extLst>
        </c:ser>
        <c:ser>
          <c:idx val="3"/>
          <c:order val="3"/>
          <c:tx>
            <c:strRef>
              <c:f>projection!$S$188</c:f>
              <c:strCache>
                <c:ptCount val="1"/>
                <c:pt idx="0">
                  <c:v>NCF</c:v>
                </c:pt>
              </c:strCache>
            </c:strRef>
          </c:tx>
          <c:spPr>
            <a:solidFill>
              <a:schemeClr val="accent4"/>
            </a:solidFill>
            <a:ln>
              <a:noFill/>
            </a:ln>
            <a:effectLst/>
          </c:spPr>
          <c:invertIfNegative val="0"/>
          <c:cat>
            <c:strRef>
              <c:f>projection!$T$183:$Z$183</c:f>
              <c:strCache>
                <c:ptCount val="7"/>
                <c:pt idx="0">
                  <c:v>15 to 24</c:v>
                </c:pt>
                <c:pt idx="1">
                  <c:v>25 to 34</c:v>
                </c:pt>
                <c:pt idx="2">
                  <c:v>35 to 44</c:v>
                </c:pt>
                <c:pt idx="3">
                  <c:v>45 to 54</c:v>
                </c:pt>
                <c:pt idx="4">
                  <c:v>55 to 64</c:v>
                </c:pt>
                <c:pt idx="5">
                  <c:v>65 to 74</c:v>
                </c:pt>
                <c:pt idx="6">
                  <c:v>75+</c:v>
                </c:pt>
              </c:strCache>
            </c:strRef>
          </c:cat>
          <c:val>
            <c:numRef>
              <c:f>projection!$T$188:$Z$188</c:f>
              <c:numCache>
                <c:formatCode>0%</c:formatCode>
                <c:ptCount val="7"/>
                <c:pt idx="0">
                  <c:v>0.47907939746079209</c:v>
                </c:pt>
                <c:pt idx="1">
                  <c:v>0.3311696859148342</c:v>
                </c:pt>
                <c:pt idx="2">
                  <c:v>0.25719728509953022</c:v>
                </c:pt>
                <c:pt idx="3">
                  <c:v>0.36668077589026354</c:v>
                </c:pt>
                <c:pt idx="4">
                  <c:v>0.45970836255241532</c:v>
                </c:pt>
                <c:pt idx="5">
                  <c:v>0.46118480322990596</c:v>
                </c:pt>
                <c:pt idx="6">
                  <c:v>0.5499963297285575</c:v>
                </c:pt>
              </c:numCache>
            </c:numRef>
          </c:val>
          <c:extLst>
            <c:ext xmlns:c16="http://schemas.microsoft.com/office/drawing/2014/chart" uri="{C3380CC4-5D6E-409C-BE32-E72D297353CC}">
              <c16:uniqueId val="{00000003-68ED-4BBE-A12E-B80728A871A8}"/>
            </c:ext>
          </c:extLst>
        </c:ser>
        <c:dLbls>
          <c:showLegendKey val="0"/>
          <c:showVal val="0"/>
          <c:showCatName val="0"/>
          <c:showSerName val="0"/>
          <c:showPercent val="0"/>
          <c:showBubbleSize val="0"/>
        </c:dLbls>
        <c:gapWidth val="75"/>
        <c:overlap val="100"/>
        <c:axId val="1955708544"/>
        <c:axId val="1955710944"/>
      </c:barChart>
      <c:catAx>
        <c:axId val="1955708544"/>
        <c:scaling>
          <c:orientation val="minMax"/>
        </c:scaling>
        <c:delete val="0"/>
        <c:axPos val="b"/>
        <c:numFmt formatCode="General" sourceLinked="1"/>
        <c:majorTickMark val="cross"/>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10944"/>
        <c:crosses val="autoZero"/>
        <c:auto val="1"/>
        <c:lblAlgn val="ctr"/>
        <c:lblOffset val="100"/>
        <c:noMultiLvlLbl val="0"/>
      </c:catAx>
      <c:valAx>
        <c:axId val="1955710944"/>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CA"/>
                  <a:t>Share of constructed dwellings</a:t>
                </a:r>
              </a:p>
            </c:rich>
          </c:tx>
          <c:layout>
            <c:manualLayout>
              <c:xMode val="edge"/>
              <c:yMode val="edge"/>
              <c:x val="5.7823136478689363E-3"/>
              <c:y val="7.6271094352744304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CA"/>
            </a:p>
          </c:txPr>
        </c:title>
        <c:numFmt formatCode="0%" sourceLinked="1"/>
        <c:majorTickMark val="cross"/>
        <c:minorTickMark val="cross"/>
        <c:tickLblPos val="nextTo"/>
        <c:spPr>
          <a:noFill/>
          <a:ln>
            <a:solidFill>
              <a:schemeClr val="tx2"/>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08544"/>
        <c:crosses val="autoZero"/>
        <c:crossBetween val="between"/>
        <c:majorUnit val="0.2"/>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projection!$B$149</c:f>
              <c:strCache>
                <c:ptCount val="1"/>
                <c:pt idx="0">
                  <c:v>Studio</c:v>
                </c:pt>
              </c:strCache>
            </c:strRef>
          </c:tx>
          <c:spPr>
            <a:solidFill>
              <a:schemeClr val="accent1"/>
            </a:solidFill>
            <a:ln>
              <a:noFill/>
            </a:ln>
            <a:effectLst/>
          </c:spPr>
          <c:invertIfNegative val="0"/>
          <c:cat>
            <c:strRef>
              <c:f>projection!$C$148:$I$148</c:f>
              <c:strCache>
                <c:ptCount val="7"/>
                <c:pt idx="0">
                  <c:v>15 to 24</c:v>
                </c:pt>
                <c:pt idx="1">
                  <c:v>25 to 34</c:v>
                </c:pt>
                <c:pt idx="2">
                  <c:v>35 to 44</c:v>
                </c:pt>
                <c:pt idx="3">
                  <c:v>45 to 54</c:v>
                </c:pt>
                <c:pt idx="4">
                  <c:v>55 to 64</c:v>
                </c:pt>
                <c:pt idx="5">
                  <c:v>65 to 74</c:v>
                </c:pt>
                <c:pt idx="6">
                  <c:v>75+</c:v>
                </c:pt>
              </c:strCache>
            </c:strRef>
          </c:cat>
          <c:val>
            <c:numRef>
              <c:f>projection!$C$149:$I$149</c:f>
              <c:numCache>
                <c:formatCode>0%</c:formatCode>
                <c:ptCount val="7"/>
                <c:pt idx="0">
                  <c:v>1.6045511814859265E-2</c:v>
                </c:pt>
                <c:pt idx="1">
                  <c:v>4.7205163300807641E-3</c:v>
                </c:pt>
                <c:pt idx="2">
                  <c:v>9.2804030979165442E-3</c:v>
                </c:pt>
                <c:pt idx="3">
                  <c:v>2.1568649624422259E-2</c:v>
                </c:pt>
                <c:pt idx="4">
                  <c:v>0</c:v>
                </c:pt>
                <c:pt idx="5">
                  <c:v>1.3055256683980712E-2</c:v>
                </c:pt>
                <c:pt idx="6">
                  <c:v>0</c:v>
                </c:pt>
              </c:numCache>
            </c:numRef>
          </c:val>
          <c:extLst>
            <c:ext xmlns:c16="http://schemas.microsoft.com/office/drawing/2014/chart" uri="{C3380CC4-5D6E-409C-BE32-E72D297353CC}">
              <c16:uniqueId val="{00000000-9AA8-44FE-8D50-F7E6F30AB970}"/>
            </c:ext>
          </c:extLst>
        </c:ser>
        <c:ser>
          <c:idx val="1"/>
          <c:order val="1"/>
          <c:tx>
            <c:strRef>
              <c:f>projection!$B$150</c:f>
              <c:strCache>
                <c:ptCount val="1"/>
                <c:pt idx="0">
                  <c:v>1-bed</c:v>
                </c:pt>
              </c:strCache>
            </c:strRef>
          </c:tx>
          <c:spPr>
            <a:solidFill>
              <a:schemeClr val="accent2"/>
            </a:solidFill>
            <a:ln>
              <a:noFill/>
            </a:ln>
            <a:effectLst/>
          </c:spPr>
          <c:invertIfNegative val="0"/>
          <c:cat>
            <c:strRef>
              <c:f>projection!$C$148:$I$148</c:f>
              <c:strCache>
                <c:ptCount val="7"/>
                <c:pt idx="0">
                  <c:v>15 to 24</c:v>
                </c:pt>
                <c:pt idx="1">
                  <c:v>25 to 34</c:v>
                </c:pt>
                <c:pt idx="2">
                  <c:v>35 to 44</c:v>
                </c:pt>
                <c:pt idx="3">
                  <c:v>45 to 54</c:v>
                </c:pt>
                <c:pt idx="4">
                  <c:v>55 to 64</c:v>
                </c:pt>
                <c:pt idx="5">
                  <c:v>65 to 74</c:v>
                </c:pt>
                <c:pt idx="6">
                  <c:v>75+</c:v>
                </c:pt>
              </c:strCache>
            </c:strRef>
          </c:cat>
          <c:val>
            <c:numRef>
              <c:f>projection!$C$150:$I$150</c:f>
              <c:numCache>
                <c:formatCode>0%</c:formatCode>
                <c:ptCount val="7"/>
                <c:pt idx="0">
                  <c:v>0.26213191515174161</c:v>
                </c:pt>
                <c:pt idx="1">
                  <c:v>0.11821997627278286</c:v>
                </c:pt>
                <c:pt idx="2">
                  <c:v>0.13006309709521308</c:v>
                </c:pt>
                <c:pt idx="3">
                  <c:v>0.21576498307565534</c:v>
                </c:pt>
                <c:pt idx="4">
                  <c:v>0.35517054950367133</c:v>
                </c:pt>
                <c:pt idx="5">
                  <c:v>0.29887663253970015</c:v>
                </c:pt>
                <c:pt idx="6">
                  <c:v>0.40619212283600331</c:v>
                </c:pt>
              </c:numCache>
            </c:numRef>
          </c:val>
          <c:extLst>
            <c:ext xmlns:c16="http://schemas.microsoft.com/office/drawing/2014/chart" uri="{C3380CC4-5D6E-409C-BE32-E72D297353CC}">
              <c16:uniqueId val="{00000001-9AA8-44FE-8D50-F7E6F30AB970}"/>
            </c:ext>
          </c:extLst>
        </c:ser>
        <c:ser>
          <c:idx val="2"/>
          <c:order val="2"/>
          <c:tx>
            <c:strRef>
              <c:f>projection!$B$151</c:f>
              <c:strCache>
                <c:ptCount val="1"/>
                <c:pt idx="0">
                  <c:v>2-bed</c:v>
                </c:pt>
              </c:strCache>
            </c:strRef>
          </c:tx>
          <c:spPr>
            <a:solidFill>
              <a:schemeClr val="accent3"/>
            </a:solidFill>
            <a:ln>
              <a:noFill/>
            </a:ln>
            <a:effectLst/>
          </c:spPr>
          <c:invertIfNegative val="0"/>
          <c:cat>
            <c:strRef>
              <c:f>projection!$C$148:$I$148</c:f>
              <c:strCache>
                <c:ptCount val="7"/>
                <c:pt idx="0">
                  <c:v>15 to 24</c:v>
                </c:pt>
                <c:pt idx="1">
                  <c:v>25 to 34</c:v>
                </c:pt>
                <c:pt idx="2">
                  <c:v>35 to 44</c:v>
                </c:pt>
                <c:pt idx="3">
                  <c:v>45 to 54</c:v>
                </c:pt>
                <c:pt idx="4">
                  <c:v>55 to 64</c:v>
                </c:pt>
                <c:pt idx="5">
                  <c:v>65 to 74</c:v>
                </c:pt>
                <c:pt idx="6">
                  <c:v>75+</c:v>
                </c:pt>
              </c:strCache>
            </c:strRef>
          </c:cat>
          <c:val>
            <c:numRef>
              <c:f>projection!$C$151:$I$151</c:f>
              <c:numCache>
                <c:formatCode>0%</c:formatCode>
                <c:ptCount val="7"/>
                <c:pt idx="0">
                  <c:v>0.3956237936441796</c:v>
                </c:pt>
                <c:pt idx="1">
                  <c:v>0.35458805489037437</c:v>
                </c:pt>
                <c:pt idx="2">
                  <c:v>0.25076521270530755</c:v>
                </c:pt>
                <c:pt idx="3">
                  <c:v>0.32018780116143519</c:v>
                </c:pt>
                <c:pt idx="4">
                  <c:v>0.32546280019176588</c:v>
                </c:pt>
                <c:pt idx="5">
                  <c:v>0.40239063537929071</c:v>
                </c:pt>
                <c:pt idx="6">
                  <c:v>0.37503622853616331</c:v>
                </c:pt>
              </c:numCache>
            </c:numRef>
          </c:val>
          <c:extLst>
            <c:ext xmlns:c16="http://schemas.microsoft.com/office/drawing/2014/chart" uri="{C3380CC4-5D6E-409C-BE32-E72D297353CC}">
              <c16:uniqueId val="{00000002-9AA8-44FE-8D50-F7E6F30AB970}"/>
            </c:ext>
          </c:extLst>
        </c:ser>
        <c:ser>
          <c:idx val="3"/>
          <c:order val="3"/>
          <c:tx>
            <c:strRef>
              <c:f>projection!$B$152</c:f>
              <c:strCache>
                <c:ptCount val="1"/>
                <c:pt idx="0">
                  <c:v>3-bed</c:v>
                </c:pt>
              </c:strCache>
            </c:strRef>
          </c:tx>
          <c:spPr>
            <a:solidFill>
              <a:schemeClr val="accent4"/>
            </a:solidFill>
            <a:ln>
              <a:noFill/>
            </a:ln>
            <a:effectLst/>
          </c:spPr>
          <c:invertIfNegative val="0"/>
          <c:cat>
            <c:strRef>
              <c:f>projection!$C$148:$I$148</c:f>
              <c:strCache>
                <c:ptCount val="7"/>
                <c:pt idx="0">
                  <c:v>15 to 24</c:v>
                </c:pt>
                <c:pt idx="1">
                  <c:v>25 to 34</c:v>
                </c:pt>
                <c:pt idx="2">
                  <c:v>35 to 44</c:v>
                </c:pt>
                <c:pt idx="3">
                  <c:v>45 to 54</c:v>
                </c:pt>
                <c:pt idx="4">
                  <c:v>55 to 64</c:v>
                </c:pt>
                <c:pt idx="5">
                  <c:v>65 to 74</c:v>
                </c:pt>
                <c:pt idx="6">
                  <c:v>75+</c:v>
                </c:pt>
              </c:strCache>
            </c:strRef>
          </c:cat>
          <c:val>
            <c:numRef>
              <c:f>projection!$C$152:$I$152</c:f>
              <c:numCache>
                <c:formatCode>0%</c:formatCode>
                <c:ptCount val="7"/>
                <c:pt idx="0">
                  <c:v>0.23528690686071566</c:v>
                </c:pt>
                <c:pt idx="1">
                  <c:v>0.35461416232842308</c:v>
                </c:pt>
                <c:pt idx="2">
                  <c:v>0.35914897055609363</c:v>
                </c:pt>
                <c:pt idx="3">
                  <c:v>0.30579273324134615</c:v>
                </c:pt>
                <c:pt idx="4">
                  <c:v>0.24833797348250994</c:v>
                </c:pt>
                <c:pt idx="5">
                  <c:v>0.18182150277128317</c:v>
                </c:pt>
                <c:pt idx="6">
                  <c:v>0.21877164862783341</c:v>
                </c:pt>
              </c:numCache>
            </c:numRef>
          </c:val>
          <c:extLst>
            <c:ext xmlns:c16="http://schemas.microsoft.com/office/drawing/2014/chart" uri="{C3380CC4-5D6E-409C-BE32-E72D297353CC}">
              <c16:uniqueId val="{00000003-9AA8-44FE-8D50-F7E6F30AB970}"/>
            </c:ext>
          </c:extLst>
        </c:ser>
        <c:ser>
          <c:idx val="4"/>
          <c:order val="4"/>
          <c:tx>
            <c:strRef>
              <c:f>projection!$B$153</c:f>
              <c:strCache>
                <c:ptCount val="1"/>
                <c:pt idx="0">
                  <c:v>4-bed</c:v>
                </c:pt>
              </c:strCache>
            </c:strRef>
          </c:tx>
          <c:spPr>
            <a:solidFill>
              <a:schemeClr val="accent5"/>
            </a:solidFill>
            <a:ln>
              <a:noFill/>
            </a:ln>
            <a:effectLst/>
          </c:spPr>
          <c:invertIfNegative val="0"/>
          <c:cat>
            <c:strRef>
              <c:f>projection!$C$148:$I$148</c:f>
              <c:strCache>
                <c:ptCount val="7"/>
                <c:pt idx="0">
                  <c:v>15 to 24</c:v>
                </c:pt>
                <c:pt idx="1">
                  <c:v>25 to 34</c:v>
                </c:pt>
                <c:pt idx="2">
                  <c:v>35 to 44</c:v>
                </c:pt>
                <c:pt idx="3">
                  <c:v>45 to 54</c:v>
                </c:pt>
                <c:pt idx="4">
                  <c:v>55 to 64</c:v>
                </c:pt>
                <c:pt idx="5">
                  <c:v>65 to 74</c:v>
                </c:pt>
                <c:pt idx="6">
                  <c:v>75+</c:v>
                </c:pt>
              </c:strCache>
            </c:strRef>
          </c:cat>
          <c:val>
            <c:numRef>
              <c:f>projection!$C$153:$I$153</c:f>
              <c:numCache>
                <c:formatCode>0%</c:formatCode>
                <c:ptCount val="7"/>
                <c:pt idx="0">
                  <c:v>6.4183509064178745E-2</c:v>
                </c:pt>
                <c:pt idx="1">
                  <c:v>0.12530107634486909</c:v>
                </c:pt>
                <c:pt idx="2">
                  <c:v>0.16406447212603514</c:v>
                </c:pt>
                <c:pt idx="3">
                  <c:v>0.10788218736438983</c:v>
                </c:pt>
                <c:pt idx="4">
                  <c:v>5.3300001379366614E-2</c:v>
                </c:pt>
                <c:pt idx="5">
                  <c:v>6.4981729278335926E-2</c:v>
                </c:pt>
                <c:pt idx="6">
                  <c:v>0</c:v>
                </c:pt>
              </c:numCache>
            </c:numRef>
          </c:val>
          <c:extLst>
            <c:ext xmlns:c16="http://schemas.microsoft.com/office/drawing/2014/chart" uri="{C3380CC4-5D6E-409C-BE32-E72D297353CC}">
              <c16:uniqueId val="{00000004-9AA8-44FE-8D50-F7E6F30AB970}"/>
            </c:ext>
          </c:extLst>
        </c:ser>
        <c:ser>
          <c:idx val="5"/>
          <c:order val="5"/>
          <c:tx>
            <c:strRef>
              <c:f>projection!$B$154</c:f>
              <c:strCache>
                <c:ptCount val="1"/>
                <c:pt idx="0">
                  <c:v>5+ bed</c:v>
                </c:pt>
              </c:strCache>
            </c:strRef>
          </c:tx>
          <c:spPr>
            <a:solidFill>
              <a:schemeClr val="accent6"/>
            </a:solidFill>
            <a:ln>
              <a:noFill/>
            </a:ln>
            <a:effectLst/>
          </c:spPr>
          <c:invertIfNegative val="0"/>
          <c:cat>
            <c:strRef>
              <c:f>projection!$C$148:$I$148</c:f>
              <c:strCache>
                <c:ptCount val="7"/>
                <c:pt idx="0">
                  <c:v>15 to 24</c:v>
                </c:pt>
                <c:pt idx="1">
                  <c:v>25 to 34</c:v>
                </c:pt>
                <c:pt idx="2">
                  <c:v>35 to 44</c:v>
                </c:pt>
                <c:pt idx="3">
                  <c:v>45 to 54</c:v>
                </c:pt>
                <c:pt idx="4">
                  <c:v>55 to 64</c:v>
                </c:pt>
                <c:pt idx="5">
                  <c:v>65 to 74</c:v>
                </c:pt>
                <c:pt idx="6">
                  <c:v>75+</c:v>
                </c:pt>
              </c:strCache>
            </c:strRef>
          </c:cat>
          <c:val>
            <c:numRef>
              <c:f>projection!$C$154:$I$154</c:f>
              <c:numCache>
                <c:formatCode>0%</c:formatCode>
                <c:ptCount val="7"/>
                <c:pt idx="0">
                  <c:v>2.6728363464325243E-2</c:v>
                </c:pt>
                <c:pt idx="1">
                  <c:v>4.2556213833469692E-2</c:v>
                </c:pt>
                <c:pt idx="2">
                  <c:v>8.6677844419434116E-2</c:v>
                </c:pt>
                <c:pt idx="3">
                  <c:v>2.8803645532751273E-2</c:v>
                </c:pt>
                <c:pt idx="4">
                  <c:v>1.7728675442686519E-2</c:v>
                </c:pt>
                <c:pt idx="5">
                  <c:v>3.8874243347409451E-2</c:v>
                </c:pt>
                <c:pt idx="6">
                  <c:v>0</c:v>
                </c:pt>
              </c:numCache>
            </c:numRef>
          </c:val>
          <c:extLst>
            <c:ext xmlns:c16="http://schemas.microsoft.com/office/drawing/2014/chart" uri="{C3380CC4-5D6E-409C-BE32-E72D297353CC}">
              <c16:uniqueId val="{00000005-9AA8-44FE-8D50-F7E6F30AB970}"/>
            </c:ext>
          </c:extLst>
        </c:ser>
        <c:dLbls>
          <c:showLegendKey val="0"/>
          <c:showVal val="0"/>
          <c:showCatName val="0"/>
          <c:showSerName val="0"/>
          <c:showPercent val="0"/>
          <c:showBubbleSize val="0"/>
        </c:dLbls>
        <c:gapWidth val="75"/>
        <c:overlap val="100"/>
        <c:axId val="1955708544"/>
        <c:axId val="1955710944"/>
      </c:barChart>
      <c:catAx>
        <c:axId val="1955708544"/>
        <c:scaling>
          <c:orientation val="minMax"/>
        </c:scaling>
        <c:delete val="0"/>
        <c:axPos val="b"/>
        <c:numFmt formatCode="General" sourceLinked="1"/>
        <c:majorTickMark val="cross"/>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10944"/>
        <c:crosses val="autoZero"/>
        <c:auto val="1"/>
        <c:lblAlgn val="ctr"/>
        <c:lblOffset val="100"/>
        <c:noMultiLvlLbl val="0"/>
      </c:catAx>
      <c:valAx>
        <c:axId val="1955710944"/>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CA"/>
                  <a:t>Share of constructed dwellings</a:t>
                </a:r>
              </a:p>
            </c:rich>
          </c:tx>
          <c:layout>
            <c:manualLayout>
              <c:xMode val="edge"/>
              <c:yMode val="edge"/>
              <c:x val="5.7823136478689363E-3"/>
              <c:y val="7.6271094352744304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CA"/>
            </a:p>
          </c:txPr>
        </c:title>
        <c:numFmt formatCode="0%" sourceLinked="1"/>
        <c:majorTickMark val="cross"/>
        <c:minorTickMark val="cross"/>
        <c:tickLblPos val="nextTo"/>
        <c:spPr>
          <a:noFill/>
          <a:ln>
            <a:solidFill>
              <a:schemeClr val="tx2"/>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08544"/>
        <c:crosses val="autoZero"/>
        <c:crossBetween val="between"/>
        <c:majorUnit val="0.2"/>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projection!$B$215</c:f>
              <c:strCache>
                <c:ptCount val="1"/>
                <c:pt idx="0">
                  <c:v>Very low</c:v>
                </c:pt>
              </c:strCache>
            </c:strRef>
          </c:tx>
          <c:spPr>
            <a:solidFill>
              <a:schemeClr val="accent1"/>
            </a:solidFill>
            <a:ln>
              <a:noFill/>
            </a:ln>
            <a:effectLst/>
          </c:spPr>
          <c:invertIfNegative val="0"/>
          <c:cat>
            <c:strRef>
              <c:f>projection!$C$214:$I$214</c:f>
              <c:strCache>
                <c:ptCount val="7"/>
                <c:pt idx="0">
                  <c:v>15 to 24</c:v>
                </c:pt>
                <c:pt idx="1">
                  <c:v>25 to 34</c:v>
                </c:pt>
                <c:pt idx="2">
                  <c:v>35 to 44</c:v>
                </c:pt>
                <c:pt idx="3">
                  <c:v>45 to 54</c:v>
                </c:pt>
                <c:pt idx="4">
                  <c:v>55 to 64</c:v>
                </c:pt>
                <c:pt idx="5">
                  <c:v>65 to 74</c:v>
                </c:pt>
                <c:pt idx="6">
                  <c:v>75+</c:v>
                </c:pt>
              </c:strCache>
            </c:strRef>
          </c:cat>
          <c:val>
            <c:numRef>
              <c:f>projection!$C$215:$I$215</c:f>
              <c:numCache>
                <c:formatCode>0%</c:formatCode>
                <c:ptCount val="7"/>
                <c:pt idx="0">
                  <c:v>0.21331384197380973</c:v>
                </c:pt>
                <c:pt idx="1">
                  <c:v>0.10461617210342622</c:v>
                </c:pt>
                <c:pt idx="2">
                  <c:v>0.11467714159468596</c:v>
                </c:pt>
                <c:pt idx="3">
                  <c:v>0.15898973529224894</c:v>
                </c:pt>
                <c:pt idx="4">
                  <c:v>0.18240905912539077</c:v>
                </c:pt>
                <c:pt idx="5">
                  <c:v>1.94495883850416E-2</c:v>
                </c:pt>
                <c:pt idx="6">
                  <c:v>9.9882224488685705E-3</c:v>
                </c:pt>
              </c:numCache>
            </c:numRef>
          </c:val>
          <c:extLst>
            <c:ext xmlns:c16="http://schemas.microsoft.com/office/drawing/2014/chart" uri="{C3380CC4-5D6E-409C-BE32-E72D297353CC}">
              <c16:uniqueId val="{00000000-57E6-4DC5-B578-6F863DE9DD2A}"/>
            </c:ext>
          </c:extLst>
        </c:ser>
        <c:ser>
          <c:idx val="1"/>
          <c:order val="1"/>
          <c:tx>
            <c:strRef>
              <c:f>projection!$B$216</c:f>
              <c:strCache>
                <c:ptCount val="1"/>
                <c:pt idx="0">
                  <c:v>Low</c:v>
                </c:pt>
              </c:strCache>
            </c:strRef>
          </c:tx>
          <c:spPr>
            <a:solidFill>
              <a:schemeClr val="accent2"/>
            </a:solidFill>
            <a:ln>
              <a:noFill/>
            </a:ln>
            <a:effectLst/>
          </c:spPr>
          <c:invertIfNegative val="0"/>
          <c:cat>
            <c:strRef>
              <c:f>projection!$C$214:$I$214</c:f>
              <c:strCache>
                <c:ptCount val="7"/>
                <c:pt idx="0">
                  <c:v>15 to 24</c:v>
                </c:pt>
                <c:pt idx="1">
                  <c:v>25 to 34</c:v>
                </c:pt>
                <c:pt idx="2">
                  <c:v>35 to 44</c:v>
                </c:pt>
                <c:pt idx="3">
                  <c:v>45 to 54</c:v>
                </c:pt>
                <c:pt idx="4">
                  <c:v>55 to 64</c:v>
                </c:pt>
                <c:pt idx="5">
                  <c:v>65 to 74</c:v>
                </c:pt>
                <c:pt idx="6">
                  <c:v>75+</c:v>
                </c:pt>
              </c:strCache>
            </c:strRef>
          </c:cat>
          <c:val>
            <c:numRef>
              <c:f>projection!$C$216:$I$216</c:f>
              <c:numCache>
                <c:formatCode>0%</c:formatCode>
                <c:ptCount val="7"/>
                <c:pt idx="0">
                  <c:v>0.40752256103517442</c:v>
                </c:pt>
                <c:pt idx="1">
                  <c:v>0.23528069762999773</c:v>
                </c:pt>
                <c:pt idx="2">
                  <c:v>0.14985847340339525</c:v>
                </c:pt>
                <c:pt idx="3">
                  <c:v>0.18976803946909515</c:v>
                </c:pt>
                <c:pt idx="4">
                  <c:v>0.20398160192720735</c:v>
                </c:pt>
                <c:pt idx="5">
                  <c:v>0.40388681034492252</c:v>
                </c:pt>
                <c:pt idx="6">
                  <c:v>0.53994062202303605</c:v>
                </c:pt>
              </c:numCache>
            </c:numRef>
          </c:val>
          <c:extLst>
            <c:ext xmlns:c16="http://schemas.microsoft.com/office/drawing/2014/chart" uri="{C3380CC4-5D6E-409C-BE32-E72D297353CC}">
              <c16:uniqueId val="{00000001-57E6-4DC5-B578-6F863DE9DD2A}"/>
            </c:ext>
          </c:extLst>
        </c:ser>
        <c:ser>
          <c:idx val="2"/>
          <c:order val="2"/>
          <c:tx>
            <c:strRef>
              <c:f>projection!$B$217</c:f>
              <c:strCache>
                <c:ptCount val="1"/>
                <c:pt idx="0">
                  <c:v>Moderate</c:v>
                </c:pt>
              </c:strCache>
            </c:strRef>
          </c:tx>
          <c:spPr>
            <a:solidFill>
              <a:schemeClr val="accent3"/>
            </a:solidFill>
            <a:ln>
              <a:noFill/>
            </a:ln>
            <a:effectLst/>
          </c:spPr>
          <c:invertIfNegative val="0"/>
          <c:cat>
            <c:strRef>
              <c:f>projection!$C$214:$I$214</c:f>
              <c:strCache>
                <c:ptCount val="7"/>
                <c:pt idx="0">
                  <c:v>15 to 24</c:v>
                </c:pt>
                <c:pt idx="1">
                  <c:v>25 to 34</c:v>
                </c:pt>
                <c:pt idx="2">
                  <c:v>35 to 44</c:v>
                </c:pt>
                <c:pt idx="3">
                  <c:v>45 to 54</c:v>
                </c:pt>
                <c:pt idx="4">
                  <c:v>55 to 64</c:v>
                </c:pt>
                <c:pt idx="5">
                  <c:v>65 to 74</c:v>
                </c:pt>
                <c:pt idx="6">
                  <c:v>75+</c:v>
                </c:pt>
              </c:strCache>
            </c:strRef>
          </c:cat>
          <c:val>
            <c:numRef>
              <c:f>projection!$C$217:$I$217</c:f>
              <c:numCache>
                <c:formatCode>0%</c:formatCode>
                <c:ptCount val="7"/>
                <c:pt idx="0">
                  <c:v>0.20383345084975629</c:v>
                </c:pt>
                <c:pt idx="1">
                  <c:v>0.21732706688404138</c:v>
                </c:pt>
                <c:pt idx="2">
                  <c:v>0.16672625491068649</c:v>
                </c:pt>
                <c:pt idx="3">
                  <c:v>0.16021073287562912</c:v>
                </c:pt>
                <c:pt idx="4">
                  <c:v>0.17305543765519435</c:v>
                </c:pt>
                <c:pt idx="5">
                  <c:v>0.27007365245940912</c:v>
                </c:pt>
                <c:pt idx="6">
                  <c:v>0.23512006009214043</c:v>
                </c:pt>
              </c:numCache>
            </c:numRef>
          </c:val>
          <c:extLst>
            <c:ext xmlns:c16="http://schemas.microsoft.com/office/drawing/2014/chart" uri="{C3380CC4-5D6E-409C-BE32-E72D297353CC}">
              <c16:uniqueId val="{00000002-57E6-4DC5-B578-6F863DE9DD2A}"/>
            </c:ext>
          </c:extLst>
        </c:ser>
        <c:ser>
          <c:idx val="3"/>
          <c:order val="3"/>
          <c:tx>
            <c:strRef>
              <c:f>projection!$B$218</c:f>
              <c:strCache>
                <c:ptCount val="1"/>
                <c:pt idx="0">
                  <c:v>Median</c:v>
                </c:pt>
              </c:strCache>
            </c:strRef>
          </c:tx>
          <c:spPr>
            <a:solidFill>
              <a:schemeClr val="accent4"/>
            </a:solidFill>
            <a:ln>
              <a:noFill/>
            </a:ln>
            <a:effectLst/>
          </c:spPr>
          <c:invertIfNegative val="0"/>
          <c:cat>
            <c:strRef>
              <c:f>projection!$C$214:$I$214</c:f>
              <c:strCache>
                <c:ptCount val="7"/>
                <c:pt idx="0">
                  <c:v>15 to 24</c:v>
                </c:pt>
                <c:pt idx="1">
                  <c:v>25 to 34</c:v>
                </c:pt>
                <c:pt idx="2">
                  <c:v>35 to 44</c:v>
                </c:pt>
                <c:pt idx="3">
                  <c:v>45 to 54</c:v>
                </c:pt>
                <c:pt idx="4">
                  <c:v>55 to 64</c:v>
                </c:pt>
                <c:pt idx="5">
                  <c:v>65 to 74</c:v>
                </c:pt>
                <c:pt idx="6">
                  <c:v>75+</c:v>
                </c:pt>
              </c:strCache>
            </c:strRef>
          </c:cat>
          <c:val>
            <c:numRef>
              <c:f>projection!$C$218:$I$218</c:f>
              <c:numCache>
                <c:formatCode>0%</c:formatCode>
                <c:ptCount val="7"/>
                <c:pt idx="0">
                  <c:v>0.11370865050739691</c:v>
                </c:pt>
                <c:pt idx="1">
                  <c:v>0.18134080519670367</c:v>
                </c:pt>
                <c:pt idx="2">
                  <c:v>0.18351205000533172</c:v>
                </c:pt>
                <c:pt idx="3">
                  <c:v>0.16150054378817358</c:v>
                </c:pt>
                <c:pt idx="4">
                  <c:v>0.15610770978965552</c:v>
                </c:pt>
                <c:pt idx="5">
                  <c:v>0.16782901935409839</c:v>
                </c:pt>
                <c:pt idx="6">
                  <c:v>0.13995374223315069</c:v>
                </c:pt>
              </c:numCache>
            </c:numRef>
          </c:val>
          <c:extLst>
            <c:ext xmlns:c16="http://schemas.microsoft.com/office/drawing/2014/chart" uri="{C3380CC4-5D6E-409C-BE32-E72D297353CC}">
              <c16:uniqueId val="{00000003-57E6-4DC5-B578-6F863DE9DD2A}"/>
            </c:ext>
          </c:extLst>
        </c:ser>
        <c:ser>
          <c:idx val="4"/>
          <c:order val="4"/>
          <c:tx>
            <c:strRef>
              <c:f>projection!$B$219</c:f>
              <c:strCache>
                <c:ptCount val="1"/>
                <c:pt idx="0">
                  <c:v>High</c:v>
                </c:pt>
              </c:strCache>
            </c:strRef>
          </c:tx>
          <c:spPr>
            <a:solidFill>
              <a:schemeClr val="accent5"/>
            </a:solidFill>
            <a:ln>
              <a:noFill/>
            </a:ln>
            <a:effectLst/>
          </c:spPr>
          <c:invertIfNegative val="0"/>
          <c:cat>
            <c:strRef>
              <c:f>projection!$C$214:$I$214</c:f>
              <c:strCache>
                <c:ptCount val="7"/>
                <c:pt idx="0">
                  <c:v>15 to 24</c:v>
                </c:pt>
                <c:pt idx="1">
                  <c:v>25 to 34</c:v>
                </c:pt>
                <c:pt idx="2">
                  <c:v>35 to 44</c:v>
                </c:pt>
                <c:pt idx="3">
                  <c:v>45 to 54</c:v>
                </c:pt>
                <c:pt idx="4">
                  <c:v>55 to 64</c:v>
                </c:pt>
                <c:pt idx="5">
                  <c:v>65 to 74</c:v>
                </c:pt>
                <c:pt idx="6">
                  <c:v>75+</c:v>
                </c:pt>
              </c:strCache>
            </c:strRef>
          </c:cat>
          <c:val>
            <c:numRef>
              <c:f>projection!$C$219:$I$219</c:f>
              <c:numCache>
                <c:formatCode>0%</c:formatCode>
                <c:ptCount val="7"/>
                <c:pt idx="0">
                  <c:v>6.1621495633862662E-2</c:v>
                </c:pt>
                <c:pt idx="1">
                  <c:v>0.26143525818583097</c:v>
                </c:pt>
                <c:pt idx="2">
                  <c:v>0.38522608008590054</c:v>
                </c:pt>
                <c:pt idx="3">
                  <c:v>0.3295309485748531</c:v>
                </c:pt>
                <c:pt idx="4">
                  <c:v>0.28444619150255201</c:v>
                </c:pt>
                <c:pt idx="5">
                  <c:v>0.13876092945652843</c:v>
                </c:pt>
                <c:pt idx="6">
                  <c:v>7.4997353202804401E-2</c:v>
                </c:pt>
              </c:numCache>
            </c:numRef>
          </c:val>
          <c:extLst>
            <c:ext xmlns:c16="http://schemas.microsoft.com/office/drawing/2014/chart" uri="{C3380CC4-5D6E-409C-BE32-E72D297353CC}">
              <c16:uniqueId val="{00000004-57E6-4DC5-B578-6F863DE9DD2A}"/>
            </c:ext>
          </c:extLst>
        </c:ser>
        <c:dLbls>
          <c:showLegendKey val="0"/>
          <c:showVal val="0"/>
          <c:showCatName val="0"/>
          <c:showSerName val="0"/>
          <c:showPercent val="0"/>
          <c:showBubbleSize val="0"/>
        </c:dLbls>
        <c:gapWidth val="75"/>
        <c:overlap val="100"/>
        <c:axId val="1955708544"/>
        <c:axId val="1955710944"/>
      </c:barChart>
      <c:catAx>
        <c:axId val="1955708544"/>
        <c:scaling>
          <c:orientation val="minMax"/>
        </c:scaling>
        <c:delete val="0"/>
        <c:axPos val="b"/>
        <c:numFmt formatCode="General" sourceLinked="1"/>
        <c:majorTickMark val="cross"/>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10944"/>
        <c:crosses val="autoZero"/>
        <c:auto val="1"/>
        <c:lblAlgn val="ctr"/>
        <c:lblOffset val="100"/>
        <c:noMultiLvlLbl val="0"/>
      </c:catAx>
      <c:valAx>
        <c:axId val="1955710944"/>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CA"/>
                  <a:t>Share of constructed dwellings</a:t>
                </a:r>
              </a:p>
            </c:rich>
          </c:tx>
          <c:layout>
            <c:manualLayout>
              <c:xMode val="edge"/>
              <c:yMode val="edge"/>
              <c:x val="5.7823136478689363E-3"/>
              <c:y val="7.6271094352744304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CA"/>
            </a:p>
          </c:txPr>
        </c:title>
        <c:numFmt formatCode="0%" sourceLinked="1"/>
        <c:majorTickMark val="cross"/>
        <c:minorTickMark val="cross"/>
        <c:tickLblPos val="nextTo"/>
        <c:spPr>
          <a:noFill/>
          <a:ln>
            <a:solidFill>
              <a:schemeClr val="tx2"/>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08544"/>
        <c:crosses val="autoZero"/>
        <c:crossBetween val="between"/>
        <c:majorUnit val="0.2"/>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projection!$S$215</c:f>
              <c:strCache>
                <c:ptCount val="1"/>
                <c:pt idx="0">
                  <c:v>1 person</c:v>
                </c:pt>
              </c:strCache>
            </c:strRef>
          </c:tx>
          <c:spPr>
            <a:solidFill>
              <a:schemeClr val="accent1"/>
            </a:solidFill>
            <a:ln>
              <a:noFill/>
            </a:ln>
            <a:effectLst/>
          </c:spPr>
          <c:invertIfNegative val="0"/>
          <c:cat>
            <c:strRef>
              <c:f>projection!$T$214:$Z$214</c:f>
              <c:strCache>
                <c:ptCount val="7"/>
                <c:pt idx="0">
                  <c:v>15 to 24</c:v>
                </c:pt>
                <c:pt idx="1">
                  <c:v>25 to 34</c:v>
                </c:pt>
                <c:pt idx="2">
                  <c:v>35 to 44</c:v>
                </c:pt>
                <c:pt idx="3">
                  <c:v>45 to 54</c:v>
                </c:pt>
                <c:pt idx="4">
                  <c:v>55 to 64</c:v>
                </c:pt>
                <c:pt idx="5">
                  <c:v>65 to 74</c:v>
                </c:pt>
                <c:pt idx="6">
                  <c:v>75+</c:v>
                </c:pt>
              </c:strCache>
            </c:strRef>
          </c:cat>
          <c:val>
            <c:numRef>
              <c:f>projection!$T$215:$Z$215</c:f>
              <c:numCache>
                <c:formatCode>0%</c:formatCode>
                <c:ptCount val="7"/>
                <c:pt idx="0">
                  <c:v>0.19691152556216748</c:v>
                </c:pt>
                <c:pt idx="1">
                  <c:v>0.162505948055678</c:v>
                </c:pt>
                <c:pt idx="2">
                  <c:v>0.1404166930477104</c:v>
                </c:pt>
                <c:pt idx="3">
                  <c:v>0.24278414139813478</c:v>
                </c:pt>
                <c:pt idx="4">
                  <c:v>0.31691313183731362</c:v>
                </c:pt>
                <c:pt idx="5">
                  <c:v>0.37196642807281405</c:v>
                </c:pt>
                <c:pt idx="6">
                  <c:v>0.43317161244019609</c:v>
                </c:pt>
              </c:numCache>
            </c:numRef>
          </c:val>
          <c:extLst>
            <c:ext xmlns:c16="http://schemas.microsoft.com/office/drawing/2014/chart" uri="{C3380CC4-5D6E-409C-BE32-E72D297353CC}">
              <c16:uniqueId val="{00000000-C174-4639-B89F-17348E9FEA18}"/>
            </c:ext>
          </c:extLst>
        </c:ser>
        <c:ser>
          <c:idx val="1"/>
          <c:order val="1"/>
          <c:tx>
            <c:strRef>
              <c:f>projection!$S$216</c:f>
              <c:strCache>
                <c:ptCount val="1"/>
                <c:pt idx="0">
                  <c:v>2 person</c:v>
                </c:pt>
              </c:strCache>
            </c:strRef>
          </c:tx>
          <c:spPr>
            <a:solidFill>
              <a:schemeClr val="accent2"/>
            </a:solidFill>
            <a:ln>
              <a:noFill/>
            </a:ln>
            <a:effectLst/>
          </c:spPr>
          <c:invertIfNegative val="0"/>
          <c:cat>
            <c:strRef>
              <c:f>projection!$T$214:$Z$214</c:f>
              <c:strCache>
                <c:ptCount val="7"/>
                <c:pt idx="0">
                  <c:v>15 to 24</c:v>
                </c:pt>
                <c:pt idx="1">
                  <c:v>25 to 34</c:v>
                </c:pt>
                <c:pt idx="2">
                  <c:v>35 to 44</c:v>
                </c:pt>
                <c:pt idx="3">
                  <c:v>45 to 54</c:v>
                </c:pt>
                <c:pt idx="4">
                  <c:v>55 to 64</c:v>
                </c:pt>
                <c:pt idx="5">
                  <c:v>65 to 74</c:v>
                </c:pt>
                <c:pt idx="6">
                  <c:v>75+</c:v>
                </c:pt>
              </c:strCache>
            </c:strRef>
          </c:cat>
          <c:val>
            <c:numRef>
              <c:f>projection!$T$216:$Z$216</c:f>
              <c:numCache>
                <c:formatCode>0%</c:formatCode>
                <c:ptCount val="7"/>
                <c:pt idx="0">
                  <c:v>0.36284917701438074</c:v>
                </c:pt>
                <c:pt idx="1">
                  <c:v>0.21512777480558834</c:v>
                </c:pt>
                <c:pt idx="2">
                  <c:v>0.16991026317560315</c:v>
                </c:pt>
                <c:pt idx="3">
                  <c:v>0.27325076311103741</c:v>
                </c:pt>
                <c:pt idx="4">
                  <c:v>0.39660288789928105</c:v>
                </c:pt>
                <c:pt idx="5">
                  <c:v>0.42936854203199637</c:v>
                </c:pt>
                <c:pt idx="6">
                  <c:v>0.37623298547803513</c:v>
                </c:pt>
              </c:numCache>
            </c:numRef>
          </c:val>
          <c:extLst>
            <c:ext xmlns:c16="http://schemas.microsoft.com/office/drawing/2014/chart" uri="{C3380CC4-5D6E-409C-BE32-E72D297353CC}">
              <c16:uniqueId val="{00000001-C174-4639-B89F-17348E9FEA18}"/>
            </c:ext>
          </c:extLst>
        </c:ser>
        <c:ser>
          <c:idx val="2"/>
          <c:order val="2"/>
          <c:tx>
            <c:strRef>
              <c:f>projection!$S$217</c:f>
              <c:strCache>
                <c:ptCount val="1"/>
                <c:pt idx="0">
                  <c:v>3 person</c:v>
                </c:pt>
              </c:strCache>
            </c:strRef>
          </c:tx>
          <c:spPr>
            <a:solidFill>
              <a:schemeClr val="accent3"/>
            </a:solidFill>
            <a:ln>
              <a:noFill/>
            </a:ln>
            <a:effectLst/>
          </c:spPr>
          <c:invertIfNegative val="0"/>
          <c:cat>
            <c:strRef>
              <c:f>projection!$T$214:$Z$214</c:f>
              <c:strCache>
                <c:ptCount val="7"/>
                <c:pt idx="0">
                  <c:v>15 to 24</c:v>
                </c:pt>
                <c:pt idx="1">
                  <c:v>25 to 34</c:v>
                </c:pt>
                <c:pt idx="2">
                  <c:v>35 to 44</c:v>
                </c:pt>
                <c:pt idx="3">
                  <c:v>45 to 54</c:v>
                </c:pt>
                <c:pt idx="4">
                  <c:v>55 to 64</c:v>
                </c:pt>
                <c:pt idx="5">
                  <c:v>65 to 74</c:v>
                </c:pt>
                <c:pt idx="6">
                  <c:v>75+</c:v>
                </c:pt>
              </c:strCache>
            </c:strRef>
          </c:cat>
          <c:val>
            <c:numRef>
              <c:f>projection!$T$217:$Z$217</c:f>
              <c:numCache>
                <c:formatCode>0%</c:formatCode>
                <c:ptCount val="7"/>
                <c:pt idx="0">
                  <c:v>0.20574532561898895</c:v>
                </c:pt>
                <c:pt idx="1">
                  <c:v>0.22171221828681695</c:v>
                </c:pt>
                <c:pt idx="2">
                  <c:v>0.18643348957974809</c:v>
                </c:pt>
                <c:pt idx="3">
                  <c:v>0.18917596083036742</c:v>
                </c:pt>
                <c:pt idx="4">
                  <c:v>0.13929378745485257</c:v>
                </c:pt>
                <c:pt idx="5">
                  <c:v>0.10927094748789275</c:v>
                </c:pt>
                <c:pt idx="6">
                  <c:v>0.11386419317835753</c:v>
                </c:pt>
              </c:numCache>
            </c:numRef>
          </c:val>
          <c:extLst>
            <c:ext xmlns:c16="http://schemas.microsoft.com/office/drawing/2014/chart" uri="{C3380CC4-5D6E-409C-BE32-E72D297353CC}">
              <c16:uniqueId val="{00000002-C174-4639-B89F-17348E9FEA18}"/>
            </c:ext>
          </c:extLst>
        </c:ser>
        <c:ser>
          <c:idx val="3"/>
          <c:order val="3"/>
          <c:tx>
            <c:strRef>
              <c:f>projection!$S$218</c:f>
              <c:strCache>
                <c:ptCount val="1"/>
                <c:pt idx="0">
                  <c:v>4 person</c:v>
                </c:pt>
              </c:strCache>
            </c:strRef>
          </c:tx>
          <c:spPr>
            <a:solidFill>
              <a:schemeClr val="accent4"/>
            </a:solidFill>
            <a:ln>
              <a:noFill/>
            </a:ln>
            <a:effectLst/>
          </c:spPr>
          <c:invertIfNegative val="0"/>
          <c:cat>
            <c:strRef>
              <c:f>projection!$T$214:$Z$214</c:f>
              <c:strCache>
                <c:ptCount val="7"/>
                <c:pt idx="0">
                  <c:v>15 to 24</c:v>
                </c:pt>
                <c:pt idx="1">
                  <c:v>25 to 34</c:v>
                </c:pt>
                <c:pt idx="2">
                  <c:v>35 to 44</c:v>
                </c:pt>
                <c:pt idx="3">
                  <c:v>45 to 54</c:v>
                </c:pt>
                <c:pt idx="4">
                  <c:v>55 to 64</c:v>
                </c:pt>
                <c:pt idx="5">
                  <c:v>65 to 74</c:v>
                </c:pt>
                <c:pt idx="6">
                  <c:v>75+</c:v>
                </c:pt>
              </c:strCache>
            </c:strRef>
          </c:cat>
          <c:val>
            <c:numRef>
              <c:f>projection!$T$218:$Z$218</c:f>
              <c:numCache>
                <c:formatCode>0%</c:formatCode>
                <c:ptCount val="7"/>
                <c:pt idx="0">
                  <c:v>0.11504084211585766</c:v>
                </c:pt>
                <c:pt idx="1">
                  <c:v>0.19473933322278261</c:v>
                </c:pt>
                <c:pt idx="2">
                  <c:v>0.23244677487665966</c:v>
                </c:pt>
                <c:pt idx="3">
                  <c:v>0.14240667084889236</c:v>
                </c:pt>
                <c:pt idx="4">
                  <c:v>6.7513313883001719E-2</c:v>
                </c:pt>
                <c:pt idx="5">
                  <c:v>3.9732351491272543E-2</c:v>
                </c:pt>
                <c:pt idx="6">
                  <c:v>4.4553904663341248E-2</c:v>
                </c:pt>
              </c:numCache>
            </c:numRef>
          </c:val>
          <c:extLst>
            <c:ext xmlns:c16="http://schemas.microsoft.com/office/drawing/2014/chart" uri="{C3380CC4-5D6E-409C-BE32-E72D297353CC}">
              <c16:uniqueId val="{00000003-C174-4639-B89F-17348E9FEA18}"/>
            </c:ext>
          </c:extLst>
        </c:ser>
        <c:ser>
          <c:idx val="4"/>
          <c:order val="4"/>
          <c:tx>
            <c:strRef>
              <c:f>projection!$S$219</c:f>
              <c:strCache>
                <c:ptCount val="1"/>
                <c:pt idx="0">
                  <c:v>5+ person</c:v>
                </c:pt>
              </c:strCache>
            </c:strRef>
          </c:tx>
          <c:spPr>
            <a:solidFill>
              <a:schemeClr val="accent5"/>
            </a:solidFill>
            <a:ln>
              <a:noFill/>
            </a:ln>
            <a:effectLst/>
          </c:spPr>
          <c:invertIfNegative val="0"/>
          <c:cat>
            <c:strRef>
              <c:f>projection!$T$214:$Z$214</c:f>
              <c:strCache>
                <c:ptCount val="7"/>
                <c:pt idx="0">
                  <c:v>15 to 24</c:v>
                </c:pt>
                <c:pt idx="1">
                  <c:v>25 to 34</c:v>
                </c:pt>
                <c:pt idx="2">
                  <c:v>35 to 44</c:v>
                </c:pt>
                <c:pt idx="3">
                  <c:v>45 to 54</c:v>
                </c:pt>
                <c:pt idx="4">
                  <c:v>55 to 64</c:v>
                </c:pt>
                <c:pt idx="5">
                  <c:v>65 to 74</c:v>
                </c:pt>
                <c:pt idx="6">
                  <c:v>75+</c:v>
                </c:pt>
              </c:strCache>
            </c:strRef>
          </c:cat>
          <c:val>
            <c:numRef>
              <c:f>projection!$T$219:$Z$219</c:f>
              <c:numCache>
                <c:formatCode>0%</c:formatCode>
                <c:ptCount val="7"/>
                <c:pt idx="0">
                  <c:v>0.11945312968860501</c:v>
                </c:pt>
                <c:pt idx="1">
                  <c:v>0.20591472562913424</c:v>
                </c:pt>
                <c:pt idx="2">
                  <c:v>0.27079277932027868</c:v>
                </c:pt>
                <c:pt idx="3">
                  <c:v>0.15238246381156814</c:v>
                </c:pt>
                <c:pt idx="4">
                  <c:v>7.9676878925551128E-2</c:v>
                </c:pt>
                <c:pt idx="5">
                  <c:v>4.9661730916024348E-2</c:v>
                </c:pt>
                <c:pt idx="6">
                  <c:v>3.2177304240070141E-2</c:v>
                </c:pt>
              </c:numCache>
            </c:numRef>
          </c:val>
          <c:extLst>
            <c:ext xmlns:c16="http://schemas.microsoft.com/office/drawing/2014/chart" uri="{C3380CC4-5D6E-409C-BE32-E72D297353CC}">
              <c16:uniqueId val="{00000004-C174-4639-B89F-17348E9FEA18}"/>
            </c:ext>
          </c:extLst>
        </c:ser>
        <c:dLbls>
          <c:showLegendKey val="0"/>
          <c:showVal val="0"/>
          <c:showCatName val="0"/>
          <c:showSerName val="0"/>
          <c:showPercent val="0"/>
          <c:showBubbleSize val="0"/>
        </c:dLbls>
        <c:gapWidth val="75"/>
        <c:overlap val="100"/>
        <c:axId val="1955708544"/>
        <c:axId val="1955710944"/>
      </c:barChart>
      <c:catAx>
        <c:axId val="1955708544"/>
        <c:scaling>
          <c:orientation val="minMax"/>
        </c:scaling>
        <c:delete val="0"/>
        <c:axPos val="b"/>
        <c:numFmt formatCode="General" sourceLinked="1"/>
        <c:majorTickMark val="cross"/>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10944"/>
        <c:crosses val="autoZero"/>
        <c:auto val="1"/>
        <c:lblAlgn val="ctr"/>
        <c:lblOffset val="100"/>
        <c:noMultiLvlLbl val="0"/>
      </c:catAx>
      <c:valAx>
        <c:axId val="1955710944"/>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CA"/>
                  <a:t>Share of constructed dwellings</a:t>
                </a:r>
              </a:p>
            </c:rich>
          </c:tx>
          <c:layout>
            <c:manualLayout>
              <c:xMode val="edge"/>
              <c:yMode val="edge"/>
              <c:x val="5.7823136478689363E-3"/>
              <c:y val="7.6271094352744304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CA"/>
            </a:p>
          </c:txPr>
        </c:title>
        <c:numFmt formatCode="0%" sourceLinked="1"/>
        <c:majorTickMark val="cross"/>
        <c:minorTickMark val="cross"/>
        <c:tickLblPos val="nextTo"/>
        <c:spPr>
          <a:noFill/>
          <a:ln>
            <a:solidFill>
              <a:schemeClr val="tx2"/>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708544"/>
        <c:crosses val="autoZero"/>
        <c:crossBetween val="between"/>
        <c:majorUnit val="0.2"/>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18953611418012"/>
          <c:y val="7.6246801673172479E-2"/>
          <c:w val="0.77835055776059758"/>
          <c:h val="0.67196519172495695"/>
        </c:manualLayout>
      </c:layout>
      <c:barChart>
        <c:barDir val="bar"/>
        <c:grouping val="clustered"/>
        <c:varyColors val="0"/>
        <c:ser>
          <c:idx val="0"/>
          <c:order val="0"/>
          <c:spPr>
            <a:solidFill>
              <a:srgbClr val="006B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projection!$Z$286:$Z$287</c:f>
              <c:strCache>
                <c:ptCount val="2"/>
                <c:pt idx="0">
                  <c:v>Ground-oriented</c:v>
                </c:pt>
                <c:pt idx="1">
                  <c:v>Apartment</c:v>
                </c:pt>
              </c:strCache>
            </c:strRef>
          </c:cat>
          <c:val>
            <c:numRef>
              <c:f>projection!$AD$286:$AD$287</c:f>
              <c:numCache>
                <c:formatCode>#,##0</c:formatCode>
                <c:ptCount val="2"/>
                <c:pt idx="0">
                  <c:v>#N/A</c:v>
                </c:pt>
                <c:pt idx="1">
                  <c:v>#N/A</c:v>
                </c:pt>
              </c:numCache>
            </c:numRef>
          </c:val>
          <c:extLst>
            <c:ext xmlns:c16="http://schemas.microsoft.com/office/drawing/2014/chart" uri="{C3380CC4-5D6E-409C-BE32-E72D297353CC}">
              <c16:uniqueId val="{00000000-97A8-4BAC-94F1-E2F208EAFDA2}"/>
            </c:ext>
          </c:extLst>
        </c:ser>
        <c:dLbls>
          <c:dLblPos val="outEnd"/>
          <c:showLegendKey val="0"/>
          <c:showVal val="1"/>
          <c:showCatName val="0"/>
          <c:showSerName val="0"/>
          <c:showPercent val="0"/>
          <c:showBubbleSize val="0"/>
        </c:dLbls>
        <c:gapWidth val="25"/>
        <c:axId val="1626279279"/>
        <c:axId val="1626280239"/>
      </c:barChart>
      <c:catAx>
        <c:axId val="1626279279"/>
        <c:scaling>
          <c:orientation val="minMax"/>
        </c:scaling>
        <c:delete val="0"/>
        <c:axPos val="l"/>
        <c:numFmt formatCode="General" sourceLinked="1"/>
        <c:majorTickMark val="cross"/>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1626280239"/>
        <c:crosses val="autoZero"/>
        <c:auto val="1"/>
        <c:lblAlgn val="ctr"/>
        <c:lblOffset val="100"/>
        <c:noMultiLvlLbl val="0"/>
      </c:catAx>
      <c:valAx>
        <c:axId val="1626280239"/>
        <c:scaling>
          <c:orientation val="minMax"/>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rPr lang="en-CA"/>
                  <a:t>Total dwellings</a:t>
                </a:r>
              </a:p>
            </c:rich>
          </c:tx>
          <c:layout>
            <c:manualLayout>
              <c:xMode val="edge"/>
              <c:yMode val="edge"/>
              <c:x val="0.47393127455892825"/>
              <c:y val="0.89363543877114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cross"/>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162627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lumMod val="75000"/>
              <a:lumOff val="2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projection!$D$367</c:f>
              <c:strCache>
                <c:ptCount val="1"/>
                <c:pt idx="0">
                  <c:v>Market units</c:v>
                </c:pt>
              </c:strCache>
            </c:strRef>
          </c:tx>
          <c:spPr>
            <a:solidFill>
              <a:srgbClr val="FFD07B"/>
            </a:solidFill>
            <a:ln>
              <a:noFill/>
            </a:ln>
            <a:effectLst/>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projection!$B$368:$B$371</c:f>
              <c:strCache>
                <c:ptCount val="4"/>
                <c:pt idx="0">
                  <c:v>0- / 1-bed</c:v>
                </c:pt>
                <c:pt idx="1">
                  <c:v>2-bed</c:v>
                </c:pt>
                <c:pt idx="2">
                  <c:v>3-bed</c:v>
                </c:pt>
                <c:pt idx="3">
                  <c:v>4+ bed</c:v>
                </c:pt>
              </c:strCache>
            </c:strRef>
          </c:cat>
          <c:val>
            <c:numRef>
              <c:f>projection!$D$368:$D$371</c:f>
              <c:numCache>
                <c:formatCode>#,##0</c:formatCode>
                <c:ptCount val="4"/>
                <c:pt idx="0">
                  <c:v>0</c:v>
                </c:pt>
                <c:pt idx="1">
                  <c:v>0</c:v>
                </c:pt>
                <c:pt idx="2">
                  <c:v>0</c:v>
                </c:pt>
                <c:pt idx="3">
                  <c:v>0</c:v>
                </c:pt>
              </c:numCache>
            </c:numRef>
          </c:val>
          <c:extLst>
            <c:ext xmlns:c16="http://schemas.microsoft.com/office/drawing/2014/chart" uri="{C3380CC4-5D6E-409C-BE32-E72D297353CC}">
              <c16:uniqueId val="{00000000-0F46-4F01-81AC-5693420CE3D1}"/>
            </c:ext>
          </c:extLst>
        </c:ser>
        <c:ser>
          <c:idx val="1"/>
          <c:order val="1"/>
          <c:tx>
            <c:strRef>
              <c:f>projection!$E$367</c:f>
              <c:strCache>
                <c:ptCount val="1"/>
                <c:pt idx="0">
                  <c:v>Below-market units</c:v>
                </c:pt>
              </c:strCache>
            </c:strRef>
          </c:tx>
          <c:spPr>
            <a:solidFill>
              <a:srgbClr val="006B5F"/>
            </a:solidFill>
            <a:ln>
              <a:noFill/>
            </a:ln>
            <a:effectLst/>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projection!$B$368:$B$371</c:f>
              <c:strCache>
                <c:ptCount val="4"/>
                <c:pt idx="0">
                  <c:v>0- / 1-bed</c:v>
                </c:pt>
                <c:pt idx="1">
                  <c:v>2-bed</c:v>
                </c:pt>
                <c:pt idx="2">
                  <c:v>3-bed</c:v>
                </c:pt>
                <c:pt idx="3">
                  <c:v>4+ bed</c:v>
                </c:pt>
              </c:strCache>
            </c:strRef>
          </c:cat>
          <c:val>
            <c:numRef>
              <c:f>projection!$E$368:$E$371</c:f>
              <c:numCache>
                <c:formatCode>#,##0</c:formatCode>
                <c:ptCount val="4"/>
                <c:pt idx="0">
                  <c:v>0</c:v>
                </c:pt>
                <c:pt idx="1">
                  <c:v>0</c:v>
                </c:pt>
                <c:pt idx="2">
                  <c:v>0</c:v>
                </c:pt>
                <c:pt idx="3">
                  <c:v>0</c:v>
                </c:pt>
              </c:numCache>
            </c:numRef>
          </c:val>
          <c:extLst>
            <c:ext xmlns:c16="http://schemas.microsoft.com/office/drawing/2014/chart" uri="{C3380CC4-5D6E-409C-BE32-E72D297353CC}">
              <c16:uniqueId val="{00000001-0F46-4F01-81AC-5693420CE3D1}"/>
            </c:ext>
          </c:extLst>
        </c:ser>
        <c:ser>
          <c:idx val="2"/>
          <c:order val="2"/>
          <c:tx>
            <c:strRef>
              <c:f>projection!$F$367</c:f>
              <c:strCache>
                <c:ptCount val="1"/>
                <c:pt idx="0">
                  <c:v>Deeply affordable units</c:v>
                </c:pt>
              </c:strCache>
            </c:strRef>
          </c:tx>
          <c:spPr>
            <a:solidFill>
              <a:srgbClr val="CFD9E3"/>
            </a:solidFill>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projection!$B$368:$B$371</c:f>
              <c:strCache>
                <c:ptCount val="4"/>
                <c:pt idx="0">
                  <c:v>0- / 1-bed</c:v>
                </c:pt>
                <c:pt idx="1">
                  <c:v>2-bed</c:v>
                </c:pt>
                <c:pt idx="2">
                  <c:v>3-bed</c:v>
                </c:pt>
                <c:pt idx="3">
                  <c:v>4+ bed</c:v>
                </c:pt>
              </c:strCache>
            </c:strRef>
          </c:cat>
          <c:val>
            <c:numRef>
              <c:f>projection!$F$368:$F$371</c:f>
              <c:numCache>
                <c:formatCode>#,##0</c:formatCode>
                <c:ptCount val="4"/>
                <c:pt idx="0">
                  <c:v>0</c:v>
                </c:pt>
                <c:pt idx="1">
                  <c:v>0</c:v>
                </c:pt>
                <c:pt idx="2">
                  <c:v>0</c:v>
                </c:pt>
                <c:pt idx="3">
                  <c:v>0</c:v>
                </c:pt>
              </c:numCache>
            </c:numRef>
          </c:val>
          <c:extLst>
            <c:ext xmlns:c16="http://schemas.microsoft.com/office/drawing/2014/chart" uri="{C3380CC4-5D6E-409C-BE32-E72D297353CC}">
              <c16:uniqueId val="{00000002-0F46-4F01-81AC-5693420CE3D1}"/>
            </c:ext>
          </c:extLst>
        </c:ser>
        <c:dLbls>
          <c:dLblPos val="ctr"/>
          <c:showLegendKey val="0"/>
          <c:showVal val="1"/>
          <c:showCatName val="0"/>
          <c:showSerName val="0"/>
          <c:showPercent val="0"/>
          <c:showBubbleSize val="0"/>
        </c:dLbls>
        <c:gapWidth val="25"/>
        <c:overlap val="100"/>
        <c:axId val="1626279279"/>
        <c:axId val="1626280239"/>
      </c:barChart>
      <c:catAx>
        <c:axId val="1626279279"/>
        <c:scaling>
          <c:orientation val="minMax"/>
        </c:scaling>
        <c:delete val="0"/>
        <c:axPos val="b"/>
        <c:numFmt formatCode="General" sourceLinked="1"/>
        <c:majorTickMark val="cross"/>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1626280239"/>
        <c:crosses val="autoZero"/>
        <c:auto val="1"/>
        <c:lblAlgn val="ctr"/>
        <c:lblOffset val="100"/>
        <c:noMultiLvlLbl val="0"/>
      </c:catAx>
      <c:valAx>
        <c:axId val="162628023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rPr lang="en-CA"/>
                  <a:t>Total dwellings</a:t>
                </a:r>
              </a:p>
            </c:rich>
          </c:tx>
          <c:layout>
            <c:manualLayout>
              <c:xMode val="edge"/>
              <c:yMode val="edge"/>
              <c:x val="0"/>
              <c:y val="0.24342373869932926"/>
            </c:manualLayout>
          </c:layout>
          <c:overlay val="0"/>
          <c:spPr>
            <a:noFill/>
            <a:ln>
              <a:noFill/>
            </a:ln>
            <a:effectLst/>
          </c:spPr>
        </c:title>
        <c:numFmt formatCode="#,##0" sourceLinked="1"/>
        <c:majorTickMark val="cross"/>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162627927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chemeClr val="tx1">
              <a:lumMod val="75000"/>
              <a:lumOff val="2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projection!$B$86</c:f>
              <c:strCache>
                <c:ptCount val="1"/>
                <c:pt idx="0">
                  <c:v>Cumulative construction</c:v>
                </c:pt>
              </c:strCache>
            </c:strRef>
          </c:tx>
          <c:spPr>
            <a:solidFill>
              <a:srgbClr val="FFD07B"/>
            </a:solidFill>
            <a:ln>
              <a:noFill/>
            </a:ln>
            <a:effectLst/>
          </c:spPr>
          <c:invertIfNegative val="0"/>
          <c:cat>
            <c:numRef>
              <c:f>projection!$H$78:$R$78</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projection!$H$86:$R$86</c:f>
              <c:numCache>
                <c:formatCode>#,##0</c:formatCode>
                <c:ptCount val="11"/>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479A-4785-A8DB-092E8A0827F1}"/>
            </c:ext>
          </c:extLst>
        </c:ser>
        <c:ser>
          <c:idx val="1"/>
          <c:order val="1"/>
          <c:tx>
            <c:strRef>
              <c:f>projection!$B$87</c:f>
              <c:strCache>
                <c:ptCount val="1"/>
                <c:pt idx="0">
                  <c:v>Running shortage (total demand minus cumulative supply)</c:v>
                </c:pt>
              </c:strCache>
            </c:strRef>
          </c:tx>
          <c:spPr>
            <a:solidFill>
              <a:srgbClr val="006B5F"/>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projection!$H$78:$R$78</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projection!$H$87:$R$87</c:f>
              <c:numCache>
                <c:formatCode>#,##0</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1-479A-4785-A8DB-092E8A0827F1}"/>
            </c:ext>
          </c:extLst>
        </c:ser>
        <c:dLbls>
          <c:showLegendKey val="0"/>
          <c:showVal val="0"/>
          <c:showCatName val="0"/>
          <c:showSerName val="0"/>
          <c:showPercent val="0"/>
          <c:showBubbleSize val="0"/>
        </c:dLbls>
        <c:gapWidth val="25"/>
        <c:overlap val="100"/>
        <c:axId val="1626279279"/>
        <c:axId val="1626280239"/>
      </c:barChart>
      <c:catAx>
        <c:axId val="1626279279"/>
        <c:scaling>
          <c:orientation val="minMax"/>
        </c:scaling>
        <c:delete val="0"/>
        <c:axPos val="b"/>
        <c:numFmt formatCode="General" sourceLinked="1"/>
        <c:majorTickMark val="cross"/>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1626280239"/>
        <c:crosses val="autoZero"/>
        <c:auto val="1"/>
        <c:lblAlgn val="ctr"/>
        <c:lblOffset val="100"/>
        <c:noMultiLvlLbl val="0"/>
      </c:catAx>
      <c:valAx>
        <c:axId val="162628023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rPr lang="en-CA"/>
                  <a:t>Total dwellings</a:t>
                </a:r>
              </a:p>
            </c:rich>
          </c:tx>
          <c:layout>
            <c:manualLayout>
              <c:xMode val="edge"/>
              <c:yMode val="edge"/>
              <c:x val="0"/>
              <c:y val="0.2434237386993292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cross"/>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162627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lumMod val="75000"/>
              <a:lumOff val="2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projection!$B$474</c:f>
              <c:strCache>
                <c:ptCount val="1"/>
                <c:pt idx="0">
                  <c:v>Cumulative construction</c:v>
                </c:pt>
              </c:strCache>
            </c:strRef>
          </c:tx>
          <c:spPr>
            <a:solidFill>
              <a:srgbClr val="FFD07B"/>
            </a:solidFill>
            <a:ln>
              <a:noFill/>
            </a:ln>
            <a:effectLst/>
          </c:spPr>
          <c:invertIfNegative val="0"/>
          <c:cat>
            <c:numRef>
              <c:f>projection!$H$78:$R$78</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projection!$H$474:$R$474</c:f>
              <c:numCache>
                <c:formatCode>#,##0</c:formatCode>
                <c:ptCount val="11"/>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C43-497A-A61D-A53A23556D55}"/>
            </c:ext>
          </c:extLst>
        </c:ser>
        <c:ser>
          <c:idx val="1"/>
          <c:order val="1"/>
          <c:tx>
            <c:strRef>
              <c:f>projection!$B$475</c:f>
              <c:strCache>
                <c:ptCount val="1"/>
                <c:pt idx="0">
                  <c:v>Running shortage/surplus (total demand + regional influence - cumulative supply)</c:v>
                </c:pt>
              </c:strCache>
            </c:strRef>
          </c:tx>
          <c:spPr>
            <a:solidFill>
              <a:srgbClr val="006B5F"/>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projection!$H$78:$R$78</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projection!$H$475:$R$475</c:f>
              <c:numCache>
                <c:formatCode>#,##0</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1-6C43-497A-A61D-A53A23556D55}"/>
            </c:ext>
          </c:extLst>
        </c:ser>
        <c:dLbls>
          <c:showLegendKey val="0"/>
          <c:showVal val="0"/>
          <c:showCatName val="0"/>
          <c:showSerName val="0"/>
          <c:showPercent val="0"/>
          <c:showBubbleSize val="0"/>
        </c:dLbls>
        <c:gapWidth val="25"/>
        <c:overlap val="100"/>
        <c:axId val="1626279279"/>
        <c:axId val="1626280239"/>
      </c:barChart>
      <c:catAx>
        <c:axId val="1626279279"/>
        <c:scaling>
          <c:orientation val="minMax"/>
        </c:scaling>
        <c:delete val="0"/>
        <c:axPos val="b"/>
        <c:numFmt formatCode="General" sourceLinked="1"/>
        <c:majorTickMark val="cross"/>
        <c:minorTickMark val="none"/>
        <c:tickLblPos val="low"/>
        <c:spPr>
          <a:noFill/>
          <a:ln w="9525"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1626280239"/>
        <c:crosses val="autoZero"/>
        <c:auto val="1"/>
        <c:lblAlgn val="ctr"/>
        <c:lblOffset val="100"/>
        <c:noMultiLvlLbl val="0"/>
      </c:catAx>
      <c:valAx>
        <c:axId val="162628023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rPr lang="en-CA"/>
                  <a:t>Total dwellings</a:t>
                </a:r>
              </a:p>
            </c:rich>
          </c:tx>
          <c:layout>
            <c:manualLayout>
              <c:xMode val="edge"/>
              <c:yMode val="edge"/>
              <c:x val="0"/>
              <c:y val="0.2434237386993292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cross"/>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1626279279"/>
        <c:crosses val="autoZero"/>
        <c:crossBetween val="between"/>
      </c:valAx>
      <c:spPr>
        <a:noFill/>
        <a:ln>
          <a:noFill/>
        </a:ln>
        <a:effectLst/>
      </c:spPr>
    </c:plotArea>
    <c:legend>
      <c:legendPos val="b"/>
      <c:layout>
        <c:manualLayout>
          <c:xMode val="edge"/>
          <c:yMode val="edge"/>
          <c:x val="9.6494952927295777E-3"/>
          <c:y val="0.89761542546900719"/>
          <c:w val="0.98271853584135693"/>
          <c:h val="7.43973002931685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lumMod val="75000"/>
              <a:lumOff val="2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popn_now!$D$68</c:f>
              <c:strCache>
                <c:ptCount val="1"/>
                <c:pt idx="0">
                  <c:v>Ann. change</c:v>
                </c:pt>
              </c:strCache>
            </c:strRef>
          </c:tx>
          <c:spPr>
            <a:solidFill>
              <a:srgbClr val="006B5F"/>
            </a:solidFill>
            <a:ln>
              <a:noFill/>
            </a:ln>
            <a:effectLst/>
          </c:spPr>
          <c:invertIfNegative val="0"/>
          <c:cat>
            <c:numRef>
              <c:f>popn_now!$B$70:$B$93</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popn_now!$D$70:$D$93</c:f>
              <c:numCache>
                <c:formatCode>0.0%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extLst>
            <c:ext xmlns:c16="http://schemas.microsoft.com/office/drawing/2014/chart" uri="{C3380CC4-5D6E-409C-BE32-E72D297353CC}">
              <c16:uniqueId val="{00000000-6C78-4E62-A11C-7282422E94D5}"/>
            </c:ext>
          </c:extLst>
        </c:ser>
        <c:dLbls>
          <c:showLegendKey val="0"/>
          <c:showVal val="0"/>
          <c:showCatName val="0"/>
          <c:showSerName val="0"/>
          <c:showPercent val="0"/>
          <c:showBubbleSize val="0"/>
        </c:dLbls>
        <c:gapWidth val="50"/>
        <c:overlap val="-27"/>
        <c:axId val="1877744751"/>
        <c:axId val="1877757711"/>
      </c:barChart>
      <c:catAx>
        <c:axId val="1877744751"/>
        <c:scaling>
          <c:orientation val="minMax"/>
        </c:scaling>
        <c:delete val="0"/>
        <c:axPos val="b"/>
        <c:numFmt formatCode="General" sourceLinked="1"/>
        <c:majorTickMark val="cross"/>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877757711"/>
        <c:crosses val="autoZero"/>
        <c:auto val="1"/>
        <c:lblAlgn val="ctr"/>
        <c:lblOffset val="100"/>
        <c:noMultiLvlLbl val="0"/>
      </c:catAx>
      <c:valAx>
        <c:axId val="187775771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r>
                  <a:rPr lang="en-CA"/>
                  <a:t>Population change over previous year</a:t>
                </a:r>
              </a:p>
            </c:rich>
          </c:tx>
          <c:layout>
            <c:manualLayout>
              <c:xMode val="edge"/>
              <c:yMode val="edge"/>
              <c:x val="0"/>
              <c:y val="6.9510128800103085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CA"/>
            </a:p>
          </c:txPr>
        </c:title>
        <c:numFmt formatCode="0.0%" sourceLinked="1"/>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87774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lumMod val="95000"/>
              <a:lumOff val="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93126856747977"/>
          <c:y val="5.0376180612851297E-2"/>
          <c:w val="0.85640736838896092"/>
          <c:h val="0.62558301173440012"/>
        </c:manualLayout>
      </c:layout>
      <c:barChart>
        <c:barDir val="col"/>
        <c:grouping val="stacked"/>
        <c:varyColors val="0"/>
        <c:ser>
          <c:idx val="0"/>
          <c:order val="0"/>
          <c:tx>
            <c:strRef>
              <c:f>popn_now!$B$120</c:f>
              <c:strCache>
                <c:ptCount val="1"/>
                <c:pt idx="0">
                  <c:v>Net natural change</c:v>
                </c:pt>
              </c:strCache>
            </c:strRef>
          </c:tx>
          <c:spPr>
            <a:solidFill>
              <a:srgbClr val="CFD9E3"/>
            </a:solidFill>
            <a:ln>
              <a:noFill/>
            </a:ln>
            <a:effectLst/>
          </c:spPr>
          <c:invertIfNegative val="0"/>
          <c:cat>
            <c:strRef>
              <c:f>popn_now!$D$119:$AA$119</c:f>
              <c:strCache>
                <c:ptCount val="24"/>
                <c:pt idx="0">
                  <c:v>2001/2002</c:v>
                </c:pt>
                <c:pt idx="1">
                  <c:v>2002/2003</c:v>
                </c:pt>
                <c:pt idx="2">
                  <c:v>2003/2004</c:v>
                </c:pt>
                <c:pt idx="3">
                  <c:v>2004/2005</c:v>
                </c:pt>
                <c:pt idx="4">
                  <c:v>2005/2006</c:v>
                </c:pt>
                <c:pt idx="5">
                  <c:v>2006/2007</c:v>
                </c:pt>
                <c:pt idx="6">
                  <c:v>2007/2008</c:v>
                </c:pt>
                <c:pt idx="7">
                  <c:v>2008/2009</c:v>
                </c:pt>
                <c:pt idx="8">
                  <c:v>2009/2010</c:v>
                </c:pt>
                <c:pt idx="9">
                  <c:v>2010/2011</c:v>
                </c:pt>
                <c:pt idx="10">
                  <c:v>2011/2012</c:v>
                </c:pt>
                <c:pt idx="11">
                  <c:v>2012/2013</c:v>
                </c:pt>
                <c:pt idx="12">
                  <c:v>2013/2014</c:v>
                </c:pt>
                <c:pt idx="13">
                  <c:v>2014/2015</c:v>
                </c:pt>
                <c:pt idx="14">
                  <c:v>2015/2016</c:v>
                </c:pt>
                <c:pt idx="15">
                  <c:v>2016/2017</c:v>
                </c:pt>
                <c:pt idx="16">
                  <c:v>2017/2018</c:v>
                </c:pt>
                <c:pt idx="17">
                  <c:v>2018/2019</c:v>
                </c:pt>
                <c:pt idx="18">
                  <c:v>2019/2020</c:v>
                </c:pt>
                <c:pt idx="19">
                  <c:v>2020/2021</c:v>
                </c:pt>
                <c:pt idx="20">
                  <c:v>2021/2022</c:v>
                </c:pt>
                <c:pt idx="21">
                  <c:v>2022/2023</c:v>
                </c:pt>
                <c:pt idx="22">
                  <c:v>2023/2024</c:v>
                </c:pt>
                <c:pt idx="23">
                  <c:v>2024/2025</c:v>
                </c:pt>
              </c:strCache>
            </c:strRef>
          </c:cat>
          <c:val>
            <c:numRef>
              <c:f>popn_now!$D$120:$AA$120</c:f>
              <c:numCache>
                <c:formatCode>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extLst>
            <c:ext xmlns:c16="http://schemas.microsoft.com/office/drawing/2014/chart" uri="{C3380CC4-5D6E-409C-BE32-E72D297353CC}">
              <c16:uniqueId val="{00000000-D0D3-482F-B828-A9B5AD112153}"/>
            </c:ext>
          </c:extLst>
        </c:ser>
        <c:ser>
          <c:idx val="1"/>
          <c:order val="1"/>
          <c:tx>
            <c:strRef>
              <c:f>popn_now!$B$121</c:f>
              <c:strCache>
                <c:ptCount val="1"/>
                <c:pt idx="0">
                  <c:v>Net international</c:v>
                </c:pt>
              </c:strCache>
            </c:strRef>
          </c:tx>
          <c:spPr>
            <a:solidFill>
              <a:srgbClr val="006B5F"/>
            </a:solidFill>
            <a:ln>
              <a:noFill/>
            </a:ln>
            <a:effectLst/>
          </c:spPr>
          <c:invertIfNegative val="0"/>
          <c:cat>
            <c:strRef>
              <c:f>popn_now!$D$119:$AA$119</c:f>
              <c:strCache>
                <c:ptCount val="24"/>
                <c:pt idx="0">
                  <c:v>2001/2002</c:v>
                </c:pt>
                <c:pt idx="1">
                  <c:v>2002/2003</c:v>
                </c:pt>
                <c:pt idx="2">
                  <c:v>2003/2004</c:v>
                </c:pt>
                <c:pt idx="3">
                  <c:v>2004/2005</c:v>
                </c:pt>
                <c:pt idx="4">
                  <c:v>2005/2006</c:v>
                </c:pt>
                <c:pt idx="5">
                  <c:v>2006/2007</c:v>
                </c:pt>
                <c:pt idx="6">
                  <c:v>2007/2008</c:v>
                </c:pt>
                <c:pt idx="7">
                  <c:v>2008/2009</c:v>
                </c:pt>
                <c:pt idx="8">
                  <c:v>2009/2010</c:v>
                </c:pt>
                <c:pt idx="9">
                  <c:v>2010/2011</c:v>
                </c:pt>
                <c:pt idx="10">
                  <c:v>2011/2012</c:v>
                </c:pt>
                <c:pt idx="11">
                  <c:v>2012/2013</c:v>
                </c:pt>
                <c:pt idx="12">
                  <c:v>2013/2014</c:v>
                </c:pt>
                <c:pt idx="13">
                  <c:v>2014/2015</c:v>
                </c:pt>
                <c:pt idx="14">
                  <c:v>2015/2016</c:v>
                </c:pt>
                <c:pt idx="15">
                  <c:v>2016/2017</c:v>
                </c:pt>
                <c:pt idx="16">
                  <c:v>2017/2018</c:v>
                </c:pt>
                <c:pt idx="17">
                  <c:v>2018/2019</c:v>
                </c:pt>
                <c:pt idx="18">
                  <c:v>2019/2020</c:v>
                </c:pt>
                <c:pt idx="19">
                  <c:v>2020/2021</c:v>
                </c:pt>
                <c:pt idx="20">
                  <c:v>2021/2022</c:v>
                </c:pt>
                <c:pt idx="21">
                  <c:v>2022/2023</c:v>
                </c:pt>
                <c:pt idx="22">
                  <c:v>2023/2024</c:v>
                </c:pt>
                <c:pt idx="23">
                  <c:v>2024/2025</c:v>
                </c:pt>
              </c:strCache>
            </c:strRef>
          </c:cat>
          <c:val>
            <c:numRef>
              <c:f>popn_now!$D$121:$AA$121</c:f>
              <c:numCache>
                <c:formatCode>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extLst>
            <c:ext xmlns:c16="http://schemas.microsoft.com/office/drawing/2014/chart" uri="{C3380CC4-5D6E-409C-BE32-E72D297353CC}">
              <c16:uniqueId val="{00000001-D0D3-482F-B828-A9B5AD112153}"/>
            </c:ext>
          </c:extLst>
        </c:ser>
        <c:ser>
          <c:idx val="2"/>
          <c:order val="2"/>
          <c:tx>
            <c:strRef>
              <c:f>popn_now!$B$122</c:f>
              <c:strCache>
                <c:ptCount val="1"/>
                <c:pt idx="0">
                  <c:v>Net interprovincial</c:v>
                </c:pt>
              </c:strCache>
            </c:strRef>
          </c:tx>
          <c:spPr>
            <a:solidFill>
              <a:srgbClr val="FFD07B"/>
            </a:solidFill>
            <a:ln>
              <a:noFill/>
            </a:ln>
            <a:effectLst/>
          </c:spPr>
          <c:invertIfNegative val="0"/>
          <c:cat>
            <c:strRef>
              <c:f>popn_now!$D$119:$AA$119</c:f>
              <c:strCache>
                <c:ptCount val="24"/>
                <c:pt idx="0">
                  <c:v>2001/2002</c:v>
                </c:pt>
                <c:pt idx="1">
                  <c:v>2002/2003</c:v>
                </c:pt>
                <c:pt idx="2">
                  <c:v>2003/2004</c:v>
                </c:pt>
                <c:pt idx="3">
                  <c:v>2004/2005</c:v>
                </c:pt>
                <c:pt idx="4">
                  <c:v>2005/2006</c:v>
                </c:pt>
                <c:pt idx="5">
                  <c:v>2006/2007</c:v>
                </c:pt>
                <c:pt idx="6">
                  <c:v>2007/2008</c:v>
                </c:pt>
                <c:pt idx="7">
                  <c:v>2008/2009</c:v>
                </c:pt>
                <c:pt idx="8">
                  <c:v>2009/2010</c:v>
                </c:pt>
                <c:pt idx="9">
                  <c:v>2010/2011</c:v>
                </c:pt>
                <c:pt idx="10">
                  <c:v>2011/2012</c:v>
                </c:pt>
                <c:pt idx="11">
                  <c:v>2012/2013</c:v>
                </c:pt>
                <c:pt idx="12">
                  <c:v>2013/2014</c:v>
                </c:pt>
                <c:pt idx="13">
                  <c:v>2014/2015</c:v>
                </c:pt>
                <c:pt idx="14">
                  <c:v>2015/2016</c:v>
                </c:pt>
                <c:pt idx="15">
                  <c:v>2016/2017</c:v>
                </c:pt>
                <c:pt idx="16">
                  <c:v>2017/2018</c:v>
                </c:pt>
                <c:pt idx="17">
                  <c:v>2018/2019</c:v>
                </c:pt>
                <c:pt idx="18">
                  <c:v>2019/2020</c:v>
                </c:pt>
                <c:pt idx="19">
                  <c:v>2020/2021</c:v>
                </c:pt>
                <c:pt idx="20">
                  <c:v>2021/2022</c:v>
                </c:pt>
                <c:pt idx="21">
                  <c:v>2022/2023</c:v>
                </c:pt>
                <c:pt idx="22">
                  <c:v>2023/2024</c:v>
                </c:pt>
                <c:pt idx="23">
                  <c:v>2024/2025</c:v>
                </c:pt>
              </c:strCache>
            </c:strRef>
          </c:cat>
          <c:val>
            <c:numRef>
              <c:f>popn_now!$D$122:$AA$122</c:f>
              <c:numCache>
                <c:formatCode>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extLst>
            <c:ext xmlns:c16="http://schemas.microsoft.com/office/drawing/2014/chart" uri="{C3380CC4-5D6E-409C-BE32-E72D297353CC}">
              <c16:uniqueId val="{00000002-D0D3-482F-B828-A9B5AD112153}"/>
            </c:ext>
          </c:extLst>
        </c:ser>
        <c:ser>
          <c:idx val="3"/>
          <c:order val="3"/>
          <c:tx>
            <c:strRef>
              <c:f>popn_now!$B$123</c:f>
              <c:strCache>
                <c:ptCount val="1"/>
                <c:pt idx="0">
                  <c:v>Net intraprovincial</c:v>
                </c:pt>
              </c:strCache>
            </c:strRef>
          </c:tx>
          <c:spPr>
            <a:solidFill>
              <a:srgbClr val="602BDF"/>
            </a:solidFill>
            <a:ln>
              <a:noFill/>
            </a:ln>
            <a:effectLst/>
          </c:spPr>
          <c:invertIfNegative val="0"/>
          <c:cat>
            <c:strRef>
              <c:f>popn_now!$D$119:$AA$119</c:f>
              <c:strCache>
                <c:ptCount val="24"/>
                <c:pt idx="0">
                  <c:v>2001/2002</c:v>
                </c:pt>
                <c:pt idx="1">
                  <c:v>2002/2003</c:v>
                </c:pt>
                <c:pt idx="2">
                  <c:v>2003/2004</c:v>
                </c:pt>
                <c:pt idx="3">
                  <c:v>2004/2005</c:v>
                </c:pt>
                <c:pt idx="4">
                  <c:v>2005/2006</c:v>
                </c:pt>
                <c:pt idx="5">
                  <c:v>2006/2007</c:v>
                </c:pt>
                <c:pt idx="6">
                  <c:v>2007/2008</c:v>
                </c:pt>
                <c:pt idx="7">
                  <c:v>2008/2009</c:v>
                </c:pt>
                <c:pt idx="8">
                  <c:v>2009/2010</c:v>
                </c:pt>
                <c:pt idx="9">
                  <c:v>2010/2011</c:v>
                </c:pt>
                <c:pt idx="10">
                  <c:v>2011/2012</c:v>
                </c:pt>
                <c:pt idx="11">
                  <c:v>2012/2013</c:v>
                </c:pt>
                <c:pt idx="12">
                  <c:v>2013/2014</c:v>
                </c:pt>
                <c:pt idx="13">
                  <c:v>2014/2015</c:v>
                </c:pt>
                <c:pt idx="14">
                  <c:v>2015/2016</c:v>
                </c:pt>
                <c:pt idx="15">
                  <c:v>2016/2017</c:v>
                </c:pt>
                <c:pt idx="16">
                  <c:v>2017/2018</c:v>
                </c:pt>
                <c:pt idx="17">
                  <c:v>2018/2019</c:v>
                </c:pt>
                <c:pt idx="18">
                  <c:v>2019/2020</c:v>
                </c:pt>
                <c:pt idx="19">
                  <c:v>2020/2021</c:v>
                </c:pt>
                <c:pt idx="20">
                  <c:v>2021/2022</c:v>
                </c:pt>
                <c:pt idx="21">
                  <c:v>2022/2023</c:v>
                </c:pt>
                <c:pt idx="22">
                  <c:v>2023/2024</c:v>
                </c:pt>
                <c:pt idx="23">
                  <c:v>2024/2025</c:v>
                </c:pt>
              </c:strCache>
            </c:strRef>
          </c:cat>
          <c:val>
            <c:numRef>
              <c:f>popn_now!$D$123:$AA$123</c:f>
              <c:numCache>
                <c:formatCode>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extLst>
            <c:ext xmlns:c16="http://schemas.microsoft.com/office/drawing/2014/chart" uri="{C3380CC4-5D6E-409C-BE32-E72D297353CC}">
              <c16:uniqueId val="{00000003-D0D3-482F-B828-A9B5AD112153}"/>
            </c:ext>
          </c:extLst>
        </c:ser>
        <c:dLbls>
          <c:showLegendKey val="0"/>
          <c:showVal val="0"/>
          <c:showCatName val="0"/>
          <c:showSerName val="0"/>
          <c:showPercent val="0"/>
          <c:showBubbleSize val="0"/>
        </c:dLbls>
        <c:gapWidth val="25"/>
        <c:overlap val="100"/>
        <c:axId val="797489695"/>
        <c:axId val="797491135"/>
      </c:barChart>
      <c:catAx>
        <c:axId val="797489695"/>
        <c:scaling>
          <c:orientation val="minMax"/>
        </c:scaling>
        <c:delete val="0"/>
        <c:axPos val="b"/>
        <c:numFmt formatCode="General" sourceLinked="1"/>
        <c:majorTickMark val="cross"/>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797491135"/>
        <c:crosses val="autoZero"/>
        <c:auto val="1"/>
        <c:lblAlgn val="ctr"/>
        <c:lblOffset val="100"/>
        <c:noMultiLvlLbl val="0"/>
      </c:catAx>
      <c:valAx>
        <c:axId val="79749113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r>
                  <a:rPr lang="en-CA"/>
                  <a:t>Share of population</a:t>
                </a:r>
              </a:p>
            </c:rich>
          </c:tx>
          <c:layout>
            <c:manualLayout>
              <c:xMode val="edge"/>
              <c:yMode val="edge"/>
              <c:x val="1.2152549026762266E-2"/>
              <c:y val="0.1572550008914640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797489695"/>
        <c:crosses val="autoZero"/>
        <c:crossBetween val="between"/>
        <c:majorUnit val="2.0000000000000004E-2"/>
      </c:valAx>
      <c:spPr>
        <a:noFill/>
        <a:ln>
          <a:noFill/>
        </a:ln>
        <a:effectLst/>
      </c:spPr>
    </c:plotArea>
    <c:legend>
      <c:legendPos val="b"/>
      <c:layout>
        <c:manualLayout>
          <c:xMode val="edge"/>
          <c:yMode val="edge"/>
          <c:x val="7.0071001026398419E-2"/>
          <c:y val="0.90345780657752273"/>
          <c:w val="0.84264973391552356"/>
          <c:h val="7.82239083175785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lumMod val="95000"/>
              <a:lumOff val="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1"/>
          <c:order val="2"/>
          <c:tx>
            <c:strRef>
              <c:f>popn_fut!$B$51</c:f>
              <c:strCache>
                <c:ptCount val="1"/>
                <c:pt idx="0">
                  <c:v>Minimum</c:v>
                </c:pt>
              </c:strCache>
            </c:strRef>
          </c:tx>
          <c:spPr>
            <a:noFill/>
            <a:ln>
              <a:noFill/>
            </a:ln>
            <a:effectLst/>
          </c:spPr>
          <c:cat>
            <c:numRef>
              <c:f>popn_fut!$H$49:$AB$49</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popn_fut!$H$51:$W$51</c:f>
              <c:numCache>
                <c:formatCode>#,##0</c:formatCode>
                <c:ptCount val="16"/>
                <c:pt idx="5">
                  <c:v>#N/A</c:v>
                </c:pt>
                <c:pt idx="6">
                  <c:v>#N/A</c:v>
                </c:pt>
                <c:pt idx="7">
                  <c:v>#N/A</c:v>
                </c:pt>
                <c:pt idx="8">
                  <c:v>#N/A</c:v>
                </c:pt>
                <c:pt idx="9">
                  <c:v>#N/A</c:v>
                </c:pt>
                <c:pt idx="10">
                  <c:v>#N/A</c:v>
                </c:pt>
                <c:pt idx="11">
                  <c:v>#N/A</c:v>
                </c:pt>
                <c:pt idx="12">
                  <c:v>#N/A</c:v>
                </c:pt>
                <c:pt idx="13">
                  <c:v>#N/A</c:v>
                </c:pt>
                <c:pt idx="14">
                  <c:v>#N/A</c:v>
                </c:pt>
                <c:pt idx="15">
                  <c:v>#N/A</c:v>
                </c:pt>
              </c:numCache>
            </c:numRef>
          </c:val>
          <c:extLst>
            <c:ext xmlns:c16="http://schemas.microsoft.com/office/drawing/2014/chart" uri="{C3380CC4-5D6E-409C-BE32-E72D297353CC}">
              <c16:uniqueId val="{00000000-391C-4785-A177-6E1B66285808}"/>
            </c:ext>
          </c:extLst>
        </c:ser>
        <c:ser>
          <c:idx val="3"/>
          <c:order val="4"/>
          <c:tx>
            <c:strRef>
              <c:f>popn_fut!$B$54</c:f>
              <c:strCache>
                <c:ptCount val="1"/>
                <c:pt idx="0">
                  <c:v>Projection range</c:v>
                </c:pt>
              </c:strCache>
            </c:strRef>
          </c:tx>
          <c:spPr>
            <a:solidFill>
              <a:schemeClr val="bg1">
                <a:lumMod val="85000"/>
              </a:schemeClr>
            </a:solidFill>
            <a:ln>
              <a:noFill/>
            </a:ln>
            <a:effectLst/>
          </c:spPr>
          <c:cat>
            <c:numRef>
              <c:f>popn_fut!$H$49:$AB$49</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popn_fut!$H$54:$W$54</c:f>
              <c:numCache>
                <c:formatCode>#,##0</c:formatCode>
                <c:ptCount val="16"/>
                <c:pt idx="5">
                  <c:v>#N/A</c:v>
                </c:pt>
                <c:pt idx="6">
                  <c:v>#N/A</c:v>
                </c:pt>
                <c:pt idx="7">
                  <c:v>#N/A</c:v>
                </c:pt>
                <c:pt idx="8">
                  <c:v>#N/A</c:v>
                </c:pt>
                <c:pt idx="9">
                  <c:v>#N/A</c:v>
                </c:pt>
                <c:pt idx="10">
                  <c:v>#N/A</c:v>
                </c:pt>
                <c:pt idx="11">
                  <c:v>#N/A</c:v>
                </c:pt>
                <c:pt idx="12">
                  <c:v>#N/A</c:v>
                </c:pt>
                <c:pt idx="13">
                  <c:v>#N/A</c:v>
                </c:pt>
                <c:pt idx="14">
                  <c:v>#N/A</c:v>
                </c:pt>
                <c:pt idx="15">
                  <c:v>#N/A</c:v>
                </c:pt>
              </c:numCache>
            </c:numRef>
          </c:val>
          <c:extLst>
            <c:ext xmlns:c16="http://schemas.microsoft.com/office/drawing/2014/chart" uri="{C3380CC4-5D6E-409C-BE32-E72D297353CC}">
              <c16:uniqueId val="{00000001-391C-4785-A177-6E1B66285808}"/>
            </c:ext>
          </c:extLst>
        </c:ser>
        <c:dLbls>
          <c:showLegendKey val="0"/>
          <c:showVal val="0"/>
          <c:showCatName val="0"/>
          <c:showSerName val="0"/>
          <c:showPercent val="0"/>
          <c:showBubbleSize val="0"/>
        </c:dLbls>
        <c:axId val="1810162448"/>
        <c:axId val="1810148048"/>
      </c:areaChart>
      <c:lineChart>
        <c:grouping val="standard"/>
        <c:varyColors val="0"/>
        <c:ser>
          <c:idx val="0"/>
          <c:order val="0"/>
          <c:tx>
            <c:strRef>
              <c:f>popn_fut!$B$50</c:f>
              <c:strCache>
                <c:ptCount val="1"/>
                <c:pt idx="0">
                  <c:v>Historical</c:v>
                </c:pt>
              </c:strCache>
            </c:strRef>
          </c:tx>
          <c:spPr>
            <a:ln w="19050" cap="rnd">
              <a:solidFill>
                <a:srgbClr val="006B5F"/>
              </a:solidFill>
              <a:round/>
            </a:ln>
            <a:effectLst/>
          </c:spPr>
          <c:marker>
            <c:symbol val="none"/>
          </c:marker>
          <c:dPt>
            <c:idx val="5"/>
            <c:marker>
              <c:symbol val="circle"/>
              <c:size val="6"/>
              <c:spPr>
                <a:solidFill>
                  <a:srgbClr val="006B5F"/>
                </a:solidFill>
                <a:ln w="9525">
                  <a:noFill/>
                </a:ln>
                <a:effectLst/>
              </c:spPr>
            </c:marker>
            <c:bubble3D val="0"/>
            <c:extLst>
              <c:ext xmlns:c16="http://schemas.microsoft.com/office/drawing/2014/chart" uri="{C3380CC4-5D6E-409C-BE32-E72D297353CC}">
                <c16:uniqueId val="{00000002-391C-4785-A177-6E1B66285808}"/>
              </c:ext>
            </c:extLst>
          </c:dPt>
          <c:cat>
            <c:numRef>
              <c:f>popn_fut!$H$49:$W$49</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popn_fut!$H$50:$W$50</c:f>
              <c:numCache>
                <c:formatCode>#,##0</c:formatCode>
                <c:ptCount val="1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3-391C-4785-A177-6E1B66285808}"/>
            </c:ext>
          </c:extLst>
        </c:ser>
        <c:ser>
          <c:idx val="4"/>
          <c:order val="1"/>
          <c:tx>
            <c:strRef>
              <c:f>popn_fut!$B$52</c:f>
              <c:strCache>
                <c:ptCount val="1"/>
                <c:pt idx="0">
                  <c:v>Minimum</c:v>
                </c:pt>
              </c:strCache>
            </c:strRef>
          </c:tx>
          <c:spPr>
            <a:ln w="19050" cap="rnd">
              <a:solidFill>
                <a:srgbClr val="006B5F"/>
              </a:solidFill>
              <a:prstDash val="sysDash"/>
              <a:round/>
            </a:ln>
            <a:effectLst/>
          </c:spPr>
          <c:marker>
            <c:symbol val="none"/>
          </c:marker>
          <c:dPt>
            <c:idx val="15"/>
            <c:marker>
              <c:symbol val="circle"/>
              <c:size val="6"/>
              <c:spPr>
                <a:solidFill>
                  <a:srgbClr val="006B5F"/>
                </a:solidFill>
                <a:ln w="9525">
                  <a:noFill/>
                </a:ln>
                <a:effectLst/>
              </c:spPr>
            </c:marker>
            <c:bubble3D val="0"/>
            <c:extLst>
              <c:ext xmlns:c16="http://schemas.microsoft.com/office/drawing/2014/chart" uri="{C3380CC4-5D6E-409C-BE32-E72D297353CC}">
                <c16:uniqueId val="{00000004-391C-4785-A177-6E1B66285808}"/>
              </c:ext>
            </c:extLst>
          </c:dPt>
          <c:dLbls>
            <c:dLbl>
              <c:idx val="1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1C-4785-A177-6E1B662858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popn_fut!$H$49:$W$49</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popn_fut!$H$52:$W$52</c:f>
              <c:numCache>
                <c:formatCode>#,##0</c:formatCode>
                <c:ptCount val="16"/>
                <c:pt idx="5">
                  <c:v>#N/A</c:v>
                </c:pt>
                <c:pt idx="6">
                  <c:v>#N/A</c:v>
                </c:pt>
                <c:pt idx="7">
                  <c:v>#N/A</c:v>
                </c:pt>
                <c:pt idx="8">
                  <c:v>#N/A</c:v>
                </c:pt>
                <c:pt idx="9">
                  <c:v>#N/A</c:v>
                </c:pt>
                <c:pt idx="10">
                  <c:v>#N/A</c:v>
                </c:pt>
                <c:pt idx="11">
                  <c:v>#N/A</c:v>
                </c:pt>
                <c:pt idx="12">
                  <c:v>#N/A</c:v>
                </c:pt>
                <c:pt idx="13">
                  <c:v>#N/A</c:v>
                </c:pt>
                <c:pt idx="14">
                  <c:v>#N/A</c:v>
                </c:pt>
                <c:pt idx="15">
                  <c:v>#N/A</c:v>
                </c:pt>
              </c:numCache>
            </c:numRef>
          </c:val>
          <c:smooth val="0"/>
          <c:extLst>
            <c:ext xmlns:c16="http://schemas.microsoft.com/office/drawing/2014/chart" uri="{C3380CC4-5D6E-409C-BE32-E72D297353CC}">
              <c16:uniqueId val="{00000005-391C-4785-A177-6E1B66285808}"/>
            </c:ext>
          </c:extLst>
        </c:ser>
        <c:ser>
          <c:idx val="2"/>
          <c:order val="3"/>
          <c:tx>
            <c:strRef>
              <c:f>popn_fut!$B$53</c:f>
              <c:strCache>
                <c:ptCount val="1"/>
                <c:pt idx="0">
                  <c:v>Maximum</c:v>
                </c:pt>
              </c:strCache>
            </c:strRef>
          </c:tx>
          <c:spPr>
            <a:ln w="19050" cap="rnd">
              <a:solidFill>
                <a:srgbClr val="006B5F"/>
              </a:solidFill>
              <a:prstDash val="sysDash"/>
              <a:round/>
            </a:ln>
            <a:effectLst/>
          </c:spPr>
          <c:marker>
            <c:symbol val="none"/>
          </c:marker>
          <c:dPt>
            <c:idx val="15"/>
            <c:marker>
              <c:symbol val="circle"/>
              <c:size val="6"/>
              <c:spPr>
                <a:solidFill>
                  <a:srgbClr val="006B5F"/>
                </a:solidFill>
                <a:ln w="9525">
                  <a:noFill/>
                </a:ln>
                <a:effectLst/>
              </c:spPr>
            </c:marker>
            <c:bubble3D val="0"/>
            <c:extLst>
              <c:ext xmlns:c16="http://schemas.microsoft.com/office/drawing/2014/chart" uri="{C3380CC4-5D6E-409C-BE32-E72D297353CC}">
                <c16:uniqueId val="{00000006-391C-4785-A177-6E1B66285808}"/>
              </c:ext>
            </c:extLst>
          </c:dPt>
          <c:dLbls>
            <c:dLbl>
              <c:idx val="5"/>
              <c:layout>
                <c:manualLayout>
                  <c:x val="-4.5075756679476719E-2"/>
                  <c:y val="-6.4814791187375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1C-4785-A177-6E1B66285808}"/>
                </c:ext>
              </c:extLst>
            </c:dLbl>
            <c:dLbl>
              <c:idx val="1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1C-4785-A177-6E1B662858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popn_fut!$H$49:$W$49</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popn_fut!$H$53:$W$53</c:f>
              <c:numCache>
                <c:formatCode>#,##0</c:formatCode>
                <c:ptCount val="16"/>
                <c:pt idx="5">
                  <c:v>#N/A</c:v>
                </c:pt>
                <c:pt idx="6">
                  <c:v>#N/A</c:v>
                </c:pt>
                <c:pt idx="7">
                  <c:v>#N/A</c:v>
                </c:pt>
                <c:pt idx="8">
                  <c:v>#N/A</c:v>
                </c:pt>
                <c:pt idx="9">
                  <c:v>#N/A</c:v>
                </c:pt>
                <c:pt idx="10">
                  <c:v>#N/A</c:v>
                </c:pt>
                <c:pt idx="11">
                  <c:v>#N/A</c:v>
                </c:pt>
                <c:pt idx="12">
                  <c:v>#N/A</c:v>
                </c:pt>
                <c:pt idx="13">
                  <c:v>#N/A</c:v>
                </c:pt>
                <c:pt idx="14">
                  <c:v>#N/A</c:v>
                </c:pt>
                <c:pt idx="15">
                  <c:v>#N/A</c:v>
                </c:pt>
              </c:numCache>
            </c:numRef>
          </c:val>
          <c:smooth val="0"/>
          <c:extLst>
            <c:ext xmlns:c16="http://schemas.microsoft.com/office/drawing/2014/chart" uri="{C3380CC4-5D6E-409C-BE32-E72D297353CC}">
              <c16:uniqueId val="{00000008-391C-4785-A177-6E1B66285808}"/>
            </c:ext>
          </c:extLst>
        </c:ser>
        <c:dLbls>
          <c:showLegendKey val="0"/>
          <c:showVal val="0"/>
          <c:showCatName val="0"/>
          <c:showSerName val="0"/>
          <c:showPercent val="0"/>
          <c:showBubbleSize val="0"/>
        </c:dLbls>
        <c:marker val="1"/>
        <c:smooth val="0"/>
        <c:axId val="1810162448"/>
        <c:axId val="1810148048"/>
      </c:lineChart>
      <c:catAx>
        <c:axId val="1810162448"/>
        <c:scaling>
          <c:orientation val="minMax"/>
        </c:scaling>
        <c:delete val="0"/>
        <c:axPos val="b"/>
        <c:numFmt formatCode="General" sourceLinked="1"/>
        <c:majorTickMark val="cross"/>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810148048"/>
        <c:crosses val="autoZero"/>
        <c:auto val="1"/>
        <c:lblAlgn val="ctr"/>
        <c:lblOffset val="100"/>
        <c:noMultiLvlLbl val="0"/>
      </c:catAx>
      <c:valAx>
        <c:axId val="181014804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r>
                  <a:rPr lang="en-CA"/>
                  <a:t>Total population</a:t>
                </a:r>
              </a:p>
            </c:rich>
          </c:tx>
          <c:layout>
            <c:manualLayout>
              <c:xMode val="edge"/>
              <c:yMode val="edge"/>
              <c:x val="6.4393938113538173E-3"/>
              <c:y val="0.261633033817062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810162448"/>
        <c:crosses val="autoZero"/>
        <c:crossBetween val="midCat"/>
      </c:valAx>
      <c:spPr>
        <a:noFill/>
        <a:ln>
          <a:noFill/>
        </a:ln>
        <a:effectLst/>
      </c:spPr>
    </c:plotArea>
    <c:legend>
      <c:legendPos val="b"/>
      <c:legendEntry>
        <c:idx val="0"/>
        <c:delete val="1"/>
      </c:legendEntry>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lumMod val="95000"/>
              <a:lumOff val="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8</xdr:col>
      <xdr:colOff>0</xdr:colOff>
      <xdr:row>120</xdr:row>
      <xdr:rowOff>112059</xdr:rowOff>
    </xdr:from>
    <xdr:to>
      <xdr:col>15</xdr:col>
      <xdr:colOff>17318</xdr:colOff>
      <xdr:row>132</xdr:row>
      <xdr:rowOff>112058</xdr:rowOff>
    </xdr:to>
    <xdr:graphicFrame macro="">
      <xdr:nvGraphicFramePr>
        <xdr:cNvPr id="6" name="Chart 5">
          <a:extLst>
            <a:ext uri="{FF2B5EF4-FFF2-40B4-BE49-F238E27FC236}">
              <a16:creationId xmlns:a16="http://schemas.microsoft.com/office/drawing/2014/main" id="{4C831F31-19C5-4C76-8868-9F55006C2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185</xdr:row>
      <xdr:rowOff>0</xdr:rowOff>
    </xdr:from>
    <xdr:to>
      <xdr:col>9</xdr:col>
      <xdr:colOff>13607</xdr:colOff>
      <xdr:row>196</xdr:row>
      <xdr:rowOff>177852</xdr:rowOff>
    </xdr:to>
    <xdr:graphicFrame macro="">
      <xdr:nvGraphicFramePr>
        <xdr:cNvPr id="7" name="Chart 6">
          <a:extLst>
            <a:ext uri="{FF2B5EF4-FFF2-40B4-BE49-F238E27FC236}">
              <a16:creationId xmlns:a16="http://schemas.microsoft.com/office/drawing/2014/main" id="{0DCCA707-E8AF-47B4-ABD4-E4A04DE04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189</xdr:row>
      <xdr:rowOff>0</xdr:rowOff>
    </xdr:from>
    <xdr:to>
      <xdr:col>26</xdr:col>
      <xdr:colOff>0</xdr:colOff>
      <xdr:row>200</xdr:row>
      <xdr:rowOff>195387</xdr:rowOff>
    </xdr:to>
    <xdr:graphicFrame macro="">
      <xdr:nvGraphicFramePr>
        <xdr:cNvPr id="11" name="Chart 10">
          <a:extLst>
            <a:ext uri="{FF2B5EF4-FFF2-40B4-BE49-F238E27FC236}">
              <a16:creationId xmlns:a16="http://schemas.microsoft.com/office/drawing/2014/main" id="{C58CBA2E-63BC-446A-9A16-CBDC807ED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155</xdr:row>
      <xdr:rowOff>0</xdr:rowOff>
    </xdr:from>
    <xdr:to>
      <xdr:col>9</xdr:col>
      <xdr:colOff>0</xdr:colOff>
      <xdr:row>166</xdr:row>
      <xdr:rowOff>175379</xdr:rowOff>
    </xdr:to>
    <xdr:graphicFrame macro="">
      <xdr:nvGraphicFramePr>
        <xdr:cNvPr id="12" name="Chart 11">
          <a:extLst>
            <a:ext uri="{FF2B5EF4-FFF2-40B4-BE49-F238E27FC236}">
              <a16:creationId xmlns:a16="http://schemas.microsoft.com/office/drawing/2014/main" id="{D3686E6F-F58A-49F0-B91E-F6792446B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220</xdr:row>
      <xdr:rowOff>0</xdr:rowOff>
    </xdr:from>
    <xdr:to>
      <xdr:col>9</xdr:col>
      <xdr:colOff>17318</xdr:colOff>
      <xdr:row>232</xdr:row>
      <xdr:rowOff>91408</xdr:rowOff>
    </xdr:to>
    <xdr:graphicFrame macro="">
      <xdr:nvGraphicFramePr>
        <xdr:cNvPr id="17" name="Chart 16">
          <a:extLst>
            <a:ext uri="{FF2B5EF4-FFF2-40B4-BE49-F238E27FC236}">
              <a16:creationId xmlns:a16="http://schemas.microsoft.com/office/drawing/2014/main" id="{CACCA8F2-7B91-4E88-B1A2-AB67A6081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220</xdr:row>
      <xdr:rowOff>0</xdr:rowOff>
    </xdr:from>
    <xdr:to>
      <xdr:col>26</xdr:col>
      <xdr:colOff>17318</xdr:colOff>
      <xdr:row>232</xdr:row>
      <xdr:rowOff>91408</xdr:rowOff>
    </xdr:to>
    <xdr:graphicFrame macro="">
      <xdr:nvGraphicFramePr>
        <xdr:cNvPr id="5" name="Chart 4">
          <a:extLst>
            <a:ext uri="{FF2B5EF4-FFF2-40B4-BE49-F238E27FC236}">
              <a16:creationId xmlns:a16="http://schemas.microsoft.com/office/drawing/2014/main" id="{ADBB9245-F65F-49B1-9E8D-CF386B094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0</xdr:colOff>
      <xdr:row>289</xdr:row>
      <xdr:rowOff>0</xdr:rowOff>
    </xdr:from>
    <xdr:to>
      <xdr:col>31</xdr:col>
      <xdr:colOff>396392</xdr:colOff>
      <xdr:row>299</xdr:row>
      <xdr:rowOff>88194</xdr:rowOff>
    </xdr:to>
    <xdr:graphicFrame macro="">
      <xdr:nvGraphicFramePr>
        <xdr:cNvPr id="13" name="Chart 12">
          <a:extLst>
            <a:ext uri="{FF2B5EF4-FFF2-40B4-BE49-F238E27FC236}">
              <a16:creationId xmlns:a16="http://schemas.microsoft.com/office/drawing/2014/main" id="{1A31A0BD-78A9-4F38-9EF0-A44D49EA7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360</xdr:row>
      <xdr:rowOff>0</xdr:rowOff>
    </xdr:from>
    <xdr:to>
      <xdr:col>14</xdr:col>
      <xdr:colOff>386148</xdr:colOff>
      <xdr:row>371</xdr:row>
      <xdr:rowOff>65903</xdr:rowOff>
    </xdr:to>
    <xdr:graphicFrame macro="">
      <xdr:nvGraphicFramePr>
        <xdr:cNvPr id="16" name="Chart 15">
          <a:extLst>
            <a:ext uri="{FF2B5EF4-FFF2-40B4-BE49-F238E27FC236}">
              <a16:creationId xmlns:a16="http://schemas.microsoft.com/office/drawing/2014/main" id="{BC91C557-9D07-4C56-883F-280495050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88</xdr:row>
      <xdr:rowOff>0</xdr:rowOff>
    </xdr:from>
    <xdr:to>
      <xdr:col>8</xdr:col>
      <xdr:colOff>8337</xdr:colOff>
      <xdr:row>103</xdr:row>
      <xdr:rowOff>69273</xdr:rowOff>
    </xdr:to>
    <xdr:graphicFrame macro="">
      <xdr:nvGraphicFramePr>
        <xdr:cNvPr id="3" name="Chart 2">
          <a:extLst>
            <a:ext uri="{FF2B5EF4-FFF2-40B4-BE49-F238E27FC236}">
              <a16:creationId xmlns:a16="http://schemas.microsoft.com/office/drawing/2014/main" id="{C465381C-A60A-4269-898C-7E5D19372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476</xdr:row>
      <xdr:rowOff>0</xdr:rowOff>
    </xdr:from>
    <xdr:to>
      <xdr:col>8</xdr:col>
      <xdr:colOff>8337</xdr:colOff>
      <xdr:row>491</xdr:row>
      <xdr:rowOff>69273</xdr:rowOff>
    </xdr:to>
    <xdr:graphicFrame macro="">
      <xdr:nvGraphicFramePr>
        <xdr:cNvPr id="4" name="Chart 3">
          <a:extLst>
            <a:ext uri="{FF2B5EF4-FFF2-40B4-BE49-F238E27FC236}">
              <a16:creationId xmlns:a16="http://schemas.microsoft.com/office/drawing/2014/main" id="{E12EA1B2-F044-469B-9B73-151082E7E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67</xdr:row>
      <xdr:rowOff>0</xdr:rowOff>
    </xdr:from>
    <xdr:to>
      <xdr:col>14</xdr:col>
      <xdr:colOff>22412</xdr:colOff>
      <xdr:row>77</xdr:row>
      <xdr:rowOff>134471</xdr:rowOff>
    </xdr:to>
    <xdr:graphicFrame macro="">
      <xdr:nvGraphicFramePr>
        <xdr:cNvPr id="4" name="Chart 3">
          <a:extLst>
            <a:ext uri="{FF2B5EF4-FFF2-40B4-BE49-F238E27FC236}">
              <a16:creationId xmlns:a16="http://schemas.microsoft.com/office/drawing/2014/main" id="{F5EFCB40-7FE9-4D78-9F5A-39BE973AA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127</xdr:row>
      <xdr:rowOff>0</xdr:rowOff>
    </xdr:from>
    <xdr:to>
      <xdr:col>8</xdr:col>
      <xdr:colOff>36740</xdr:colOff>
      <xdr:row>137</xdr:row>
      <xdr:rowOff>238124</xdr:rowOff>
    </xdr:to>
    <xdr:graphicFrame macro="">
      <xdr:nvGraphicFramePr>
        <xdr:cNvPr id="7" name="Chart 6">
          <a:extLst>
            <a:ext uri="{FF2B5EF4-FFF2-40B4-BE49-F238E27FC236}">
              <a16:creationId xmlns:a16="http://schemas.microsoft.com/office/drawing/2014/main" id="{D42B4EB1-44C1-4A53-B235-CBA3AB594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59</xdr:row>
      <xdr:rowOff>0</xdr:rowOff>
    </xdr:from>
    <xdr:to>
      <xdr:col>8</xdr:col>
      <xdr:colOff>33618</xdr:colOff>
      <xdr:row>70</xdr:row>
      <xdr:rowOff>31378</xdr:rowOff>
    </xdr:to>
    <xdr:graphicFrame macro="">
      <xdr:nvGraphicFramePr>
        <xdr:cNvPr id="7" name="Chart 6">
          <a:extLst>
            <a:ext uri="{FF2B5EF4-FFF2-40B4-BE49-F238E27FC236}">
              <a16:creationId xmlns:a16="http://schemas.microsoft.com/office/drawing/2014/main" id="{8A357DEB-A631-4D39-B147-01B29BD4D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DP v1">
      <a:dk1>
        <a:sysClr val="windowText" lastClr="000000"/>
      </a:dk1>
      <a:lt1>
        <a:sysClr val="window" lastClr="FFFFFF"/>
      </a:lt1>
      <a:dk2>
        <a:srgbClr val="02020B"/>
      </a:dk2>
      <a:lt2>
        <a:srgbClr val="E7E6E6"/>
      </a:lt2>
      <a:accent1>
        <a:srgbClr val="0471A6"/>
      </a:accent1>
      <a:accent2>
        <a:srgbClr val="FFC482"/>
      </a:accent2>
      <a:accent3>
        <a:srgbClr val="88D18A"/>
      </a:accent3>
      <a:accent4>
        <a:srgbClr val="7030A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B3:C9"/>
  <sheetViews>
    <sheetView tabSelected="1" workbookViewId="0"/>
  </sheetViews>
  <sheetFormatPr defaultColWidth="11" defaultRowHeight="14.25" x14ac:dyDescent="0.2"/>
  <cols>
    <col min="2" max="2" width="21.5" customWidth="1"/>
    <col min="3" max="3" width="20.75" customWidth="1"/>
  </cols>
  <sheetData>
    <row r="3" spans="2:3" ht="20.100000000000001" customHeight="1" x14ac:dyDescent="0.2">
      <c r="B3" s="1" t="s">
        <v>1392</v>
      </c>
      <c r="C3" s="2" t="e">
        <f>df_geo!B2</f>
        <v>#N/A</v>
      </c>
    </row>
    <row r="4" spans="2:3" ht="20.100000000000001" customHeight="1" x14ac:dyDescent="0.2">
      <c r="B4" s="1" t="s">
        <v>821</v>
      </c>
      <c r="C4" s="2">
        <f>df_geo!A2</f>
        <v>1000000</v>
      </c>
    </row>
    <row r="6" spans="2:3" ht="20.100000000000001" customHeight="1" x14ac:dyDescent="0.2">
      <c r="B6" s="1" t="s">
        <v>1391</v>
      </c>
      <c r="C6" s="2" t="str">
        <f>df_geo!B3</f>
        <v>Canada</v>
      </c>
    </row>
    <row r="7" spans="2:3" ht="20.100000000000001" customHeight="1" x14ac:dyDescent="0.2">
      <c r="B7" s="1" t="s">
        <v>822</v>
      </c>
      <c r="C7" s="2" t="e">
        <f>df_geo!B4</f>
        <v>#N/A</v>
      </c>
    </row>
    <row r="9" spans="2:3" ht="20.100000000000001" customHeight="1" x14ac:dyDescent="0.2">
      <c r="B9" s="1" t="s">
        <v>820</v>
      </c>
      <c r="C9" s="3">
        <f ca="1">TODAY()</f>
        <v>46154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B2:G15"/>
  <sheetViews>
    <sheetView zoomScale="85" zoomScaleNormal="85" workbookViewId="0"/>
  </sheetViews>
  <sheetFormatPr defaultColWidth="11" defaultRowHeight="14.25" x14ac:dyDescent="0.2"/>
  <cols>
    <col min="2" max="2" width="14.625" customWidth="1"/>
    <col min="3" max="3" width="80.625" customWidth="1"/>
    <col min="5" max="5" width="8.625" customWidth="1"/>
    <col min="6" max="6" width="14.625" customWidth="1"/>
    <col min="7" max="7" width="80.625" customWidth="1"/>
  </cols>
  <sheetData>
    <row r="2" spans="2:7" ht="15.75" customHeight="1" x14ac:dyDescent="0.2">
      <c r="B2" s="1208" t="s">
        <v>1343</v>
      </c>
      <c r="C2" s="1208"/>
      <c r="E2" s="1211" t="s">
        <v>1353</v>
      </c>
      <c r="F2" s="1211"/>
      <c r="G2" s="1211"/>
    </row>
    <row r="3" spans="2:7" ht="14.25" customHeight="1" x14ac:dyDescent="0.2">
      <c r="B3" s="1209" t="s">
        <v>1344</v>
      </c>
      <c r="C3" s="1209"/>
      <c r="E3" s="5" t="s">
        <v>1352</v>
      </c>
      <c r="F3" s="4">
        <v>5</v>
      </c>
      <c r="G3" s="12" t="s">
        <v>1351</v>
      </c>
    </row>
    <row r="4" spans="2:7" ht="51" customHeight="1" x14ac:dyDescent="0.2">
      <c r="B4" s="8" t="s">
        <v>1299</v>
      </c>
      <c r="C4" s="8" t="s">
        <v>1345</v>
      </c>
      <c r="E4" s="8" t="s">
        <v>1350</v>
      </c>
      <c r="F4" s="9" t="s">
        <v>1349</v>
      </c>
      <c r="G4" s="9" t="s">
        <v>1348</v>
      </c>
    </row>
    <row r="5" spans="2:7" ht="90" customHeight="1" x14ac:dyDescent="0.2">
      <c r="B5" s="6" t="s">
        <v>725</v>
      </c>
      <c r="C5" s="7" t="str">
        <f>IFERROR(SUBSTITUTE(textlib!G2&amp;" "&amp;INDEX(textlib!B2:F2,MATCH(vuln!I36,{"Low","Below average","Average","Above average","High"},0)),"[COMPARATOR]",vuln!K36),"Information unavailable")</f>
        <v>Information unavailable</v>
      </c>
      <c r="E5" s="10">
        <f>IF(1&lt;=$F$3,1,"")</f>
        <v>1</v>
      </c>
      <c r="F5" s="14" t="str">
        <f>IFERROR(IF(1&lt;=$F$3,INDEX(vuln!$G$36:$G$43,MATCH(LARGE(vuln!$M$36:$M$43,1),vuln!$M$36:$M$43,0)),""),"Information unavailable")</f>
        <v>Information unavailable</v>
      </c>
      <c r="G5" s="13" t="str">
        <f>IFERROR(IF(1&lt;=$F$3,SUBSTITUTE(INDEX(textlib!$G$2:$G$9,MATCH(LARGE(vuln!$M$36:$M$43,1),vuln!$M$36:$M$43,0))&amp;" "&amp;INDEX(textlib!$B$2:$F$9,MATCH(LARGE(vuln!$M$36:$M$43,1),vuln!$M$36:$M$43,0),MATCH(INDEX(vuln!$I$36:$I$43,MATCH(LARGE(vuln!$M$36:$M$43,1),vuln!$M$36:$M$43,0)),{"Low","Below average","Average","Above average","High"},0)),"[COMPARATOR]",INDEX(vuln!$K$36:$K$43,MATCH(LARGE(vuln!$M$36:$M$43,1),vuln!$M$36:$M$43,0))),"" ),"Information unavailable")</f>
        <v>Information unavailable</v>
      </c>
    </row>
    <row r="6" spans="2:7" ht="90" customHeight="1" x14ac:dyDescent="0.2">
      <c r="B6" s="6" t="s">
        <v>727</v>
      </c>
      <c r="C6" s="7" t="str">
        <f>IFERROR(SUBSTITUTE(textlib!G3&amp;" "&amp;INDEX(textlib!B3:F3,MATCH(vuln!I37,{"Low","Below average","Average","Above average","High"},0)),"[COMPARATOR]",vuln!K37),"Information unavailable")</f>
        <v>Information unavailable</v>
      </c>
      <c r="E6" s="10">
        <f>IF(2&lt;=$F$3,2,"")</f>
        <v>2</v>
      </c>
      <c r="F6" s="14" t="str">
        <f>IFERROR(IF(2&lt;=$F$3,INDEX(vuln!$G$36:$G$43,MATCH(LARGE(vuln!$M$36:$M$43,2),vuln!$M$36:$M$43,0)),""),"Information unavailable")</f>
        <v>Information unavailable</v>
      </c>
      <c r="G6" s="13" t="str">
        <f>IFERROR(IF(2&lt;=$F$3,SUBSTITUTE(INDEX(textlib!$G$2:$G$9,MATCH(LARGE(vuln!$M$36:$M$43,2),vuln!$M$36:$M$43,0))&amp;" "&amp;INDEX(textlib!$B$2:$F$9,MATCH(LARGE(vuln!$M$36:$M$43,2),vuln!$M$36:$M$43,0),MATCH(INDEX(vuln!$I$36:$I$43,MATCH(LARGE(vuln!$M$36:$M$43,2),vuln!$M$36:$M$43,0)),{"Low","Below average","Average","Above average","High"},0)),"[COMPARATOR]",INDEX(vuln!$K$36:$K$43,MATCH(LARGE(vuln!$M$36:$M$43,2),vuln!$M$36:$M$43,0))),"" ),"Information unavailable")</f>
        <v>Information unavailable</v>
      </c>
    </row>
    <row r="7" spans="2:7" ht="90" customHeight="1" x14ac:dyDescent="0.2">
      <c r="B7" s="6" t="s">
        <v>726</v>
      </c>
      <c r="C7" s="7" t="str">
        <f>IFERROR(SUBSTITUTE(textlib!G4&amp;" "&amp;INDEX(textlib!B4:F4,MATCH(vuln!I38,{"Low","Below average","Average","Above average","High"},0)),"[COMPARATOR]",vuln!K38),"Information unavailable")</f>
        <v>Information unavailable</v>
      </c>
      <c r="E7" s="10">
        <f>IF(3&lt;=$F$3,3,"")</f>
        <v>3</v>
      </c>
      <c r="F7" s="14" t="str">
        <f>IFERROR(IF(3&lt;=$F$3,INDEX(vuln!$G$36:$G$43,MATCH(LARGE(vuln!$M$36:$M$43,3),vuln!$M$36:$M$43,0)),""),"Information unavailable")</f>
        <v>Information unavailable</v>
      </c>
      <c r="G7" s="13" t="str">
        <f>IFERROR(IF(3&lt;=$F$3,SUBSTITUTE(INDEX(textlib!$G$2:$G$9,MATCH(LARGE(vuln!$M$36:$M$43,3),vuln!$M$36:$M$43,0))&amp;" "&amp;INDEX(textlib!$B$2:$F$9,MATCH(LARGE(vuln!$M$36:$M$43,3),vuln!$M$36:$M$43,0),MATCH(INDEX(vuln!$I$36:$I$43,MATCH(LARGE(vuln!$M$36:$M$43,3),vuln!$M$36:$M$43,0)),{"Low","Below average","Average","Above average","High"},0)),"[COMPARATOR]",INDEX(vuln!$K$36:$K$43,MATCH(LARGE(vuln!$M$36:$M$43,3),vuln!$M$36:$M$43,0))),"" ),"Information unavailable")</f>
        <v>Information unavailable</v>
      </c>
    </row>
    <row r="8" spans="2:7" ht="90" customHeight="1" x14ac:dyDescent="0.2">
      <c r="B8" s="6" t="s">
        <v>728</v>
      </c>
      <c r="C8" s="7" t="str">
        <f>IFERROR(SUBSTITUTE(textlib!G5&amp;" "&amp;INDEX(textlib!B5:F5,MATCH(vuln!I39,{"Low","Below average","Average","Above average","High"},0)),"[COMPARATOR]",vuln!K39),"Information unavailable")</f>
        <v>Information unavailable</v>
      </c>
      <c r="E8" s="11">
        <f>IF(4&lt;=$F$3,4,"")</f>
        <v>4</v>
      </c>
      <c r="F8" s="14" t="str">
        <f>IFERROR(IF(4&lt;=$F$3,INDEX(vuln!$G$36:$G$43,MATCH(LARGE(vuln!$M$36:$M$43,4),vuln!$M$36:$M$43,0)),""),"Information unavailable")</f>
        <v>Information unavailable</v>
      </c>
      <c r="G8" s="13" t="str">
        <f>IFERROR(IF(4&lt;=$F$3,SUBSTITUTE(INDEX(textlib!$G$2:$G$9,MATCH(LARGE(vuln!$M$36:$M$43,4),vuln!$M$36:$M$43,0))&amp;" "&amp;INDEX(textlib!$B$2:$F$9,MATCH(LARGE(vuln!$M$36:$M$43,4),vuln!$M$36:$M$43,0),MATCH(INDEX(vuln!$I$36:$I$43,MATCH(LARGE(vuln!$M$36:$M$43,4),vuln!$M$36:$M$43,0)),{"Low","Below average","Average","Above average","High"},0)),"[COMPARATOR]",INDEX(vuln!$K$36:$K$43,MATCH(LARGE(vuln!$M$36:$M$43,4),vuln!$M$36:$M$43,0))),"" ),"Information unavailable")</f>
        <v>Information unavailable</v>
      </c>
    </row>
    <row r="9" spans="2:7" ht="90" customHeight="1" x14ac:dyDescent="0.2">
      <c r="B9" s="6" t="s">
        <v>731</v>
      </c>
      <c r="C9" s="7" t="str">
        <f>IFERROR(SUBSTITUTE(textlib!G6&amp;" "&amp;INDEX(textlib!B6:F6,MATCH(vuln!I40,{"Low","Below average","Average","Above average","High"},0)),"[COMPARATOR]",vuln!K40),"Information unavailable")</f>
        <v>Information unavailable</v>
      </c>
      <c r="E9" s="11">
        <f>IF(5&lt;=$F$3,5,"")</f>
        <v>5</v>
      </c>
      <c r="F9" s="14" t="str">
        <f>IFERROR(IF(5&lt;=$F$3,INDEX(vuln!$G$36:$G$43,MATCH(LARGE(vuln!$M$36:$M$43,5),vuln!$M$36:$M$43,0)),""),"Information unavailable")</f>
        <v>Information unavailable</v>
      </c>
      <c r="G9" s="13" t="str">
        <f>IFERROR(IF(5&lt;=$F$3,SUBSTITUTE(INDEX(textlib!$G$2:$G$9,MATCH(LARGE(vuln!$M$36:$M$43,5),vuln!$M$36:$M$43,0))&amp;" "&amp;INDEX(textlib!$B$2:$F$9,MATCH(LARGE(vuln!$M$36:$M$43,5),vuln!$M$36:$M$43,0),MATCH(INDEX(vuln!$I$36:$I$43,MATCH(LARGE(vuln!$M$36:$M$43,5),vuln!$M$36:$M$43,0)),{"Low","Below average","Average","Above average","High"},0)),"[COMPARATOR]",INDEX(vuln!$K$36:$K$43,MATCH(LARGE(vuln!$M$36:$M$43,5),vuln!$M$36:$M$43,0))),"" ),"Information unavailable")</f>
        <v>Information unavailable</v>
      </c>
    </row>
    <row r="10" spans="2:7" ht="90" customHeight="1" x14ac:dyDescent="0.2">
      <c r="B10" s="6" t="s">
        <v>732</v>
      </c>
      <c r="C10" s="7" t="str">
        <f>IFERROR(SUBSTITUTE(textlib!G7&amp;" "&amp;INDEX(textlib!B7:F7,MATCH(vuln!I41,{"Low","Below average","Average","Above average","High"},0)),"[COMPARATOR]",vuln!K41),"Information unavailable")</f>
        <v>Information unavailable</v>
      </c>
      <c r="E10" s="11" t="str">
        <f>IF(6&lt;=$F$3,6,"")</f>
        <v/>
      </c>
      <c r="F10" s="14" t="str">
        <f>IF(6&lt;=$F$3,INDEX(vuln!$G$36:$G$43,MATCH(LARGE(vuln!$M$36:$M$43,6),vuln!$M$36:$M$43,0)),"")</f>
        <v/>
      </c>
      <c r="G10" s="13" t="str">
        <f>IFERROR(IF(6&lt;=$F$3,SUBSTITUTE(INDEX(textlib!$G$2:$G$9,MATCH(LARGE(vuln!$M$36:$M$43,6),vuln!$M$36:$M$43,0))&amp;" "&amp;INDEX(textlib!$B$2:$F$9,MATCH(LARGE(vuln!$M$36:$M$43,6),vuln!$M$36:$M$43,0),MATCH(INDEX(vuln!$I$36:$I$43,MATCH(LARGE(vuln!$M$36:$M$43,6),vuln!$M$36:$M$43,0)),{"Low","Below average","Average","Above average","High"},0)),"[COMPARATOR]",INDEX(vuln!$K$36:$K$43,MATCH(LARGE(vuln!$M$36:$M$43,6),vuln!$M$36:$M$43,0))),"" ),"Information unavailable")</f>
        <v/>
      </c>
    </row>
    <row r="11" spans="2:7" ht="90" customHeight="1" x14ac:dyDescent="0.2">
      <c r="B11" s="6" t="s">
        <v>724</v>
      </c>
      <c r="C11" s="7" t="str">
        <f>IFERROR(SUBSTITUTE(textlib!G8&amp;" "&amp;INDEX(textlib!B8:F8,MATCH(vuln!I42,{"Low","Below average","Average","Above average","High"},0)),"[COMPARATOR]",vuln!K42),"Information unavailable")</f>
        <v>Information unavailable</v>
      </c>
      <c r="E11" s="11" t="str">
        <f>IF(7&lt;=$F$3,7,"")</f>
        <v/>
      </c>
      <c r="F11" s="14" t="str">
        <f>IF(7&lt;=$F$3,INDEX(vuln!$G$36:$G$43,MATCH(LARGE(vuln!$M$36:$M$43,7),vuln!$M$36:$M$43,0)),"")</f>
        <v/>
      </c>
      <c r="G11" s="13" t="str">
        <f>IFERROR(IF(7&lt;=$F$3,SUBSTITUTE(INDEX(textlib!$G$2:$G$9,MATCH(LARGE(vuln!$M$36:$M$43,7),vuln!$M$36:$M$43,0))&amp;" "&amp;INDEX(textlib!$B$2:$F$9,MATCH(LARGE(vuln!$M$36:$M$43,7),vuln!$M$36:$M$43,0),MATCH(INDEX(vuln!$I$36:$I$43,MATCH(LARGE(vuln!$M$36:$M$43,7),vuln!$M$36:$M$43,0)),{"Low","Below average","Average","Above average","High"},0)),"[COMPARATOR]",INDEX(vuln!$K$36:$K$43,MATCH(LARGE(vuln!$M$36:$M$43,7),vuln!$M$36:$M$43,0))),"" ),"Information unavailable")</f>
        <v/>
      </c>
    </row>
    <row r="12" spans="2:7" ht="90" customHeight="1" x14ac:dyDescent="0.2">
      <c r="B12" s="6" t="s">
        <v>734</v>
      </c>
      <c r="C12" s="7" t="str">
        <f>IFERROR(SUBSTITUTE(textlib!G9&amp;" "&amp;INDEX(textlib!B9:F9,MATCH(vuln!I43,{"Low","Below average","Average","Above average","High"},0)),"[COMPARATOR]",vuln!K43),"Information unavailable")</f>
        <v>Information unavailable</v>
      </c>
      <c r="E12" s="11" t="str">
        <f>IF(8&lt;=$F$3,8,"")</f>
        <v/>
      </c>
      <c r="F12" s="14" t="str">
        <f>IF(8&lt;=$F$3,INDEX(vuln!$G$36:$G$43,MATCH(LARGE(vuln!$M$36:$M$43,8),vuln!$M$36:$M$43,0)),"")</f>
        <v/>
      </c>
      <c r="G12" s="13" t="str">
        <f>IFERROR(IF(8&lt;=$F$3,SUBSTITUTE(INDEX(textlib!$G$2:$G$9,MATCH(LARGE(vuln!$M$36:$M$43,8),vuln!$M$36:$M$43,0))&amp;" "&amp;INDEX(textlib!$B$2:$F$9,MATCH(LARGE(vuln!$M$36:$M$43,8),vuln!$M$36:$M$43,0),MATCH(INDEX(vuln!$I$36:$I$43,MATCH(LARGE(vuln!$M$36:$M$43,8),vuln!$M$36:$M$43,0)),{"Low","Below average","Average","Above average","High"},0)),"[COMPARATOR]",INDEX(vuln!$K$36:$K$43,MATCH(LARGE(vuln!$M$36:$M$43,8),vuln!$M$36:$M$43,0))),"" ),"Information unavailable")</f>
        <v/>
      </c>
    </row>
    <row r="14" spans="2:7" x14ac:dyDescent="0.2">
      <c r="B14" s="1210" t="s">
        <v>1346</v>
      </c>
      <c r="C14" s="1210"/>
      <c r="E14" s="1210" t="s">
        <v>1347</v>
      </c>
      <c r="F14" s="1210"/>
      <c r="G14" s="1210"/>
    </row>
    <row r="15" spans="2:7" ht="14.25" customHeight="1" x14ac:dyDescent="0.2"/>
  </sheetData>
  <mergeCells count="5">
    <mergeCell ref="B2:C2"/>
    <mergeCell ref="B3:C3"/>
    <mergeCell ref="B14:C14"/>
    <mergeCell ref="E2:G2"/>
    <mergeCell ref="E14:G14"/>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B4:H41"/>
  <sheetViews>
    <sheetView workbookViewId="0"/>
  </sheetViews>
  <sheetFormatPr defaultColWidth="11" defaultRowHeight="14.25" x14ac:dyDescent="0.2"/>
  <cols>
    <col min="2" max="4" width="20.625" customWidth="1"/>
    <col min="6" max="8" width="20.625" customWidth="1"/>
  </cols>
  <sheetData>
    <row r="4" spans="2:8" ht="20.100000000000001" customHeight="1" x14ac:dyDescent="0.2">
      <c r="B4" s="15" t="s">
        <v>848</v>
      </c>
      <c r="F4" s="15" t="s">
        <v>849</v>
      </c>
      <c r="H4" s="16"/>
    </row>
    <row r="5" spans="2:8" ht="26.1" customHeight="1" x14ac:dyDescent="0.25">
      <c r="B5" s="28" t="str">
        <f>IFERROR(popn_fut!$M$35,"x")</f>
        <v>x</v>
      </c>
      <c r="C5" s="27" t="str">
        <f>IFERROR(popn_now!F36,"x")</f>
        <v>x</v>
      </c>
      <c r="D5" s="26">
        <f>IFERROR(popn_now!F37,"x")</f>
        <v>0</v>
      </c>
      <c r="F5" s="17" t="str">
        <f t="array" ref="F5">IFERROR(income!$C$40,"x")</f>
        <v>x</v>
      </c>
      <c r="G5" s="18" t="str">
        <f>IFERROR(income!$C$45,"x")</f>
        <v>x</v>
      </c>
      <c r="H5" s="26" t="str">
        <f>IFERROR(econ!$C$63,"x")</f>
        <v>x</v>
      </c>
    </row>
    <row r="6" spans="2:8" ht="24" customHeight="1" x14ac:dyDescent="0.2">
      <c r="B6" s="25" t="s">
        <v>839</v>
      </c>
      <c r="C6" s="24" t="s">
        <v>840</v>
      </c>
      <c r="D6" s="25" t="s">
        <v>841</v>
      </c>
      <c r="F6" s="25" t="s">
        <v>850</v>
      </c>
      <c r="G6" s="24" t="s">
        <v>851</v>
      </c>
      <c r="H6" s="25" t="str">
        <f>"Largest employer: " &amp; econ!N38</f>
        <v xml:space="preserve">Largest employer: </v>
      </c>
    </row>
    <row r="7" spans="2:8" ht="26.1" customHeight="1" x14ac:dyDescent="0.25">
      <c r="B7" s="27" t="str">
        <f>IFERROR(popn_now!F45,"x")</f>
        <v>x</v>
      </c>
      <c r="C7" s="26" t="str">
        <f>IFERROR(popn_now!F46,"x")</f>
        <v>x</v>
      </c>
      <c r="D7" s="27" t="str">
        <f>IFERROR(popn_now!J152,"x")</f>
        <v>x</v>
      </c>
      <c r="F7" s="29">
        <f t="array" ref="F7">IFERROR(ABS(econ!J93),"x")</f>
        <v>0</v>
      </c>
      <c r="G7" s="19" t="str">
        <f>IFERROR(econ!$C$24,"x")</f>
        <v>x</v>
      </c>
      <c r="H7" s="20" t="str">
        <f>IFERROR(IF(econ!C26 = 0, "x", econ!C26),0)</f>
        <v>x</v>
      </c>
    </row>
    <row r="8" spans="2:8" ht="24" customHeight="1" x14ac:dyDescent="0.2">
      <c r="B8" s="24" t="s">
        <v>843</v>
      </c>
      <c r="C8" s="25" t="s">
        <v>842</v>
      </c>
      <c r="D8" s="24" t="s">
        <v>847</v>
      </c>
      <c r="F8" s="24" t="str">
        <f>"Net " &amp; IF(econ!J93&lt;0,"outflow","inflow") &amp; " of commuters (2021)"</f>
        <v>Net inflow of commuters (2021)</v>
      </c>
      <c r="G8" s="25" t="s">
        <v>852</v>
      </c>
      <c r="H8" s="24" t="s">
        <v>881</v>
      </c>
    </row>
    <row r="9" spans="2:8" ht="26.1" customHeight="1" x14ac:dyDescent="0.25">
      <c r="B9" s="26" t="str">
        <f>popn_now!C195</f>
        <v>x</v>
      </c>
      <c r="C9" s="27" t="str">
        <f>popn_now!C196</f>
        <v>x</v>
      </c>
      <c r="D9" s="26" t="str">
        <f>popn_now!C194</f>
        <v>x</v>
      </c>
      <c r="F9" s="26" t="str">
        <f>income!$C$142</f>
        <v>x</v>
      </c>
      <c r="G9" s="27" t="str">
        <f>IFERROR(IF(SUM(income!D99:E99) = 0, "x", SUM(income!D99:E99)),"x")</f>
        <v>x</v>
      </c>
      <c r="H9" s="26" t="str">
        <f>sales!C44</f>
        <v>x</v>
      </c>
    </row>
    <row r="10" spans="2:8" ht="24" customHeight="1" x14ac:dyDescent="0.2">
      <c r="B10" s="25" t="s">
        <v>877</v>
      </c>
      <c r="C10" s="24" t="s">
        <v>878</v>
      </c>
      <c r="D10" s="25" t="s">
        <v>879</v>
      </c>
      <c r="F10" s="25" t="s">
        <v>853</v>
      </c>
      <c r="G10" s="24" t="s">
        <v>854</v>
      </c>
      <c r="H10" s="25" t="s">
        <v>882</v>
      </c>
    </row>
    <row r="11" spans="2:8" ht="24" customHeight="1" x14ac:dyDescent="0.25">
      <c r="B11" s="29" t="str">
        <f t="array" ref="B11">IFERROR(hh!C39,"x")</f>
        <v>x</v>
      </c>
      <c r="C11" s="26" t="str">
        <f>hh!D39</f>
        <v>x</v>
      </c>
      <c r="D11" s="27" t="str">
        <f t="array" ref="D11">IF(hh!E39=0,"x",hh!E39)</f>
        <v>x</v>
      </c>
    </row>
    <row r="12" spans="2:8" ht="24" customHeight="1" x14ac:dyDescent="0.2">
      <c r="B12" s="24" t="s">
        <v>844</v>
      </c>
      <c r="C12" s="25" t="s">
        <v>845</v>
      </c>
      <c r="D12" s="24" t="s">
        <v>846</v>
      </c>
    </row>
    <row r="13" spans="2:8" ht="24" customHeight="1" x14ac:dyDescent="0.25">
      <c r="B13" s="26" t="str">
        <f>IFERROR(hh!F56,"x")</f>
        <v>x</v>
      </c>
      <c r="C13" s="27" t="str">
        <f>hh!F52</f>
        <v>x</v>
      </c>
      <c r="D13" s="28" t="str">
        <f>IF(hh!G90&gt;0,hh!G90,"x")</f>
        <v>x</v>
      </c>
    </row>
    <row r="14" spans="2:8" ht="24" customHeight="1" x14ac:dyDescent="0.2">
      <c r="B14" s="25" t="s">
        <v>883</v>
      </c>
      <c r="C14" s="24" t="s">
        <v>884</v>
      </c>
      <c r="D14" s="25" t="s">
        <v>880</v>
      </c>
    </row>
    <row r="15" spans="2:8" ht="20.100000000000001" customHeight="1" x14ac:dyDescent="0.2">
      <c r="D15" s="1"/>
    </row>
    <row r="17" spans="2:8" ht="20.100000000000001" customHeight="1" x14ac:dyDescent="0.2">
      <c r="B17" s="15" t="s">
        <v>855</v>
      </c>
      <c r="F17" s="15" t="s">
        <v>864</v>
      </c>
      <c r="H17" s="16"/>
    </row>
    <row r="18" spans="2:8" ht="26.1" customHeight="1" x14ac:dyDescent="0.25">
      <c r="B18" s="28" t="str">
        <f>IFERROR(dwell!N17,"x")</f>
        <v>x</v>
      </c>
      <c r="C18" s="27" t="str">
        <f>IFERROR(1-dwell!C50/dwell!N17,"x")</f>
        <v>x</v>
      </c>
      <c r="D18" s="26" t="str">
        <f>dwell!F103</f>
        <v>x</v>
      </c>
      <c r="F18" s="26" t="str">
        <f>need!C107</f>
        <v>x</v>
      </c>
      <c r="G18" s="27" t="str">
        <f>need!C108</f>
        <v>x</v>
      </c>
      <c r="H18" s="26" t="str">
        <f>need!C109</f>
        <v>x</v>
      </c>
    </row>
    <row r="19" spans="2:8" ht="24" customHeight="1" x14ac:dyDescent="0.2">
      <c r="B19" s="25" t="s">
        <v>856</v>
      </c>
      <c r="C19" s="24" t="s">
        <v>863</v>
      </c>
      <c r="D19" s="25" t="s">
        <v>857</v>
      </c>
      <c r="F19" s="25" t="s">
        <v>867</v>
      </c>
      <c r="G19" s="24" t="s">
        <v>865</v>
      </c>
      <c r="H19" s="25" t="s">
        <v>866</v>
      </c>
    </row>
    <row r="20" spans="2:8" ht="26.1" customHeight="1" x14ac:dyDescent="0.25">
      <c r="B20" s="29" t="str">
        <f>IFERROR(IF(AVERAGE(dwell!C17:H17) = 0, "x", AVERAGE(dwell!C17:H17)),"x")</f>
        <v>x</v>
      </c>
      <c r="C20" s="26" t="str">
        <f>IFERROR(SUM(dwell!F51:F52),"x")</f>
        <v>x</v>
      </c>
      <c r="D20" s="22">
        <f>IFERROR(SUM(dwell!C287:D287),"x")</f>
        <v>0</v>
      </c>
      <c r="F20" s="27" t="str">
        <f>need!C111</f>
        <v>x</v>
      </c>
      <c r="G20" s="26" t="str">
        <f>need!D111</f>
        <v>x</v>
      </c>
      <c r="H20" s="27" t="str">
        <f>need!E111</f>
        <v>x</v>
      </c>
    </row>
    <row r="21" spans="2:8" ht="24" customHeight="1" x14ac:dyDescent="0.2">
      <c r="B21" s="24" t="s">
        <v>858</v>
      </c>
      <c r="C21" s="25" t="s">
        <v>859</v>
      </c>
      <c r="D21" s="24" t="s">
        <v>886</v>
      </c>
      <c r="F21" s="24" t="s">
        <v>868</v>
      </c>
      <c r="G21" s="25" t="s">
        <v>869</v>
      </c>
      <c r="H21" s="24" t="s">
        <v>870</v>
      </c>
    </row>
    <row r="22" spans="2:8" ht="26.1" customHeight="1" x14ac:dyDescent="0.25">
      <c r="B22" s="21" t="str">
        <f>rental!C34</f>
        <v>x</v>
      </c>
      <c r="C22" s="20" t="str">
        <f>IF(rental!D34="x",rental!F34,rental!D34)</f>
        <v>x</v>
      </c>
      <c r="D22" s="26" t="str">
        <f>dwell!C181</f>
        <v>x</v>
      </c>
      <c r="F22" s="26" t="str">
        <f>IFERROR(need!E199/need!D199,"x")</f>
        <v>x</v>
      </c>
      <c r="G22" s="27" t="str">
        <f>IFERROR(SUM(need!D200:D201)/need!D199,"x")</f>
        <v>x</v>
      </c>
      <c r="H22" s="26" t="str">
        <f>need!C112</f>
        <v>x</v>
      </c>
    </row>
    <row r="23" spans="2:8" ht="24" customHeight="1" x14ac:dyDescent="0.2">
      <c r="B23" s="25" t="s">
        <v>861</v>
      </c>
      <c r="C23" s="24" t="str">
        <f xml:space="preserve"> IF(rental!D34="x","Provincial","Local") &amp; " rental vacancy rate"</f>
        <v>Provincial rental vacancy rate</v>
      </c>
      <c r="D23" s="25" t="s">
        <v>860</v>
      </c>
      <c r="F23" s="25" t="s">
        <v>891</v>
      </c>
      <c r="G23" s="24" t="s">
        <v>890</v>
      </c>
      <c r="H23" s="25" t="s">
        <v>889</v>
      </c>
    </row>
    <row r="24" spans="2:8" ht="26.1" customHeight="1" x14ac:dyDescent="0.25">
      <c r="B24" s="29" t="str">
        <f>IFERROR(IF(dwell!H189 = 0, "x", dwell!H189),"x")</f>
        <v>x</v>
      </c>
      <c r="C24" s="26" t="str">
        <f>sales!D34</f>
        <v>x</v>
      </c>
      <c r="D24" s="29" t="str">
        <f>IFERROR(dwell!D256,"x")</f>
        <v>x</v>
      </c>
    </row>
    <row r="25" spans="2:8" ht="24" customHeight="1" x14ac:dyDescent="0.2">
      <c r="B25" s="24" t="s">
        <v>888</v>
      </c>
      <c r="C25" s="25" t="s">
        <v>862</v>
      </c>
      <c r="D25" s="24" t="s">
        <v>885</v>
      </c>
    </row>
    <row r="26" spans="2:8" ht="26.1" customHeight="1" x14ac:dyDescent="0.25">
      <c r="B26" s="26" t="str">
        <f>dwell!C145</f>
        <v>x</v>
      </c>
      <c r="C26" s="29">
        <f>SUM(dwell!C374:D374)</f>
        <v>0</v>
      </c>
      <c r="D26" s="28">
        <f>SUM(dwell!C377:D377)</f>
        <v>0</v>
      </c>
    </row>
    <row r="27" spans="2:8" ht="24" customHeight="1" x14ac:dyDescent="0.2">
      <c r="B27" s="25" t="s">
        <v>887</v>
      </c>
      <c r="C27" s="24" t="s">
        <v>1387</v>
      </c>
      <c r="D27" s="25" t="s">
        <v>1388</v>
      </c>
    </row>
    <row r="29" spans="2:8" ht="26.1" customHeight="1" x14ac:dyDescent="0.2"/>
    <row r="30" spans="2:8" ht="24" customHeight="1" x14ac:dyDescent="0.2">
      <c r="B30" s="15" t="s">
        <v>893</v>
      </c>
    </row>
    <row r="31" spans="2:8" ht="26.1" customHeight="1" x14ac:dyDescent="0.25">
      <c r="B31" s="28" t="str">
        <f>IFERROR(popn_fut!D81,"x")</f>
        <v>x</v>
      </c>
      <c r="C31" s="27">
        <f>IFERROR(popn_fut!S81,"x")</f>
        <v>0</v>
      </c>
      <c r="D31" s="26">
        <f>IFERROR(popn_fut!S82,"x")</f>
        <v>0</v>
      </c>
    </row>
    <row r="32" spans="2:8" ht="24" customHeight="1" x14ac:dyDescent="0.2">
      <c r="B32" s="25" t="s">
        <v>871</v>
      </c>
      <c r="C32" s="24" t="s">
        <v>872</v>
      </c>
      <c r="D32" s="25" t="s">
        <v>873</v>
      </c>
    </row>
    <row r="33" spans="2:4" ht="26.1" customHeight="1" x14ac:dyDescent="0.25">
      <c r="B33" s="27" t="str">
        <f>IFERROR(popn_fut!S90,"x")</f>
        <v>x</v>
      </c>
      <c r="C33" s="26" t="str">
        <f>IFERROR(popn_fut!S91,"x")</f>
        <v>x</v>
      </c>
      <c r="D33" s="29" t="str">
        <f>IFERROR(projection!D72,"x")</f>
        <v>x</v>
      </c>
    </row>
    <row r="34" spans="2:4" ht="24" customHeight="1" x14ac:dyDescent="0.2">
      <c r="B34" s="24" t="s">
        <v>843</v>
      </c>
      <c r="C34" s="25" t="s">
        <v>842</v>
      </c>
      <c r="D34" s="24" t="s">
        <v>874</v>
      </c>
    </row>
    <row r="35" spans="2:4" ht="26.1" customHeight="1" x14ac:dyDescent="0.25">
      <c r="B35" s="28" t="str">
        <f>IFERROR(projection!E354,"x")</f>
        <v>x</v>
      </c>
      <c r="C35" s="27" t="str">
        <f>IFERROR(1-projection!E362/projection!E365,"x")</f>
        <v>x</v>
      </c>
      <c r="D35" s="26" t="str">
        <f t="array" ref="D35">IFERROR(SUM(projection!G273:G277)/SUM(projection!C273:C277),"x")</f>
        <v>x</v>
      </c>
    </row>
    <row r="36" spans="2:4" ht="24" customHeight="1" x14ac:dyDescent="0.2">
      <c r="B36" s="25" t="s">
        <v>875</v>
      </c>
      <c r="C36" s="24" t="s">
        <v>876</v>
      </c>
      <c r="D36" s="23" t="s">
        <v>892</v>
      </c>
    </row>
    <row r="37" spans="2:4" ht="26.1" customHeight="1" x14ac:dyDescent="0.25">
      <c r="B37" s="29" t="str">
        <f>IFERROR(ABS(projection!E460),"x")</f>
        <v>x</v>
      </c>
      <c r="C37" s="28">
        <f>MAX(projection!D529,projection!D528)</f>
        <v>0</v>
      </c>
      <c r="D37" s="1"/>
    </row>
    <row r="38" spans="2:4" ht="24" customHeight="1" x14ac:dyDescent="0.2">
      <c r="B38" s="24" t="str">
        <f>"Potential "&amp; IF(projection!E460&lt;0,"outflow","inflow") &amp; " of unit demand from employment pressures (2025)"</f>
        <v>Potential inflow of unit demand from employment pressures (2025)</v>
      </c>
      <c r="C38" s="25" t="s">
        <v>1093</v>
      </c>
      <c r="D38" s="1"/>
    </row>
    <row r="39" spans="2:4" ht="24" customHeight="1" x14ac:dyDescent="0.2"/>
    <row r="40" spans="2:4" ht="26.1" customHeight="1" x14ac:dyDescent="0.2"/>
    <row r="41" spans="2:4" ht="24" customHeight="1" x14ac:dyDescent="0.2"/>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S530"/>
  <sheetViews>
    <sheetView zoomScale="70" zoomScaleNormal="70" workbookViewId="0">
      <pane ySplit="3" topLeftCell="A4" activePane="bottomLeft" state="frozen"/>
      <selection pane="bottomLeft" activeCell="A4" sqref="A4"/>
    </sheetView>
  </sheetViews>
  <sheetFormatPr defaultColWidth="11" defaultRowHeight="14.25" x14ac:dyDescent="0.2"/>
  <cols>
    <col min="2" max="2" width="16.125" customWidth="1"/>
    <col min="15" max="15" width="9" customWidth="1"/>
  </cols>
  <sheetData>
    <row r="1" spans="1:42" ht="20.100000000000001" customHeight="1" x14ac:dyDescent="0.2">
      <c r="A1" s="2" t="s">
        <v>181</v>
      </c>
      <c r="B1" s="2" t="s">
        <v>182</v>
      </c>
      <c r="C1" s="2" t="s">
        <v>183</v>
      </c>
      <c r="D1" s="186" t="s">
        <v>7</v>
      </c>
    </row>
    <row r="2" spans="1:42" ht="20.100000000000001" customHeight="1" x14ac:dyDescent="0.2">
      <c r="A2" s="2">
        <f>df_geo!A2</f>
        <v>1000000</v>
      </c>
      <c r="B2" s="99">
        <f>_xlfn.NUMBERVALUE(LEFT(A2,4))</f>
        <v>1000</v>
      </c>
      <c r="C2" s="2">
        <f>_xlfn.NUMBERVALUE(LEFT(B2,2))</f>
        <v>10</v>
      </c>
      <c r="D2" s="186" t="e">
        <f>popn_fut!D2</f>
        <v>#N/A</v>
      </c>
      <c r="E2" s="239"/>
    </row>
    <row r="5" spans="1:42" ht="50.1" customHeight="1" x14ac:dyDescent="0.2">
      <c r="B5" s="159" t="s">
        <v>14</v>
      </c>
      <c r="C5" s="59"/>
      <c r="D5" s="59"/>
      <c r="E5" s="59"/>
      <c r="F5" s="59"/>
      <c r="G5" s="59"/>
      <c r="H5" s="59"/>
      <c r="I5" s="59"/>
      <c r="J5" s="59"/>
      <c r="K5" s="59"/>
      <c r="L5" s="59"/>
      <c r="M5" s="59"/>
      <c r="N5" s="59"/>
      <c r="O5" s="59"/>
      <c r="P5" s="59"/>
      <c r="Q5" s="59"/>
      <c r="R5" s="59"/>
      <c r="S5" s="59"/>
      <c r="T5" s="59"/>
      <c r="U5" s="59"/>
      <c r="V5" s="59"/>
      <c r="W5" s="59"/>
      <c r="X5" s="59"/>
      <c r="Y5" s="59"/>
      <c r="Z5" s="59"/>
      <c r="AA5" s="59"/>
      <c r="AB5" s="59"/>
      <c r="AC5" s="351"/>
      <c r="AD5" s="351"/>
      <c r="AE5" s="351"/>
      <c r="AF5" s="351"/>
      <c r="AG5" s="351"/>
      <c r="AH5" s="351"/>
    </row>
    <row r="7" spans="1:42" ht="30" customHeight="1" x14ac:dyDescent="0.2">
      <c r="B7" s="175" t="s">
        <v>376</v>
      </c>
      <c r="C7" s="310"/>
      <c r="D7" s="310"/>
      <c r="E7" s="310"/>
      <c r="F7" s="310"/>
      <c r="G7" s="310"/>
      <c r="H7" s="310"/>
      <c r="I7" s="310"/>
      <c r="J7" s="310"/>
      <c r="K7" s="310"/>
      <c r="L7" s="310"/>
      <c r="M7" s="310"/>
      <c r="N7" s="310"/>
      <c r="O7" s="310"/>
      <c r="P7" s="310"/>
      <c r="Q7" s="310"/>
      <c r="R7" s="310"/>
      <c r="S7" s="310"/>
      <c r="T7" s="310"/>
      <c r="U7" s="310"/>
      <c r="V7" s="310"/>
      <c r="W7" s="310"/>
      <c r="X7" s="310"/>
      <c r="Y7" s="310"/>
      <c r="Z7" s="310"/>
      <c r="AA7" s="310"/>
      <c r="AB7" s="310"/>
      <c r="AC7" s="310"/>
      <c r="AD7" s="310"/>
      <c r="AE7" s="310"/>
      <c r="AF7" s="310"/>
      <c r="AG7" s="310"/>
      <c r="AH7" s="310"/>
    </row>
    <row r="8" spans="1:42" ht="20.100000000000001" customHeight="1" x14ac:dyDescent="0.2">
      <c r="B8" s="77"/>
      <c r="C8" s="194">
        <v>2015</v>
      </c>
      <c r="D8" s="194">
        <v>2016</v>
      </c>
      <c r="E8" s="194">
        <v>2017</v>
      </c>
      <c r="F8" s="194">
        <v>2018</v>
      </c>
      <c r="G8" s="194">
        <v>2019</v>
      </c>
      <c r="H8" s="194">
        <v>2020</v>
      </c>
      <c r="I8" s="194">
        <v>2021</v>
      </c>
      <c r="J8" s="194">
        <v>2022</v>
      </c>
      <c r="K8" s="194">
        <v>2023</v>
      </c>
      <c r="L8" s="194">
        <v>2024</v>
      </c>
      <c r="M8" s="194">
        <v>2025</v>
      </c>
      <c r="N8" s="194">
        <v>2026</v>
      </c>
      <c r="O8" s="194">
        <v>2027</v>
      </c>
      <c r="P8" s="194">
        <v>2028</v>
      </c>
      <c r="Q8" s="194">
        <v>2029</v>
      </c>
      <c r="R8" s="194">
        <v>2030</v>
      </c>
      <c r="S8" s="194">
        <v>2031</v>
      </c>
      <c r="T8" s="194">
        <v>2032</v>
      </c>
      <c r="U8" s="194">
        <v>2033</v>
      </c>
      <c r="V8" s="194">
        <v>2034</v>
      </c>
      <c r="W8" s="194">
        <v>2035</v>
      </c>
      <c r="X8" s="194">
        <v>2036</v>
      </c>
      <c r="Y8" s="194">
        <v>2037</v>
      </c>
      <c r="Z8" s="194">
        <v>2038</v>
      </c>
      <c r="AA8" s="194">
        <v>2039</v>
      </c>
      <c r="AB8" s="194">
        <v>2040</v>
      </c>
      <c r="AC8" s="194">
        <v>2041</v>
      </c>
      <c r="AD8" s="194">
        <v>2042</v>
      </c>
      <c r="AE8" s="194">
        <v>2043</v>
      </c>
      <c r="AF8" s="194">
        <v>2044</v>
      </c>
      <c r="AG8" s="194">
        <v>2045</v>
      </c>
      <c r="AH8" s="194">
        <v>2046</v>
      </c>
      <c r="AI8" s="194">
        <v>2047</v>
      </c>
      <c r="AJ8" s="194">
        <v>2048</v>
      </c>
      <c r="AK8" s="194">
        <v>2049</v>
      </c>
      <c r="AL8" s="250">
        <v>2050</v>
      </c>
    </row>
    <row r="9" spans="1:42" ht="20.100000000000001" customHeight="1" x14ac:dyDescent="0.2">
      <c r="B9" s="208" t="s">
        <v>6</v>
      </c>
      <c r="C9" s="366" t="e">
        <f t="array" ref="C9">INDEX(df_est_csd!$C$2:$BA$10, MATCH($A$2, df_est_csd!$B$2:$B$10, 0), MATCH(TEXT(C$8, "####"),  df_est_csd!$C$1:$BA$1, 0))</f>
        <v>#N/A</v>
      </c>
      <c r="D9" s="366" t="e">
        <f t="array" ref="D9">INDEX(df_est_csd!$C$2:$BA$10, MATCH($A$2, df_est_csd!$B$2:$B$10, 0), MATCH(TEXT(D$8, "####"),  df_est_csd!$C$1:$BA$1, 0))</f>
        <v>#N/A</v>
      </c>
      <c r="E9" s="366" t="e">
        <f t="array" ref="E9">INDEX(df_est_csd!$C$2:$BA$10, MATCH($A$2, df_est_csd!$B$2:$B$10, 0), MATCH(TEXT(E$8, "####"),  df_est_csd!$C$1:$BA$1, 0))</f>
        <v>#N/A</v>
      </c>
      <c r="F9" s="366" t="e">
        <f t="array" ref="F9">INDEX(df_est_csd!$C$2:$BA$10, MATCH($A$2, df_est_csd!$B$2:$B$10, 0), MATCH(TEXT(F$8, "####"),  df_est_csd!$C$1:$BA$1, 0))</f>
        <v>#N/A</v>
      </c>
      <c r="G9" s="366" t="e">
        <f t="array" ref="G9">INDEX(df_est_csd!$C$2:$BA$10, MATCH($A$2, df_est_csd!$B$2:$B$10, 0), MATCH(TEXT(G$8, "####"),  df_est_csd!$C$1:$BA$1, 0))</f>
        <v>#N/A</v>
      </c>
      <c r="H9" s="366" t="e">
        <f t="array" ref="H9">INDEX(df_est_csd!$C$2:$BA$10, MATCH($A$2, df_est_csd!$B$2:$B$10, 0), MATCH(TEXT(H$8, "####"),  df_est_csd!$C$1:$BA$1, 0))</f>
        <v>#N/A</v>
      </c>
      <c r="I9" s="366" t="e">
        <f t="array" ref="I9">INDEX(df_est_csd!$C$2:$BA$10, MATCH($A$2, df_est_csd!$B$2:$B$10, 0), MATCH(TEXT(I$8, "####"),  df_est_csd!$C$1:$BA$1, 0))</f>
        <v>#N/A</v>
      </c>
      <c r="J9" s="366" t="e">
        <f t="array" ref="J9">INDEX(df_est_csd!$C$2:$BA$10, MATCH($A$2, df_est_csd!$B$2:$B$10, 0), MATCH(TEXT(J$8, "####"),  df_est_csd!$C$1:$BA$1, 0))</f>
        <v>#N/A</v>
      </c>
      <c r="K9" s="366" t="e">
        <f t="array" ref="K9">INDEX(df_est_csd!$C$2:$BA$10, MATCH($A$2, df_est_csd!$B$2:$B$10, 0), MATCH(TEXT(K$8, "####"),  df_est_csd!$C$1:$BA$1, 0))</f>
        <v>#N/A</v>
      </c>
      <c r="L9" s="366" t="e">
        <f t="array" ref="L9">INDEX(df_est_csd!$C$2:$BA$10, MATCH($A$2, df_est_csd!$B$2:$B$10, 0), MATCH(TEXT(L$8, "####"),  df_est_csd!$C$1:$BA$1, 0))</f>
        <v>#N/A</v>
      </c>
      <c r="M9" s="366" t="e">
        <f t="array" ref="M9">INDEX(df_est_csd!$C$2:$BA$10, MATCH($A$2, df_est_csd!$B$2:$B$10, 0), MATCH(TEXT(M$8, "####"),  df_est_csd!$C$1:$BA$1, 0))</f>
        <v>#N/A</v>
      </c>
      <c r="N9" s="366" t="e">
        <f t="array" ref="N9">IFERROR(MROUND(INDEX(df_proj!$E$2:$AD$1000, MATCH(1, ($A$2 = df_proj!$A$2:$A$1000) * (df_proj!$B$2:$B$1000 = $B9) * (df_proj!$C$2:$C$1000 = $D$2), 0), MATCH(TEXT(N$8, "####"), df_proj!$E$1:$AD$1,0)),5),MROUND(INDEX(df_proj!$E$2:$AD$1000, MATCH(1, ($B$2 = df_proj!$A$2:$A$1000) * (df_proj!$B$2:$B$1000 = $B9) * (df_proj!$C$2:$C$1000 = $D$2), 0), MATCH(TEXT(N$8, "####"), df_proj!$E$1:$AD$1,0)) * popn_fut!$C81/popn_fut!$E81,5))</f>
        <v>#N/A</v>
      </c>
      <c r="O9" s="366" t="e">
        <f t="array" ref="O9">IFERROR(MROUND(INDEX(df_proj!$E$2:$AD$1000, MATCH(1, ($A$2 = df_proj!$A$2:$A$1000) * (df_proj!$B$2:$B$1000 = $B9) * (df_proj!$C$2:$C$1000 = $D$2), 0), MATCH(TEXT(O$8, "####"), df_proj!$E$1:$AD$1,0)),5),MROUND(INDEX(df_proj!$E$2:$AD$1000, MATCH(1, ($B$2 = df_proj!$A$2:$A$1000) * (df_proj!$B$2:$B$1000 = $B9) * (df_proj!$C$2:$C$1000 = $D$2), 0), MATCH(TEXT(O$8, "####"), df_proj!$E$1:$AD$1,0)) * popn_fut!$C81/popn_fut!$E81,5))</f>
        <v>#N/A</v>
      </c>
      <c r="P9" s="366" t="e">
        <f t="array" ref="P9">IFERROR(MROUND(INDEX(df_proj!$E$2:$AD$1000, MATCH(1, ($A$2 = df_proj!$A$2:$A$1000) * (df_proj!$B$2:$B$1000 = $B9) * (df_proj!$C$2:$C$1000 = $D$2), 0), MATCH(TEXT(P$8, "####"), df_proj!$E$1:$AD$1,0)),5),MROUND(INDEX(df_proj!$E$2:$AD$1000, MATCH(1, ($B$2 = df_proj!$A$2:$A$1000) * (df_proj!$B$2:$B$1000 = $B9) * (df_proj!$C$2:$C$1000 = $D$2), 0), MATCH(TEXT(P$8, "####"), df_proj!$E$1:$AD$1,0)) * popn_fut!$C81/popn_fut!$E81,5))</f>
        <v>#N/A</v>
      </c>
      <c r="Q9" s="366" t="e">
        <f t="array" ref="Q9">IFERROR(MROUND(INDEX(df_proj!$E$2:$AD$1000, MATCH(1, ($A$2 = df_proj!$A$2:$A$1000) * (df_proj!$B$2:$B$1000 = $B9) * (df_proj!$C$2:$C$1000 = $D$2), 0), MATCH(TEXT(Q$8, "####"), df_proj!$E$1:$AD$1,0)),5),MROUND(INDEX(df_proj!$E$2:$AD$1000, MATCH(1, ($B$2 = df_proj!$A$2:$A$1000) * (df_proj!$B$2:$B$1000 = $B9) * (df_proj!$C$2:$C$1000 = $D$2), 0), MATCH(TEXT(Q$8, "####"), df_proj!$E$1:$AD$1,0)) * popn_fut!$C81/popn_fut!$E81,5))</f>
        <v>#N/A</v>
      </c>
      <c r="R9" s="366" t="e">
        <f t="array" ref="R9">IFERROR(MROUND(INDEX(df_proj!$E$2:$AD$1000, MATCH(1, ($A$2 = df_proj!$A$2:$A$1000) * (df_proj!$B$2:$B$1000 = $B9) * (df_proj!$C$2:$C$1000 = $D$2), 0), MATCH(TEXT(R$8, "####"), df_proj!$E$1:$AD$1,0)),5),MROUND(INDEX(df_proj!$E$2:$AD$1000, MATCH(1, ($B$2 = df_proj!$A$2:$A$1000) * (df_proj!$B$2:$B$1000 = $B9) * (df_proj!$C$2:$C$1000 = $D$2), 0), MATCH(TEXT(R$8, "####"), df_proj!$E$1:$AD$1,0)) * popn_fut!$C81/popn_fut!$E81,5))</f>
        <v>#N/A</v>
      </c>
      <c r="S9" s="366" t="e">
        <f t="array" ref="S9">IFERROR(MROUND(INDEX(df_proj!$E$2:$AD$1000, MATCH(1, ($A$2 = df_proj!$A$2:$A$1000) * (df_proj!$B$2:$B$1000 = $B9) * (df_proj!$C$2:$C$1000 = $D$2), 0), MATCH(TEXT(S$8, "####"), df_proj!$E$1:$AD$1,0)),5),MROUND(INDEX(df_proj!$E$2:$AD$1000, MATCH(1, ($B$2 = df_proj!$A$2:$A$1000) * (df_proj!$B$2:$B$1000 = $B9) * (df_proj!$C$2:$C$1000 = $D$2), 0), MATCH(TEXT(S$8, "####"), df_proj!$E$1:$AD$1,0)) * popn_fut!$C81/popn_fut!$E81,5))</f>
        <v>#N/A</v>
      </c>
      <c r="T9" s="366" t="e">
        <f t="array" ref="T9">IFERROR(MROUND(INDEX(df_proj!$E$2:$AD$1000, MATCH(1, ($A$2 = df_proj!$A$2:$A$1000) * (df_proj!$B$2:$B$1000 = $B9) * (df_proj!$C$2:$C$1000 = $D$2), 0), MATCH(TEXT(T$8, "####"), df_proj!$E$1:$AD$1,0)),5),MROUND(INDEX(df_proj!$E$2:$AD$1000, MATCH(1, ($B$2 = df_proj!$A$2:$A$1000) * (df_proj!$B$2:$B$1000 = $B9) * (df_proj!$C$2:$C$1000 = $D$2), 0), MATCH(TEXT(T$8, "####"), df_proj!$E$1:$AD$1,0)) * popn_fut!$C81/popn_fut!$E81,5))</f>
        <v>#N/A</v>
      </c>
      <c r="U9" s="366" t="e">
        <f t="array" ref="U9">IFERROR(MROUND(INDEX(df_proj!$E$2:$AD$1000, MATCH(1, ($A$2 = df_proj!$A$2:$A$1000) * (df_proj!$B$2:$B$1000 = $B9) * (df_proj!$C$2:$C$1000 = $D$2), 0), MATCH(TEXT(U$8, "####"), df_proj!$E$1:$AD$1,0)),5),MROUND(INDEX(df_proj!$E$2:$AD$1000, MATCH(1, ($B$2 = df_proj!$A$2:$A$1000) * (df_proj!$B$2:$B$1000 = $B9) * (df_proj!$C$2:$C$1000 = $D$2), 0), MATCH(TEXT(U$8, "####"), df_proj!$E$1:$AD$1,0)) * popn_fut!$C81/popn_fut!$E81,5))</f>
        <v>#N/A</v>
      </c>
      <c r="V9" s="366" t="e">
        <f t="array" ref="V9">IFERROR(MROUND(INDEX(df_proj!$E$2:$AD$1000, MATCH(1, ($A$2 = df_proj!$A$2:$A$1000) * (df_proj!$B$2:$B$1000 = $B9) * (df_proj!$C$2:$C$1000 = $D$2), 0), MATCH(TEXT(V$8, "####"), df_proj!$E$1:$AD$1,0)),5),MROUND(INDEX(df_proj!$E$2:$AD$1000, MATCH(1, ($B$2 = df_proj!$A$2:$A$1000) * (df_proj!$B$2:$B$1000 = $B9) * (df_proj!$C$2:$C$1000 = $D$2), 0), MATCH(TEXT(V$8, "####"), df_proj!$E$1:$AD$1,0)) * popn_fut!$C81/popn_fut!$E81,5))</f>
        <v>#N/A</v>
      </c>
      <c r="W9" s="366" t="e">
        <f t="array" ref="W9">IFERROR(MROUND(INDEX(df_proj!$E$2:$AD$1000, MATCH(1, ($A$2 = df_proj!$A$2:$A$1000) * (df_proj!$B$2:$B$1000 = $B9) * (df_proj!$C$2:$C$1000 = $D$2), 0), MATCH(TEXT(W$8, "####"), df_proj!$E$1:$AD$1,0)),5),MROUND(INDEX(df_proj!$E$2:$AD$1000, MATCH(1, ($B$2 = df_proj!$A$2:$A$1000) * (df_proj!$B$2:$B$1000 = $B9) * (df_proj!$C$2:$C$1000 = $D$2), 0), MATCH(TEXT(W$8, "####"), df_proj!$E$1:$AD$1,0)) * popn_fut!$C81/popn_fut!$E81,5))</f>
        <v>#N/A</v>
      </c>
      <c r="X9" s="366" t="e">
        <f t="array" ref="X9">IFERROR(MROUND(INDEX(df_proj!$E$2:$AD$1000, MATCH(1, ($A$2 = df_proj!$A$2:$A$1000) * (df_proj!$B$2:$B$1000 = $B9) * (df_proj!$C$2:$C$1000 = $D$2), 0), MATCH(TEXT(X$8, "####"), df_proj!$E$1:$AD$1,0)),5),MROUND(INDEX(df_proj!$E$2:$AD$1000, MATCH(1, ($B$2 = df_proj!$A$2:$A$1000) * (df_proj!$B$2:$B$1000 = $B9) * (df_proj!$C$2:$C$1000 = $D$2), 0), MATCH(TEXT(X$8, "####"), df_proj!$E$1:$AD$1,0)) * popn_fut!$C81/popn_fut!$E81,5))</f>
        <v>#N/A</v>
      </c>
      <c r="Y9" s="366" t="e">
        <f t="array" ref="Y9">IFERROR(MROUND(INDEX(df_proj!$E$2:$AD$1000, MATCH(1, ($A$2 = df_proj!$A$2:$A$1000) * (df_proj!$B$2:$B$1000 = $B9) * (df_proj!$C$2:$C$1000 = $D$2), 0), MATCH(TEXT(Y$8, "####"), df_proj!$E$1:$AD$1,0)),5),MROUND(INDEX(df_proj!$E$2:$AD$1000, MATCH(1, ($B$2 = df_proj!$A$2:$A$1000) * (df_proj!$B$2:$B$1000 = $B9) * (df_proj!$C$2:$C$1000 = $D$2), 0), MATCH(TEXT(Y$8, "####"), df_proj!$E$1:$AD$1,0)) * popn_fut!$C81/popn_fut!$E81,5))</f>
        <v>#N/A</v>
      </c>
      <c r="Z9" s="366" t="e">
        <f t="array" ref="Z9">IFERROR(MROUND(INDEX(df_proj!$E$2:$AD$1000, MATCH(1, ($A$2 = df_proj!$A$2:$A$1000) * (df_proj!$B$2:$B$1000 = $B9) * (df_proj!$C$2:$C$1000 = $D$2), 0), MATCH(TEXT(Z$8, "####"), df_proj!$E$1:$AD$1,0)),5),MROUND(INDEX(df_proj!$E$2:$AD$1000, MATCH(1, ($B$2 = df_proj!$A$2:$A$1000) * (df_proj!$B$2:$B$1000 = $B9) * (df_proj!$C$2:$C$1000 = $D$2), 0), MATCH(TEXT(Z$8, "####"), df_proj!$E$1:$AD$1,0)) * popn_fut!$C81/popn_fut!$E81,5))</f>
        <v>#N/A</v>
      </c>
      <c r="AA9" s="366" t="e">
        <f t="array" ref="AA9">IFERROR(MROUND(INDEX(df_proj!$E$2:$AD$1000, MATCH(1, ($A$2 = df_proj!$A$2:$A$1000) * (df_proj!$B$2:$B$1000 = $B9) * (df_proj!$C$2:$C$1000 = $D$2), 0), MATCH(TEXT(AA$8, "####"), df_proj!$E$1:$AD$1,0)),5),MROUND(INDEX(df_proj!$E$2:$AD$1000, MATCH(1, ($B$2 = df_proj!$A$2:$A$1000) * (df_proj!$B$2:$B$1000 = $B9) * (df_proj!$C$2:$C$1000 = $D$2), 0), MATCH(TEXT(AA$8, "####"), df_proj!$E$1:$AD$1,0)) * popn_fut!$C81/popn_fut!$E81,5))</f>
        <v>#N/A</v>
      </c>
      <c r="AB9" s="366" t="e">
        <f t="array" ref="AB9">IFERROR(MROUND(INDEX(df_proj!$E$2:$AD$1000, MATCH(1, ($A$2 = df_proj!$A$2:$A$1000) * (df_proj!$B$2:$B$1000 = $B9) * (df_proj!$C$2:$C$1000 = $D$2), 0), MATCH(TEXT(AB$8, "####"), df_proj!$E$1:$AD$1,0)),5),MROUND(INDEX(df_proj!$E$2:$AD$1000, MATCH(1, ($B$2 = df_proj!$A$2:$A$1000) * (df_proj!$B$2:$B$1000 = $B9) * (df_proj!$C$2:$C$1000 = $D$2), 0), MATCH(TEXT(AB$8, "####"), df_proj!$E$1:$AD$1,0)) * popn_fut!$C81/popn_fut!$E81,5))</f>
        <v>#N/A</v>
      </c>
      <c r="AC9" s="366" t="e">
        <f t="array" ref="AC9">IFERROR(MROUND(INDEX(df_proj!$E$2:$AD$1000, MATCH(1, ($A$2 = df_proj!$A$2:$A$1000) * (df_proj!$B$2:$B$1000 = $B9) * (df_proj!$C$2:$C$1000 = $D$2), 0), MATCH(TEXT(AC$8, "####"), df_proj!$E$1:$AD$1,0)),5),MROUND(INDEX(df_proj!$E$2:$AD$1000, MATCH(1, ($B$2 = df_proj!$A$2:$A$1000) * (df_proj!$B$2:$B$1000 = $B9) * (df_proj!$C$2:$C$1000 = $D$2), 0), MATCH(TEXT(AC$8, "####"), df_proj!$E$1:$AD$1,0)) * popn_fut!$C81/popn_fut!$E81,5))</f>
        <v>#N/A</v>
      </c>
      <c r="AD9" s="366" t="e">
        <f t="array" ref="AD9">IFERROR(MROUND(INDEX(df_proj!$E$2:$AD$1000, MATCH(1, ($A$2 = df_proj!$A$2:$A$1000) * (df_proj!$B$2:$B$1000 = $B9) * (df_proj!$C$2:$C$1000 = $D$2), 0), MATCH(TEXT(AD$8, "####"), df_proj!$E$1:$AD$1,0)),5),MROUND(INDEX(df_proj!$E$2:$AD$1000, MATCH(1, ($B$2 = df_proj!$A$2:$A$1000) * (df_proj!$B$2:$B$1000 = $B9) * (df_proj!$C$2:$C$1000 = $D$2), 0), MATCH(TEXT(AD$8, "####"), df_proj!$E$1:$AD$1,0)) * popn_fut!$C81/popn_fut!$E81,5))</f>
        <v>#N/A</v>
      </c>
      <c r="AE9" s="366" t="e">
        <f t="array" ref="AE9">IFERROR(MROUND(INDEX(df_proj!$E$2:$AD$1000, MATCH(1, ($A$2 = df_proj!$A$2:$A$1000) * (df_proj!$B$2:$B$1000 = $B9) * (df_proj!$C$2:$C$1000 = $D$2), 0), MATCH(TEXT(AE$8, "####"), df_proj!$E$1:$AD$1,0)),5),MROUND(INDEX(df_proj!$E$2:$AD$1000, MATCH(1, ($B$2 = df_proj!$A$2:$A$1000) * (df_proj!$B$2:$B$1000 = $B9) * (df_proj!$C$2:$C$1000 = $D$2), 0), MATCH(TEXT(AE$8, "####"), df_proj!$E$1:$AD$1,0)) * popn_fut!$C81/popn_fut!$E81,5))</f>
        <v>#N/A</v>
      </c>
      <c r="AF9" s="366" t="e">
        <f t="array" ref="AF9">IFERROR(MROUND(INDEX(df_proj!$E$2:$AD$1000, MATCH(1, ($A$2 = df_proj!$A$2:$A$1000) * (df_proj!$B$2:$B$1000 = $B9) * (df_proj!$C$2:$C$1000 = $D$2), 0), MATCH(TEXT(AF$8, "####"), df_proj!$E$1:$AD$1,0)),5),MROUND(INDEX(df_proj!$E$2:$AD$1000, MATCH(1, ($B$2 = df_proj!$A$2:$A$1000) * (df_proj!$B$2:$B$1000 = $B9) * (df_proj!$C$2:$C$1000 = $D$2), 0), MATCH(TEXT(AF$8, "####"), df_proj!$E$1:$AD$1,0)) * popn_fut!$C81/popn_fut!$E81,5))</f>
        <v>#N/A</v>
      </c>
      <c r="AG9" s="366" t="e">
        <f t="array" ref="AG9">IFERROR(MROUND(INDEX(df_proj!$E$2:$AD$1000, MATCH(1, ($A$2 = df_proj!$A$2:$A$1000) * (df_proj!$B$2:$B$1000 = $B9) * (df_proj!$C$2:$C$1000 = $D$2), 0), MATCH(TEXT(AG$8, "####"), df_proj!$E$1:$AD$1,0)),5),MROUND(INDEX(df_proj!$E$2:$AD$1000, MATCH(1, ($B$2 = df_proj!$A$2:$A$1000) * (df_proj!$B$2:$B$1000 = $B9) * (df_proj!$C$2:$C$1000 = $D$2), 0), MATCH(TEXT(AG$8, "####"), df_proj!$E$1:$AD$1,0)) * popn_fut!$C81/popn_fut!$E81,5))</f>
        <v>#N/A</v>
      </c>
      <c r="AH9" s="366" t="e">
        <f t="array" ref="AH9">IFERROR(MROUND(INDEX(df_proj!$E$2:$AD$1000, MATCH(1, ($A$2 = df_proj!$A$2:$A$1000) * (df_proj!$B$2:$B$1000 = $B9) * (df_proj!$C$2:$C$1000 = $D$2), 0), MATCH(TEXT(AH$8, "####"), df_proj!$E$1:$AD$1,0)),5),MROUND(INDEX(df_proj!$E$2:$AD$1000, MATCH(1, ($B$2 = df_proj!$A$2:$A$1000) * (df_proj!$B$2:$B$1000 = $B9) * (df_proj!$C$2:$C$1000 = $D$2), 0), MATCH(TEXT(AH$8, "####"), df_proj!$E$1:$AD$1,0)) * popn_fut!$C81/popn_fut!$E81,5))</f>
        <v>#N/A</v>
      </c>
      <c r="AI9" s="366" t="e">
        <f t="array" ref="AI9">IFERROR(MROUND(INDEX(df_proj!$E$2:$AD$1000, MATCH(1, ($A$2 = df_proj!$A$2:$A$1000) * (df_proj!$B$2:$B$1000 = $B9) * (df_proj!$C$2:$C$1000 = $D$2), 0), MATCH(TEXT(AI$8, "####"), df_proj!$E$1:$AD$1,0)),5),MROUND(INDEX(df_proj!$E$2:$AD$1000, MATCH(1, ($B$2 = df_proj!$A$2:$A$1000) * (df_proj!$B$2:$B$1000 = $B9) * (df_proj!$C$2:$C$1000 = $D$2), 0), MATCH(TEXT(AI$8, "####"), df_proj!$E$1:$AD$1,0)) * popn_fut!$C81/popn_fut!$E81,5))</f>
        <v>#N/A</v>
      </c>
      <c r="AJ9" s="366" t="e">
        <f t="array" ref="AJ9">IFERROR(MROUND(INDEX(df_proj!$E$2:$AD$1000, MATCH(1, ($A$2 = df_proj!$A$2:$A$1000) * (df_proj!$B$2:$B$1000 = $B9) * (df_proj!$C$2:$C$1000 = $D$2), 0), MATCH(TEXT(AJ$8, "####"), df_proj!$E$1:$AD$1,0)),5),MROUND(INDEX(df_proj!$E$2:$AD$1000, MATCH(1, ($B$2 = df_proj!$A$2:$A$1000) * (df_proj!$B$2:$B$1000 = $B9) * (df_proj!$C$2:$C$1000 = $D$2), 0), MATCH(TEXT(AJ$8, "####"), df_proj!$E$1:$AD$1,0)) * popn_fut!$C81/popn_fut!$E81,5))</f>
        <v>#N/A</v>
      </c>
      <c r="AK9" s="366" t="e">
        <f t="array" ref="AK9">IFERROR(MROUND(INDEX(df_proj!$E$2:$AD$1000, MATCH(1, ($A$2 = df_proj!$A$2:$A$1000) * (df_proj!$B$2:$B$1000 = $B9) * (df_proj!$C$2:$C$1000 = $D$2), 0), MATCH(TEXT(AK$8, "####"), df_proj!$E$1:$AD$1,0)),5),MROUND(INDEX(df_proj!$E$2:$AD$1000, MATCH(1, ($B$2 = df_proj!$A$2:$A$1000) * (df_proj!$B$2:$B$1000 = $B9) * (df_proj!$C$2:$C$1000 = $D$2), 0), MATCH(TEXT(AK$8, "####"), df_proj!$E$1:$AD$1,0)) * popn_fut!$C81/popn_fut!$E81,5))</f>
        <v>#N/A</v>
      </c>
      <c r="AL9" s="233" t="e">
        <f t="array" ref="AL9">IFERROR(MROUND(INDEX(df_proj!$E$2:$AD$1000, MATCH(1, ($A$2 = df_proj!$A$2:$A$1000) * (df_proj!$B$2:$B$1000 = $B9) * (df_proj!$C$2:$C$1000 = $D$2), 0), MATCH(TEXT(AL$8, "####"), df_proj!$E$1:$AD$1,0)),5),MROUND(INDEX(df_proj!$E$2:$AD$1000, MATCH(1, ($B$2 = df_proj!$A$2:$A$1000) * (df_proj!$B$2:$B$1000 = $B9) * (df_proj!$C$2:$C$1000 = $D$2), 0), MATCH(TEXT(AL$8, "####"), df_proj!$E$1:$AD$1,0)) * popn_fut!$C81/popn_fut!$E81,5))</f>
        <v>#N/A</v>
      </c>
    </row>
    <row r="10" spans="1:42" ht="20.100000000000001" customHeight="1" x14ac:dyDescent="0.2">
      <c r="A10" s="299">
        <v>0</v>
      </c>
      <c r="B10" s="354" t="s">
        <v>159</v>
      </c>
      <c r="C10" s="137"/>
      <c r="D10" s="137" t="e">
        <f t="array" ref="D10:D27">popn_now!J13:J30</f>
        <v>#N/A</v>
      </c>
      <c r="E10" s="137"/>
      <c r="F10" s="137"/>
      <c r="G10" s="137"/>
      <c r="H10" s="137"/>
      <c r="I10" s="137" t="e">
        <f t="array" ref="I10:I27">popn_now!K13:K30</f>
        <v>#N/A</v>
      </c>
      <c r="J10" s="137"/>
      <c r="K10" s="137"/>
      <c r="L10" s="137"/>
      <c r="M10" s="137" t="e">
        <f t="array" ref="M10">IFERROR(MROUND(INDEX(df_proj!$E$2:$AD$1000, MATCH(1, ($A$2 = df_proj!$A$2:$A$1000) * (df_proj!$B$2:$B$1000 = $B10) * (df_proj!$C$2:$C$1000 = $D$2), 0), MATCH(TEXT(M$8, "####"), df_proj!$E$1:$AD$1,0)),5),MROUND(INDEX(df_proj!$E$2:$AD$1000, MATCH(1, ($B$2 = df_proj!$A$2:$A$1000) * (df_proj!$B$2:$B$1000 = $B10) * (df_proj!$C$2:$C$1000 = $D$2), 0), MATCH(TEXT(M$8, "####"), df_proj!$E$1:$AD$1,0)) * popn_fut!$C82/popn_fut!$E82,5))</f>
        <v>#N/A</v>
      </c>
      <c r="N10" s="137" t="e">
        <f t="array" ref="N10">IFERROR(MROUND(INDEX(df_proj!$E$2:$AD$1000, MATCH(1, ($A$2 = df_proj!$A$2:$A$1000) * (df_proj!$B$2:$B$1000 = $B10) * (df_proj!$C$2:$C$1000 = $D$2), 0), MATCH(TEXT(N$8, "####"), df_proj!$E$1:$AD$1,0)),5),MROUND(INDEX(df_proj!$E$2:$AD$1000, MATCH(1, ($B$2 = df_proj!$A$2:$A$1000) * (df_proj!$B$2:$B$1000 = $B10) * (df_proj!$C$2:$C$1000 = $D$2), 0), MATCH(TEXT(N$8, "####"), df_proj!$E$1:$AD$1,0)) * popn_fut!$C82/popn_fut!$E82,5))</f>
        <v>#N/A</v>
      </c>
      <c r="O10" s="137" t="e">
        <f t="array" ref="O10">IFERROR(MROUND(INDEX(df_proj!$E$2:$AD$1000, MATCH(1, ($A$2 = df_proj!$A$2:$A$1000) * (df_proj!$B$2:$B$1000 = $B10) * (df_proj!$C$2:$C$1000 = $D$2), 0), MATCH(TEXT(O$8, "####"), df_proj!$E$1:$AD$1,0)),5),MROUND(INDEX(df_proj!$E$2:$AD$1000, MATCH(1, ($B$2 = df_proj!$A$2:$A$1000) * (df_proj!$B$2:$B$1000 = $B10) * (df_proj!$C$2:$C$1000 = $D$2), 0), MATCH(TEXT(O$8, "####"), df_proj!$E$1:$AD$1,0)) * popn_fut!$C82/popn_fut!$E82,5))</f>
        <v>#N/A</v>
      </c>
      <c r="P10" s="137" t="e">
        <f t="array" ref="P10">IFERROR(MROUND(INDEX(df_proj!$E$2:$AD$1000, MATCH(1, ($A$2 = df_proj!$A$2:$A$1000) * (df_proj!$B$2:$B$1000 = $B10) * (df_proj!$C$2:$C$1000 = $D$2), 0), MATCH(TEXT(P$8, "####"), df_proj!$E$1:$AD$1,0)),5),MROUND(INDEX(df_proj!$E$2:$AD$1000, MATCH(1, ($B$2 = df_proj!$A$2:$A$1000) * (df_proj!$B$2:$B$1000 = $B10) * (df_proj!$C$2:$C$1000 = $D$2), 0), MATCH(TEXT(P$8, "####"), df_proj!$E$1:$AD$1,0)) * popn_fut!$C82/popn_fut!$E82,5))</f>
        <v>#N/A</v>
      </c>
      <c r="Q10" s="137" t="e">
        <f t="array" ref="Q10">IFERROR(MROUND(INDEX(df_proj!$E$2:$AD$1000, MATCH(1, ($A$2 = df_proj!$A$2:$A$1000) * (df_proj!$B$2:$B$1000 = $B10) * (df_proj!$C$2:$C$1000 = $D$2), 0), MATCH(TEXT(Q$8, "####"), df_proj!$E$1:$AD$1,0)),5),MROUND(INDEX(df_proj!$E$2:$AD$1000, MATCH(1, ($B$2 = df_proj!$A$2:$A$1000) * (df_proj!$B$2:$B$1000 = $B10) * (df_proj!$C$2:$C$1000 = $D$2), 0), MATCH(TEXT(Q$8, "####"), df_proj!$E$1:$AD$1,0)) * popn_fut!$C82/popn_fut!$E82,5))</f>
        <v>#N/A</v>
      </c>
      <c r="R10" s="137" t="e">
        <f t="array" ref="R10">IFERROR(MROUND(INDEX(df_proj!$E$2:$AD$1000, MATCH(1, ($A$2 = df_proj!$A$2:$A$1000) * (df_proj!$B$2:$B$1000 = $B10) * (df_proj!$C$2:$C$1000 = $D$2), 0), MATCH(TEXT(R$8, "####"), df_proj!$E$1:$AD$1,0)),5),MROUND(INDEX(df_proj!$E$2:$AD$1000, MATCH(1, ($B$2 = df_proj!$A$2:$A$1000) * (df_proj!$B$2:$B$1000 = $B10) * (df_proj!$C$2:$C$1000 = $D$2), 0), MATCH(TEXT(R$8, "####"), df_proj!$E$1:$AD$1,0)) * popn_fut!$C82/popn_fut!$E82,5))</f>
        <v>#N/A</v>
      </c>
      <c r="S10" s="137" t="e">
        <f t="array" ref="S10">IFERROR(MROUND(INDEX(df_proj!$E$2:$AD$1000, MATCH(1, ($A$2 = df_proj!$A$2:$A$1000) * (df_proj!$B$2:$B$1000 = $B10) * (df_proj!$C$2:$C$1000 = $D$2), 0), MATCH(TEXT(S$8, "####"), df_proj!$E$1:$AD$1,0)),5),MROUND(INDEX(df_proj!$E$2:$AD$1000, MATCH(1, ($B$2 = df_proj!$A$2:$A$1000) * (df_proj!$B$2:$B$1000 = $B10) * (df_proj!$C$2:$C$1000 = $D$2), 0), MATCH(TEXT(S$8, "####"), df_proj!$E$1:$AD$1,0)) * popn_fut!$C82/popn_fut!$E82,5))</f>
        <v>#N/A</v>
      </c>
      <c r="T10" s="137" t="e">
        <f t="array" ref="T10">IFERROR(MROUND(INDEX(df_proj!$E$2:$AD$1000, MATCH(1, ($A$2 = df_proj!$A$2:$A$1000) * (df_proj!$B$2:$B$1000 = $B10) * (df_proj!$C$2:$C$1000 = $D$2), 0), MATCH(TEXT(T$8, "####"), df_proj!$E$1:$AD$1,0)),5),MROUND(INDEX(df_proj!$E$2:$AD$1000, MATCH(1, ($B$2 = df_proj!$A$2:$A$1000) * (df_proj!$B$2:$B$1000 = $B10) * (df_proj!$C$2:$C$1000 = $D$2), 0), MATCH(TEXT(T$8, "####"), df_proj!$E$1:$AD$1,0)) * popn_fut!$C82/popn_fut!$E82,5))</f>
        <v>#N/A</v>
      </c>
      <c r="U10" s="137" t="e">
        <f t="array" ref="U10">IFERROR(MROUND(INDEX(df_proj!$E$2:$AD$1000, MATCH(1, ($A$2 = df_proj!$A$2:$A$1000) * (df_proj!$B$2:$B$1000 = $B10) * (df_proj!$C$2:$C$1000 = $D$2), 0), MATCH(TEXT(U$8, "####"), df_proj!$E$1:$AD$1,0)),5),MROUND(INDEX(df_proj!$E$2:$AD$1000, MATCH(1, ($B$2 = df_proj!$A$2:$A$1000) * (df_proj!$B$2:$B$1000 = $B10) * (df_proj!$C$2:$C$1000 = $D$2), 0), MATCH(TEXT(U$8, "####"), df_proj!$E$1:$AD$1,0)) * popn_fut!$C82/popn_fut!$E82,5))</f>
        <v>#N/A</v>
      </c>
      <c r="V10" s="137" t="e">
        <f t="array" ref="V10">IFERROR(MROUND(INDEX(df_proj!$E$2:$AD$1000, MATCH(1, ($A$2 = df_proj!$A$2:$A$1000) * (df_proj!$B$2:$B$1000 = $B10) * (df_proj!$C$2:$C$1000 = $D$2), 0), MATCH(TEXT(V$8, "####"), df_proj!$E$1:$AD$1,0)),5),MROUND(INDEX(df_proj!$E$2:$AD$1000, MATCH(1, ($B$2 = df_proj!$A$2:$A$1000) * (df_proj!$B$2:$B$1000 = $B10) * (df_proj!$C$2:$C$1000 = $D$2), 0), MATCH(TEXT(V$8, "####"), df_proj!$E$1:$AD$1,0)) * popn_fut!$C82/popn_fut!$E82,5))</f>
        <v>#N/A</v>
      </c>
      <c r="W10" s="137" t="e">
        <f t="array" ref="W10">IFERROR(MROUND(INDEX(df_proj!$E$2:$AD$1000, MATCH(1, ($A$2 = df_proj!$A$2:$A$1000) * (df_proj!$B$2:$B$1000 = $B10) * (df_proj!$C$2:$C$1000 = $D$2), 0), MATCH(TEXT(W$8, "####"), df_proj!$E$1:$AD$1,0)),5),MROUND(INDEX(df_proj!$E$2:$AD$1000, MATCH(1, ($B$2 = df_proj!$A$2:$A$1000) * (df_proj!$B$2:$B$1000 = $B10) * (df_proj!$C$2:$C$1000 = $D$2), 0), MATCH(TEXT(W$8, "####"), df_proj!$E$1:$AD$1,0)) * popn_fut!$C82/popn_fut!$E82,5))</f>
        <v>#N/A</v>
      </c>
      <c r="X10" s="137" t="e">
        <f t="array" ref="X10">IFERROR(MROUND(INDEX(df_proj!$E$2:$AD$1000, MATCH(1, ($A$2 = df_proj!$A$2:$A$1000) * (df_proj!$B$2:$B$1000 = $B10) * (df_proj!$C$2:$C$1000 = $D$2), 0), MATCH(TEXT(X$8, "####"), df_proj!$E$1:$AD$1,0)),5),MROUND(INDEX(df_proj!$E$2:$AD$1000, MATCH(1, ($B$2 = df_proj!$A$2:$A$1000) * (df_proj!$B$2:$B$1000 = $B10) * (df_proj!$C$2:$C$1000 = $D$2), 0), MATCH(TEXT(X$8, "####"), df_proj!$E$1:$AD$1,0)) * popn_fut!$C82/popn_fut!$E82,5))</f>
        <v>#N/A</v>
      </c>
      <c r="Y10" s="137" t="e">
        <f t="array" ref="Y10">IFERROR(MROUND(INDEX(df_proj!$E$2:$AD$1000, MATCH(1, ($A$2 = df_proj!$A$2:$A$1000) * (df_proj!$B$2:$B$1000 = $B10) * (df_proj!$C$2:$C$1000 = $D$2), 0), MATCH(TEXT(Y$8, "####"), df_proj!$E$1:$AD$1,0)),5),MROUND(INDEX(df_proj!$E$2:$AD$1000, MATCH(1, ($B$2 = df_proj!$A$2:$A$1000) * (df_proj!$B$2:$B$1000 = $B10) * (df_proj!$C$2:$C$1000 = $D$2), 0), MATCH(TEXT(Y$8, "####"), df_proj!$E$1:$AD$1,0)) * popn_fut!$C82/popn_fut!$E82,5))</f>
        <v>#N/A</v>
      </c>
      <c r="Z10" s="137" t="e">
        <f t="array" ref="Z10">IFERROR(MROUND(INDEX(df_proj!$E$2:$AD$1000, MATCH(1, ($A$2 = df_proj!$A$2:$A$1000) * (df_proj!$B$2:$B$1000 = $B10) * (df_proj!$C$2:$C$1000 = $D$2), 0), MATCH(TEXT(Z$8, "####"), df_proj!$E$1:$AD$1,0)),5),MROUND(INDEX(df_proj!$E$2:$AD$1000, MATCH(1, ($B$2 = df_proj!$A$2:$A$1000) * (df_proj!$B$2:$B$1000 = $B10) * (df_proj!$C$2:$C$1000 = $D$2), 0), MATCH(TEXT(Z$8, "####"), df_proj!$E$1:$AD$1,0)) * popn_fut!$C82/popn_fut!$E82,5))</f>
        <v>#N/A</v>
      </c>
      <c r="AA10" s="137" t="e">
        <f t="array" ref="AA10">IFERROR(MROUND(INDEX(df_proj!$E$2:$AD$1000, MATCH(1, ($A$2 = df_proj!$A$2:$A$1000) * (df_proj!$B$2:$B$1000 = $B10) * (df_proj!$C$2:$C$1000 = $D$2), 0), MATCH(TEXT(AA$8, "####"), df_proj!$E$1:$AD$1,0)),5),MROUND(INDEX(df_proj!$E$2:$AD$1000, MATCH(1, ($B$2 = df_proj!$A$2:$A$1000) * (df_proj!$B$2:$B$1000 = $B10) * (df_proj!$C$2:$C$1000 = $D$2), 0), MATCH(TEXT(AA$8, "####"), df_proj!$E$1:$AD$1,0)) * popn_fut!$C82/popn_fut!$E82,5))</f>
        <v>#N/A</v>
      </c>
      <c r="AB10" s="137" t="e">
        <f t="array" ref="AB10">IFERROR(MROUND(INDEX(df_proj!$E$2:$AD$1000, MATCH(1, ($A$2 = df_proj!$A$2:$A$1000) * (df_proj!$B$2:$B$1000 = $B10) * (df_proj!$C$2:$C$1000 = $D$2), 0), MATCH(TEXT(AB$8, "####"), df_proj!$E$1:$AD$1,0)),5),MROUND(INDEX(df_proj!$E$2:$AD$1000, MATCH(1, ($B$2 = df_proj!$A$2:$A$1000) * (df_proj!$B$2:$B$1000 = $B10) * (df_proj!$C$2:$C$1000 = $D$2), 0), MATCH(TEXT(AB$8, "####"), df_proj!$E$1:$AD$1,0)) * popn_fut!$C82/popn_fut!$E82,5))</f>
        <v>#N/A</v>
      </c>
      <c r="AC10" s="137" t="e">
        <f t="array" ref="AC10">IFERROR(MROUND(INDEX(df_proj!$E$2:$AD$1000, MATCH(1, ($A$2 = df_proj!$A$2:$A$1000) * (df_proj!$B$2:$B$1000 = $B10) * (df_proj!$C$2:$C$1000 = $D$2), 0), MATCH(TEXT(AC$8, "####"), df_proj!$E$1:$AD$1,0)),5),MROUND(INDEX(df_proj!$E$2:$AD$1000, MATCH(1, ($B$2 = df_proj!$A$2:$A$1000) * (df_proj!$B$2:$B$1000 = $B10) * (df_proj!$C$2:$C$1000 = $D$2), 0), MATCH(TEXT(AC$8, "####"), df_proj!$E$1:$AD$1,0)) * popn_fut!$C82/popn_fut!$E82,5))</f>
        <v>#N/A</v>
      </c>
      <c r="AD10" s="137" t="e">
        <f t="array" ref="AD10">IFERROR(MROUND(INDEX(df_proj!$E$2:$AD$1000, MATCH(1, ($A$2 = df_proj!$A$2:$A$1000) * (df_proj!$B$2:$B$1000 = $B10) * (df_proj!$C$2:$C$1000 = $D$2), 0), MATCH(TEXT(AD$8, "####"), df_proj!$E$1:$AD$1,0)),5),MROUND(INDEX(df_proj!$E$2:$AD$1000, MATCH(1, ($B$2 = df_proj!$A$2:$A$1000) * (df_proj!$B$2:$B$1000 = $B10) * (df_proj!$C$2:$C$1000 = $D$2), 0), MATCH(TEXT(AD$8, "####"), df_proj!$E$1:$AD$1,0)) * popn_fut!$C82/popn_fut!$E82,5))</f>
        <v>#N/A</v>
      </c>
      <c r="AE10" s="137" t="e">
        <f t="array" ref="AE10">IFERROR(MROUND(INDEX(df_proj!$E$2:$AD$1000, MATCH(1, ($A$2 = df_proj!$A$2:$A$1000) * (df_proj!$B$2:$B$1000 = $B10) * (df_proj!$C$2:$C$1000 = $D$2), 0), MATCH(TEXT(AE$8, "####"), df_proj!$E$1:$AD$1,0)),5),MROUND(INDEX(df_proj!$E$2:$AD$1000, MATCH(1, ($B$2 = df_proj!$A$2:$A$1000) * (df_proj!$B$2:$B$1000 = $B10) * (df_proj!$C$2:$C$1000 = $D$2), 0), MATCH(TEXT(AE$8, "####"), df_proj!$E$1:$AD$1,0)) * popn_fut!$C82/popn_fut!$E82,5))</f>
        <v>#N/A</v>
      </c>
      <c r="AF10" s="137" t="e">
        <f t="array" ref="AF10">IFERROR(MROUND(INDEX(df_proj!$E$2:$AD$1000, MATCH(1, ($A$2 = df_proj!$A$2:$A$1000) * (df_proj!$B$2:$B$1000 = $B10) * (df_proj!$C$2:$C$1000 = $D$2), 0), MATCH(TEXT(AF$8, "####"), df_proj!$E$1:$AD$1,0)),5),MROUND(INDEX(df_proj!$E$2:$AD$1000, MATCH(1, ($B$2 = df_proj!$A$2:$A$1000) * (df_proj!$B$2:$B$1000 = $B10) * (df_proj!$C$2:$C$1000 = $D$2), 0), MATCH(TEXT(AF$8, "####"), df_proj!$E$1:$AD$1,0)) * popn_fut!$C82/popn_fut!$E82,5))</f>
        <v>#N/A</v>
      </c>
      <c r="AG10" s="137" t="e">
        <f t="array" ref="AG10">IFERROR(MROUND(INDEX(df_proj!$E$2:$AD$1000, MATCH(1, ($A$2 = df_proj!$A$2:$A$1000) * (df_proj!$B$2:$B$1000 = $B10) * (df_proj!$C$2:$C$1000 = $D$2), 0), MATCH(TEXT(AG$8, "####"), df_proj!$E$1:$AD$1,0)),5),MROUND(INDEX(df_proj!$E$2:$AD$1000, MATCH(1, ($B$2 = df_proj!$A$2:$A$1000) * (df_proj!$B$2:$B$1000 = $B10) * (df_proj!$C$2:$C$1000 = $D$2), 0), MATCH(TEXT(AG$8, "####"), df_proj!$E$1:$AD$1,0)) * popn_fut!$C82/popn_fut!$E82,5))</f>
        <v>#N/A</v>
      </c>
      <c r="AH10" s="137" t="e">
        <f t="array" ref="AH10">IFERROR(MROUND(INDEX(df_proj!$E$2:$AD$1000, MATCH(1, ($A$2 = df_proj!$A$2:$A$1000) * (df_proj!$B$2:$B$1000 = $B10) * (df_proj!$C$2:$C$1000 = $D$2), 0), MATCH(TEXT(AH$8, "####"), df_proj!$E$1:$AD$1,0)),5),MROUND(INDEX(df_proj!$E$2:$AD$1000, MATCH(1, ($B$2 = df_proj!$A$2:$A$1000) * (df_proj!$B$2:$B$1000 = $B10) * (df_proj!$C$2:$C$1000 = $D$2), 0), MATCH(TEXT(AH$8, "####"), df_proj!$E$1:$AD$1,0)) * popn_fut!$C82/popn_fut!$E82,5))</f>
        <v>#N/A</v>
      </c>
      <c r="AI10" s="137" t="e">
        <f t="array" ref="AI10">IFERROR(MROUND(INDEX(df_proj!$E$2:$AD$1000, MATCH(1, ($A$2 = df_proj!$A$2:$A$1000) * (df_proj!$B$2:$B$1000 = $B10) * (df_proj!$C$2:$C$1000 = $D$2), 0), MATCH(TEXT(AI$8, "####"), df_proj!$E$1:$AD$1,0)),5),MROUND(INDEX(df_proj!$E$2:$AD$1000, MATCH(1, ($B$2 = df_proj!$A$2:$A$1000) * (df_proj!$B$2:$B$1000 = $B10) * (df_proj!$C$2:$C$1000 = $D$2), 0), MATCH(TEXT(AI$8, "####"), df_proj!$E$1:$AD$1,0)) * popn_fut!$C82/popn_fut!$E82,5))</f>
        <v>#N/A</v>
      </c>
      <c r="AJ10" s="137" t="e">
        <f t="array" ref="AJ10">IFERROR(MROUND(INDEX(df_proj!$E$2:$AD$1000, MATCH(1, ($A$2 = df_proj!$A$2:$A$1000) * (df_proj!$B$2:$B$1000 = $B10) * (df_proj!$C$2:$C$1000 = $D$2), 0), MATCH(TEXT(AJ$8, "####"), df_proj!$E$1:$AD$1,0)),5),MROUND(INDEX(df_proj!$E$2:$AD$1000, MATCH(1, ($B$2 = df_proj!$A$2:$A$1000) * (df_proj!$B$2:$B$1000 = $B10) * (df_proj!$C$2:$C$1000 = $D$2), 0), MATCH(TEXT(AJ$8, "####"), df_proj!$E$1:$AD$1,0)) * popn_fut!$C82/popn_fut!$E82,5))</f>
        <v>#N/A</v>
      </c>
      <c r="AK10" s="137" t="e">
        <f t="array" ref="AK10">IFERROR(MROUND(INDEX(df_proj!$E$2:$AD$1000, MATCH(1, ($A$2 = df_proj!$A$2:$A$1000) * (df_proj!$B$2:$B$1000 = $B10) * (df_proj!$C$2:$C$1000 = $D$2), 0), MATCH(TEXT(AK$8, "####"), df_proj!$E$1:$AD$1,0)),5),MROUND(INDEX(df_proj!$E$2:$AD$1000, MATCH(1, ($B$2 = df_proj!$A$2:$A$1000) * (df_proj!$B$2:$B$1000 = $B10) * (df_proj!$C$2:$C$1000 = $D$2), 0), MATCH(TEXT(AK$8, "####"), df_proj!$E$1:$AD$1,0)) * popn_fut!$C82/popn_fut!$E82,5))</f>
        <v>#N/A</v>
      </c>
      <c r="AL10" s="269" t="e">
        <f t="array" ref="AL10">IFERROR(MROUND(INDEX(df_proj!$E$2:$AD$1000, MATCH(1, ($A$2 = df_proj!$A$2:$A$1000) * (df_proj!$B$2:$B$1000 = $B10) * (df_proj!$C$2:$C$1000 = $D$2), 0), MATCH(TEXT(AL$8, "####"), df_proj!$E$1:$AD$1,0)),5),MROUND(INDEX(df_proj!$E$2:$AD$1000, MATCH(1, ($B$2 = df_proj!$A$2:$A$1000) * (df_proj!$B$2:$B$1000 = $B10) * (df_proj!$C$2:$C$1000 = $D$2), 0), MATCH(TEXT(AL$8, "####"), df_proj!$E$1:$AD$1,0)) * popn_fut!$C82/popn_fut!$E82,5))</f>
        <v>#N/A</v>
      </c>
      <c r="AM10" s="239" t="e">
        <f>I10</f>
        <v>#N/A</v>
      </c>
      <c r="AP10" s="239" t="e">
        <f>W10</f>
        <v>#N/A</v>
      </c>
    </row>
    <row r="11" spans="1:42" ht="20.100000000000001" customHeight="1" x14ac:dyDescent="0.2">
      <c r="A11" s="299">
        <v>5</v>
      </c>
      <c r="B11" s="277" t="s">
        <v>160</v>
      </c>
      <c r="C11" s="111"/>
      <c r="D11" s="111" t="e">
        <v>#N/A</v>
      </c>
      <c r="E11" s="111"/>
      <c r="F11" s="111"/>
      <c r="G11" s="111"/>
      <c r="H11" s="111"/>
      <c r="I11" s="111" t="e">
        <v>#N/A</v>
      </c>
      <c r="J11" s="111"/>
      <c r="K11" s="111"/>
      <c r="L11" s="111"/>
      <c r="M11" s="111" t="e">
        <f t="array" ref="M11">IFERROR(MROUND(INDEX(df_proj!$E$2:$AD$1000, MATCH(1, ($A$2 = df_proj!$A$2:$A$1000) * (df_proj!$B$2:$B$1000 = $B11) * (df_proj!$C$2:$C$1000 = $D$2), 0), MATCH(TEXT(M$8, "####"), df_proj!$E$1:$AD$1,0)),5),MROUND(INDEX(df_proj!$E$2:$AD$1000, MATCH(1, ($B$2 = df_proj!$A$2:$A$1000) * (df_proj!$B$2:$B$1000 = $B11) * (df_proj!$C$2:$C$1000 = $D$2), 0), MATCH(TEXT(M$8, "####"), df_proj!$E$1:$AD$1,0)) * popn_fut!$C83/popn_fut!$E83,5))</f>
        <v>#N/A</v>
      </c>
      <c r="N11" s="111" t="e">
        <f t="array" ref="N11">IFERROR(MROUND(INDEX(df_proj!$E$2:$AD$1000, MATCH(1, ($A$2 = df_proj!$A$2:$A$1000) * (df_proj!$B$2:$B$1000 = $B11) * (df_proj!$C$2:$C$1000 = $D$2), 0), MATCH(TEXT(N$8, "####"), df_proj!$E$1:$AD$1,0)),5),MROUND(INDEX(df_proj!$E$2:$AD$1000, MATCH(1, ($B$2 = df_proj!$A$2:$A$1000) * (df_proj!$B$2:$B$1000 = $B11) * (df_proj!$C$2:$C$1000 = $D$2), 0), MATCH(TEXT(N$8, "####"), df_proj!$E$1:$AD$1,0)) * popn_fut!$C83/popn_fut!$E83,5))</f>
        <v>#N/A</v>
      </c>
      <c r="O11" s="111" t="e">
        <f t="array" ref="O11">IFERROR(MROUND(INDEX(df_proj!$E$2:$AD$1000, MATCH(1, ($A$2 = df_proj!$A$2:$A$1000) * (df_proj!$B$2:$B$1000 = $B11) * (df_proj!$C$2:$C$1000 = $D$2), 0), MATCH(TEXT(O$8, "####"), df_proj!$E$1:$AD$1,0)),5),MROUND(INDEX(df_proj!$E$2:$AD$1000, MATCH(1, ($B$2 = df_proj!$A$2:$A$1000) * (df_proj!$B$2:$B$1000 = $B11) * (df_proj!$C$2:$C$1000 = $D$2), 0), MATCH(TEXT(O$8, "####"), df_proj!$E$1:$AD$1,0)) * popn_fut!$C83/popn_fut!$E83,5))</f>
        <v>#N/A</v>
      </c>
      <c r="P11" s="111" t="e">
        <f t="array" ref="P11">IFERROR(MROUND(INDEX(df_proj!$E$2:$AD$1000, MATCH(1, ($A$2 = df_proj!$A$2:$A$1000) * (df_proj!$B$2:$B$1000 = $B11) * (df_proj!$C$2:$C$1000 = $D$2), 0), MATCH(TEXT(P$8, "####"), df_proj!$E$1:$AD$1,0)),5),MROUND(INDEX(df_proj!$E$2:$AD$1000, MATCH(1, ($B$2 = df_proj!$A$2:$A$1000) * (df_proj!$B$2:$B$1000 = $B11) * (df_proj!$C$2:$C$1000 = $D$2), 0), MATCH(TEXT(P$8, "####"), df_proj!$E$1:$AD$1,0)) * popn_fut!$C83/popn_fut!$E83,5))</f>
        <v>#N/A</v>
      </c>
      <c r="Q11" s="111" t="e">
        <f t="array" ref="Q11">IFERROR(MROUND(INDEX(df_proj!$E$2:$AD$1000, MATCH(1, ($A$2 = df_proj!$A$2:$A$1000) * (df_proj!$B$2:$B$1000 = $B11) * (df_proj!$C$2:$C$1000 = $D$2), 0), MATCH(TEXT(Q$8, "####"), df_proj!$E$1:$AD$1,0)),5),MROUND(INDEX(df_proj!$E$2:$AD$1000, MATCH(1, ($B$2 = df_proj!$A$2:$A$1000) * (df_proj!$B$2:$B$1000 = $B11) * (df_proj!$C$2:$C$1000 = $D$2), 0), MATCH(TEXT(Q$8, "####"), df_proj!$E$1:$AD$1,0)) * popn_fut!$C83/popn_fut!$E83,5))</f>
        <v>#N/A</v>
      </c>
      <c r="R11" s="111" t="e">
        <f t="array" ref="R11">IFERROR(MROUND(INDEX(df_proj!$E$2:$AD$1000, MATCH(1, ($A$2 = df_proj!$A$2:$A$1000) * (df_proj!$B$2:$B$1000 = $B11) * (df_proj!$C$2:$C$1000 = $D$2), 0), MATCH(TEXT(R$8, "####"), df_proj!$E$1:$AD$1,0)),5),MROUND(INDEX(df_proj!$E$2:$AD$1000, MATCH(1, ($B$2 = df_proj!$A$2:$A$1000) * (df_proj!$B$2:$B$1000 = $B11) * (df_proj!$C$2:$C$1000 = $D$2), 0), MATCH(TEXT(R$8, "####"), df_proj!$E$1:$AD$1,0)) * popn_fut!$C83/popn_fut!$E83,5))</f>
        <v>#N/A</v>
      </c>
      <c r="S11" s="111" t="e">
        <f t="array" ref="S11">IFERROR(MROUND(INDEX(df_proj!$E$2:$AD$1000, MATCH(1, ($A$2 = df_proj!$A$2:$A$1000) * (df_proj!$B$2:$B$1000 = $B11) * (df_proj!$C$2:$C$1000 = $D$2), 0), MATCH(TEXT(S$8, "####"), df_proj!$E$1:$AD$1,0)),5),MROUND(INDEX(df_proj!$E$2:$AD$1000, MATCH(1, ($B$2 = df_proj!$A$2:$A$1000) * (df_proj!$B$2:$B$1000 = $B11) * (df_proj!$C$2:$C$1000 = $D$2), 0), MATCH(TEXT(S$8, "####"), df_proj!$E$1:$AD$1,0)) * popn_fut!$C83/popn_fut!$E83,5))</f>
        <v>#N/A</v>
      </c>
      <c r="T11" s="111" t="e">
        <f t="array" ref="T11">IFERROR(MROUND(INDEX(df_proj!$E$2:$AD$1000, MATCH(1, ($A$2 = df_proj!$A$2:$A$1000) * (df_proj!$B$2:$B$1000 = $B11) * (df_proj!$C$2:$C$1000 = $D$2), 0), MATCH(TEXT(T$8, "####"), df_proj!$E$1:$AD$1,0)),5),MROUND(INDEX(df_proj!$E$2:$AD$1000, MATCH(1, ($B$2 = df_proj!$A$2:$A$1000) * (df_proj!$B$2:$B$1000 = $B11) * (df_proj!$C$2:$C$1000 = $D$2), 0), MATCH(TEXT(T$8, "####"), df_proj!$E$1:$AD$1,0)) * popn_fut!$C83/popn_fut!$E83,5))</f>
        <v>#N/A</v>
      </c>
      <c r="U11" s="111" t="e">
        <f t="array" ref="U11">IFERROR(MROUND(INDEX(df_proj!$E$2:$AD$1000, MATCH(1, ($A$2 = df_proj!$A$2:$A$1000) * (df_proj!$B$2:$B$1000 = $B11) * (df_proj!$C$2:$C$1000 = $D$2), 0), MATCH(TEXT(U$8, "####"), df_proj!$E$1:$AD$1,0)),5),MROUND(INDEX(df_proj!$E$2:$AD$1000, MATCH(1, ($B$2 = df_proj!$A$2:$A$1000) * (df_proj!$B$2:$B$1000 = $B11) * (df_proj!$C$2:$C$1000 = $D$2), 0), MATCH(TEXT(U$8, "####"), df_proj!$E$1:$AD$1,0)) * popn_fut!$C83/popn_fut!$E83,5))</f>
        <v>#N/A</v>
      </c>
      <c r="V11" s="111" t="e">
        <f t="array" ref="V11">IFERROR(MROUND(INDEX(df_proj!$E$2:$AD$1000, MATCH(1, ($A$2 = df_proj!$A$2:$A$1000) * (df_proj!$B$2:$B$1000 = $B11) * (df_proj!$C$2:$C$1000 = $D$2), 0), MATCH(TEXT(V$8, "####"), df_proj!$E$1:$AD$1,0)),5),MROUND(INDEX(df_proj!$E$2:$AD$1000, MATCH(1, ($B$2 = df_proj!$A$2:$A$1000) * (df_proj!$B$2:$B$1000 = $B11) * (df_proj!$C$2:$C$1000 = $D$2), 0), MATCH(TEXT(V$8, "####"), df_proj!$E$1:$AD$1,0)) * popn_fut!$C83/popn_fut!$E83,5))</f>
        <v>#N/A</v>
      </c>
      <c r="W11" s="111" t="e">
        <f t="array" ref="W11">IFERROR(MROUND(INDEX(df_proj!$E$2:$AD$1000, MATCH(1, ($A$2 = df_proj!$A$2:$A$1000) * (df_proj!$B$2:$B$1000 = $B11) * (df_proj!$C$2:$C$1000 = $D$2), 0), MATCH(TEXT(W$8, "####"), df_proj!$E$1:$AD$1,0)),5),MROUND(INDEX(df_proj!$E$2:$AD$1000, MATCH(1, ($B$2 = df_proj!$A$2:$A$1000) * (df_proj!$B$2:$B$1000 = $B11) * (df_proj!$C$2:$C$1000 = $D$2), 0), MATCH(TEXT(W$8, "####"), df_proj!$E$1:$AD$1,0)) * popn_fut!$C83/popn_fut!$E83,5))</f>
        <v>#N/A</v>
      </c>
      <c r="X11" s="111" t="e">
        <f t="array" ref="X11">IFERROR(MROUND(INDEX(df_proj!$E$2:$AD$1000, MATCH(1, ($A$2 = df_proj!$A$2:$A$1000) * (df_proj!$B$2:$B$1000 = $B11) * (df_proj!$C$2:$C$1000 = $D$2), 0), MATCH(TEXT(X$8, "####"), df_proj!$E$1:$AD$1,0)),5),MROUND(INDEX(df_proj!$E$2:$AD$1000, MATCH(1, ($B$2 = df_proj!$A$2:$A$1000) * (df_proj!$B$2:$B$1000 = $B11) * (df_proj!$C$2:$C$1000 = $D$2), 0), MATCH(TEXT(X$8, "####"), df_proj!$E$1:$AD$1,0)) * popn_fut!$C83/popn_fut!$E83,5))</f>
        <v>#N/A</v>
      </c>
      <c r="Y11" s="111" t="e">
        <f t="array" ref="Y11">IFERROR(MROUND(INDEX(df_proj!$E$2:$AD$1000, MATCH(1, ($A$2 = df_proj!$A$2:$A$1000) * (df_proj!$B$2:$B$1000 = $B11) * (df_proj!$C$2:$C$1000 = $D$2), 0), MATCH(TEXT(Y$8, "####"), df_proj!$E$1:$AD$1,0)),5),MROUND(INDEX(df_proj!$E$2:$AD$1000, MATCH(1, ($B$2 = df_proj!$A$2:$A$1000) * (df_proj!$B$2:$B$1000 = $B11) * (df_proj!$C$2:$C$1000 = $D$2), 0), MATCH(TEXT(Y$8, "####"), df_proj!$E$1:$AD$1,0)) * popn_fut!$C83/popn_fut!$E83,5))</f>
        <v>#N/A</v>
      </c>
      <c r="Z11" s="111" t="e">
        <f t="array" ref="Z11">IFERROR(MROUND(INDEX(df_proj!$E$2:$AD$1000, MATCH(1, ($A$2 = df_proj!$A$2:$A$1000) * (df_proj!$B$2:$B$1000 = $B11) * (df_proj!$C$2:$C$1000 = $D$2), 0), MATCH(TEXT(Z$8, "####"), df_proj!$E$1:$AD$1,0)),5),MROUND(INDEX(df_proj!$E$2:$AD$1000, MATCH(1, ($B$2 = df_proj!$A$2:$A$1000) * (df_proj!$B$2:$B$1000 = $B11) * (df_proj!$C$2:$C$1000 = $D$2), 0), MATCH(TEXT(Z$8, "####"), df_proj!$E$1:$AD$1,0)) * popn_fut!$C83/popn_fut!$E83,5))</f>
        <v>#N/A</v>
      </c>
      <c r="AA11" s="111" t="e">
        <f t="array" ref="AA11">IFERROR(MROUND(INDEX(df_proj!$E$2:$AD$1000, MATCH(1, ($A$2 = df_proj!$A$2:$A$1000) * (df_proj!$B$2:$B$1000 = $B11) * (df_proj!$C$2:$C$1000 = $D$2), 0), MATCH(TEXT(AA$8, "####"), df_proj!$E$1:$AD$1,0)),5),MROUND(INDEX(df_proj!$E$2:$AD$1000, MATCH(1, ($B$2 = df_proj!$A$2:$A$1000) * (df_proj!$B$2:$B$1000 = $B11) * (df_proj!$C$2:$C$1000 = $D$2), 0), MATCH(TEXT(AA$8, "####"), df_proj!$E$1:$AD$1,0)) * popn_fut!$C83/popn_fut!$E83,5))</f>
        <v>#N/A</v>
      </c>
      <c r="AB11" s="111" t="e">
        <f t="array" ref="AB11">IFERROR(MROUND(INDEX(df_proj!$E$2:$AD$1000, MATCH(1, ($A$2 = df_proj!$A$2:$A$1000) * (df_proj!$B$2:$B$1000 = $B11) * (df_proj!$C$2:$C$1000 = $D$2), 0), MATCH(TEXT(AB$8, "####"), df_proj!$E$1:$AD$1,0)),5),MROUND(INDEX(df_proj!$E$2:$AD$1000, MATCH(1, ($B$2 = df_proj!$A$2:$A$1000) * (df_proj!$B$2:$B$1000 = $B11) * (df_proj!$C$2:$C$1000 = $D$2), 0), MATCH(TEXT(AB$8, "####"), df_proj!$E$1:$AD$1,0)) * popn_fut!$C83/popn_fut!$E83,5))</f>
        <v>#N/A</v>
      </c>
      <c r="AC11" s="111" t="e">
        <f t="array" ref="AC11">IFERROR(MROUND(INDEX(df_proj!$E$2:$AD$1000, MATCH(1, ($A$2 = df_proj!$A$2:$A$1000) * (df_proj!$B$2:$B$1000 = $B11) * (df_proj!$C$2:$C$1000 = $D$2), 0), MATCH(TEXT(AC$8, "####"), df_proj!$E$1:$AD$1,0)),5),MROUND(INDEX(df_proj!$E$2:$AD$1000, MATCH(1, ($B$2 = df_proj!$A$2:$A$1000) * (df_proj!$B$2:$B$1000 = $B11) * (df_proj!$C$2:$C$1000 = $D$2), 0), MATCH(TEXT(AC$8, "####"), df_proj!$E$1:$AD$1,0)) * popn_fut!$C83/popn_fut!$E83,5))</f>
        <v>#N/A</v>
      </c>
      <c r="AD11" s="111" t="e">
        <f t="array" ref="AD11">IFERROR(MROUND(INDEX(df_proj!$E$2:$AD$1000, MATCH(1, ($A$2 = df_proj!$A$2:$A$1000) * (df_proj!$B$2:$B$1000 = $B11) * (df_proj!$C$2:$C$1000 = $D$2), 0), MATCH(TEXT(AD$8, "####"), df_proj!$E$1:$AD$1,0)),5),MROUND(INDEX(df_proj!$E$2:$AD$1000, MATCH(1, ($B$2 = df_proj!$A$2:$A$1000) * (df_proj!$B$2:$B$1000 = $B11) * (df_proj!$C$2:$C$1000 = $D$2), 0), MATCH(TEXT(AD$8, "####"), df_proj!$E$1:$AD$1,0)) * popn_fut!$C83/popn_fut!$E83,5))</f>
        <v>#N/A</v>
      </c>
      <c r="AE11" s="111" t="e">
        <f t="array" ref="AE11">IFERROR(MROUND(INDEX(df_proj!$E$2:$AD$1000, MATCH(1, ($A$2 = df_proj!$A$2:$A$1000) * (df_proj!$B$2:$B$1000 = $B11) * (df_proj!$C$2:$C$1000 = $D$2), 0), MATCH(TEXT(AE$8, "####"), df_proj!$E$1:$AD$1,0)),5),MROUND(INDEX(df_proj!$E$2:$AD$1000, MATCH(1, ($B$2 = df_proj!$A$2:$A$1000) * (df_proj!$B$2:$B$1000 = $B11) * (df_proj!$C$2:$C$1000 = $D$2), 0), MATCH(TEXT(AE$8, "####"), df_proj!$E$1:$AD$1,0)) * popn_fut!$C83/popn_fut!$E83,5))</f>
        <v>#N/A</v>
      </c>
      <c r="AF11" s="111" t="e">
        <f t="array" ref="AF11">IFERROR(MROUND(INDEX(df_proj!$E$2:$AD$1000, MATCH(1, ($A$2 = df_proj!$A$2:$A$1000) * (df_proj!$B$2:$B$1000 = $B11) * (df_proj!$C$2:$C$1000 = $D$2), 0), MATCH(TEXT(AF$8, "####"), df_proj!$E$1:$AD$1,0)),5),MROUND(INDEX(df_proj!$E$2:$AD$1000, MATCH(1, ($B$2 = df_proj!$A$2:$A$1000) * (df_proj!$B$2:$B$1000 = $B11) * (df_proj!$C$2:$C$1000 = $D$2), 0), MATCH(TEXT(AF$8, "####"), df_proj!$E$1:$AD$1,0)) * popn_fut!$C83/popn_fut!$E83,5))</f>
        <v>#N/A</v>
      </c>
      <c r="AG11" s="111" t="e">
        <f t="array" ref="AG11">IFERROR(MROUND(INDEX(df_proj!$E$2:$AD$1000, MATCH(1, ($A$2 = df_proj!$A$2:$A$1000) * (df_proj!$B$2:$B$1000 = $B11) * (df_proj!$C$2:$C$1000 = $D$2), 0), MATCH(TEXT(AG$8, "####"), df_proj!$E$1:$AD$1,0)),5),MROUND(INDEX(df_proj!$E$2:$AD$1000, MATCH(1, ($B$2 = df_proj!$A$2:$A$1000) * (df_proj!$B$2:$B$1000 = $B11) * (df_proj!$C$2:$C$1000 = $D$2), 0), MATCH(TEXT(AG$8, "####"), df_proj!$E$1:$AD$1,0)) * popn_fut!$C83/popn_fut!$E83,5))</f>
        <v>#N/A</v>
      </c>
      <c r="AH11" s="111" t="e">
        <f t="array" ref="AH11">IFERROR(MROUND(INDEX(df_proj!$E$2:$AD$1000, MATCH(1, ($A$2 = df_proj!$A$2:$A$1000) * (df_proj!$B$2:$B$1000 = $B11) * (df_proj!$C$2:$C$1000 = $D$2), 0), MATCH(TEXT(AH$8, "####"), df_proj!$E$1:$AD$1,0)),5),MROUND(INDEX(df_proj!$E$2:$AD$1000, MATCH(1, ($B$2 = df_proj!$A$2:$A$1000) * (df_proj!$B$2:$B$1000 = $B11) * (df_proj!$C$2:$C$1000 = $D$2), 0), MATCH(TEXT(AH$8, "####"), df_proj!$E$1:$AD$1,0)) * popn_fut!$C83/popn_fut!$E83,5))</f>
        <v>#N/A</v>
      </c>
      <c r="AI11" s="111" t="e">
        <f t="array" ref="AI11">IFERROR(MROUND(INDEX(df_proj!$E$2:$AD$1000, MATCH(1, ($A$2 = df_proj!$A$2:$A$1000) * (df_proj!$B$2:$B$1000 = $B11) * (df_proj!$C$2:$C$1000 = $D$2), 0), MATCH(TEXT(AI$8, "####"), df_proj!$E$1:$AD$1,0)),5),MROUND(INDEX(df_proj!$E$2:$AD$1000, MATCH(1, ($B$2 = df_proj!$A$2:$A$1000) * (df_proj!$B$2:$B$1000 = $B11) * (df_proj!$C$2:$C$1000 = $D$2), 0), MATCH(TEXT(AI$8, "####"), df_proj!$E$1:$AD$1,0)) * popn_fut!$C83/popn_fut!$E83,5))</f>
        <v>#N/A</v>
      </c>
      <c r="AJ11" s="111" t="e">
        <f t="array" ref="AJ11">IFERROR(MROUND(INDEX(df_proj!$E$2:$AD$1000, MATCH(1, ($A$2 = df_proj!$A$2:$A$1000) * (df_proj!$B$2:$B$1000 = $B11) * (df_proj!$C$2:$C$1000 = $D$2), 0), MATCH(TEXT(AJ$8, "####"), df_proj!$E$1:$AD$1,0)),5),MROUND(INDEX(df_proj!$E$2:$AD$1000, MATCH(1, ($B$2 = df_proj!$A$2:$A$1000) * (df_proj!$B$2:$B$1000 = $B11) * (df_proj!$C$2:$C$1000 = $D$2), 0), MATCH(TEXT(AJ$8, "####"), df_proj!$E$1:$AD$1,0)) * popn_fut!$C83/popn_fut!$E83,5))</f>
        <v>#N/A</v>
      </c>
      <c r="AK11" s="111" t="e">
        <f t="array" ref="AK11">IFERROR(MROUND(INDEX(df_proj!$E$2:$AD$1000, MATCH(1, ($A$2 = df_proj!$A$2:$A$1000) * (df_proj!$B$2:$B$1000 = $B11) * (df_proj!$C$2:$C$1000 = $D$2), 0), MATCH(TEXT(AK$8, "####"), df_proj!$E$1:$AD$1,0)),5),MROUND(INDEX(df_proj!$E$2:$AD$1000, MATCH(1, ($B$2 = df_proj!$A$2:$A$1000) * (df_proj!$B$2:$B$1000 = $B11) * (df_proj!$C$2:$C$1000 = $D$2), 0), MATCH(TEXT(AK$8, "####"), df_proj!$E$1:$AD$1,0)) * popn_fut!$C83/popn_fut!$E83,5))</f>
        <v>#N/A</v>
      </c>
      <c r="AL11" s="181" t="e">
        <f t="array" ref="AL11">IFERROR(MROUND(INDEX(df_proj!$E$2:$AD$1000, MATCH(1, ($A$2 = df_proj!$A$2:$A$1000) * (df_proj!$B$2:$B$1000 = $B11) * (df_proj!$C$2:$C$1000 = $D$2), 0), MATCH(TEXT(AL$8, "####"), df_proj!$E$1:$AD$1,0)),5),MROUND(INDEX(df_proj!$E$2:$AD$1000, MATCH(1, ($B$2 = df_proj!$A$2:$A$1000) * (df_proj!$B$2:$B$1000 = $B11) * (df_proj!$C$2:$C$1000 = $D$2), 0), MATCH(TEXT(AL$8, "####"), df_proj!$E$1:$AD$1,0)) * popn_fut!$C83/popn_fut!$E83,5))</f>
        <v>#N/A</v>
      </c>
      <c r="AM11" s="239" t="e">
        <f>AM10+I11</f>
        <v>#N/A</v>
      </c>
      <c r="AP11" s="239" t="e">
        <f>AP10+W11</f>
        <v>#N/A</v>
      </c>
    </row>
    <row r="12" spans="1:42" ht="20.100000000000001" customHeight="1" x14ac:dyDescent="0.2">
      <c r="A12" s="299">
        <v>10</v>
      </c>
      <c r="B12" s="118" t="s">
        <v>118</v>
      </c>
      <c r="C12" s="113"/>
      <c r="D12" s="113" t="e">
        <v>#N/A</v>
      </c>
      <c r="E12" s="113"/>
      <c r="F12" s="113"/>
      <c r="G12" s="113"/>
      <c r="H12" s="113"/>
      <c r="I12" s="113" t="e">
        <v>#N/A</v>
      </c>
      <c r="J12" s="113"/>
      <c r="K12" s="113"/>
      <c r="L12" s="113"/>
      <c r="M12" s="113" t="e">
        <f t="array" ref="M12">IFERROR(MROUND(INDEX(df_proj!$E$2:$AD$1000, MATCH(1, ($A$2 = df_proj!$A$2:$A$1000) * (df_proj!$B$2:$B$1000 = $B12) * (df_proj!$C$2:$C$1000 = $D$2), 0), MATCH(TEXT(M$8, "####"), df_proj!$E$1:$AD$1,0)),5),MROUND(INDEX(df_proj!$E$2:$AD$1000, MATCH(1, ($B$2 = df_proj!$A$2:$A$1000) * (df_proj!$B$2:$B$1000 = $B12) * (df_proj!$C$2:$C$1000 = $D$2), 0), MATCH(TEXT(M$8, "####"), df_proj!$E$1:$AD$1,0)) * popn_fut!$C84/popn_fut!$E84,5))</f>
        <v>#N/A</v>
      </c>
      <c r="N12" s="113" t="e">
        <f t="array" ref="N12">IFERROR(MROUND(INDEX(df_proj!$E$2:$AD$1000, MATCH(1, ($A$2 = df_proj!$A$2:$A$1000) * (df_proj!$B$2:$B$1000 = $B12) * (df_proj!$C$2:$C$1000 = $D$2), 0), MATCH(TEXT(N$8, "####"), df_proj!$E$1:$AD$1,0)),5),MROUND(INDEX(df_proj!$E$2:$AD$1000, MATCH(1, ($B$2 = df_proj!$A$2:$A$1000) * (df_proj!$B$2:$B$1000 = $B12) * (df_proj!$C$2:$C$1000 = $D$2), 0), MATCH(TEXT(N$8, "####"), df_proj!$E$1:$AD$1,0)) * popn_fut!$C84/popn_fut!$E84,5))</f>
        <v>#N/A</v>
      </c>
      <c r="O12" s="113" t="e">
        <f t="array" ref="O12">IFERROR(MROUND(INDEX(df_proj!$E$2:$AD$1000, MATCH(1, ($A$2 = df_proj!$A$2:$A$1000) * (df_proj!$B$2:$B$1000 = $B12) * (df_proj!$C$2:$C$1000 = $D$2), 0), MATCH(TEXT(O$8, "####"), df_proj!$E$1:$AD$1,0)),5),MROUND(INDEX(df_proj!$E$2:$AD$1000, MATCH(1, ($B$2 = df_proj!$A$2:$A$1000) * (df_proj!$B$2:$B$1000 = $B12) * (df_proj!$C$2:$C$1000 = $D$2), 0), MATCH(TEXT(O$8, "####"), df_proj!$E$1:$AD$1,0)) * popn_fut!$C84/popn_fut!$E84,5))</f>
        <v>#N/A</v>
      </c>
      <c r="P12" s="113" t="e">
        <f t="array" ref="P12">IFERROR(MROUND(INDEX(df_proj!$E$2:$AD$1000, MATCH(1, ($A$2 = df_proj!$A$2:$A$1000) * (df_proj!$B$2:$B$1000 = $B12) * (df_proj!$C$2:$C$1000 = $D$2), 0), MATCH(TEXT(P$8, "####"), df_proj!$E$1:$AD$1,0)),5),MROUND(INDEX(df_proj!$E$2:$AD$1000, MATCH(1, ($B$2 = df_proj!$A$2:$A$1000) * (df_proj!$B$2:$B$1000 = $B12) * (df_proj!$C$2:$C$1000 = $D$2), 0), MATCH(TEXT(P$8, "####"), df_proj!$E$1:$AD$1,0)) * popn_fut!$C84/popn_fut!$E84,5))</f>
        <v>#N/A</v>
      </c>
      <c r="Q12" s="113" t="e">
        <f t="array" ref="Q12">IFERROR(MROUND(INDEX(df_proj!$E$2:$AD$1000, MATCH(1, ($A$2 = df_proj!$A$2:$A$1000) * (df_proj!$B$2:$B$1000 = $B12) * (df_proj!$C$2:$C$1000 = $D$2), 0), MATCH(TEXT(Q$8, "####"), df_proj!$E$1:$AD$1,0)),5),MROUND(INDEX(df_proj!$E$2:$AD$1000, MATCH(1, ($B$2 = df_proj!$A$2:$A$1000) * (df_proj!$B$2:$B$1000 = $B12) * (df_proj!$C$2:$C$1000 = $D$2), 0), MATCH(TEXT(Q$8, "####"), df_proj!$E$1:$AD$1,0)) * popn_fut!$C84/popn_fut!$E84,5))</f>
        <v>#N/A</v>
      </c>
      <c r="R12" s="113" t="e">
        <f t="array" ref="R12">IFERROR(MROUND(INDEX(df_proj!$E$2:$AD$1000, MATCH(1, ($A$2 = df_proj!$A$2:$A$1000) * (df_proj!$B$2:$B$1000 = $B12) * (df_proj!$C$2:$C$1000 = $D$2), 0), MATCH(TEXT(R$8, "####"), df_proj!$E$1:$AD$1,0)),5),MROUND(INDEX(df_proj!$E$2:$AD$1000, MATCH(1, ($B$2 = df_proj!$A$2:$A$1000) * (df_proj!$B$2:$B$1000 = $B12) * (df_proj!$C$2:$C$1000 = $D$2), 0), MATCH(TEXT(R$8, "####"), df_proj!$E$1:$AD$1,0)) * popn_fut!$C84/popn_fut!$E84,5))</f>
        <v>#N/A</v>
      </c>
      <c r="S12" s="113" t="e">
        <f t="array" ref="S12">IFERROR(MROUND(INDEX(df_proj!$E$2:$AD$1000, MATCH(1, ($A$2 = df_proj!$A$2:$A$1000) * (df_proj!$B$2:$B$1000 = $B12) * (df_proj!$C$2:$C$1000 = $D$2), 0), MATCH(TEXT(S$8, "####"), df_proj!$E$1:$AD$1,0)),5),MROUND(INDEX(df_proj!$E$2:$AD$1000, MATCH(1, ($B$2 = df_proj!$A$2:$A$1000) * (df_proj!$B$2:$B$1000 = $B12) * (df_proj!$C$2:$C$1000 = $D$2), 0), MATCH(TEXT(S$8, "####"), df_proj!$E$1:$AD$1,0)) * popn_fut!$C84/popn_fut!$E84,5))</f>
        <v>#N/A</v>
      </c>
      <c r="T12" s="113" t="e">
        <f t="array" ref="T12">IFERROR(MROUND(INDEX(df_proj!$E$2:$AD$1000, MATCH(1, ($A$2 = df_proj!$A$2:$A$1000) * (df_proj!$B$2:$B$1000 = $B12) * (df_proj!$C$2:$C$1000 = $D$2), 0), MATCH(TEXT(T$8, "####"), df_proj!$E$1:$AD$1,0)),5),MROUND(INDEX(df_proj!$E$2:$AD$1000, MATCH(1, ($B$2 = df_proj!$A$2:$A$1000) * (df_proj!$B$2:$B$1000 = $B12) * (df_proj!$C$2:$C$1000 = $D$2), 0), MATCH(TEXT(T$8, "####"), df_proj!$E$1:$AD$1,0)) * popn_fut!$C84/popn_fut!$E84,5))</f>
        <v>#N/A</v>
      </c>
      <c r="U12" s="113" t="e">
        <f t="array" ref="U12">IFERROR(MROUND(INDEX(df_proj!$E$2:$AD$1000, MATCH(1, ($A$2 = df_proj!$A$2:$A$1000) * (df_proj!$B$2:$B$1000 = $B12) * (df_proj!$C$2:$C$1000 = $D$2), 0), MATCH(TEXT(U$8, "####"), df_proj!$E$1:$AD$1,0)),5),MROUND(INDEX(df_proj!$E$2:$AD$1000, MATCH(1, ($B$2 = df_proj!$A$2:$A$1000) * (df_proj!$B$2:$B$1000 = $B12) * (df_proj!$C$2:$C$1000 = $D$2), 0), MATCH(TEXT(U$8, "####"), df_proj!$E$1:$AD$1,0)) * popn_fut!$C84/popn_fut!$E84,5))</f>
        <v>#N/A</v>
      </c>
      <c r="V12" s="113" t="e">
        <f t="array" ref="V12">IFERROR(MROUND(INDEX(df_proj!$E$2:$AD$1000, MATCH(1, ($A$2 = df_proj!$A$2:$A$1000) * (df_proj!$B$2:$B$1000 = $B12) * (df_proj!$C$2:$C$1000 = $D$2), 0), MATCH(TEXT(V$8, "####"), df_proj!$E$1:$AD$1,0)),5),MROUND(INDEX(df_proj!$E$2:$AD$1000, MATCH(1, ($B$2 = df_proj!$A$2:$A$1000) * (df_proj!$B$2:$B$1000 = $B12) * (df_proj!$C$2:$C$1000 = $D$2), 0), MATCH(TEXT(V$8, "####"), df_proj!$E$1:$AD$1,0)) * popn_fut!$C84/popn_fut!$E84,5))</f>
        <v>#N/A</v>
      </c>
      <c r="W12" s="113" t="e">
        <f t="array" ref="W12">IFERROR(MROUND(INDEX(df_proj!$E$2:$AD$1000, MATCH(1, ($A$2 = df_proj!$A$2:$A$1000) * (df_proj!$B$2:$B$1000 = $B12) * (df_proj!$C$2:$C$1000 = $D$2), 0), MATCH(TEXT(W$8, "####"), df_proj!$E$1:$AD$1,0)),5),MROUND(INDEX(df_proj!$E$2:$AD$1000, MATCH(1, ($B$2 = df_proj!$A$2:$A$1000) * (df_proj!$B$2:$B$1000 = $B12) * (df_proj!$C$2:$C$1000 = $D$2), 0), MATCH(TEXT(W$8, "####"), df_proj!$E$1:$AD$1,0)) * popn_fut!$C84/popn_fut!$E84,5))</f>
        <v>#N/A</v>
      </c>
      <c r="X12" s="113" t="e">
        <f t="array" ref="X12">IFERROR(MROUND(INDEX(df_proj!$E$2:$AD$1000, MATCH(1, ($A$2 = df_proj!$A$2:$A$1000) * (df_proj!$B$2:$B$1000 = $B12) * (df_proj!$C$2:$C$1000 = $D$2), 0), MATCH(TEXT(X$8, "####"), df_proj!$E$1:$AD$1,0)),5),MROUND(INDEX(df_proj!$E$2:$AD$1000, MATCH(1, ($B$2 = df_proj!$A$2:$A$1000) * (df_proj!$B$2:$B$1000 = $B12) * (df_proj!$C$2:$C$1000 = $D$2), 0), MATCH(TEXT(X$8, "####"), df_proj!$E$1:$AD$1,0)) * popn_fut!$C84/popn_fut!$E84,5))</f>
        <v>#N/A</v>
      </c>
      <c r="Y12" s="113" t="e">
        <f t="array" ref="Y12">IFERROR(MROUND(INDEX(df_proj!$E$2:$AD$1000, MATCH(1, ($A$2 = df_proj!$A$2:$A$1000) * (df_proj!$B$2:$B$1000 = $B12) * (df_proj!$C$2:$C$1000 = $D$2), 0), MATCH(TEXT(Y$8, "####"), df_proj!$E$1:$AD$1,0)),5),MROUND(INDEX(df_proj!$E$2:$AD$1000, MATCH(1, ($B$2 = df_proj!$A$2:$A$1000) * (df_proj!$B$2:$B$1000 = $B12) * (df_proj!$C$2:$C$1000 = $D$2), 0), MATCH(TEXT(Y$8, "####"), df_proj!$E$1:$AD$1,0)) * popn_fut!$C84/popn_fut!$E84,5))</f>
        <v>#N/A</v>
      </c>
      <c r="Z12" s="113" t="e">
        <f t="array" ref="Z12">IFERROR(MROUND(INDEX(df_proj!$E$2:$AD$1000, MATCH(1, ($A$2 = df_proj!$A$2:$A$1000) * (df_proj!$B$2:$B$1000 = $B12) * (df_proj!$C$2:$C$1000 = $D$2), 0), MATCH(TEXT(Z$8, "####"), df_proj!$E$1:$AD$1,0)),5),MROUND(INDEX(df_proj!$E$2:$AD$1000, MATCH(1, ($B$2 = df_proj!$A$2:$A$1000) * (df_proj!$B$2:$B$1000 = $B12) * (df_proj!$C$2:$C$1000 = $D$2), 0), MATCH(TEXT(Z$8, "####"), df_proj!$E$1:$AD$1,0)) * popn_fut!$C84/popn_fut!$E84,5))</f>
        <v>#N/A</v>
      </c>
      <c r="AA12" s="113" t="e">
        <f t="array" ref="AA12">IFERROR(MROUND(INDEX(df_proj!$E$2:$AD$1000, MATCH(1, ($A$2 = df_proj!$A$2:$A$1000) * (df_proj!$B$2:$B$1000 = $B12) * (df_proj!$C$2:$C$1000 = $D$2), 0), MATCH(TEXT(AA$8, "####"), df_proj!$E$1:$AD$1,0)),5),MROUND(INDEX(df_proj!$E$2:$AD$1000, MATCH(1, ($B$2 = df_proj!$A$2:$A$1000) * (df_proj!$B$2:$B$1000 = $B12) * (df_proj!$C$2:$C$1000 = $D$2), 0), MATCH(TEXT(AA$8, "####"), df_proj!$E$1:$AD$1,0)) * popn_fut!$C84/popn_fut!$E84,5))</f>
        <v>#N/A</v>
      </c>
      <c r="AB12" s="113" t="e">
        <f t="array" ref="AB12">IFERROR(MROUND(INDEX(df_proj!$E$2:$AD$1000, MATCH(1, ($A$2 = df_proj!$A$2:$A$1000) * (df_proj!$B$2:$B$1000 = $B12) * (df_proj!$C$2:$C$1000 = $D$2), 0), MATCH(TEXT(AB$8, "####"), df_proj!$E$1:$AD$1,0)),5),MROUND(INDEX(df_proj!$E$2:$AD$1000, MATCH(1, ($B$2 = df_proj!$A$2:$A$1000) * (df_proj!$B$2:$B$1000 = $B12) * (df_proj!$C$2:$C$1000 = $D$2), 0), MATCH(TEXT(AB$8, "####"), df_proj!$E$1:$AD$1,0)) * popn_fut!$C84/popn_fut!$E84,5))</f>
        <v>#N/A</v>
      </c>
      <c r="AC12" s="113" t="e">
        <f t="array" ref="AC12">IFERROR(MROUND(INDEX(df_proj!$E$2:$AD$1000, MATCH(1, ($A$2 = df_proj!$A$2:$A$1000) * (df_proj!$B$2:$B$1000 = $B12) * (df_proj!$C$2:$C$1000 = $D$2), 0), MATCH(TEXT(AC$8, "####"), df_proj!$E$1:$AD$1,0)),5),MROUND(INDEX(df_proj!$E$2:$AD$1000, MATCH(1, ($B$2 = df_proj!$A$2:$A$1000) * (df_proj!$B$2:$B$1000 = $B12) * (df_proj!$C$2:$C$1000 = $D$2), 0), MATCH(TEXT(AC$8, "####"), df_proj!$E$1:$AD$1,0)) * popn_fut!$C84/popn_fut!$E84,5))</f>
        <v>#N/A</v>
      </c>
      <c r="AD12" s="113" t="e">
        <f t="array" ref="AD12">IFERROR(MROUND(INDEX(df_proj!$E$2:$AD$1000, MATCH(1, ($A$2 = df_proj!$A$2:$A$1000) * (df_proj!$B$2:$B$1000 = $B12) * (df_proj!$C$2:$C$1000 = $D$2), 0), MATCH(TEXT(AD$8, "####"), df_proj!$E$1:$AD$1,0)),5),MROUND(INDEX(df_proj!$E$2:$AD$1000, MATCH(1, ($B$2 = df_proj!$A$2:$A$1000) * (df_proj!$B$2:$B$1000 = $B12) * (df_proj!$C$2:$C$1000 = $D$2), 0), MATCH(TEXT(AD$8, "####"), df_proj!$E$1:$AD$1,0)) * popn_fut!$C84/popn_fut!$E84,5))</f>
        <v>#N/A</v>
      </c>
      <c r="AE12" s="113" t="e">
        <f t="array" ref="AE12">IFERROR(MROUND(INDEX(df_proj!$E$2:$AD$1000, MATCH(1, ($A$2 = df_proj!$A$2:$A$1000) * (df_proj!$B$2:$B$1000 = $B12) * (df_proj!$C$2:$C$1000 = $D$2), 0), MATCH(TEXT(AE$8, "####"), df_proj!$E$1:$AD$1,0)),5),MROUND(INDEX(df_proj!$E$2:$AD$1000, MATCH(1, ($B$2 = df_proj!$A$2:$A$1000) * (df_proj!$B$2:$B$1000 = $B12) * (df_proj!$C$2:$C$1000 = $D$2), 0), MATCH(TEXT(AE$8, "####"), df_proj!$E$1:$AD$1,0)) * popn_fut!$C84/popn_fut!$E84,5))</f>
        <v>#N/A</v>
      </c>
      <c r="AF12" s="113" t="e">
        <f t="array" ref="AF12">IFERROR(MROUND(INDEX(df_proj!$E$2:$AD$1000, MATCH(1, ($A$2 = df_proj!$A$2:$A$1000) * (df_proj!$B$2:$B$1000 = $B12) * (df_proj!$C$2:$C$1000 = $D$2), 0), MATCH(TEXT(AF$8, "####"), df_proj!$E$1:$AD$1,0)),5),MROUND(INDEX(df_proj!$E$2:$AD$1000, MATCH(1, ($B$2 = df_proj!$A$2:$A$1000) * (df_proj!$B$2:$B$1000 = $B12) * (df_proj!$C$2:$C$1000 = $D$2), 0), MATCH(TEXT(AF$8, "####"), df_proj!$E$1:$AD$1,0)) * popn_fut!$C84/popn_fut!$E84,5))</f>
        <v>#N/A</v>
      </c>
      <c r="AG12" s="113" t="e">
        <f t="array" ref="AG12">IFERROR(MROUND(INDEX(df_proj!$E$2:$AD$1000, MATCH(1, ($A$2 = df_proj!$A$2:$A$1000) * (df_proj!$B$2:$B$1000 = $B12) * (df_proj!$C$2:$C$1000 = $D$2), 0), MATCH(TEXT(AG$8, "####"), df_proj!$E$1:$AD$1,0)),5),MROUND(INDEX(df_proj!$E$2:$AD$1000, MATCH(1, ($B$2 = df_proj!$A$2:$A$1000) * (df_proj!$B$2:$B$1000 = $B12) * (df_proj!$C$2:$C$1000 = $D$2), 0), MATCH(TEXT(AG$8, "####"), df_proj!$E$1:$AD$1,0)) * popn_fut!$C84/popn_fut!$E84,5))</f>
        <v>#N/A</v>
      </c>
      <c r="AH12" s="113" t="e">
        <f t="array" ref="AH12">IFERROR(MROUND(INDEX(df_proj!$E$2:$AD$1000, MATCH(1, ($A$2 = df_proj!$A$2:$A$1000) * (df_proj!$B$2:$B$1000 = $B12) * (df_proj!$C$2:$C$1000 = $D$2), 0), MATCH(TEXT(AH$8, "####"), df_proj!$E$1:$AD$1,0)),5),MROUND(INDEX(df_proj!$E$2:$AD$1000, MATCH(1, ($B$2 = df_proj!$A$2:$A$1000) * (df_proj!$B$2:$B$1000 = $B12) * (df_proj!$C$2:$C$1000 = $D$2), 0), MATCH(TEXT(AH$8, "####"), df_proj!$E$1:$AD$1,0)) * popn_fut!$C84/popn_fut!$E84,5))</f>
        <v>#N/A</v>
      </c>
      <c r="AI12" s="113" t="e">
        <f t="array" ref="AI12">IFERROR(MROUND(INDEX(df_proj!$E$2:$AD$1000, MATCH(1, ($A$2 = df_proj!$A$2:$A$1000) * (df_proj!$B$2:$B$1000 = $B12) * (df_proj!$C$2:$C$1000 = $D$2), 0), MATCH(TEXT(AI$8, "####"), df_proj!$E$1:$AD$1,0)),5),MROUND(INDEX(df_proj!$E$2:$AD$1000, MATCH(1, ($B$2 = df_proj!$A$2:$A$1000) * (df_proj!$B$2:$B$1000 = $B12) * (df_proj!$C$2:$C$1000 = $D$2), 0), MATCH(TEXT(AI$8, "####"), df_proj!$E$1:$AD$1,0)) * popn_fut!$C84/popn_fut!$E84,5))</f>
        <v>#N/A</v>
      </c>
      <c r="AJ12" s="113" t="e">
        <f t="array" ref="AJ12">IFERROR(MROUND(INDEX(df_proj!$E$2:$AD$1000, MATCH(1, ($A$2 = df_proj!$A$2:$A$1000) * (df_proj!$B$2:$B$1000 = $B12) * (df_proj!$C$2:$C$1000 = $D$2), 0), MATCH(TEXT(AJ$8, "####"), df_proj!$E$1:$AD$1,0)),5),MROUND(INDEX(df_proj!$E$2:$AD$1000, MATCH(1, ($B$2 = df_proj!$A$2:$A$1000) * (df_proj!$B$2:$B$1000 = $B12) * (df_proj!$C$2:$C$1000 = $D$2), 0), MATCH(TEXT(AJ$8, "####"), df_proj!$E$1:$AD$1,0)) * popn_fut!$C84/popn_fut!$E84,5))</f>
        <v>#N/A</v>
      </c>
      <c r="AK12" s="113" t="e">
        <f t="array" ref="AK12">IFERROR(MROUND(INDEX(df_proj!$E$2:$AD$1000, MATCH(1, ($A$2 = df_proj!$A$2:$A$1000) * (df_proj!$B$2:$B$1000 = $B12) * (df_proj!$C$2:$C$1000 = $D$2), 0), MATCH(TEXT(AK$8, "####"), df_proj!$E$1:$AD$1,0)),5),MROUND(INDEX(df_proj!$E$2:$AD$1000, MATCH(1, ($B$2 = df_proj!$A$2:$A$1000) * (df_proj!$B$2:$B$1000 = $B12) * (df_proj!$C$2:$C$1000 = $D$2), 0), MATCH(TEXT(AK$8, "####"), df_proj!$E$1:$AD$1,0)) * popn_fut!$C84/popn_fut!$E84,5))</f>
        <v>#N/A</v>
      </c>
      <c r="AL12" s="329" t="e">
        <f t="array" ref="AL12">IFERROR(MROUND(INDEX(df_proj!$E$2:$AD$1000, MATCH(1, ($A$2 = df_proj!$A$2:$A$1000) * (df_proj!$B$2:$B$1000 = $B12) * (df_proj!$C$2:$C$1000 = $D$2), 0), MATCH(TEXT(AL$8, "####"), df_proj!$E$1:$AD$1,0)),5),MROUND(INDEX(df_proj!$E$2:$AD$1000, MATCH(1, ($B$2 = df_proj!$A$2:$A$1000) * (df_proj!$B$2:$B$1000 = $B12) * (df_proj!$C$2:$C$1000 = $D$2), 0), MATCH(TEXT(AL$8, "####"), df_proj!$E$1:$AD$1,0)) * popn_fut!$C84/popn_fut!$E84,5))</f>
        <v>#N/A</v>
      </c>
      <c r="AM12" s="239" t="e">
        <f t="shared" ref="AM12:AM27" si="0">AM11+I12</f>
        <v>#N/A</v>
      </c>
      <c r="AP12" s="239" t="e">
        <f t="shared" ref="AP12:AP26" si="1">AP11+W12</f>
        <v>#N/A</v>
      </c>
    </row>
    <row r="13" spans="1:42" ht="20.100000000000001" customHeight="1" x14ac:dyDescent="0.2">
      <c r="A13" s="299">
        <v>15</v>
      </c>
      <c r="B13" s="277" t="s">
        <v>119</v>
      </c>
      <c r="C13" s="111"/>
      <c r="D13" s="111" t="e">
        <v>#N/A</v>
      </c>
      <c r="E13" s="111"/>
      <c r="F13" s="111"/>
      <c r="G13" s="111"/>
      <c r="H13" s="111"/>
      <c r="I13" s="111" t="e">
        <v>#N/A</v>
      </c>
      <c r="J13" s="111"/>
      <c r="K13" s="111"/>
      <c r="L13" s="111"/>
      <c r="M13" s="111" t="e">
        <f t="array" ref="M13">IFERROR(MROUND(INDEX(df_proj!$E$2:$AD$1000, MATCH(1, ($A$2 = df_proj!$A$2:$A$1000) * (df_proj!$B$2:$B$1000 = $B13) * (df_proj!$C$2:$C$1000 = $D$2), 0), MATCH(TEXT(M$8, "####"), df_proj!$E$1:$AD$1,0)),5),MROUND(INDEX(df_proj!$E$2:$AD$1000, MATCH(1, ($B$2 = df_proj!$A$2:$A$1000) * (df_proj!$B$2:$B$1000 = $B13) * (df_proj!$C$2:$C$1000 = $D$2), 0), MATCH(TEXT(M$8, "####"), df_proj!$E$1:$AD$1,0)) * popn_fut!$C85/popn_fut!$E85,5))</f>
        <v>#N/A</v>
      </c>
      <c r="N13" s="111" t="e">
        <f t="array" ref="N13">IFERROR(MROUND(INDEX(df_proj!$E$2:$AD$1000, MATCH(1, ($A$2 = df_proj!$A$2:$A$1000) * (df_proj!$B$2:$B$1000 = $B13) * (df_proj!$C$2:$C$1000 = $D$2), 0), MATCH(TEXT(N$8, "####"), df_proj!$E$1:$AD$1,0)),5),MROUND(INDEX(df_proj!$E$2:$AD$1000, MATCH(1, ($B$2 = df_proj!$A$2:$A$1000) * (df_proj!$B$2:$B$1000 = $B13) * (df_proj!$C$2:$C$1000 = $D$2), 0), MATCH(TEXT(N$8, "####"), df_proj!$E$1:$AD$1,0)) * popn_fut!$C85/popn_fut!$E85,5))</f>
        <v>#N/A</v>
      </c>
      <c r="O13" s="111" t="e">
        <f t="array" ref="O13">IFERROR(MROUND(INDEX(df_proj!$E$2:$AD$1000, MATCH(1, ($A$2 = df_proj!$A$2:$A$1000) * (df_proj!$B$2:$B$1000 = $B13) * (df_proj!$C$2:$C$1000 = $D$2), 0), MATCH(TEXT(O$8, "####"), df_proj!$E$1:$AD$1,0)),5),MROUND(INDEX(df_proj!$E$2:$AD$1000, MATCH(1, ($B$2 = df_proj!$A$2:$A$1000) * (df_proj!$B$2:$B$1000 = $B13) * (df_proj!$C$2:$C$1000 = $D$2), 0), MATCH(TEXT(O$8, "####"), df_proj!$E$1:$AD$1,0)) * popn_fut!$C85/popn_fut!$E85,5))</f>
        <v>#N/A</v>
      </c>
      <c r="P13" s="111" t="e">
        <f t="array" ref="P13">IFERROR(MROUND(INDEX(df_proj!$E$2:$AD$1000, MATCH(1, ($A$2 = df_proj!$A$2:$A$1000) * (df_proj!$B$2:$B$1000 = $B13) * (df_proj!$C$2:$C$1000 = $D$2), 0), MATCH(TEXT(P$8, "####"), df_proj!$E$1:$AD$1,0)),5),MROUND(INDEX(df_proj!$E$2:$AD$1000, MATCH(1, ($B$2 = df_proj!$A$2:$A$1000) * (df_proj!$B$2:$B$1000 = $B13) * (df_proj!$C$2:$C$1000 = $D$2), 0), MATCH(TEXT(P$8, "####"), df_proj!$E$1:$AD$1,0)) * popn_fut!$C85/popn_fut!$E85,5))</f>
        <v>#N/A</v>
      </c>
      <c r="Q13" s="111" t="e">
        <f t="array" ref="Q13">IFERROR(MROUND(INDEX(df_proj!$E$2:$AD$1000, MATCH(1, ($A$2 = df_proj!$A$2:$A$1000) * (df_proj!$B$2:$B$1000 = $B13) * (df_proj!$C$2:$C$1000 = $D$2), 0), MATCH(TEXT(Q$8, "####"), df_proj!$E$1:$AD$1,0)),5),MROUND(INDEX(df_proj!$E$2:$AD$1000, MATCH(1, ($B$2 = df_proj!$A$2:$A$1000) * (df_proj!$B$2:$B$1000 = $B13) * (df_proj!$C$2:$C$1000 = $D$2), 0), MATCH(TEXT(Q$8, "####"), df_proj!$E$1:$AD$1,0)) * popn_fut!$C85/popn_fut!$E85,5))</f>
        <v>#N/A</v>
      </c>
      <c r="R13" s="111" t="e">
        <f t="array" ref="R13">IFERROR(MROUND(INDEX(df_proj!$E$2:$AD$1000, MATCH(1, ($A$2 = df_proj!$A$2:$A$1000) * (df_proj!$B$2:$B$1000 = $B13) * (df_proj!$C$2:$C$1000 = $D$2), 0), MATCH(TEXT(R$8, "####"), df_proj!$E$1:$AD$1,0)),5),MROUND(INDEX(df_proj!$E$2:$AD$1000, MATCH(1, ($B$2 = df_proj!$A$2:$A$1000) * (df_proj!$B$2:$B$1000 = $B13) * (df_proj!$C$2:$C$1000 = $D$2), 0), MATCH(TEXT(R$8, "####"), df_proj!$E$1:$AD$1,0)) * popn_fut!$C85/popn_fut!$E85,5))</f>
        <v>#N/A</v>
      </c>
      <c r="S13" s="111" t="e">
        <f t="array" ref="S13">IFERROR(MROUND(INDEX(df_proj!$E$2:$AD$1000, MATCH(1, ($A$2 = df_proj!$A$2:$A$1000) * (df_proj!$B$2:$B$1000 = $B13) * (df_proj!$C$2:$C$1000 = $D$2), 0), MATCH(TEXT(S$8, "####"), df_proj!$E$1:$AD$1,0)),5),MROUND(INDEX(df_proj!$E$2:$AD$1000, MATCH(1, ($B$2 = df_proj!$A$2:$A$1000) * (df_proj!$B$2:$B$1000 = $B13) * (df_proj!$C$2:$C$1000 = $D$2), 0), MATCH(TEXT(S$8, "####"), df_proj!$E$1:$AD$1,0)) * popn_fut!$C85/popn_fut!$E85,5))</f>
        <v>#N/A</v>
      </c>
      <c r="T13" s="111" t="e">
        <f t="array" ref="T13">IFERROR(MROUND(INDEX(df_proj!$E$2:$AD$1000, MATCH(1, ($A$2 = df_proj!$A$2:$A$1000) * (df_proj!$B$2:$B$1000 = $B13) * (df_proj!$C$2:$C$1000 = $D$2), 0), MATCH(TEXT(T$8, "####"), df_proj!$E$1:$AD$1,0)),5),MROUND(INDEX(df_proj!$E$2:$AD$1000, MATCH(1, ($B$2 = df_proj!$A$2:$A$1000) * (df_proj!$B$2:$B$1000 = $B13) * (df_proj!$C$2:$C$1000 = $D$2), 0), MATCH(TEXT(T$8, "####"), df_proj!$E$1:$AD$1,0)) * popn_fut!$C85/popn_fut!$E85,5))</f>
        <v>#N/A</v>
      </c>
      <c r="U13" s="111" t="e">
        <f t="array" ref="U13">IFERROR(MROUND(INDEX(df_proj!$E$2:$AD$1000, MATCH(1, ($A$2 = df_proj!$A$2:$A$1000) * (df_proj!$B$2:$B$1000 = $B13) * (df_proj!$C$2:$C$1000 = $D$2), 0), MATCH(TEXT(U$8, "####"), df_proj!$E$1:$AD$1,0)),5),MROUND(INDEX(df_proj!$E$2:$AD$1000, MATCH(1, ($B$2 = df_proj!$A$2:$A$1000) * (df_proj!$B$2:$B$1000 = $B13) * (df_proj!$C$2:$C$1000 = $D$2), 0), MATCH(TEXT(U$8, "####"), df_proj!$E$1:$AD$1,0)) * popn_fut!$C85/popn_fut!$E85,5))</f>
        <v>#N/A</v>
      </c>
      <c r="V13" s="111" t="e">
        <f t="array" ref="V13">IFERROR(MROUND(INDEX(df_proj!$E$2:$AD$1000, MATCH(1, ($A$2 = df_proj!$A$2:$A$1000) * (df_proj!$B$2:$B$1000 = $B13) * (df_proj!$C$2:$C$1000 = $D$2), 0), MATCH(TEXT(V$8, "####"), df_proj!$E$1:$AD$1,0)),5),MROUND(INDEX(df_proj!$E$2:$AD$1000, MATCH(1, ($B$2 = df_proj!$A$2:$A$1000) * (df_proj!$B$2:$B$1000 = $B13) * (df_proj!$C$2:$C$1000 = $D$2), 0), MATCH(TEXT(V$8, "####"), df_proj!$E$1:$AD$1,0)) * popn_fut!$C85/popn_fut!$E85,5))</f>
        <v>#N/A</v>
      </c>
      <c r="W13" s="111" t="e">
        <f t="array" ref="W13">IFERROR(MROUND(INDEX(df_proj!$E$2:$AD$1000, MATCH(1, ($A$2 = df_proj!$A$2:$A$1000) * (df_proj!$B$2:$B$1000 = $B13) * (df_proj!$C$2:$C$1000 = $D$2), 0), MATCH(TEXT(W$8, "####"), df_proj!$E$1:$AD$1,0)),5),MROUND(INDEX(df_proj!$E$2:$AD$1000, MATCH(1, ($B$2 = df_proj!$A$2:$A$1000) * (df_proj!$B$2:$B$1000 = $B13) * (df_proj!$C$2:$C$1000 = $D$2), 0), MATCH(TEXT(W$8, "####"), df_proj!$E$1:$AD$1,0)) * popn_fut!$C85/popn_fut!$E85,5))</f>
        <v>#N/A</v>
      </c>
      <c r="X13" s="111" t="e">
        <f t="array" ref="X13">IFERROR(MROUND(INDEX(df_proj!$E$2:$AD$1000, MATCH(1, ($A$2 = df_proj!$A$2:$A$1000) * (df_proj!$B$2:$B$1000 = $B13) * (df_proj!$C$2:$C$1000 = $D$2), 0), MATCH(TEXT(X$8, "####"), df_proj!$E$1:$AD$1,0)),5),MROUND(INDEX(df_proj!$E$2:$AD$1000, MATCH(1, ($B$2 = df_proj!$A$2:$A$1000) * (df_proj!$B$2:$B$1000 = $B13) * (df_proj!$C$2:$C$1000 = $D$2), 0), MATCH(TEXT(X$8, "####"), df_proj!$E$1:$AD$1,0)) * popn_fut!$C85/popn_fut!$E85,5))</f>
        <v>#N/A</v>
      </c>
      <c r="Y13" s="111" t="e">
        <f t="array" ref="Y13">IFERROR(MROUND(INDEX(df_proj!$E$2:$AD$1000, MATCH(1, ($A$2 = df_proj!$A$2:$A$1000) * (df_proj!$B$2:$B$1000 = $B13) * (df_proj!$C$2:$C$1000 = $D$2), 0), MATCH(TEXT(Y$8, "####"), df_proj!$E$1:$AD$1,0)),5),MROUND(INDEX(df_proj!$E$2:$AD$1000, MATCH(1, ($B$2 = df_proj!$A$2:$A$1000) * (df_proj!$B$2:$B$1000 = $B13) * (df_proj!$C$2:$C$1000 = $D$2), 0), MATCH(TEXT(Y$8, "####"), df_proj!$E$1:$AD$1,0)) * popn_fut!$C85/popn_fut!$E85,5))</f>
        <v>#N/A</v>
      </c>
      <c r="Z13" s="111" t="e">
        <f t="array" ref="Z13">IFERROR(MROUND(INDEX(df_proj!$E$2:$AD$1000, MATCH(1, ($A$2 = df_proj!$A$2:$A$1000) * (df_proj!$B$2:$B$1000 = $B13) * (df_proj!$C$2:$C$1000 = $D$2), 0), MATCH(TEXT(Z$8, "####"), df_proj!$E$1:$AD$1,0)),5),MROUND(INDEX(df_proj!$E$2:$AD$1000, MATCH(1, ($B$2 = df_proj!$A$2:$A$1000) * (df_proj!$B$2:$B$1000 = $B13) * (df_proj!$C$2:$C$1000 = $D$2), 0), MATCH(TEXT(Z$8, "####"), df_proj!$E$1:$AD$1,0)) * popn_fut!$C85/popn_fut!$E85,5))</f>
        <v>#N/A</v>
      </c>
      <c r="AA13" s="111" t="e">
        <f t="array" ref="AA13">IFERROR(MROUND(INDEX(df_proj!$E$2:$AD$1000, MATCH(1, ($A$2 = df_proj!$A$2:$A$1000) * (df_proj!$B$2:$B$1000 = $B13) * (df_proj!$C$2:$C$1000 = $D$2), 0), MATCH(TEXT(AA$8, "####"), df_proj!$E$1:$AD$1,0)),5),MROUND(INDEX(df_proj!$E$2:$AD$1000, MATCH(1, ($B$2 = df_proj!$A$2:$A$1000) * (df_proj!$B$2:$B$1000 = $B13) * (df_proj!$C$2:$C$1000 = $D$2), 0), MATCH(TEXT(AA$8, "####"), df_proj!$E$1:$AD$1,0)) * popn_fut!$C85/popn_fut!$E85,5))</f>
        <v>#N/A</v>
      </c>
      <c r="AB13" s="111" t="e">
        <f t="array" ref="AB13">IFERROR(MROUND(INDEX(df_proj!$E$2:$AD$1000, MATCH(1, ($A$2 = df_proj!$A$2:$A$1000) * (df_proj!$B$2:$B$1000 = $B13) * (df_proj!$C$2:$C$1000 = $D$2), 0), MATCH(TEXT(AB$8, "####"), df_proj!$E$1:$AD$1,0)),5),MROUND(INDEX(df_proj!$E$2:$AD$1000, MATCH(1, ($B$2 = df_proj!$A$2:$A$1000) * (df_proj!$B$2:$B$1000 = $B13) * (df_proj!$C$2:$C$1000 = $D$2), 0), MATCH(TEXT(AB$8, "####"), df_proj!$E$1:$AD$1,0)) * popn_fut!$C85/popn_fut!$E85,5))</f>
        <v>#N/A</v>
      </c>
      <c r="AC13" s="111" t="e">
        <f t="array" ref="AC13">IFERROR(MROUND(INDEX(df_proj!$E$2:$AD$1000, MATCH(1, ($A$2 = df_proj!$A$2:$A$1000) * (df_proj!$B$2:$B$1000 = $B13) * (df_proj!$C$2:$C$1000 = $D$2), 0), MATCH(TEXT(AC$8, "####"), df_proj!$E$1:$AD$1,0)),5),MROUND(INDEX(df_proj!$E$2:$AD$1000, MATCH(1, ($B$2 = df_proj!$A$2:$A$1000) * (df_proj!$B$2:$B$1000 = $B13) * (df_proj!$C$2:$C$1000 = $D$2), 0), MATCH(TEXT(AC$8, "####"), df_proj!$E$1:$AD$1,0)) * popn_fut!$C85/popn_fut!$E85,5))</f>
        <v>#N/A</v>
      </c>
      <c r="AD13" s="111" t="e">
        <f t="array" ref="AD13">IFERROR(MROUND(INDEX(df_proj!$E$2:$AD$1000, MATCH(1, ($A$2 = df_proj!$A$2:$A$1000) * (df_proj!$B$2:$B$1000 = $B13) * (df_proj!$C$2:$C$1000 = $D$2), 0), MATCH(TEXT(AD$8, "####"), df_proj!$E$1:$AD$1,0)),5),MROUND(INDEX(df_proj!$E$2:$AD$1000, MATCH(1, ($B$2 = df_proj!$A$2:$A$1000) * (df_proj!$B$2:$B$1000 = $B13) * (df_proj!$C$2:$C$1000 = $D$2), 0), MATCH(TEXT(AD$8, "####"), df_proj!$E$1:$AD$1,0)) * popn_fut!$C85/popn_fut!$E85,5))</f>
        <v>#N/A</v>
      </c>
      <c r="AE13" s="111" t="e">
        <f t="array" ref="AE13">IFERROR(MROUND(INDEX(df_proj!$E$2:$AD$1000, MATCH(1, ($A$2 = df_proj!$A$2:$A$1000) * (df_proj!$B$2:$B$1000 = $B13) * (df_proj!$C$2:$C$1000 = $D$2), 0), MATCH(TEXT(AE$8, "####"), df_proj!$E$1:$AD$1,0)),5),MROUND(INDEX(df_proj!$E$2:$AD$1000, MATCH(1, ($B$2 = df_proj!$A$2:$A$1000) * (df_proj!$B$2:$B$1000 = $B13) * (df_proj!$C$2:$C$1000 = $D$2), 0), MATCH(TEXT(AE$8, "####"), df_proj!$E$1:$AD$1,0)) * popn_fut!$C85/popn_fut!$E85,5))</f>
        <v>#N/A</v>
      </c>
      <c r="AF13" s="111" t="e">
        <f t="array" ref="AF13">IFERROR(MROUND(INDEX(df_proj!$E$2:$AD$1000, MATCH(1, ($A$2 = df_proj!$A$2:$A$1000) * (df_proj!$B$2:$B$1000 = $B13) * (df_proj!$C$2:$C$1000 = $D$2), 0), MATCH(TEXT(AF$8, "####"), df_proj!$E$1:$AD$1,0)),5),MROUND(INDEX(df_proj!$E$2:$AD$1000, MATCH(1, ($B$2 = df_proj!$A$2:$A$1000) * (df_proj!$B$2:$B$1000 = $B13) * (df_proj!$C$2:$C$1000 = $D$2), 0), MATCH(TEXT(AF$8, "####"), df_proj!$E$1:$AD$1,0)) * popn_fut!$C85/popn_fut!$E85,5))</f>
        <v>#N/A</v>
      </c>
      <c r="AG13" s="111" t="e">
        <f t="array" ref="AG13">IFERROR(MROUND(INDEX(df_proj!$E$2:$AD$1000, MATCH(1, ($A$2 = df_proj!$A$2:$A$1000) * (df_proj!$B$2:$B$1000 = $B13) * (df_proj!$C$2:$C$1000 = $D$2), 0), MATCH(TEXT(AG$8, "####"), df_proj!$E$1:$AD$1,0)),5),MROUND(INDEX(df_proj!$E$2:$AD$1000, MATCH(1, ($B$2 = df_proj!$A$2:$A$1000) * (df_proj!$B$2:$B$1000 = $B13) * (df_proj!$C$2:$C$1000 = $D$2), 0), MATCH(TEXT(AG$8, "####"), df_proj!$E$1:$AD$1,0)) * popn_fut!$C85/popn_fut!$E85,5))</f>
        <v>#N/A</v>
      </c>
      <c r="AH13" s="111" t="e">
        <f t="array" ref="AH13">IFERROR(MROUND(INDEX(df_proj!$E$2:$AD$1000, MATCH(1, ($A$2 = df_proj!$A$2:$A$1000) * (df_proj!$B$2:$B$1000 = $B13) * (df_proj!$C$2:$C$1000 = $D$2), 0), MATCH(TEXT(AH$8, "####"), df_proj!$E$1:$AD$1,0)),5),MROUND(INDEX(df_proj!$E$2:$AD$1000, MATCH(1, ($B$2 = df_proj!$A$2:$A$1000) * (df_proj!$B$2:$B$1000 = $B13) * (df_proj!$C$2:$C$1000 = $D$2), 0), MATCH(TEXT(AH$8, "####"), df_proj!$E$1:$AD$1,0)) * popn_fut!$C85/popn_fut!$E85,5))</f>
        <v>#N/A</v>
      </c>
      <c r="AI13" s="111" t="e">
        <f t="array" ref="AI13">IFERROR(MROUND(INDEX(df_proj!$E$2:$AD$1000, MATCH(1, ($A$2 = df_proj!$A$2:$A$1000) * (df_proj!$B$2:$B$1000 = $B13) * (df_proj!$C$2:$C$1000 = $D$2), 0), MATCH(TEXT(AI$8, "####"), df_proj!$E$1:$AD$1,0)),5),MROUND(INDEX(df_proj!$E$2:$AD$1000, MATCH(1, ($B$2 = df_proj!$A$2:$A$1000) * (df_proj!$B$2:$B$1000 = $B13) * (df_proj!$C$2:$C$1000 = $D$2), 0), MATCH(TEXT(AI$8, "####"), df_proj!$E$1:$AD$1,0)) * popn_fut!$C85/popn_fut!$E85,5))</f>
        <v>#N/A</v>
      </c>
      <c r="AJ13" s="111" t="e">
        <f t="array" ref="AJ13">IFERROR(MROUND(INDEX(df_proj!$E$2:$AD$1000, MATCH(1, ($A$2 = df_proj!$A$2:$A$1000) * (df_proj!$B$2:$B$1000 = $B13) * (df_proj!$C$2:$C$1000 = $D$2), 0), MATCH(TEXT(AJ$8, "####"), df_proj!$E$1:$AD$1,0)),5),MROUND(INDEX(df_proj!$E$2:$AD$1000, MATCH(1, ($B$2 = df_proj!$A$2:$A$1000) * (df_proj!$B$2:$B$1000 = $B13) * (df_proj!$C$2:$C$1000 = $D$2), 0), MATCH(TEXT(AJ$8, "####"), df_proj!$E$1:$AD$1,0)) * popn_fut!$C85/popn_fut!$E85,5))</f>
        <v>#N/A</v>
      </c>
      <c r="AK13" s="111" t="e">
        <f t="array" ref="AK13">IFERROR(MROUND(INDEX(df_proj!$E$2:$AD$1000, MATCH(1, ($A$2 = df_proj!$A$2:$A$1000) * (df_proj!$B$2:$B$1000 = $B13) * (df_proj!$C$2:$C$1000 = $D$2), 0), MATCH(TEXT(AK$8, "####"), df_proj!$E$1:$AD$1,0)),5),MROUND(INDEX(df_proj!$E$2:$AD$1000, MATCH(1, ($B$2 = df_proj!$A$2:$A$1000) * (df_proj!$B$2:$B$1000 = $B13) * (df_proj!$C$2:$C$1000 = $D$2), 0), MATCH(TEXT(AK$8, "####"), df_proj!$E$1:$AD$1,0)) * popn_fut!$C85/popn_fut!$E85,5))</f>
        <v>#N/A</v>
      </c>
      <c r="AL13" s="181" t="e">
        <f t="array" ref="AL13">IFERROR(MROUND(INDEX(df_proj!$E$2:$AD$1000, MATCH(1, ($A$2 = df_proj!$A$2:$A$1000) * (df_proj!$B$2:$B$1000 = $B13) * (df_proj!$C$2:$C$1000 = $D$2), 0), MATCH(TEXT(AL$8, "####"), df_proj!$E$1:$AD$1,0)),5),MROUND(INDEX(df_proj!$E$2:$AD$1000, MATCH(1, ($B$2 = df_proj!$A$2:$A$1000) * (df_proj!$B$2:$B$1000 = $B13) * (df_proj!$C$2:$C$1000 = $D$2), 0), MATCH(TEXT(AL$8, "####"), df_proj!$E$1:$AD$1,0)) * popn_fut!$C85/popn_fut!$E85,5))</f>
        <v>#N/A</v>
      </c>
      <c r="AM13" s="239" t="e">
        <f t="shared" si="0"/>
        <v>#N/A</v>
      </c>
      <c r="AP13" s="239" t="e">
        <f t="shared" si="1"/>
        <v>#N/A</v>
      </c>
    </row>
    <row r="14" spans="1:42" ht="20.100000000000001" customHeight="1" x14ac:dyDescent="0.2">
      <c r="A14" s="299">
        <v>20</v>
      </c>
      <c r="B14" s="118" t="s">
        <v>120</v>
      </c>
      <c r="C14" s="113"/>
      <c r="D14" s="113" t="e">
        <v>#N/A</v>
      </c>
      <c r="E14" s="113"/>
      <c r="F14" s="113"/>
      <c r="G14" s="113"/>
      <c r="H14" s="113"/>
      <c r="I14" s="113" t="e">
        <v>#N/A</v>
      </c>
      <c r="J14" s="113"/>
      <c r="K14" s="113"/>
      <c r="L14" s="113"/>
      <c r="M14" s="113" t="e">
        <f t="array" ref="M14">IFERROR(MROUND(INDEX(df_proj!$E$2:$AD$1000, MATCH(1, ($A$2 = df_proj!$A$2:$A$1000) * (df_proj!$B$2:$B$1000 = $B14) * (df_proj!$C$2:$C$1000 = $D$2), 0), MATCH(TEXT(M$8, "####"), df_proj!$E$1:$AD$1,0)),5),MROUND(INDEX(df_proj!$E$2:$AD$1000, MATCH(1, ($B$2 = df_proj!$A$2:$A$1000) * (df_proj!$B$2:$B$1000 = $B14) * (df_proj!$C$2:$C$1000 = $D$2), 0), MATCH(TEXT(M$8, "####"), df_proj!$E$1:$AD$1,0)) * popn_fut!$C86/popn_fut!$E86,5))</f>
        <v>#N/A</v>
      </c>
      <c r="N14" s="113" t="e">
        <f t="array" ref="N14">IFERROR(MROUND(INDEX(df_proj!$E$2:$AD$1000, MATCH(1, ($A$2 = df_proj!$A$2:$A$1000) * (df_proj!$B$2:$B$1000 = $B14) * (df_proj!$C$2:$C$1000 = $D$2), 0), MATCH(TEXT(N$8, "####"), df_proj!$E$1:$AD$1,0)),5),MROUND(INDEX(df_proj!$E$2:$AD$1000, MATCH(1, ($B$2 = df_proj!$A$2:$A$1000) * (df_proj!$B$2:$B$1000 = $B14) * (df_proj!$C$2:$C$1000 = $D$2), 0), MATCH(TEXT(N$8, "####"), df_proj!$E$1:$AD$1,0)) * popn_fut!$C86/popn_fut!$E86,5))</f>
        <v>#N/A</v>
      </c>
      <c r="O14" s="113" t="e">
        <f t="array" ref="O14">IFERROR(MROUND(INDEX(df_proj!$E$2:$AD$1000, MATCH(1, ($A$2 = df_proj!$A$2:$A$1000) * (df_proj!$B$2:$B$1000 = $B14) * (df_proj!$C$2:$C$1000 = $D$2), 0), MATCH(TEXT(O$8, "####"), df_proj!$E$1:$AD$1,0)),5),MROUND(INDEX(df_proj!$E$2:$AD$1000, MATCH(1, ($B$2 = df_proj!$A$2:$A$1000) * (df_proj!$B$2:$B$1000 = $B14) * (df_proj!$C$2:$C$1000 = $D$2), 0), MATCH(TEXT(O$8, "####"), df_proj!$E$1:$AD$1,0)) * popn_fut!$C86/popn_fut!$E86,5))</f>
        <v>#N/A</v>
      </c>
      <c r="P14" s="113" t="e">
        <f t="array" ref="P14">IFERROR(MROUND(INDEX(df_proj!$E$2:$AD$1000, MATCH(1, ($A$2 = df_proj!$A$2:$A$1000) * (df_proj!$B$2:$B$1000 = $B14) * (df_proj!$C$2:$C$1000 = $D$2), 0), MATCH(TEXT(P$8, "####"), df_proj!$E$1:$AD$1,0)),5),MROUND(INDEX(df_proj!$E$2:$AD$1000, MATCH(1, ($B$2 = df_proj!$A$2:$A$1000) * (df_proj!$B$2:$B$1000 = $B14) * (df_proj!$C$2:$C$1000 = $D$2), 0), MATCH(TEXT(P$8, "####"), df_proj!$E$1:$AD$1,0)) * popn_fut!$C86/popn_fut!$E86,5))</f>
        <v>#N/A</v>
      </c>
      <c r="Q14" s="113" t="e">
        <f t="array" ref="Q14">IFERROR(MROUND(INDEX(df_proj!$E$2:$AD$1000, MATCH(1, ($A$2 = df_proj!$A$2:$A$1000) * (df_proj!$B$2:$B$1000 = $B14) * (df_proj!$C$2:$C$1000 = $D$2), 0), MATCH(TEXT(Q$8, "####"), df_proj!$E$1:$AD$1,0)),5),MROUND(INDEX(df_proj!$E$2:$AD$1000, MATCH(1, ($B$2 = df_proj!$A$2:$A$1000) * (df_proj!$B$2:$B$1000 = $B14) * (df_proj!$C$2:$C$1000 = $D$2), 0), MATCH(TEXT(Q$8, "####"), df_proj!$E$1:$AD$1,0)) * popn_fut!$C86/popn_fut!$E86,5))</f>
        <v>#N/A</v>
      </c>
      <c r="R14" s="113" t="e">
        <f t="array" ref="R14">IFERROR(MROUND(INDEX(df_proj!$E$2:$AD$1000, MATCH(1, ($A$2 = df_proj!$A$2:$A$1000) * (df_proj!$B$2:$B$1000 = $B14) * (df_proj!$C$2:$C$1000 = $D$2), 0), MATCH(TEXT(R$8, "####"), df_proj!$E$1:$AD$1,0)),5),MROUND(INDEX(df_proj!$E$2:$AD$1000, MATCH(1, ($B$2 = df_proj!$A$2:$A$1000) * (df_proj!$B$2:$B$1000 = $B14) * (df_proj!$C$2:$C$1000 = $D$2), 0), MATCH(TEXT(R$8, "####"), df_proj!$E$1:$AD$1,0)) * popn_fut!$C86/popn_fut!$E86,5))</f>
        <v>#N/A</v>
      </c>
      <c r="S14" s="113" t="e">
        <f t="array" ref="S14">IFERROR(MROUND(INDEX(df_proj!$E$2:$AD$1000, MATCH(1, ($A$2 = df_proj!$A$2:$A$1000) * (df_proj!$B$2:$B$1000 = $B14) * (df_proj!$C$2:$C$1000 = $D$2), 0), MATCH(TEXT(S$8, "####"), df_proj!$E$1:$AD$1,0)),5),MROUND(INDEX(df_proj!$E$2:$AD$1000, MATCH(1, ($B$2 = df_proj!$A$2:$A$1000) * (df_proj!$B$2:$B$1000 = $B14) * (df_proj!$C$2:$C$1000 = $D$2), 0), MATCH(TEXT(S$8, "####"), df_proj!$E$1:$AD$1,0)) * popn_fut!$C86/popn_fut!$E86,5))</f>
        <v>#N/A</v>
      </c>
      <c r="T14" s="113" t="e">
        <f t="array" ref="T14">IFERROR(MROUND(INDEX(df_proj!$E$2:$AD$1000, MATCH(1, ($A$2 = df_proj!$A$2:$A$1000) * (df_proj!$B$2:$B$1000 = $B14) * (df_proj!$C$2:$C$1000 = $D$2), 0), MATCH(TEXT(T$8, "####"), df_proj!$E$1:$AD$1,0)),5),MROUND(INDEX(df_proj!$E$2:$AD$1000, MATCH(1, ($B$2 = df_proj!$A$2:$A$1000) * (df_proj!$B$2:$B$1000 = $B14) * (df_proj!$C$2:$C$1000 = $D$2), 0), MATCH(TEXT(T$8, "####"), df_proj!$E$1:$AD$1,0)) * popn_fut!$C86/popn_fut!$E86,5))</f>
        <v>#N/A</v>
      </c>
      <c r="U14" s="113" t="e">
        <f t="array" ref="U14">IFERROR(MROUND(INDEX(df_proj!$E$2:$AD$1000, MATCH(1, ($A$2 = df_proj!$A$2:$A$1000) * (df_proj!$B$2:$B$1000 = $B14) * (df_proj!$C$2:$C$1000 = $D$2), 0), MATCH(TEXT(U$8, "####"), df_proj!$E$1:$AD$1,0)),5),MROUND(INDEX(df_proj!$E$2:$AD$1000, MATCH(1, ($B$2 = df_proj!$A$2:$A$1000) * (df_proj!$B$2:$B$1000 = $B14) * (df_proj!$C$2:$C$1000 = $D$2), 0), MATCH(TEXT(U$8, "####"), df_proj!$E$1:$AD$1,0)) * popn_fut!$C86/popn_fut!$E86,5))</f>
        <v>#N/A</v>
      </c>
      <c r="V14" s="113" t="e">
        <f t="array" ref="V14">IFERROR(MROUND(INDEX(df_proj!$E$2:$AD$1000, MATCH(1, ($A$2 = df_proj!$A$2:$A$1000) * (df_proj!$B$2:$B$1000 = $B14) * (df_proj!$C$2:$C$1000 = $D$2), 0), MATCH(TEXT(V$8, "####"), df_proj!$E$1:$AD$1,0)),5),MROUND(INDEX(df_proj!$E$2:$AD$1000, MATCH(1, ($B$2 = df_proj!$A$2:$A$1000) * (df_proj!$B$2:$B$1000 = $B14) * (df_proj!$C$2:$C$1000 = $D$2), 0), MATCH(TEXT(V$8, "####"), df_proj!$E$1:$AD$1,0)) * popn_fut!$C86/popn_fut!$E86,5))</f>
        <v>#N/A</v>
      </c>
      <c r="W14" s="113" t="e">
        <f t="array" ref="W14">IFERROR(MROUND(INDEX(df_proj!$E$2:$AD$1000, MATCH(1, ($A$2 = df_proj!$A$2:$A$1000) * (df_proj!$B$2:$B$1000 = $B14) * (df_proj!$C$2:$C$1000 = $D$2), 0), MATCH(TEXT(W$8, "####"), df_proj!$E$1:$AD$1,0)),5),MROUND(INDEX(df_proj!$E$2:$AD$1000, MATCH(1, ($B$2 = df_proj!$A$2:$A$1000) * (df_proj!$B$2:$B$1000 = $B14) * (df_proj!$C$2:$C$1000 = $D$2), 0), MATCH(TEXT(W$8, "####"), df_proj!$E$1:$AD$1,0)) * popn_fut!$C86/popn_fut!$E86,5))</f>
        <v>#N/A</v>
      </c>
      <c r="X14" s="113" t="e">
        <f t="array" ref="X14">IFERROR(MROUND(INDEX(df_proj!$E$2:$AD$1000, MATCH(1, ($A$2 = df_proj!$A$2:$A$1000) * (df_proj!$B$2:$B$1000 = $B14) * (df_proj!$C$2:$C$1000 = $D$2), 0), MATCH(TEXT(X$8, "####"), df_proj!$E$1:$AD$1,0)),5),MROUND(INDEX(df_proj!$E$2:$AD$1000, MATCH(1, ($B$2 = df_proj!$A$2:$A$1000) * (df_proj!$B$2:$B$1000 = $B14) * (df_proj!$C$2:$C$1000 = $D$2), 0), MATCH(TEXT(X$8, "####"), df_proj!$E$1:$AD$1,0)) * popn_fut!$C86/popn_fut!$E86,5))</f>
        <v>#N/A</v>
      </c>
      <c r="Y14" s="113" t="e">
        <f t="array" ref="Y14">IFERROR(MROUND(INDEX(df_proj!$E$2:$AD$1000, MATCH(1, ($A$2 = df_proj!$A$2:$A$1000) * (df_proj!$B$2:$B$1000 = $B14) * (df_proj!$C$2:$C$1000 = $D$2), 0), MATCH(TEXT(Y$8, "####"), df_proj!$E$1:$AD$1,0)),5),MROUND(INDEX(df_proj!$E$2:$AD$1000, MATCH(1, ($B$2 = df_proj!$A$2:$A$1000) * (df_proj!$B$2:$B$1000 = $B14) * (df_proj!$C$2:$C$1000 = $D$2), 0), MATCH(TEXT(Y$8, "####"), df_proj!$E$1:$AD$1,0)) * popn_fut!$C86/popn_fut!$E86,5))</f>
        <v>#N/A</v>
      </c>
      <c r="Z14" s="113" t="e">
        <f t="array" ref="Z14">IFERROR(MROUND(INDEX(df_proj!$E$2:$AD$1000, MATCH(1, ($A$2 = df_proj!$A$2:$A$1000) * (df_proj!$B$2:$B$1000 = $B14) * (df_proj!$C$2:$C$1000 = $D$2), 0), MATCH(TEXT(Z$8, "####"), df_proj!$E$1:$AD$1,0)),5),MROUND(INDEX(df_proj!$E$2:$AD$1000, MATCH(1, ($B$2 = df_proj!$A$2:$A$1000) * (df_proj!$B$2:$B$1000 = $B14) * (df_proj!$C$2:$C$1000 = $D$2), 0), MATCH(TEXT(Z$8, "####"), df_proj!$E$1:$AD$1,0)) * popn_fut!$C86/popn_fut!$E86,5))</f>
        <v>#N/A</v>
      </c>
      <c r="AA14" s="113" t="e">
        <f t="array" ref="AA14">IFERROR(MROUND(INDEX(df_proj!$E$2:$AD$1000, MATCH(1, ($A$2 = df_proj!$A$2:$A$1000) * (df_proj!$B$2:$B$1000 = $B14) * (df_proj!$C$2:$C$1000 = $D$2), 0), MATCH(TEXT(AA$8, "####"), df_proj!$E$1:$AD$1,0)),5),MROUND(INDEX(df_proj!$E$2:$AD$1000, MATCH(1, ($B$2 = df_proj!$A$2:$A$1000) * (df_proj!$B$2:$B$1000 = $B14) * (df_proj!$C$2:$C$1000 = $D$2), 0), MATCH(TEXT(AA$8, "####"), df_proj!$E$1:$AD$1,0)) * popn_fut!$C86/popn_fut!$E86,5))</f>
        <v>#N/A</v>
      </c>
      <c r="AB14" s="113" t="e">
        <f t="array" ref="AB14">IFERROR(MROUND(INDEX(df_proj!$E$2:$AD$1000, MATCH(1, ($A$2 = df_proj!$A$2:$A$1000) * (df_proj!$B$2:$B$1000 = $B14) * (df_proj!$C$2:$C$1000 = $D$2), 0), MATCH(TEXT(AB$8, "####"), df_proj!$E$1:$AD$1,0)),5),MROUND(INDEX(df_proj!$E$2:$AD$1000, MATCH(1, ($B$2 = df_proj!$A$2:$A$1000) * (df_proj!$B$2:$B$1000 = $B14) * (df_proj!$C$2:$C$1000 = $D$2), 0), MATCH(TEXT(AB$8, "####"), df_proj!$E$1:$AD$1,0)) * popn_fut!$C86/popn_fut!$E86,5))</f>
        <v>#N/A</v>
      </c>
      <c r="AC14" s="113" t="e">
        <f t="array" ref="AC14">IFERROR(MROUND(INDEX(df_proj!$E$2:$AD$1000, MATCH(1, ($A$2 = df_proj!$A$2:$A$1000) * (df_proj!$B$2:$B$1000 = $B14) * (df_proj!$C$2:$C$1000 = $D$2), 0), MATCH(TEXT(AC$8, "####"), df_proj!$E$1:$AD$1,0)),5),MROUND(INDEX(df_proj!$E$2:$AD$1000, MATCH(1, ($B$2 = df_proj!$A$2:$A$1000) * (df_proj!$B$2:$B$1000 = $B14) * (df_proj!$C$2:$C$1000 = $D$2), 0), MATCH(TEXT(AC$8, "####"), df_proj!$E$1:$AD$1,0)) * popn_fut!$C86/popn_fut!$E86,5))</f>
        <v>#N/A</v>
      </c>
      <c r="AD14" s="113" t="e">
        <f t="array" ref="AD14">IFERROR(MROUND(INDEX(df_proj!$E$2:$AD$1000, MATCH(1, ($A$2 = df_proj!$A$2:$A$1000) * (df_proj!$B$2:$B$1000 = $B14) * (df_proj!$C$2:$C$1000 = $D$2), 0), MATCH(TEXT(AD$8, "####"), df_proj!$E$1:$AD$1,0)),5),MROUND(INDEX(df_proj!$E$2:$AD$1000, MATCH(1, ($B$2 = df_proj!$A$2:$A$1000) * (df_proj!$B$2:$B$1000 = $B14) * (df_proj!$C$2:$C$1000 = $D$2), 0), MATCH(TEXT(AD$8, "####"), df_proj!$E$1:$AD$1,0)) * popn_fut!$C86/popn_fut!$E86,5))</f>
        <v>#N/A</v>
      </c>
      <c r="AE14" s="113" t="e">
        <f t="array" ref="AE14">IFERROR(MROUND(INDEX(df_proj!$E$2:$AD$1000, MATCH(1, ($A$2 = df_proj!$A$2:$A$1000) * (df_proj!$B$2:$B$1000 = $B14) * (df_proj!$C$2:$C$1000 = $D$2), 0), MATCH(TEXT(AE$8, "####"), df_proj!$E$1:$AD$1,0)),5),MROUND(INDEX(df_proj!$E$2:$AD$1000, MATCH(1, ($B$2 = df_proj!$A$2:$A$1000) * (df_proj!$B$2:$B$1000 = $B14) * (df_proj!$C$2:$C$1000 = $D$2), 0), MATCH(TEXT(AE$8, "####"), df_proj!$E$1:$AD$1,0)) * popn_fut!$C86/popn_fut!$E86,5))</f>
        <v>#N/A</v>
      </c>
      <c r="AF14" s="113" t="e">
        <f t="array" ref="AF14">IFERROR(MROUND(INDEX(df_proj!$E$2:$AD$1000, MATCH(1, ($A$2 = df_proj!$A$2:$A$1000) * (df_proj!$B$2:$B$1000 = $B14) * (df_proj!$C$2:$C$1000 = $D$2), 0), MATCH(TEXT(AF$8, "####"), df_proj!$E$1:$AD$1,0)),5),MROUND(INDEX(df_proj!$E$2:$AD$1000, MATCH(1, ($B$2 = df_proj!$A$2:$A$1000) * (df_proj!$B$2:$B$1000 = $B14) * (df_proj!$C$2:$C$1000 = $D$2), 0), MATCH(TEXT(AF$8, "####"), df_proj!$E$1:$AD$1,0)) * popn_fut!$C86/popn_fut!$E86,5))</f>
        <v>#N/A</v>
      </c>
      <c r="AG14" s="113" t="e">
        <f t="array" ref="AG14">IFERROR(MROUND(INDEX(df_proj!$E$2:$AD$1000, MATCH(1, ($A$2 = df_proj!$A$2:$A$1000) * (df_proj!$B$2:$B$1000 = $B14) * (df_proj!$C$2:$C$1000 = $D$2), 0), MATCH(TEXT(AG$8, "####"), df_proj!$E$1:$AD$1,0)),5),MROUND(INDEX(df_proj!$E$2:$AD$1000, MATCH(1, ($B$2 = df_proj!$A$2:$A$1000) * (df_proj!$B$2:$B$1000 = $B14) * (df_proj!$C$2:$C$1000 = $D$2), 0), MATCH(TEXT(AG$8, "####"), df_proj!$E$1:$AD$1,0)) * popn_fut!$C86/popn_fut!$E86,5))</f>
        <v>#N/A</v>
      </c>
      <c r="AH14" s="113" t="e">
        <f t="array" ref="AH14">IFERROR(MROUND(INDEX(df_proj!$E$2:$AD$1000, MATCH(1, ($A$2 = df_proj!$A$2:$A$1000) * (df_proj!$B$2:$B$1000 = $B14) * (df_proj!$C$2:$C$1000 = $D$2), 0), MATCH(TEXT(AH$8, "####"), df_proj!$E$1:$AD$1,0)),5),MROUND(INDEX(df_proj!$E$2:$AD$1000, MATCH(1, ($B$2 = df_proj!$A$2:$A$1000) * (df_proj!$B$2:$B$1000 = $B14) * (df_proj!$C$2:$C$1000 = $D$2), 0), MATCH(TEXT(AH$8, "####"), df_proj!$E$1:$AD$1,0)) * popn_fut!$C86/popn_fut!$E86,5))</f>
        <v>#N/A</v>
      </c>
      <c r="AI14" s="113" t="e">
        <f t="array" ref="AI14">IFERROR(MROUND(INDEX(df_proj!$E$2:$AD$1000, MATCH(1, ($A$2 = df_proj!$A$2:$A$1000) * (df_proj!$B$2:$B$1000 = $B14) * (df_proj!$C$2:$C$1000 = $D$2), 0), MATCH(TEXT(AI$8, "####"), df_proj!$E$1:$AD$1,0)),5),MROUND(INDEX(df_proj!$E$2:$AD$1000, MATCH(1, ($B$2 = df_proj!$A$2:$A$1000) * (df_proj!$B$2:$B$1000 = $B14) * (df_proj!$C$2:$C$1000 = $D$2), 0), MATCH(TEXT(AI$8, "####"), df_proj!$E$1:$AD$1,0)) * popn_fut!$C86/popn_fut!$E86,5))</f>
        <v>#N/A</v>
      </c>
      <c r="AJ14" s="113" t="e">
        <f t="array" ref="AJ14">IFERROR(MROUND(INDEX(df_proj!$E$2:$AD$1000, MATCH(1, ($A$2 = df_proj!$A$2:$A$1000) * (df_proj!$B$2:$B$1000 = $B14) * (df_proj!$C$2:$C$1000 = $D$2), 0), MATCH(TEXT(AJ$8, "####"), df_proj!$E$1:$AD$1,0)),5),MROUND(INDEX(df_proj!$E$2:$AD$1000, MATCH(1, ($B$2 = df_proj!$A$2:$A$1000) * (df_proj!$B$2:$B$1000 = $B14) * (df_proj!$C$2:$C$1000 = $D$2), 0), MATCH(TEXT(AJ$8, "####"), df_proj!$E$1:$AD$1,0)) * popn_fut!$C86/popn_fut!$E86,5))</f>
        <v>#N/A</v>
      </c>
      <c r="AK14" s="113" t="e">
        <f t="array" ref="AK14">IFERROR(MROUND(INDEX(df_proj!$E$2:$AD$1000, MATCH(1, ($A$2 = df_proj!$A$2:$A$1000) * (df_proj!$B$2:$B$1000 = $B14) * (df_proj!$C$2:$C$1000 = $D$2), 0), MATCH(TEXT(AK$8, "####"), df_proj!$E$1:$AD$1,0)),5),MROUND(INDEX(df_proj!$E$2:$AD$1000, MATCH(1, ($B$2 = df_proj!$A$2:$A$1000) * (df_proj!$B$2:$B$1000 = $B14) * (df_proj!$C$2:$C$1000 = $D$2), 0), MATCH(TEXT(AK$8, "####"), df_proj!$E$1:$AD$1,0)) * popn_fut!$C86/popn_fut!$E86,5))</f>
        <v>#N/A</v>
      </c>
      <c r="AL14" s="329" t="e">
        <f t="array" ref="AL14">IFERROR(MROUND(INDEX(df_proj!$E$2:$AD$1000, MATCH(1, ($A$2 = df_proj!$A$2:$A$1000) * (df_proj!$B$2:$B$1000 = $B14) * (df_proj!$C$2:$C$1000 = $D$2), 0), MATCH(TEXT(AL$8, "####"), df_proj!$E$1:$AD$1,0)),5),MROUND(INDEX(df_proj!$E$2:$AD$1000, MATCH(1, ($B$2 = df_proj!$A$2:$A$1000) * (df_proj!$B$2:$B$1000 = $B14) * (df_proj!$C$2:$C$1000 = $D$2), 0), MATCH(TEXT(AL$8, "####"), df_proj!$E$1:$AD$1,0)) * popn_fut!$C86/popn_fut!$E86,5))</f>
        <v>#N/A</v>
      </c>
      <c r="AM14" s="239" t="e">
        <f t="shared" si="0"/>
        <v>#N/A</v>
      </c>
      <c r="AP14" s="239" t="e">
        <f t="shared" si="1"/>
        <v>#N/A</v>
      </c>
    </row>
    <row r="15" spans="1:42" ht="20.100000000000001" customHeight="1" x14ac:dyDescent="0.2">
      <c r="A15" s="299">
        <v>25</v>
      </c>
      <c r="B15" s="277" t="s">
        <v>121</v>
      </c>
      <c r="C15" s="111"/>
      <c r="D15" s="111" t="e">
        <v>#N/A</v>
      </c>
      <c r="E15" s="111"/>
      <c r="F15" s="111"/>
      <c r="G15" s="111"/>
      <c r="H15" s="111"/>
      <c r="I15" s="111" t="e">
        <v>#N/A</v>
      </c>
      <c r="J15" s="111"/>
      <c r="K15" s="111"/>
      <c r="L15" s="111"/>
      <c r="M15" s="111" t="e">
        <f t="array" ref="M15">IFERROR(MROUND(INDEX(df_proj!$E$2:$AD$1000, MATCH(1, ($A$2 = df_proj!$A$2:$A$1000) * (df_proj!$B$2:$B$1000 = $B15) * (df_proj!$C$2:$C$1000 = $D$2), 0), MATCH(TEXT(M$8, "####"), df_proj!$E$1:$AD$1,0)),5),MROUND(INDEX(df_proj!$E$2:$AD$1000, MATCH(1, ($B$2 = df_proj!$A$2:$A$1000) * (df_proj!$B$2:$B$1000 = $B15) * (df_proj!$C$2:$C$1000 = $D$2), 0), MATCH(TEXT(M$8, "####"), df_proj!$E$1:$AD$1,0)) * popn_fut!$C87/popn_fut!$E87,5))</f>
        <v>#N/A</v>
      </c>
      <c r="N15" s="111" t="e">
        <f t="array" ref="N15">IFERROR(MROUND(INDEX(df_proj!$E$2:$AD$1000, MATCH(1, ($A$2 = df_proj!$A$2:$A$1000) * (df_proj!$B$2:$B$1000 = $B15) * (df_proj!$C$2:$C$1000 = $D$2), 0), MATCH(TEXT(N$8, "####"), df_proj!$E$1:$AD$1,0)),5),MROUND(INDEX(df_proj!$E$2:$AD$1000, MATCH(1, ($B$2 = df_proj!$A$2:$A$1000) * (df_proj!$B$2:$B$1000 = $B15) * (df_proj!$C$2:$C$1000 = $D$2), 0), MATCH(TEXT(N$8, "####"), df_proj!$E$1:$AD$1,0)) * popn_fut!$C87/popn_fut!$E87,5))</f>
        <v>#N/A</v>
      </c>
      <c r="O15" s="111" t="e">
        <f t="array" ref="O15">IFERROR(MROUND(INDEX(df_proj!$E$2:$AD$1000, MATCH(1, ($A$2 = df_proj!$A$2:$A$1000) * (df_proj!$B$2:$B$1000 = $B15) * (df_proj!$C$2:$C$1000 = $D$2), 0), MATCH(TEXT(O$8, "####"), df_proj!$E$1:$AD$1,0)),5),MROUND(INDEX(df_proj!$E$2:$AD$1000, MATCH(1, ($B$2 = df_proj!$A$2:$A$1000) * (df_proj!$B$2:$B$1000 = $B15) * (df_proj!$C$2:$C$1000 = $D$2), 0), MATCH(TEXT(O$8, "####"), df_proj!$E$1:$AD$1,0)) * popn_fut!$C87/popn_fut!$E87,5))</f>
        <v>#N/A</v>
      </c>
      <c r="P15" s="111" t="e">
        <f t="array" ref="P15">IFERROR(MROUND(INDEX(df_proj!$E$2:$AD$1000, MATCH(1, ($A$2 = df_proj!$A$2:$A$1000) * (df_proj!$B$2:$B$1000 = $B15) * (df_proj!$C$2:$C$1000 = $D$2), 0), MATCH(TEXT(P$8, "####"), df_proj!$E$1:$AD$1,0)),5),MROUND(INDEX(df_proj!$E$2:$AD$1000, MATCH(1, ($B$2 = df_proj!$A$2:$A$1000) * (df_proj!$B$2:$B$1000 = $B15) * (df_proj!$C$2:$C$1000 = $D$2), 0), MATCH(TEXT(P$8, "####"), df_proj!$E$1:$AD$1,0)) * popn_fut!$C87/popn_fut!$E87,5))</f>
        <v>#N/A</v>
      </c>
      <c r="Q15" s="111" t="e">
        <f t="array" ref="Q15">IFERROR(MROUND(INDEX(df_proj!$E$2:$AD$1000, MATCH(1, ($A$2 = df_proj!$A$2:$A$1000) * (df_proj!$B$2:$B$1000 = $B15) * (df_proj!$C$2:$C$1000 = $D$2), 0), MATCH(TEXT(Q$8, "####"), df_proj!$E$1:$AD$1,0)),5),MROUND(INDEX(df_proj!$E$2:$AD$1000, MATCH(1, ($B$2 = df_proj!$A$2:$A$1000) * (df_proj!$B$2:$B$1000 = $B15) * (df_proj!$C$2:$C$1000 = $D$2), 0), MATCH(TEXT(Q$8, "####"), df_proj!$E$1:$AD$1,0)) * popn_fut!$C87/popn_fut!$E87,5))</f>
        <v>#N/A</v>
      </c>
      <c r="R15" s="111" t="e">
        <f t="array" ref="R15">IFERROR(MROUND(INDEX(df_proj!$E$2:$AD$1000, MATCH(1, ($A$2 = df_proj!$A$2:$A$1000) * (df_proj!$B$2:$B$1000 = $B15) * (df_proj!$C$2:$C$1000 = $D$2), 0), MATCH(TEXT(R$8, "####"), df_proj!$E$1:$AD$1,0)),5),MROUND(INDEX(df_proj!$E$2:$AD$1000, MATCH(1, ($B$2 = df_proj!$A$2:$A$1000) * (df_proj!$B$2:$B$1000 = $B15) * (df_proj!$C$2:$C$1000 = $D$2), 0), MATCH(TEXT(R$8, "####"), df_proj!$E$1:$AD$1,0)) * popn_fut!$C87/popn_fut!$E87,5))</f>
        <v>#N/A</v>
      </c>
      <c r="S15" s="111" t="e">
        <f t="array" ref="S15">IFERROR(MROUND(INDEX(df_proj!$E$2:$AD$1000, MATCH(1, ($A$2 = df_proj!$A$2:$A$1000) * (df_proj!$B$2:$B$1000 = $B15) * (df_proj!$C$2:$C$1000 = $D$2), 0), MATCH(TEXT(S$8, "####"), df_proj!$E$1:$AD$1,0)),5),MROUND(INDEX(df_proj!$E$2:$AD$1000, MATCH(1, ($B$2 = df_proj!$A$2:$A$1000) * (df_proj!$B$2:$B$1000 = $B15) * (df_proj!$C$2:$C$1000 = $D$2), 0), MATCH(TEXT(S$8, "####"), df_proj!$E$1:$AD$1,0)) * popn_fut!$C87/popn_fut!$E87,5))</f>
        <v>#N/A</v>
      </c>
      <c r="T15" s="111" t="e">
        <f t="array" ref="T15">IFERROR(MROUND(INDEX(df_proj!$E$2:$AD$1000, MATCH(1, ($A$2 = df_proj!$A$2:$A$1000) * (df_proj!$B$2:$B$1000 = $B15) * (df_proj!$C$2:$C$1000 = $D$2), 0), MATCH(TEXT(T$8, "####"), df_proj!$E$1:$AD$1,0)),5),MROUND(INDEX(df_proj!$E$2:$AD$1000, MATCH(1, ($B$2 = df_proj!$A$2:$A$1000) * (df_proj!$B$2:$B$1000 = $B15) * (df_proj!$C$2:$C$1000 = $D$2), 0), MATCH(TEXT(T$8, "####"), df_proj!$E$1:$AD$1,0)) * popn_fut!$C87/popn_fut!$E87,5))</f>
        <v>#N/A</v>
      </c>
      <c r="U15" s="111" t="e">
        <f t="array" ref="U15">IFERROR(MROUND(INDEX(df_proj!$E$2:$AD$1000, MATCH(1, ($A$2 = df_proj!$A$2:$A$1000) * (df_proj!$B$2:$B$1000 = $B15) * (df_proj!$C$2:$C$1000 = $D$2), 0), MATCH(TEXT(U$8, "####"), df_proj!$E$1:$AD$1,0)),5),MROUND(INDEX(df_proj!$E$2:$AD$1000, MATCH(1, ($B$2 = df_proj!$A$2:$A$1000) * (df_proj!$B$2:$B$1000 = $B15) * (df_proj!$C$2:$C$1000 = $D$2), 0), MATCH(TEXT(U$8, "####"), df_proj!$E$1:$AD$1,0)) * popn_fut!$C87/popn_fut!$E87,5))</f>
        <v>#N/A</v>
      </c>
      <c r="V15" s="111" t="e">
        <f t="array" ref="V15">IFERROR(MROUND(INDEX(df_proj!$E$2:$AD$1000, MATCH(1, ($A$2 = df_proj!$A$2:$A$1000) * (df_proj!$B$2:$B$1000 = $B15) * (df_proj!$C$2:$C$1000 = $D$2), 0), MATCH(TEXT(V$8, "####"), df_proj!$E$1:$AD$1,0)),5),MROUND(INDEX(df_proj!$E$2:$AD$1000, MATCH(1, ($B$2 = df_proj!$A$2:$A$1000) * (df_proj!$B$2:$B$1000 = $B15) * (df_proj!$C$2:$C$1000 = $D$2), 0), MATCH(TEXT(V$8, "####"), df_proj!$E$1:$AD$1,0)) * popn_fut!$C87/popn_fut!$E87,5))</f>
        <v>#N/A</v>
      </c>
      <c r="W15" s="111" t="e">
        <f t="array" ref="W15">IFERROR(MROUND(INDEX(df_proj!$E$2:$AD$1000, MATCH(1, ($A$2 = df_proj!$A$2:$A$1000) * (df_proj!$B$2:$B$1000 = $B15) * (df_proj!$C$2:$C$1000 = $D$2), 0), MATCH(TEXT(W$8, "####"), df_proj!$E$1:$AD$1,0)),5),MROUND(INDEX(df_proj!$E$2:$AD$1000, MATCH(1, ($B$2 = df_proj!$A$2:$A$1000) * (df_proj!$B$2:$B$1000 = $B15) * (df_proj!$C$2:$C$1000 = $D$2), 0), MATCH(TEXT(W$8, "####"), df_proj!$E$1:$AD$1,0)) * popn_fut!$C87/popn_fut!$E87,5))</f>
        <v>#N/A</v>
      </c>
      <c r="X15" s="111" t="e">
        <f t="array" ref="X15">IFERROR(MROUND(INDEX(df_proj!$E$2:$AD$1000, MATCH(1, ($A$2 = df_proj!$A$2:$A$1000) * (df_proj!$B$2:$B$1000 = $B15) * (df_proj!$C$2:$C$1000 = $D$2), 0), MATCH(TEXT(X$8, "####"), df_proj!$E$1:$AD$1,0)),5),MROUND(INDEX(df_proj!$E$2:$AD$1000, MATCH(1, ($B$2 = df_proj!$A$2:$A$1000) * (df_proj!$B$2:$B$1000 = $B15) * (df_proj!$C$2:$C$1000 = $D$2), 0), MATCH(TEXT(X$8, "####"), df_proj!$E$1:$AD$1,0)) * popn_fut!$C87/popn_fut!$E87,5))</f>
        <v>#N/A</v>
      </c>
      <c r="Y15" s="111" t="e">
        <f t="array" ref="Y15">IFERROR(MROUND(INDEX(df_proj!$E$2:$AD$1000, MATCH(1, ($A$2 = df_proj!$A$2:$A$1000) * (df_proj!$B$2:$B$1000 = $B15) * (df_proj!$C$2:$C$1000 = $D$2), 0), MATCH(TEXT(Y$8, "####"), df_proj!$E$1:$AD$1,0)),5),MROUND(INDEX(df_proj!$E$2:$AD$1000, MATCH(1, ($B$2 = df_proj!$A$2:$A$1000) * (df_proj!$B$2:$B$1000 = $B15) * (df_proj!$C$2:$C$1000 = $D$2), 0), MATCH(TEXT(Y$8, "####"), df_proj!$E$1:$AD$1,0)) * popn_fut!$C87/popn_fut!$E87,5))</f>
        <v>#N/A</v>
      </c>
      <c r="Z15" s="111" t="e">
        <f t="array" ref="Z15">IFERROR(MROUND(INDEX(df_proj!$E$2:$AD$1000, MATCH(1, ($A$2 = df_proj!$A$2:$A$1000) * (df_proj!$B$2:$B$1000 = $B15) * (df_proj!$C$2:$C$1000 = $D$2), 0), MATCH(TEXT(Z$8, "####"), df_proj!$E$1:$AD$1,0)),5),MROUND(INDEX(df_proj!$E$2:$AD$1000, MATCH(1, ($B$2 = df_proj!$A$2:$A$1000) * (df_proj!$B$2:$B$1000 = $B15) * (df_proj!$C$2:$C$1000 = $D$2), 0), MATCH(TEXT(Z$8, "####"), df_proj!$E$1:$AD$1,0)) * popn_fut!$C87/popn_fut!$E87,5))</f>
        <v>#N/A</v>
      </c>
      <c r="AA15" s="111" t="e">
        <f t="array" ref="AA15">IFERROR(MROUND(INDEX(df_proj!$E$2:$AD$1000, MATCH(1, ($A$2 = df_proj!$A$2:$A$1000) * (df_proj!$B$2:$B$1000 = $B15) * (df_proj!$C$2:$C$1000 = $D$2), 0), MATCH(TEXT(AA$8, "####"), df_proj!$E$1:$AD$1,0)),5),MROUND(INDEX(df_proj!$E$2:$AD$1000, MATCH(1, ($B$2 = df_proj!$A$2:$A$1000) * (df_proj!$B$2:$B$1000 = $B15) * (df_proj!$C$2:$C$1000 = $D$2), 0), MATCH(TEXT(AA$8, "####"), df_proj!$E$1:$AD$1,0)) * popn_fut!$C87/popn_fut!$E87,5))</f>
        <v>#N/A</v>
      </c>
      <c r="AB15" s="111" t="e">
        <f t="array" ref="AB15">IFERROR(MROUND(INDEX(df_proj!$E$2:$AD$1000, MATCH(1, ($A$2 = df_proj!$A$2:$A$1000) * (df_proj!$B$2:$B$1000 = $B15) * (df_proj!$C$2:$C$1000 = $D$2), 0), MATCH(TEXT(AB$8, "####"), df_proj!$E$1:$AD$1,0)),5),MROUND(INDEX(df_proj!$E$2:$AD$1000, MATCH(1, ($B$2 = df_proj!$A$2:$A$1000) * (df_proj!$B$2:$B$1000 = $B15) * (df_proj!$C$2:$C$1000 = $D$2), 0), MATCH(TEXT(AB$8, "####"), df_proj!$E$1:$AD$1,0)) * popn_fut!$C87/popn_fut!$E87,5))</f>
        <v>#N/A</v>
      </c>
      <c r="AC15" s="111" t="e">
        <f t="array" ref="AC15">IFERROR(MROUND(INDEX(df_proj!$E$2:$AD$1000, MATCH(1, ($A$2 = df_proj!$A$2:$A$1000) * (df_proj!$B$2:$B$1000 = $B15) * (df_proj!$C$2:$C$1000 = $D$2), 0), MATCH(TEXT(AC$8, "####"), df_proj!$E$1:$AD$1,0)),5),MROUND(INDEX(df_proj!$E$2:$AD$1000, MATCH(1, ($B$2 = df_proj!$A$2:$A$1000) * (df_proj!$B$2:$B$1000 = $B15) * (df_proj!$C$2:$C$1000 = $D$2), 0), MATCH(TEXT(AC$8, "####"), df_proj!$E$1:$AD$1,0)) * popn_fut!$C87/popn_fut!$E87,5))</f>
        <v>#N/A</v>
      </c>
      <c r="AD15" s="111" t="e">
        <f t="array" ref="AD15">IFERROR(MROUND(INDEX(df_proj!$E$2:$AD$1000, MATCH(1, ($A$2 = df_proj!$A$2:$A$1000) * (df_proj!$B$2:$B$1000 = $B15) * (df_proj!$C$2:$C$1000 = $D$2), 0), MATCH(TEXT(AD$8, "####"), df_proj!$E$1:$AD$1,0)),5),MROUND(INDEX(df_proj!$E$2:$AD$1000, MATCH(1, ($B$2 = df_proj!$A$2:$A$1000) * (df_proj!$B$2:$B$1000 = $B15) * (df_proj!$C$2:$C$1000 = $D$2), 0), MATCH(TEXT(AD$8, "####"), df_proj!$E$1:$AD$1,0)) * popn_fut!$C87/popn_fut!$E87,5))</f>
        <v>#N/A</v>
      </c>
      <c r="AE15" s="111" t="e">
        <f t="array" ref="AE15">IFERROR(MROUND(INDEX(df_proj!$E$2:$AD$1000, MATCH(1, ($A$2 = df_proj!$A$2:$A$1000) * (df_proj!$B$2:$B$1000 = $B15) * (df_proj!$C$2:$C$1000 = $D$2), 0), MATCH(TEXT(AE$8, "####"), df_proj!$E$1:$AD$1,0)),5),MROUND(INDEX(df_proj!$E$2:$AD$1000, MATCH(1, ($B$2 = df_proj!$A$2:$A$1000) * (df_proj!$B$2:$B$1000 = $B15) * (df_proj!$C$2:$C$1000 = $D$2), 0), MATCH(TEXT(AE$8, "####"), df_proj!$E$1:$AD$1,0)) * popn_fut!$C87/popn_fut!$E87,5))</f>
        <v>#N/A</v>
      </c>
      <c r="AF15" s="111" t="e">
        <f t="array" ref="AF15">IFERROR(MROUND(INDEX(df_proj!$E$2:$AD$1000, MATCH(1, ($A$2 = df_proj!$A$2:$A$1000) * (df_proj!$B$2:$B$1000 = $B15) * (df_proj!$C$2:$C$1000 = $D$2), 0), MATCH(TEXT(AF$8, "####"), df_proj!$E$1:$AD$1,0)),5),MROUND(INDEX(df_proj!$E$2:$AD$1000, MATCH(1, ($B$2 = df_proj!$A$2:$A$1000) * (df_proj!$B$2:$B$1000 = $B15) * (df_proj!$C$2:$C$1000 = $D$2), 0), MATCH(TEXT(AF$8, "####"), df_proj!$E$1:$AD$1,0)) * popn_fut!$C87/popn_fut!$E87,5))</f>
        <v>#N/A</v>
      </c>
      <c r="AG15" s="111" t="e">
        <f t="array" ref="AG15">IFERROR(MROUND(INDEX(df_proj!$E$2:$AD$1000, MATCH(1, ($A$2 = df_proj!$A$2:$A$1000) * (df_proj!$B$2:$B$1000 = $B15) * (df_proj!$C$2:$C$1000 = $D$2), 0), MATCH(TEXT(AG$8, "####"), df_proj!$E$1:$AD$1,0)),5),MROUND(INDEX(df_proj!$E$2:$AD$1000, MATCH(1, ($B$2 = df_proj!$A$2:$A$1000) * (df_proj!$B$2:$B$1000 = $B15) * (df_proj!$C$2:$C$1000 = $D$2), 0), MATCH(TEXT(AG$8, "####"), df_proj!$E$1:$AD$1,0)) * popn_fut!$C87/popn_fut!$E87,5))</f>
        <v>#N/A</v>
      </c>
      <c r="AH15" s="111" t="e">
        <f t="array" ref="AH15">IFERROR(MROUND(INDEX(df_proj!$E$2:$AD$1000, MATCH(1, ($A$2 = df_proj!$A$2:$A$1000) * (df_proj!$B$2:$B$1000 = $B15) * (df_proj!$C$2:$C$1000 = $D$2), 0), MATCH(TEXT(AH$8, "####"), df_proj!$E$1:$AD$1,0)),5),MROUND(INDEX(df_proj!$E$2:$AD$1000, MATCH(1, ($B$2 = df_proj!$A$2:$A$1000) * (df_proj!$B$2:$B$1000 = $B15) * (df_proj!$C$2:$C$1000 = $D$2), 0), MATCH(TEXT(AH$8, "####"), df_proj!$E$1:$AD$1,0)) * popn_fut!$C87/popn_fut!$E87,5))</f>
        <v>#N/A</v>
      </c>
      <c r="AI15" s="111" t="e">
        <f t="array" ref="AI15">IFERROR(MROUND(INDEX(df_proj!$E$2:$AD$1000, MATCH(1, ($A$2 = df_proj!$A$2:$A$1000) * (df_proj!$B$2:$B$1000 = $B15) * (df_proj!$C$2:$C$1000 = $D$2), 0), MATCH(TEXT(AI$8, "####"), df_proj!$E$1:$AD$1,0)),5),MROUND(INDEX(df_proj!$E$2:$AD$1000, MATCH(1, ($B$2 = df_proj!$A$2:$A$1000) * (df_proj!$B$2:$B$1000 = $B15) * (df_proj!$C$2:$C$1000 = $D$2), 0), MATCH(TEXT(AI$8, "####"), df_proj!$E$1:$AD$1,0)) * popn_fut!$C87/popn_fut!$E87,5))</f>
        <v>#N/A</v>
      </c>
      <c r="AJ15" s="111" t="e">
        <f t="array" ref="AJ15">IFERROR(MROUND(INDEX(df_proj!$E$2:$AD$1000, MATCH(1, ($A$2 = df_proj!$A$2:$A$1000) * (df_proj!$B$2:$B$1000 = $B15) * (df_proj!$C$2:$C$1000 = $D$2), 0), MATCH(TEXT(AJ$8, "####"), df_proj!$E$1:$AD$1,0)),5),MROUND(INDEX(df_proj!$E$2:$AD$1000, MATCH(1, ($B$2 = df_proj!$A$2:$A$1000) * (df_proj!$B$2:$B$1000 = $B15) * (df_proj!$C$2:$C$1000 = $D$2), 0), MATCH(TEXT(AJ$8, "####"), df_proj!$E$1:$AD$1,0)) * popn_fut!$C87/popn_fut!$E87,5))</f>
        <v>#N/A</v>
      </c>
      <c r="AK15" s="111" t="e">
        <f t="array" ref="AK15">IFERROR(MROUND(INDEX(df_proj!$E$2:$AD$1000, MATCH(1, ($A$2 = df_proj!$A$2:$A$1000) * (df_proj!$B$2:$B$1000 = $B15) * (df_proj!$C$2:$C$1000 = $D$2), 0), MATCH(TEXT(AK$8, "####"), df_proj!$E$1:$AD$1,0)),5),MROUND(INDEX(df_proj!$E$2:$AD$1000, MATCH(1, ($B$2 = df_proj!$A$2:$A$1000) * (df_proj!$B$2:$B$1000 = $B15) * (df_proj!$C$2:$C$1000 = $D$2), 0), MATCH(TEXT(AK$8, "####"), df_proj!$E$1:$AD$1,0)) * popn_fut!$C87/popn_fut!$E87,5))</f>
        <v>#N/A</v>
      </c>
      <c r="AL15" s="181" t="e">
        <f t="array" ref="AL15">IFERROR(MROUND(INDEX(df_proj!$E$2:$AD$1000, MATCH(1, ($A$2 = df_proj!$A$2:$A$1000) * (df_proj!$B$2:$B$1000 = $B15) * (df_proj!$C$2:$C$1000 = $D$2), 0), MATCH(TEXT(AL$8, "####"), df_proj!$E$1:$AD$1,0)),5),MROUND(INDEX(df_proj!$E$2:$AD$1000, MATCH(1, ($B$2 = df_proj!$A$2:$A$1000) * (df_proj!$B$2:$B$1000 = $B15) * (df_proj!$C$2:$C$1000 = $D$2), 0), MATCH(TEXT(AL$8, "####"), df_proj!$E$1:$AD$1,0)) * popn_fut!$C87/popn_fut!$E87,5))</f>
        <v>#N/A</v>
      </c>
      <c r="AM15" s="239" t="e">
        <f t="shared" si="0"/>
        <v>#N/A</v>
      </c>
      <c r="AP15" s="239" t="e">
        <f t="shared" si="1"/>
        <v>#N/A</v>
      </c>
    </row>
    <row r="16" spans="1:42" ht="20.100000000000001" customHeight="1" x14ac:dyDescent="0.2">
      <c r="A16" s="299">
        <v>30</v>
      </c>
      <c r="B16" s="118" t="s">
        <v>122</v>
      </c>
      <c r="C16" s="113"/>
      <c r="D16" s="113" t="e">
        <v>#N/A</v>
      </c>
      <c r="E16" s="113"/>
      <c r="F16" s="113"/>
      <c r="G16" s="113"/>
      <c r="H16" s="113"/>
      <c r="I16" s="113" t="e">
        <v>#N/A</v>
      </c>
      <c r="J16" s="113"/>
      <c r="K16" s="113"/>
      <c r="L16" s="113"/>
      <c r="M16" s="113" t="e">
        <f t="array" ref="M16">IFERROR(MROUND(INDEX(df_proj!$E$2:$AD$1000, MATCH(1, ($A$2 = df_proj!$A$2:$A$1000) * (df_proj!$B$2:$B$1000 = $B16) * (df_proj!$C$2:$C$1000 = $D$2), 0), MATCH(TEXT(M$8, "####"), df_proj!$E$1:$AD$1,0)),5),MROUND(INDEX(df_proj!$E$2:$AD$1000, MATCH(1, ($B$2 = df_proj!$A$2:$A$1000) * (df_proj!$B$2:$B$1000 = $B16) * (df_proj!$C$2:$C$1000 = $D$2), 0), MATCH(TEXT(M$8, "####"), df_proj!$E$1:$AD$1,0)) * popn_fut!$C88/popn_fut!$E88,5))</f>
        <v>#N/A</v>
      </c>
      <c r="N16" s="113" t="e">
        <f t="array" ref="N16">IFERROR(MROUND(INDEX(df_proj!$E$2:$AD$1000, MATCH(1, ($A$2 = df_proj!$A$2:$A$1000) * (df_proj!$B$2:$B$1000 = $B16) * (df_proj!$C$2:$C$1000 = $D$2), 0), MATCH(TEXT(N$8, "####"), df_proj!$E$1:$AD$1,0)),5),MROUND(INDEX(df_proj!$E$2:$AD$1000, MATCH(1, ($B$2 = df_proj!$A$2:$A$1000) * (df_proj!$B$2:$B$1000 = $B16) * (df_proj!$C$2:$C$1000 = $D$2), 0), MATCH(TEXT(N$8, "####"), df_proj!$E$1:$AD$1,0)) * popn_fut!$C88/popn_fut!$E88,5))</f>
        <v>#N/A</v>
      </c>
      <c r="O16" s="113" t="e">
        <f t="array" ref="O16">IFERROR(MROUND(INDEX(df_proj!$E$2:$AD$1000, MATCH(1, ($A$2 = df_proj!$A$2:$A$1000) * (df_proj!$B$2:$B$1000 = $B16) * (df_proj!$C$2:$C$1000 = $D$2), 0), MATCH(TEXT(O$8, "####"), df_proj!$E$1:$AD$1,0)),5),MROUND(INDEX(df_proj!$E$2:$AD$1000, MATCH(1, ($B$2 = df_proj!$A$2:$A$1000) * (df_proj!$B$2:$B$1000 = $B16) * (df_proj!$C$2:$C$1000 = $D$2), 0), MATCH(TEXT(O$8, "####"), df_proj!$E$1:$AD$1,0)) * popn_fut!$C88/popn_fut!$E88,5))</f>
        <v>#N/A</v>
      </c>
      <c r="P16" s="113" t="e">
        <f t="array" ref="P16">IFERROR(MROUND(INDEX(df_proj!$E$2:$AD$1000, MATCH(1, ($A$2 = df_proj!$A$2:$A$1000) * (df_proj!$B$2:$B$1000 = $B16) * (df_proj!$C$2:$C$1000 = $D$2), 0), MATCH(TEXT(P$8, "####"), df_proj!$E$1:$AD$1,0)),5),MROUND(INDEX(df_proj!$E$2:$AD$1000, MATCH(1, ($B$2 = df_proj!$A$2:$A$1000) * (df_proj!$B$2:$B$1000 = $B16) * (df_proj!$C$2:$C$1000 = $D$2), 0), MATCH(TEXT(P$8, "####"), df_proj!$E$1:$AD$1,0)) * popn_fut!$C88/popn_fut!$E88,5))</f>
        <v>#N/A</v>
      </c>
      <c r="Q16" s="113" t="e">
        <f t="array" ref="Q16">IFERROR(MROUND(INDEX(df_proj!$E$2:$AD$1000, MATCH(1, ($A$2 = df_proj!$A$2:$A$1000) * (df_proj!$B$2:$B$1000 = $B16) * (df_proj!$C$2:$C$1000 = $D$2), 0), MATCH(TEXT(Q$8, "####"), df_proj!$E$1:$AD$1,0)),5),MROUND(INDEX(df_proj!$E$2:$AD$1000, MATCH(1, ($B$2 = df_proj!$A$2:$A$1000) * (df_proj!$B$2:$B$1000 = $B16) * (df_proj!$C$2:$C$1000 = $D$2), 0), MATCH(TEXT(Q$8, "####"), df_proj!$E$1:$AD$1,0)) * popn_fut!$C88/popn_fut!$E88,5))</f>
        <v>#N/A</v>
      </c>
      <c r="R16" s="113" t="e">
        <f t="array" ref="R16">IFERROR(MROUND(INDEX(df_proj!$E$2:$AD$1000, MATCH(1, ($A$2 = df_proj!$A$2:$A$1000) * (df_proj!$B$2:$B$1000 = $B16) * (df_proj!$C$2:$C$1000 = $D$2), 0), MATCH(TEXT(R$8, "####"), df_proj!$E$1:$AD$1,0)),5),MROUND(INDEX(df_proj!$E$2:$AD$1000, MATCH(1, ($B$2 = df_proj!$A$2:$A$1000) * (df_proj!$B$2:$B$1000 = $B16) * (df_proj!$C$2:$C$1000 = $D$2), 0), MATCH(TEXT(R$8, "####"), df_proj!$E$1:$AD$1,0)) * popn_fut!$C88/popn_fut!$E88,5))</f>
        <v>#N/A</v>
      </c>
      <c r="S16" s="113" t="e">
        <f t="array" ref="S16">IFERROR(MROUND(INDEX(df_proj!$E$2:$AD$1000, MATCH(1, ($A$2 = df_proj!$A$2:$A$1000) * (df_proj!$B$2:$B$1000 = $B16) * (df_proj!$C$2:$C$1000 = $D$2), 0), MATCH(TEXT(S$8, "####"), df_proj!$E$1:$AD$1,0)),5),MROUND(INDEX(df_proj!$E$2:$AD$1000, MATCH(1, ($B$2 = df_proj!$A$2:$A$1000) * (df_proj!$B$2:$B$1000 = $B16) * (df_proj!$C$2:$C$1000 = $D$2), 0), MATCH(TEXT(S$8, "####"), df_proj!$E$1:$AD$1,0)) * popn_fut!$C88/popn_fut!$E88,5))</f>
        <v>#N/A</v>
      </c>
      <c r="T16" s="113" t="e">
        <f t="array" ref="T16">IFERROR(MROUND(INDEX(df_proj!$E$2:$AD$1000, MATCH(1, ($A$2 = df_proj!$A$2:$A$1000) * (df_proj!$B$2:$B$1000 = $B16) * (df_proj!$C$2:$C$1000 = $D$2), 0), MATCH(TEXT(T$8, "####"), df_proj!$E$1:$AD$1,0)),5),MROUND(INDEX(df_proj!$E$2:$AD$1000, MATCH(1, ($B$2 = df_proj!$A$2:$A$1000) * (df_proj!$B$2:$B$1000 = $B16) * (df_proj!$C$2:$C$1000 = $D$2), 0), MATCH(TEXT(T$8, "####"), df_proj!$E$1:$AD$1,0)) * popn_fut!$C88/popn_fut!$E88,5))</f>
        <v>#N/A</v>
      </c>
      <c r="U16" s="113" t="e">
        <f t="array" ref="U16">IFERROR(MROUND(INDEX(df_proj!$E$2:$AD$1000, MATCH(1, ($A$2 = df_proj!$A$2:$A$1000) * (df_proj!$B$2:$B$1000 = $B16) * (df_proj!$C$2:$C$1000 = $D$2), 0), MATCH(TEXT(U$8, "####"), df_proj!$E$1:$AD$1,0)),5),MROUND(INDEX(df_proj!$E$2:$AD$1000, MATCH(1, ($B$2 = df_proj!$A$2:$A$1000) * (df_proj!$B$2:$B$1000 = $B16) * (df_proj!$C$2:$C$1000 = $D$2), 0), MATCH(TEXT(U$8, "####"), df_proj!$E$1:$AD$1,0)) * popn_fut!$C88/popn_fut!$E88,5))</f>
        <v>#N/A</v>
      </c>
      <c r="V16" s="113" t="e">
        <f t="array" ref="V16">IFERROR(MROUND(INDEX(df_proj!$E$2:$AD$1000, MATCH(1, ($A$2 = df_proj!$A$2:$A$1000) * (df_proj!$B$2:$B$1000 = $B16) * (df_proj!$C$2:$C$1000 = $D$2), 0), MATCH(TEXT(V$8, "####"), df_proj!$E$1:$AD$1,0)),5),MROUND(INDEX(df_proj!$E$2:$AD$1000, MATCH(1, ($B$2 = df_proj!$A$2:$A$1000) * (df_proj!$B$2:$B$1000 = $B16) * (df_proj!$C$2:$C$1000 = $D$2), 0), MATCH(TEXT(V$8, "####"), df_proj!$E$1:$AD$1,0)) * popn_fut!$C88/popn_fut!$E88,5))</f>
        <v>#N/A</v>
      </c>
      <c r="W16" s="113" t="e">
        <f t="array" ref="W16">IFERROR(MROUND(INDEX(df_proj!$E$2:$AD$1000, MATCH(1, ($A$2 = df_proj!$A$2:$A$1000) * (df_proj!$B$2:$B$1000 = $B16) * (df_proj!$C$2:$C$1000 = $D$2), 0), MATCH(TEXT(W$8, "####"), df_proj!$E$1:$AD$1,0)),5),MROUND(INDEX(df_proj!$E$2:$AD$1000, MATCH(1, ($B$2 = df_proj!$A$2:$A$1000) * (df_proj!$B$2:$B$1000 = $B16) * (df_proj!$C$2:$C$1000 = $D$2), 0), MATCH(TEXT(W$8, "####"), df_proj!$E$1:$AD$1,0)) * popn_fut!$C88/popn_fut!$E88,5))</f>
        <v>#N/A</v>
      </c>
      <c r="X16" s="113" t="e">
        <f t="array" ref="X16">IFERROR(MROUND(INDEX(df_proj!$E$2:$AD$1000, MATCH(1, ($A$2 = df_proj!$A$2:$A$1000) * (df_proj!$B$2:$B$1000 = $B16) * (df_proj!$C$2:$C$1000 = $D$2), 0), MATCH(TEXT(X$8, "####"), df_proj!$E$1:$AD$1,0)),5),MROUND(INDEX(df_proj!$E$2:$AD$1000, MATCH(1, ($B$2 = df_proj!$A$2:$A$1000) * (df_proj!$B$2:$B$1000 = $B16) * (df_proj!$C$2:$C$1000 = $D$2), 0), MATCH(TEXT(X$8, "####"), df_proj!$E$1:$AD$1,0)) * popn_fut!$C88/popn_fut!$E88,5))</f>
        <v>#N/A</v>
      </c>
      <c r="Y16" s="113" t="e">
        <f t="array" ref="Y16">IFERROR(MROUND(INDEX(df_proj!$E$2:$AD$1000, MATCH(1, ($A$2 = df_proj!$A$2:$A$1000) * (df_proj!$B$2:$B$1000 = $B16) * (df_proj!$C$2:$C$1000 = $D$2), 0), MATCH(TEXT(Y$8, "####"), df_proj!$E$1:$AD$1,0)),5),MROUND(INDEX(df_proj!$E$2:$AD$1000, MATCH(1, ($B$2 = df_proj!$A$2:$A$1000) * (df_proj!$B$2:$B$1000 = $B16) * (df_proj!$C$2:$C$1000 = $D$2), 0), MATCH(TEXT(Y$8, "####"), df_proj!$E$1:$AD$1,0)) * popn_fut!$C88/popn_fut!$E88,5))</f>
        <v>#N/A</v>
      </c>
      <c r="Z16" s="113" t="e">
        <f t="array" ref="Z16">IFERROR(MROUND(INDEX(df_proj!$E$2:$AD$1000, MATCH(1, ($A$2 = df_proj!$A$2:$A$1000) * (df_proj!$B$2:$B$1000 = $B16) * (df_proj!$C$2:$C$1000 = $D$2), 0), MATCH(TEXT(Z$8, "####"), df_proj!$E$1:$AD$1,0)),5),MROUND(INDEX(df_proj!$E$2:$AD$1000, MATCH(1, ($B$2 = df_proj!$A$2:$A$1000) * (df_proj!$B$2:$B$1000 = $B16) * (df_proj!$C$2:$C$1000 = $D$2), 0), MATCH(TEXT(Z$8, "####"), df_proj!$E$1:$AD$1,0)) * popn_fut!$C88/popn_fut!$E88,5))</f>
        <v>#N/A</v>
      </c>
      <c r="AA16" s="113" t="e">
        <f t="array" ref="AA16">IFERROR(MROUND(INDEX(df_proj!$E$2:$AD$1000, MATCH(1, ($A$2 = df_proj!$A$2:$A$1000) * (df_proj!$B$2:$B$1000 = $B16) * (df_proj!$C$2:$C$1000 = $D$2), 0), MATCH(TEXT(AA$8, "####"), df_proj!$E$1:$AD$1,0)),5),MROUND(INDEX(df_proj!$E$2:$AD$1000, MATCH(1, ($B$2 = df_proj!$A$2:$A$1000) * (df_proj!$B$2:$B$1000 = $B16) * (df_proj!$C$2:$C$1000 = $D$2), 0), MATCH(TEXT(AA$8, "####"), df_proj!$E$1:$AD$1,0)) * popn_fut!$C88/popn_fut!$E88,5))</f>
        <v>#N/A</v>
      </c>
      <c r="AB16" s="113" t="e">
        <f t="array" ref="AB16">IFERROR(MROUND(INDEX(df_proj!$E$2:$AD$1000, MATCH(1, ($A$2 = df_proj!$A$2:$A$1000) * (df_proj!$B$2:$B$1000 = $B16) * (df_proj!$C$2:$C$1000 = $D$2), 0), MATCH(TEXT(AB$8, "####"), df_proj!$E$1:$AD$1,0)),5),MROUND(INDEX(df_proj!$E$2:$AD$1000, MATCH(1, ($B$2 = df_proj!$A$2:$A$1000) * (df_proj!$B$2:$B$1000 = $B16) * (df_proj!$C$2:$C$1000 = $D$2), 0), MATCH(TEXT(AB$8, "####"), df_proj!$E$1:$AD$1,0)) * popn_fut!$C88/popn_fut!$E88,5))</f>
        <v>#N/A</v>
      </c>
      <c r="AC16" s="113" t="e">
        <f t="array" ref="AC16">IFERROR(MROUND(INDEX(df_proj!$E$2:$AD$1000, MATCH(1, ($A$2 = df_proj!$A$2:$A$1000) * (df_proj!$B$2:$B$1000 = $B16) * (df_proj!$C$2:$C$1000 = $D$2), 0), MATCH(TEXT(AC$8, "####"), df_proj!$E$1:$AD$1,0)),5),MROUND(INDEX(df_proj!$E$2:$AD$1000, MATCH(1, ($B$2 = df_proj!$A$2:$A$1000) * (df_proj!$B$2:$B$1000 = $B16) * (df_proj!$C$2:$C$1000 = $D$2), 0), MATCH(TEXT(AC$8, "####"), df_proj!$E$1:$AD$1,0)) * popn_fut!$C88/popn_fut!$E88,5))</f>
        <v>#N/A</v>
      </c>
      <c r="AD16" s="113" t="e">
        <f t="array" ref="AD16">IFERROR(MROUND(INDEX(df_proj!$E$2:$AD$1000, MATCH(1, ($A$2 = df_proj!$A$2:$A$1000) * (df_proj!$B$2:$B$1000 = $B16) * (df_proj!$C$2:$C$1000 = $D$2), 0), MATCH(TEXT(AD$8, "####"), df_proj!$E$1:$AD$1,0)),5),MROUND(INDEX(df_proj!$E$2:$AD$1000, MATCH(1, ($B$2 = df_proj!$A$2:$A$1000) * (df_proj!$B$2:$B$1000 = $B16) * (df_proj!$C$2:$C$1000 = $D$2), 0), MATCH(TEXT(AD$8, "####"), df_proj!$E$1:$AD$1,0)) * popn_fut!$C88/popn_fut!$E88,5))</f>
        <v>#N/A</v>
      </c>
      <c r="AE16" s="113" t="e">
        <f t="array" ref="AE16">IFERROR(MROUND(INDEX(df_proj!$E$2:$AD$1000, MATCH(1, ($A$2 = df_proj!$A$2:$A$1000) * (df_proj!$B$2:$B$1000 = $B16) * (df_proj!$C$2:$C$1000 = $D$2), 0), MATCH(TEXT(AE$8, "####"), df_proj!$E$1:$AD$1,0)),5),MROUND(INDEX(df_proj!$E$2:$AD$1000, MATCH(1, ($B$2 = df_proj!$A$2:$A$1000) * (df_proj!$B$2:$B$1000 = $B16) * (df_proj!$C$2:$C$1000 = $D$2), 0), MATCH(TEXT(AE$8, "####"), df_proj!$E$1:$AD$1,0)) * popn_fut!$C88/popn_fut!$E88,5))</f>
        <v>#N/A</v>
      </c>
      <c r="AF16" s="113" t="e">
        <f t="array" ref="AF16">IFERROR(MROUND(INDEX(df_proj!$E$2:$AD$1000, MATCH(1, ($A$2 = df_proj!$A$2:$A$1000) * (df_proj!$B$2:$B$1000 = $B16) * (df_proj!$C$2:$C$1000 = $D$2), 0), MATCH(TEXT(AF$8, "####"), df_proj!$E$1:$AD$1,0)),5),MROUND(INDEX(df_proj!$E$2:$AD$1000, MATCH(1, ($B$2 = df_proj!$A$2:$A$1000) * (df_proj!$B$2:$B$1000 = $B16) * (df_proj!$C$2:$C$1000 = $D$2), 0), MATCH(TEXT(AF$8, "####"), df_proj!$E$1:$AD$1,0)) * popn_fut!$C88/popn_fut!$E88,5))</f>
        <v>#N/A</v>
      </c>
      <c r="AG16" s="113" t="e">
        <f t="array" ref="AG16">IFERROR(MROUND(INDEX(df_proj!$E$2:$AD$1000, MATCH(1, ($A$2 = df_proj!$A$2:$A$1000) * (df_proj!$B$2:$B$1000 = $B16) * (df_proj!$C$2:$C$1000 = $D$2), 0), MATCH(TEXT(AG$8, "####"), df_proj!$E$1:$AD$1,0)),5),MROUND(INDEX(df_proj!$E$2:$AD$1000, MATCH(1, ($B$2 = df_proj!$A$2:$A$1000) * (df_proj!$B$2:$B$1000 = $B16) * (df_proj!$C$2:$C$1000 = $D$2), 0), MATCH(TEXT(AG$8, "####"), df_proj!$E$1:$AD$1,0)) * popn_fut!$C88/popn_fut!$E88,5))</f>
        <v>#N/A</v>
      </c>
      <c r="AH16" s="113" t="e">
        <f t="array" ref="AH16">IFERROR(MROUND(INDEX(df_proj!$E$2:$AD$1000, MATCH(1, ($A$2 = df_proj!$A$2:$A$1000) * (df_proj!$B$2:$B$1000 = $B16) * (df_proj!$C$2:$C$1000 = $D$2), 0), MATCH(TEXT(AH$8, "####"), df_proj!$E$1:$AD$1,0)),5),MROUND(INDEX(df_proj!$E$2:$AD$1000, MATCH(1, ($B$2 = df_proj!$A$2:$A$1000) * (df_proj!$B$2:$B$1000 = $B16) * (df_proj!$C$2:$C$1000 = $D$2), 0), MATCH(TEXT(AH$8, "####"), df_proj!$E$1:$AD$1,0)) * popn_fut!$C88/popn_fut!$E88,5))</f>
        <v>#N/A</v>
      </c>
      <c r="AI16" s="113" t="e">
        <f t="array" ref="AI16">IFERROR(MROUND(INDEX(df_proj!$E$2:$AD$1000, MATCH(1, ($A$2 = df_proj!$A$2:$A$1000) * (df_proj!$B$2:$B$1000 = $B16) * (df_proj!$C$2:$C$1000 = $D$2), 0), MATCH(TEXT(AI$8, "####"), df_proj!$E$1:$AD$1,0)),5),MROUND(INDEX(df_proj!$E$2:$AD$1000, MATCH(1, ($B$2 = df_proj!$A$2:$A$1000) * (df_proj!$B$2:$B$1000 = $B16) * (df_proj!$C$2:$C$1000 = $D$2), 0), MATCH(TEXT(AI$8, "####"), df_proj!$E$1:$AD$1,0)) * popn_fut!$C88/popn_fut!$E88,5))</f>
        <v>#N/A</v>
      </c>
      <c r="AJ16" s="113" t="e">
        <f t="array" ref="AJ16">IFERROR(MROUND(INDEX(df_proj!$E$2:$AD$1000, MATCH(1, ($A$2 = df_proj!$A$2:$A$1000) * (df_proj!$B$2:$B$1000 = $B16) * (df_proj!$C$2:$C$1000 = $D$2), 0), MATCH(TEXT(AJ$8, "####"), df_proj!$E$1:$AD$1,0)),5),MROUND(INDEX(df_proj!$E$2:$AD$1000, MATCH(1, ($B$2 = df_proj!$A$2:$A$1000) * (df_proj!$B$2:$B$1000 = $B16) * (df_proj!$C$2:$C$1000 = $D$2), 0), MATCH(TEXT(AJ$8, "####"), df_proj!$E$1:$AD$1,0)) * popn_fut!$C88/popn_fut!$E88,5))</f>
        <v>#N/A</v>
      </c>
      <c r="AK16" s="113" t="e">
        <f t="array" ref="AK16">IFERROR(MROUND(INDEX(df_proj!$E$2:$AD$1000, MATCH(1, ($A$2 = df_proj!$A$2:$A$1000) * (df_proj!$B$2:$B$1000 = $B16) * (df_proj!$C$2:$C$1000 = $D$2), 0), MATCH(TEXT(AK$8, "####"), df_proj!$E$1:$AD$1,0)),5),MROUND(INDEX(df_proj!$E$2:$AD$1000, MATCH(1, ($B$2 = df_proj!$A$2:$A$1000) * (df_proj!$B$2:$B$1000 = $B16) * (df_proj!$C$2:$C$1000 = $D$2), 0), MATCH(TEXT(AK$8, "####"), df_proj!$E$1:$AD$1,0)) * popn_fut!$C88/popn_fut!$E88,5))</f>
        <v>#N/A</v>
      </c>
      <c r="AL16" s="329" t="e">
        <f t="array" ref="AL16">IFERROR(MROUND(INDEX(df_proj!$E$2:$AD$1000, MATCH(1, ($A$2 = df_proj!$A$2:$A$1000) * (df_proj!$B$2:$B$1000 = $B16) * (df_proj!$C$2:$C$1000 = $D$2), 0), MATCH(TEXT(AL$8, "####"), df_proj!$E$1:$AD$1,0)),5),MROUND(INDEX(df_proj!$E$2:$AD$1000, MATCH(1, ($B$2 = df_proj!$A$2:$A$1000) * (df_proj!$B$2:$B$1000 = $B16) * (df_proj!$C$2:$C$1000 = $D$2), 0), MATCH(TEXT(AL$8, "####"), df_proj!$E$1:$AD$1,0)) * popn_fut!$C88/popn_fut!$E88,5))</f>
        <v>#N/A</v>
      </c>
      <c r="AM16" s="239" t="e">
        <f t="shared" si="0"/>
        <v>#N/A</v>
      </c>
      <c r="AP16" s="239" t="e">
        <f t="shared" si="1"/>
        <v>#N/A</v>
      </c>
    </row>
    <row r="17" spans="1:45" ht="20.100000000000001" customHeight="1" x14ac:dyDescent="0.2">
      <c r="A17" s="299">
        <v>35</v>
      </c>
      <c r="B17" s="277" t="s">
        <v>123</v>
      </c>
      <c r="C17" s="111"/>
      <c r="D17" s="111" t="e">
        <v>#N/A</v>
      </c>
      <c r="E17" s="111"/>
      <c r="F17" s="111"/>
      <c r="G17" s="111"/>
      <c r="H17" s="111"/>
      <c r="I17" s="111" t="e">
        <v>#N/A</v>
      </c>
      <c r="J17" s="111"/>
      <c r="K17" s="111"/>
      <c r="L17" s="111"/>
      <c r="M17" s="111" t="e">
        <f t="array" ref="M17">IFERROR(MROUND(INDEX(df_proj!$E$2:$AD$1000, MATCH(1, ($A$2 = df_proj!$A$2:$A$1000) * (df_proj!$B$2:$B$1000 = $B17) * (df_proj!$C$2:$C$1000 = $D$2), 0), MATCH(TEXT(M$8, "####"), df_proj!$E$1:$AD$1,0)),5),MROUND(INDEX(df_proj!$E$2:$AD$1000, MATCH(1, ($B$2 = df_proj!$A$2:$A$1000) * (df_proj!$B$2:$B$1000 = $B17) * (df_proj!$C$2:$C$1000 = $D$2), 0), MATCH(TEXT(M$8, "####"), df_proj!$E$1:$AD$1,0)) * popn_fut!$C89/popn_fut!$E89,5))</f>
        <v>#N/A</v>
      </c>
      <c r="N17" s="111" t="e">
        <f t="array" ref="N17">IFERROR(MROUND(INDEX(df_proj!$E$2:$AD$1000, MATCH(1, ($A$2 = df_proj!$A$2:$A$1000) * (df_proj!$B$2:$B$1000 = $B17) * (df_proj!$C$2:$C$1000 = $D$2), 0), MATCH(TEXT(N$8, "####"), df_proj!$E$1:$AD$1,0)),5),MROUND(INDEX(df_proj!$E$2:$AD$1000, MATCH(1, ($B$2 = df_proj!$A$2:$A$1000) * (df_proj!$B$2:$B$1000 = $B17) * (df_proj!$C$2:$C$1000 = $D$2), 0), MATCH(TEXT(N$8, "####"), df_proj!$E$1:$AD$1,0)) * popn_fut!$C89/popn_fut!$E89,5))</f>
        <v>#N/A</v>
      </c>
      <c r="O17" s="111" t="e">
        <f t="array" ref="O17">IFERROR(MROUND(INDEX(df_proj!$E$2:$AD$1000, MATCH(1, ($A$2 = df_proj!$A$2:$A$1000) * (df_proj!$B$2:$B$1000 = $B17) * (df_proj!$C$2:$C$1000 = $D$2), 0), MATCH(TEXT(O$8, "####"), df_proj!$E$1:$AD$1,0)),5),MROUND(INDEX(df_proj!$E$2:$AD$1000, MATCH(1, ($B$2 = df_proj!$A$2:$A$1000) * (df_proj!$B$2:$B$1000 = $B17) * (df_proj!$C$2:$C$1000 = $D$2), 0), MATCH(TEXT(O$8, "####"), df_proj!$E$1:$AD$1,0)) * popn_fut!$C89/popn_fut!$E89,5))</f>
        <v>#N/A</v>
      </c>
      <c r="P17" s="111" t="e">
        <f t="array" ref="P17">IFERROR(MROUND(INDEX(df_proj!$E$2:$AD$1000, MATCH(1, ($A$2 = df_proj!$A$2:$A$1000) * (df_proj!$B$2:$B$1000 = $B17) * (df_proj!$C$2:$C$1000 = $D$2), 0), MATCH(TEXT(P$8, "####"), df_proj!$E$1:$AD$1,0)),5),MROUND(INDEX(df_proj!$E$2:$AD$1000, MATCH(1, ($B$2 = df_proj!$A$2:$A$1000) * (df_proj!$B$2:$B$1000 = $B17) * (df_proj!$C$2:$C$1000 = $D$2), 0), MATCH(TEXT(P$8, "####"), df_proj!$E$1:$AD$1,0)) * popn_fut!$C89/popn_fut!$E89,5))</f>
        <v>#N/A</v>
      </c>
      <c r="Q17" s="111" t="e">
        <f t="array" ref="Q17">IFERROR(MROUND(INDEX(df_proj!$E$2:$AD$1000, MATCH(1, ($A$2 = df_proj!$A$2:$A$1000) * (df_proj!$B$2:$B$1000 = $B17) * (df_proj!$C$2:$C$1000 = $D$2), 0), MATCH(TEXT(Q$8, "####"), df_proj!$E$1:$AD$1,0)),5),MROUND(INDEX(df_proj!$E$2:$AD$1000, MATCH(1, ($B$2 = df_proj!$A$2:$A$1000) * (df_proj!$B$2:$B$1000 = $B17) * (df_proj!$C$2:$C$1000 = $D$2), 0), MATCH(TEXT(Q$8, "####"), df_proj!$E$1:$AD$1,0)) * popn_fut!$C89/popn_fut!$E89,5))</f>
        <v>#N/A</v>
      </c>
      <c r="R17" s="111" t="e">
        <f t="array" ref="R17">IFERROR(MROUND(INDEX(df_proj!$E$2:$AD$1000, MATCH(1, ($A$2 = df_proj!$A$2:$A$1000) * (df_proj!$B$2:$B$1000 = $B17) * (df_proj!$C$2:$C$1000 = $D$2), 0), MATCH(TEXT(R$8, "####"), df_proj!$E$1:$AD$1,0)),5),MROUND(INDEX(df_proj!$E$2:$AD$1000, MATCH(1, ($B$2 = df_proj!$A$2:$A$1000) * (df_proj!$B$2:$B$1000 = $B17) * (df_proj!$C$2:$C$1000 = $D$2), 0), MATCH(TEXT(R$8, "####"), df_proj!$E$1:$AD$1,0)) * popn_fut!$C89/popn_fut!$E89,5))</f>
        <v>#N/A</v>
      </c>
      <c r="S17" s="111" t="e">
        <f t="array" ref="S17">IFERROR(MROUND(INDEX(df_proj!$E$2:$AD$1000, MATCH(1, ($A$2 = df_proj!$A$2:$A$1000) * (df_proj!$B$2:$B$1000 = $B17) * (df_proj!$C$2:$C$1000 = $D$2), 0), MATCH(TEXT(S$8, "####"), df_proj!$E$1:$AD$1,0)),5),MROUND(INDEX(df_proj!$E$2:$AD$1000, MATCH(1, ($B$2 = df_proj!$A$2:$A$1000) * (df_proj!$B$2:$B$1000 = $B17) * (df_proj!$C$2:$C$1000 = $D$2), 0), MATCH(TEXT(S$8, "####"), df_proj!$E$1:$AD$1,0)) * popn_fut!$C89/popn_fut!$E89,5))</f>
        <v>#N/A</v>
      </c>
      <c r="T17" s="111" t="e">
        <f t="array" ref="T17">IFERROR(MROUND(INDEX(df_proj!$E$2:$AD$1000, MATCH(1, ($A$2 = df_proj!$A$2:$A$1000) * (df_proj!$B$2:$B$1000 = $B17) * (df_proj!$C$2:$C$1000 = $D$2), 0), MATCH(TEXT(T$8, "####"), df_proj!$E$1:$AD$1,0)),5),MROUND(INDEX(df_proj!$E$2:$AD$1000, MATCH(1, ($B$2 = df_proj!$A$2:$A$1000) * (df_proj!$B$2:$B$1000 = $B17) * (df_proj!$C$2:$C$1000 = $D$2), 0), MATCH(TEXT(T$8, "####"), df_proj!$E$1:$AD$1,0)) * popn_fut!$C89/popn_fut!$E89,5))</f>
        <v>#N/A</v>
      </c>
      <c r="U17" s="111" t="e">
        <f t="array" ref="U17">IFERROR(MROUND(INDEX(df_proj!$E$2:$AD$1000, MATCH(1, ($A$2 = df_proj!$A$2:$A$1000) * (df_proj!$B$2:$B$1000 = $B17) * (df_proj!$C$2:$C$1000 = $D$2), 0), MATCH(TEXT(U$8, "####"), df_proj!$E$1:$AD$1,0)),5),MROUND(INDEX(df_proj!$E$2:$AD$1000, MATCH(1, ($B$2 = df_proj!$A$2:$A$1000) * (df_proj!$B$2:$B$1000 = $B17) * (df_proj!$C$2:$C$1000 = $D$2), 0), MATCH(TEXT(U$8, "####"), df_proj!$E$1:$AD$1,0)) * popn_fut!$C89/popn_fut!$E89,5))</f>
        <v>#N/A</v>
      </c>
      <c r="V17" s="111" t="e">
        <f t="array" ref="V17">IFERROR(MROUND(INDEX(df_proj!$E$2:$AD$1000, MATCH(1, ($A$2 = df_proj!$A$2:$A$1000) * (df_proj!$B$2:$B$1000 = $B17) * (df_proj!$C$2:$C$1000 = $D$2), 0), MATCH(TEXT(V$8, "####"), df_proj!$E$1:$AD$1,0)),5),MROUND(INDEX(df_proj!$E$2:$AD$1000, MATCH(1, ($B$2 = df_proj!$A$2:$A$1000) * (df_proj!$B$2:$B$1000 = $B17) * (df_proj!$C$2:$C$1000 = $D$2), 0), MATCH(TEXT(V$8, "####"), df_proj!$E$1:$AD$1,0)) * popn_fut!$C89/popn_fut!$E89,5))</f>
        <v>#N/A</v>
      </c>
      <c r="W17" s="111" t="e">
        <f t="array" ref="W17">IFERROR(MROUND(INDEX(df_proj!$E$2:$AD$1000, MATCH(1, ($A$2 = df_proj!$A$2:$A$1000) * (df_proj!$B$2:$B$1000 = $B17) * (df_proj!$C$2:$C$1000 = $D$2), 0), MATCH(TEXT(W$8, "####"), df_proj!$E$1:$AD$1,0)),5),MROUND(INDEX(df_proj!$E$2:$AD$1000, MATCH(1, ($B$2 = df_proj!$A$2:$A$1000) * (df_proj!$B$2:$B$1000 = $B17) * (df_proj!$C$2:$C$1000 = $D$2), 0), MATCH(TEXT(W$8, "####"), df_proj!$E$1:$AD$1,0)) * popn_fut!$C89/popn_fut!$E89,5))</f>
        <v>#N/A</v>
      </c>
      <c r="X17" s="111" t="e">
        <f t="array" ref="X17">IFERROR(MROUND(INDEX(df_proj!$E$2:$AD$1000, MATCH(1, ($A$2 = df_proj!$A$2:$A$1000) * (df_proj!$B$2:$B$1000 = $B17) * (df_proj!$C$2:$C$1000 = $D$2), 0), MATCH(TEXT(X$8, "####"), df_proj!$E$1:$AD$1,0)),5),MROUND(INDEX(df_proj!$E$2:$AD$1000, MATCH(1, ($B$2 = df_proj!$A$2:$A$1000) * (df_proj!$B$2:$B$1000 = $B17) * (df_proj!$C$2:$C$1000 = $D$2), 0), MATCH(TEXT(X$8, "####"), df_proj!$E$1:$AD$1,0)) * popn_fut!$C89/popn_fut!$E89,5))</f>
        <v>#N/A</v>
      </c>
      <c r="Y17" s="111" t="e">
        <f t="array" ref="Y17">IFERROR(MROUND(INDEX(df_proj!$E$2:$AD$1000, MATCH(1, ($A$2 = df_proj!$A$2:$A$1000) * (df_proj!$B$2:$B$1000 = $B17) * (df_proj!$C$2:$C$1000 = $D$2), 0), MATCH(TEXT(Y$8, "####"), df_proj!$E$1:$AD$1,0)),5),MROUND(INDEX(df_proj!$E$2:$AD$1000, MATCH(1, ($B$2 = df_proj!$A$2:$A$1000) * (df_proj!$B$2:$B$1000 = $B17) * (df_proj!$C$2:$C$1000 = $D$2), 0), MATCH(TEXT(Y$8, "####"), df_proj!$E$1:$AD$1,0)) * popn_fut!$C89/popn_fut!$E89,5))</f>
        <v>#N/A</v>
      </c>
      <c r="Z17" s="111" t="e">
        <f t="array" ref="Z17">IFERROR(MROUND(INDEX(df_proj!$E$2:$AD$1000, MATCH(1, ($A$2 = df_proj!$A$2:$A$1000) * (df_proj!$B$2:$B$1000 = $B17) * (df_proj!$C$2:$C$1000 = $D$2), 0), MATCH(TEXT(Z$8, "####"), df_proj!$E$1:$AD$1,0)),5),MROUND(INDEX(df_proj!$E$2:$AD$1000, MATCH(1, ($B$2 = df_proj!$A$2:$A$1000) * (df_proj!$B$2:$B$1000 = $B17) * (df_proj!$C$2:$C$1000 = $D$2), 0), MATCH(TEXT(Z$8, "####"), df_proj!$E$1:$AD$1,0)) * popn_fut!$C89/popn_fut!$E89,5))</f>
        <v>#N/A</v>
      </c>
      <c r="AA17" s="111" t="e">
        <f t="array" ref="AA17">IFERROR(MROUND(INDEX(df_proj!$E$2:$AD$1000, MATCH(1, ($A$2 = df_proj!$A$2:$A$1000) * (df_proj!$B$2:$B$1000 = $B17) * (df_proj!$C$2:$C$1000 = $D$2), 0), MATCH(TEXT(AA$8, "####"), df_proj!$E$1:$AD$1,0)),5),MROUND(INDEX(df_proj!$E$2:$AD$1000, MATCH(1, ($B$2 = df_proj!$A$2:$A$1000) * (df_proj!$B$2:$B$1000 = $B17) * (df_proj!$C$2:$C$1000 = $D$2), 0), MATCH(TEXT(AA$8, "####"), df_proj!$E$1:$AD$1,0)) * popn_fut!$C89/popn_fut!$E89,5))</f>
        <v>#N/A</v>
      </c>
      <c r="AB17" s="111" t="e">
        <f t="array" ref="AB17">IFERROR(MROUND(INDEX(df_proj!$E$2:$AD$1000, MATCH(1, ($A$2 = df_proj!$A$2:$A$1000) * (df_proj!$B$2:$B$1000 = $B17) * (df_proj!$C$2:$C$1000 = $D$2), 0), MATCH(TEXT(AB$8, "####"), df_proj!$E$1:$AD$1,0)),5),MROUND(INDEX(df_proj!$E$2:$AD$1000, MATCH(1, ($B$2 = df_proj!$A$2:$A$1000) * (df_proj!$B$2:$B$1000 = $B17) * (df_proj!$C$2:$C$1000 = $D$2), 0), MATCH(TEXT(AB$8, "####"), df_proj!$E$1:$AD$1,0)) * popn_fut!$C89/popn_fut!$E89,5))</f>
        <v>#N/A</v>
      </c>
      <c r="AC17" s="111" t="e">
        <f t="array" ref="AC17">IFERROR(MROUND(INDEX(df_proj!$E$2:$AD$1000, MATCH(1, ($A$2 = df_proj!$A$2:$A$1000) * (df_proj!$B$2:$B$1000 = $B17) * (df_proj!$C$2:$C$1000 = $D$2), 0), MATCH(TEXT(AC$8, "####"), df_proj!$E$1:$AD$1,0)),5),MROUND(INDEX(df_proj!$E$2:$AD$1000, MATCH(1, ($B$2 = df_proj!$A$2:$A$1000) * (df_proj!$B$2:$B$1000 = $B17) * (df_proj!$C$2:$C$1000 = $D$2), 0), MATCH(TEXT(AC$8, "####"), df_proj!$E$1:$AD$1,0)) * popn_fut!$C89/popn_fut!$E89,5))</f>
        <v>#N/A</v>
      </c>
      <c r="AD17" s="111" t="e">
        <f t="array" ref="AD17">IFERROR(MROUND(INDEX(df_proj!$E$2:$AD$1000, MATCH(1, ($A$2 = df_proj!$A$2:$A$1000) * (df_proj!$B$2:$B$1000 = $B17) * (df_proj!$C$2:$C$1000 = $D$2), 0), MATCH(TEXT(AD$8, "####"), df_proj!$E$1:$AD$1,0)),5),MROUND(INDEX(df_proj!$E$2:$AD$1000, MATCH(1, ($B$2 = df_proj!$A$2:$A$1000) * (df_proj!$B$2:$B$1000 = $B17) * (df_proj!$C$2:$C$1000 = $D$2), 0), MATCH(TEXT(AD$8, "####"), df_proj!$E$1:$AD$1,0)) * popn_fut!$C89/popn_fut!$E89,5))</f>
        <v>#N/A</v>
      </c>
      <c r="AE17" s="111" t="e">
        <f t="array" ref="AE17">IFERROR(MROUND(INDEX(df_proj!$E$2:$AD$1000, MATCH(1, ($A$2 = df_proj!$A$2:$A$1000) * (df_proj!$B$2:$B$1000 = $B17) * (df_proj!$C$2:$C$1000 = $D$2), 0), MATCH(TEXT(AE$8, "####"), df_proj!$E$1:$AD$1,0)),5),MROUND(INDEX(df_proj!$E$2:$AD$1000, MATCH(1, ($B$2 = df_proj!$A$2:$A$1000) * (df_proj!$B$2:$B$1000 = $B17) * (df_proj!$C$2:$C$1000 = $D$2), 0), MATCH(TEXT(AE$8, "####"), df_proj!$E$1:$AD$1,0)) * popn_fut!$C89/popn_fut!$E89,5))</f>
        <v>#N/A</v>
      </c>
      <c r="AF17" s="111" t="e">
        <f t="array" ref="AF17">IFERROR(MROUND(INDEX(df_proj!$E$2:$AD$1000, MATCH(1, ($A$2 = df_proj!$A$2:$A$1000) * (df_proj!$B$2:$B$1000 = $B17) * (df_proj!$C$2:$C$1000 = $D$2), 0), MATCH(TEXT(AF$8, "####"), df_proj!$E$1:$AD$1,0)),5),MROUND(INDEX(df_proj!$E$2:$AD$1000, MATCH(1, ($B$2 = df_proj!$A$2:$A$1000) * (df_proj!$B$2:$B$1000 = $B17) * (df_proj!$C$2:$C$1000 = $D$2), 0), MATCH(TEXT(AF$8, "####"), df_proj!$E$1:$AD$1,0)) * popn_fut!$C89/popn_fut!$E89,5))</f>
        <v>#N/A</v>
      </c>
      <c r="AG17" s="111" t="e">
        <f t="array" ref="AG17">IFERROR(MROUND(INDEX(df_proj!$E$2:$AD$1000, MATCH(1, ($A$2 = df_proj!$A$2:$A$1000) * (df_proj!$B$2:$B$1000 = $B17) * (df_proj!$C$2:$C$1000 = $D$2), 0), MATCH(TEXT(AG$8, "####"), df_proj!$E$1:$AD$1,0)),5),MROUND(INDEX(df_proj!$E$2:$AD$1000, MATCH(1, ($B$2 = df_proj!$A$2:$A$1000) * (df_proj!$B$2:$B$1000 = $B17) * (df_proj!$C$2:$C$1000 = $D$2), 0), MATCH(TEXT(AG$8, "####"), df_proj!$E$1:$AD$1,0)) * popn_fut!$C89/popn_fut!$E89,5))</f>
        <v>#N/A</v>
      </c>
      <c r="AH17" s="111" t="e">
        <f t="array" ref="AH17">IFERROR(MROUND(INDEX(df_proj!$E$2:$AD$1000, MATCH(1, ($A$2 = df_proj!$A$2:$A$1000) * (df_proj!$B$2:$B$1000 = $B17) * (df_proj!$C$2:$C$1000 = $D$2), 0), MATCH(TEXT(AH$8, "####"), df_proj!$E$1:$AD$1,0)),5),MROUND(INDEX(df_proj!$E$2:$AD$1000, MATCH(1, ($B$2 = df_proj!$A$2:$A$1000) * (df_proj!$B$2:$B$1000 = $B17) * (df_proj!$C$2:$C$1000 = $D$2), 0), MATCH(TEXT(AH$8, "####"), df_proj!$E$1:$AD$1,0)) * popn_fut!$C89/popn_fut!$E89,5))</f>
        <v>#N/A</v>
      </c>
      <c r="AI17" s="111" t="e">
        <f t="array" ref="AI17">IFERROR(MROUND(INDEX(df_proj!$E$2:$AD$1000, MATCH(1, ($A$2 = df_proj!$A$2:$A$1000) * (df_proj!$B$2:$B$1000 = $B17) * (df_proj!$C$2:$C$1000 = $D$2), 0), MATCH(TEXT(AI$8, "####"), df_proj!$E$1:$AD$1,0)),5),MROUND(INDEX(df_proj!$E$2:$AD$1000, MATCH(1, ($B$2 = df_proj!$A$2:$A$1000) * (df_proj!$B$2:$B$1000 = $B17) * (df_proj!$C$2:$C$1000 = $D$2), 0), MATCH(TEXT(AI$8, "####"), df_proj!$E$1:$AD$1,0)) * popn_fut!$C89/popn_fut!$E89,5))</f>
        <v>#N/A</v>
      </c>
      <c r="AJ17" s="111" t="e">
        <f t="array" ref="AJ17">IFERROR(MROUND(INDEX(df_proj!$E$2:$AD$1000, MATCH(1, ($A$2 = df_proj!$A$2:$A$1000) * (df_proj!$B$2:$B$1000 = $B17) * (df_proj!$C$2:$C$1000 = $D$2), 0), MATCH(TEXT(AJ$8, "####"), df_proj!$E$1:$AD$1,0)),5),MROUND(INDEX(df_proj!$E$2:$AD$1000, MATCH(1, ($B$2 = df_proj!$A$2:$A$1000) * (df_proj!$B$2:$B$1000 = $B17) * (df_proj!$C$2:$C$1000 = $D$2), 0), MATCH(TEXT(AJ$8, "####"), df_proj!$E$1:$AD$1,0)) * popn_fut!$C89/popn_fut!$E89,5))</f>
        <v>#N/A</v>
      </c>
      <c r="AK17" s="111" t="e">
        <f t="array" ref="AK17">IFERROR(MROUND(INDEX(df_proj!$E$2:$AD$1000, MATCH(1, ($A$2 = df_proj!$A$2:$A$1000) * (df_proj!$B$2:$B$1000 = $B17) * (df_proj!$C$2:$C$1000 = $D$2), 0), MATCH(TEXT(AK$8, "####"), df_proj!$E$1:$AD$1,0)),5),MROUND(INDEX(df_proj!$E$2:$AD$1000, MATCH(1, ($B$2 = df_proj!$A$2:$A$1000) * (df_proj!$B$2:$B$1000 = $B17) * (df_proj!$C$2:$C$1000 = $D$2), 0), MATCH(TEXT(AK$8, "####"), df_proj!$E$1:$AD$1,0)) * popn_fut!$C89/popn_fut!$E89,5))</f>
        <v>#N/A</v>
      </c>
      <c r="AL17" s="181" t="e">
        <f t="array" ref="AL17">IFERROR(MROUND(INDEX(df_proj!$E$2:$AD$1000, MATCH(1, ($A$2 = df_proj!$A$2:$A$1000) * (df_proj!$B$2:$B$1000 = $B17) * (df_proj!$C$2:$C$1000 = $D$2), 0), MATCH(TEXT(AL$8, "####"), df_proj!$E$1:$AD$1,0)),5),MROUND(INDEX(df_proj!$E$2:$AD$1000, MATCH(1, ($B$2 = df_proj!$A$2:$A$1000) * (df_proj!$B$2:$B$1000 = $B17) * (df_proj!$C$2:$C$1000 = $D$2), 0), MATCH(TEXT(AL$8, "####"), df_proj!$E$1:$AD$1,0)) * popn_fut!$C89/popn_fut!$E89,5))</f>
        <v>#N/A</v>
      </c>
      <c r="AM17" s="239" t="e">
        <f t="shared" si="0"/>
        <v>#N/A</v>
      </c>
      <c r="AP17" s="239" t="e">
        <f t="shared" si="1"/>
        <v>#N/A</v>
      </c>
    </row>
    <row r="18" spans="1:45" ht="20.100000000000001" customHeight="1" x14ac:dyDescent="0.2">
      <c r="A18" s="299">
        <v>40</v>
      </c>
      <c r="B18" s="118" t="s">
        <v>124</v>
      </c>
      <c r="C18" s="113"/>
      <c r="D18" s="113" t="e">
        <v>#N/A</v>
      </c>
      <c r="E18" s="113"/>
      <c r="F18" s="113"/>
      <c r="G18" s="113"/>
      <c r="H18" s="113"/>
      <c r="I18" s="113" t="e">
        <v>#N/A</v>
      </c>
      <c r="J18" s="113"/>
      <c r="K18" s="113"/>
      <c r="L18" s="113"/>
      <c r="M18" s="113" t="e">
        <f t="array" ref="M18">IFERROR(MROUND(INDEX(df_proj!$E$2:$AD$1000, MATCH(1, ($A$2 = df_proj!$A$2:$A$1000) * (df_proj!$B$2:$B$1000 = $B18) * (df_proj!$C$2:$C$1000 = $D$2), 0), MATCH(TEXT(M$8, "####"), df_proj!$E$1:$AD$1,0)),5),MROUND(INDEX(df_proj!$E$2:$AD$1000, MATCH(1, ($B$2 = df_proj!$A$2:$A$1000) * (df_proj!$B$2:$B$1000 = $B18) * (df_proj!$C$2:$C$1000 = $D$2), 0), MATCH(TEXT(M$8, "####"), df_proj!$E$1:$AD$1,0)) * popn_fut!$C90/popn_fut!$E90,5))</f>
        <v>#N/A</v>
      </c>
      <c r="N18" s="113" t="e">
        <f t="array" ref="N18">IFERROR(MROUND(INDEX(df_proj!$E$2:$AD$1000, MATCH(1, ($A$2 = df_proj!$A$2:$A$1000) * (df_proj!$B$2:$B$1000 = $B18) * (df_proj!$C$2:$C$1000 = $D$2), 0), MATCH(TEXT(N$8, "####"), df_proj!$E$1:$AD$1,0)),5),MROUND(INDEX(df_proj!$E$2:$AD$1000, MATCH(1, ($B$2 = df_proj!$A$2:$A$1000) * (df_proj!$B$2:$B$1000 = $B18) * (df_proj!$C$2:$C$1000 = $D$2), 0), MATCH(TEXT(N$8, "####"), df_proj!$E$1:$AD$1,0)) * popn_fut!$C90/popn_fut!$E90,5))</f>
        <v>#N/A</v>
      </c>
      <c r="O18" s="113" t="e">
        <f t="array" ref="O18">IFERROR(MROUND(INDEX(df_proj!$E$2:$AD$1000, MATCH(1, ($A$2 = df_proj!$A$2:$A$1000) * (df_proj!$B$2:$B$1000 = $B18) * (df_proj!$C$2:$C$1000 = $D$2), 0), MATCH(TEXT(O$8, "####"), df_proj!$E$1:$AD$1,0)),5),MROUND(INDEX(df_proj!$E$2:$AD$1000, MATCH(1, ($B$2 = df_proj!$A$2:$A$1000) * (df_proj!$B$2:$B$1000 = $B18) * (df_proj!$C$2:$C$1000 = $D$2), 0), MATCH(TEXT(O$8, "####"), df_proj!$E$1:$AD$1,0)) * popn_fut!$C90/popn_fut!$E90,5))</f>
        <v>#N/A</v>
      </c>
      <c r="P18" s="113" t="e">
        <f t="array" ref="P18">IFERROR(MROUND(INDEX(df_proj!$E$2:$AD$1000, MATCH(1, ($A$2 = df_proj!$A$2:$A$1000) * (df_proj!$B$2:$B$1000 = $B18) * (df_proj!$C$2:$C$1000 = $D$2), 0), MATCH(TEXT(P$8, "####"), df_proj!$E$1:$AD$1,0)),5),MROUND(INDEX(df_proj!$E$2:$AD$1000, MATCH(1, ($B$2 = df_proj!$A$2:$A$1000) * (df_proj!$B$2:$B$1000 = $B18) * (df_proj!$C$2:$C$1000 = $D$2), 0), MATCH(TEXT(P$8, "####"), df_proj!$E$1:$AD$1,0)) * popn_fut!$C90/popn_fut!$E90,5))</f>
        <v>#N/A</v>
      </c>
      <c r="Q18" s="113" t="e">
        <f t="array" ref="Q18">IFERROR(MROUND(INDEX(df_proj!$E$2:$AD$1000, MATCH(1, ($A$2 = df_proj!$A$2:$A$1000) * (df_proj!$B$2:$B$1000 = $B18) * (df_proj!$C$2:$C$1000 = $D$2), 0), MATCH(TEXT(Q$8, "####"), df_proj!$E$1:$AD$1,0)),5),MROUND(INDEX(df_proj!$E$2:$AD$1000, MATCH(1, ($B$2 = df_proj!$A$2:$A$1000) * (df_proj!$B$2:$B$1000 = $B18) * (df_proj!$C$2:$C$1000 = $D$2), 0), MATCH(TEXT(Q$8, "####"), df_proj!$E$1:$AD$1,0)) * popn_fut!$C90/popn_fut!$E90,5))</f>
        <v>#N/A</v>
      </c>
      <c r="R18" s="113" t="e">
        <f t="array" ref="R18">IFERROR(MROUND(INDEX(df_proj!$E$2:$AD$1000, MATCH(1, ($A$2 = df_proj!$A$2:$A$1000) * (df_proj!$B$2:$B$1000 = $B18) * (df_proj!$C$2:$C$1000 = $D$2), 0), MATCH(TEXT(R$8, "####"), df_proj!$E$1:$AD$1,0)),5),MROUND(INDEX(df_proj!$E$2:$AD$1000, MATCH(1, ($B$2 = df_proj!$A$2:$A$1000) * (df_proj!$B$2:$B$1000 = $B18) * (df_proj!$C$2:$C$1000 = $D$2), 0), MATCH(TEXT(R$8, "####"), df_proj!$E$1:$AD$1,0)) * popn_fut!$C90/popn_fut!$E90,5))</f>
        <v>#N/A</v>
      </c>
      <c r="S18" s="113" t="e">
        <f t="array" ref="S18">IFERROR(MROUND(INDEX(df_proj!$E$2:$AD$1000, MATCH(1, ($A$2 = df_proj!$A$2:$A$1000) * (df_proj!$B$2:$B$1000 = $B18) * (df_proj!$C$2:$C$1000 = $D$2), 0), MATCH(TEXT(S$8, "####"), df_proj!$E$1:$AD$1,0)),5),MROUND(INDEX(df_proj!$E$2:$AD$1000, MATCH(1, ($B$2 = df_proj!$A$2:$A$1000) * (df_proj!$B$2:$B$1000 = $B18) * (df_proj!$C$2:$C$1000 = $D$2), 0), MATCH(TEXT(S$8, "####"), df_proj!$E$1:$AD$1,0)) * popn_fut!$C90/popn_fut!$E90,5))</f>
        <v>#N/A</v>
      </c>
      <c r="T18" s="113" t="e">
        <f t="array" ref="T18">IFERROR(MROUND(INDEX(df_proj!$E$2:$AD$1000, MATCH(1, ($A$2 = df_proj!$A$2:$A$1000) * (df_proj!$B$2:$B$1000 = $B18) * (df_proj!$C$2:$C$1000 = $D$2), 0), MATCH(TEXT(T$8, "####"), df_proj!$E$1:$AD$1,0)),5),MROUND(INDEX(df_proj!$E$2:$AD$1000, MATCH(1, ($B$2 = df_proj!$A$2:$A$1000) * (df_proj!$B$2:$B$1000 = $B18) * (df_proj!$C$2:$C$1000 = $D$2), 0), MATCH(TEXT(T$8, "####"), df_proj!$E$1:$AD$1,0)) * popn_fut!$C90/popn_fut!$E90,5))</f>
        <v>#N/A</v>
      </c>
      <c r="U18" s="113" t="e">
        <f t="array" ref="U18">IFERROR(MROUND(INDEX(df_proj!$E$2:$AD$1000, MATCH(1, ($A$2 = df_proj!$A$2:$A$1000) * (df_proj!$B$2:$B$1000 = $B18) * (df_proj!$C$2:$C$1000 = $D$2), 0), MATCH(TEXT(U$8, "####"), df_proj!$E$1:$AD$1,0)),5),MROUND(INDEX(df_proj!$E$2:$AD$1000, MATCH(1, ($B$2 = df_proj!$A$2:$A$1000) * (df_proj!$B$2:$B$1000 = $B18) * (df_proj!$C$2:$C$1000 = $D$2), 0), MATCH(TEXT(U$8, "####"), df_proj!$E$1:$AD$1,0)) * popn_fut!$C90/popn_fut!$E90,5))</f>
        <v>#N/A</v>
      </c>
      <c r="V18" s="113" t="e">
        <f t="array" ref="V18">IFERROR(MROUND(INDEX(df_proj!$E$2:$AD$1000, MATCH(1, ($A$2 = df_proj!$A$2:$A$1000) * (df_proj!$B$2:$B$1000 = $B18) * (df_proj!$C$2:$C$1000 = $D$2), 0), MATCH(TEXT(V$8, "####"), df_proj!$E$1:$AD$1,0)),5),MROUND(INDEX(df_proj!$E$2:$AD$1000, MATCH(1, ($B$2 = df_proj!$A$2:$A$1000) * (df_proj!$B$2:$B$1000 = $B18) * (df_proj!$C$2:$C$1000 = $D$2), 0), MATCH(TEXT(V$8, "####"), df_proj!$E$1:$AD$1,0)) * popn_fut!$C90/popn_fut!$E90,5))</f>
        <v>#N/A</v>
      </c>
      <c r="W18" s="113" t="e">
        <f t="array" ref="W18">IFERROR(MROUND(INDEX(df_proj!$E$2:$AD$1000, MATCH(1, ($A$2 = df_proj!$A$2:$A$1000) * (df_proj!$B$2:$B$1000 = $B18) * (df_proj!$C$2:$C$1000 = $D$2), 0), MATCH(TEXT(W$8, "####"), df_proj!$E$1:$AD$1,0)),5),MROUND(INDEX(df_proj!$E$2:$AD$1000, MATCH(1, ($B$2 = df_proj!$A$2:$A$1000) * (df_proj!$B$2:$B$1000 = $B18) * (df_proj!$C$2:$C$1000 = $D$2), 0), MATCH(TEXT(W$8, "####"), df_proj!$E$1:$AD$1,0)) * popn_fut!$C90/popn_fut!$E90,5))</f>
        <v>#N/A</v>
      </c>
      <c r="X18" s="113" t="e">
        <f t="array" ref="X18">IFERROR(MROUND(INDEX(df_proj!$E$2:$AD$1000, MATCH(1, ($A$2 = df_proj!$A$2:$A$1000) * (df_proj!$B$2:$B$1000 = $B18) * (df_proj!$C$2:$C$1000 = $D$2), 0), MATCH(TEXT(X$8, "####"), df_proj!$E$1:$AD$1,0)),5),MROUND(INDEX(df_proj!$E$2:$AD$1000, MATCH(1, ($B$2 = df_proj!$A$2:$A$1000) * (df_proj!$B$2:$B$1000 = $B18) * (df_proj!$C$2:$C$1000 = $D$2), 0), MATCH(TEXT(X$8, "####"), df_proj!$E$1:$AD$1,0)) * popn_fut!$C90/popn_fut!$E90,5))</f>
        <v>#N/A</v>
      </c>
      <c r="Y18" s="113" t="e">
        <f t="array" ref="Y18">IFERROR(MROUND(INDEX(df_proj!$E$2:$AD$1000, MATCH(1, ($A$2 = df_proj!$A$2:$A$1000) * (df_proj!$B$2:$B$1000 = $B18) * (df_proj!$C$2:$C$1000 = $D$2), 0), MATCH(TEXT(Y$8, "####"), df_proj!$E$1:$AD$1,0)),5),MROUND(INDEX(df_proj!$E$2:$AD$1000, MATCH(1, ($B$2 = df_proj!$A$2:$A$1000) * (df_proj!$B$2:$B$1000 = $B18) * (df_proj!$C$2:$C$1000 = $D$2), 0), MATCH(TEXT(Y$8, "####"), df_proj!$E$1:$AD$1,0)) * popn_fut!$C90/popn_fut!$E90,5))</f>
        <v>#N/A</v>
      </c>
      <c r="Z18" s="113" t="e">
        <f t="array" ref="Z18">IFERROR(MROUND(INDEX(df_proj!$E$2:$AD$1000, MATCH(1, ($A$2 = df_proj!$A$2:$A$1000) * (df_proj!$B$2:$B$1000 = $B18) * (df_proj!$C$2:$C$1000 = $D$2), 0), MATCH(TEXT(Z$8, "####"), df_proj!$E$1:$AD$1,0)),5),MROUND(INDEX(df_proj!$E$2:$AD$1000, MATCH(1, ($B$2 = df_proj!$A$2:$A$1000) * (df_proj!$B$2:$B$1000 = $B18) * (df_proj!$C$2:$C$1000 = $D$2), 0), MATCH(TEXT(Z$8, "####"), df_proj!$E$1:$AD$1,0)) * popn_fut!$C90/popn_fut!$E90,5))</f>
        <v>#N/A</v>
      </c>
      <c r="AA18" s="113" t="e">
        <f t="array" ref="AA18">IFERROR(MROUND(INDEX(df_proj!$E$2:$AD$1000, MATCH(1, ($A$2 = df_proj!$A$2:$A$1000) * (df_proj!$B$2:$B$1000 = $B18) * (df_proj!$C$2:$C$1000 = $D$2), 0), MATCH(TEXT(AA$8, "####"), df_proj!$E$1:$AD$1,0)),5),MROUND(INDEX(df_proj!$E$2:$AD$1000, MATCH(1, ($B$2 = df_proj!$A$2:$A$1000) * (df_proj!$B$2:$B$1000 = $B18) * (df_proj!$C$2:$C$1000 = $D$2), 0), MATCH(TEXT(AA$8, "####"), df_proj!$E$1:$AD$1,0)) * popn_fut!$C90/popn_fut!$E90,5))</f>
        <v>#N/A</v>
      </c>
      <c r="AB18" s="113" t="e">
        <f t="array" ref="AB18">IFERROR(MROUND(INDEX(df_proj!$E$2:$AD$1000, MATCH(1, ($A$2 = df_proj!$A$2:$A$1000) * (df_proj!$B$2:$B$1000 = $B18) * (df_proj!$C$2:$C$1000 = $D$2), 0), MATCH(TEXT(AB$8, "####"), df_proj!$E$1:$AD$1,0)),5),MROUND(INDEX(df_proj!$E$2:$AD$1000, MATCH(1, ($B$2 = df_proj!$A$2:$A$1000) * (df_proj!$B$2:$B$1000 = $B18) * (df_proj!$C$2:$C$1000 = $D$2), 0), MATCH(TEXT(AB$8, "####"), df_proj!$E$1:$AD$1,0)) * popn_fut!$C90/popn_fut!$E90,5))</f>
        <v>#N/A</v>
      </c>
      <c r="AC18" s="113" t="e">
        <f t="array" ref="AC18">IFERROR(MROUND(INDEX(df_proj!$E$2:$AD$1000, MATCH(1, ($A$2 = df_proj!$A$2:$A$1000) * (df_proj!$B$2:$B$1000 = $B18) * (df_proj!$C$2:$C$1000 = $D$2), 0), MATCH(TEXT(AC$8, "####"), df_proj!$E$1:$AD$1,0)),5),MROUND(INDEX(df_proj!$E$2:$AD$1000, MATCH(1, ($B$2 = df_proj!$A$2:$A$1000) * (df_proj!$B$2:$B$1000 = $B18) * (df_proj!$C$2:$C$1000 = $D$2), 0), MATCH(TEXT(AC$8, "####"), df_proj!$E$1:$AD$1,0)) * popn_fut!$C90/popn_fut!$E90,5))</f>
        <v>#N/A</v>
      </c>
      <c r="AD18" s="113" t="e">
        <f t="array" ref="AD18">IFERROR(MROUND(INDEX(df_proj!$E$2:$AD$1000, MATCH(1, ($A$2 = df_proj!$A$2:$A$1000) * (df_proj!$B$2:$B$1000 = $B18) * (df_proj!$C$2:$C$1000 = $D$2), 0), MATCH(TEXT(AD$8, "####"), df_proj!$E$1:$AD$1,0)),5),MROUND(INDEX(df_proj!$E$2:$AD$1000, MATCH(1, ($B$2 = df_proj!$A$2:$A$1000) * (df_proj!$B$2:$B$1000 = $B18) * (df_proj!$C$2:$C$1000 = $D$2), 0), MATCH(TEXT(AD$8, "####"), df_proj!$E$1:$AD$1,0)) * popn_fut!$C90/popn_fut!$E90,5))</f>
        <v>#N/A</v>
      </c>
      <c r="AE18" s="113" t="e">
        <f t="array" ref="AE18">IFERROR(MROUND(INDEX(df_proj!$E$2:$AD$1000, MATCH(1, ($A$2 = df_proj!$A$2:$A$1000) * (df_proj!$B$2:$B$1000 = $B18) * (df_proj!$C$2:$C$1000 = $D$2), 0), MATCH(TEXT(AE$8, "####"), df_proj!$E$1:$AD$1,0)),5),MROUND(INDEX(df_proj!$E$2:$AD$1000, MATCH(1, ($B$2 = df_proj!$A$2:$A$1000) * (df_proj!$B$2:$B$1000 = $B18) * (df_proj!$C$2:$C$1000 = $D$2), 0), MATCH(TEXT(AE$8, "####"), df_proj!$E$1:$AD$1,0)) * popn_fut!$C90/popn_fut!$E90,5))</f>
        <v>#N/A</v>
      </c>
      <c r="AF18" s="113" t="e">
        <f t="array" ref="AF18">IFERROR(MROUND(INDEX(df_proj!$E$2:$AD$1000, MATCH(1, ($A$2 = df_proj!$A$2:$A$1000) * (df_proj!$B$2:$B$1000 = $B18) * (df_proj!$C$2:$C$1000 = $D$2), 0), MATCH(TEXT(AF$8, "####"), df_proj!$E$1:$AD$1,0)),5),MROUND(INDEX(df_proj!$E$2:$AD$1000, MATCH(1, ($B$2 = df_proj!$A$2:$A$1000) * (df_proj!$B$2:$B$1000 = $B18) * (df_proj!$C$2:$C$1000 = $D$2), 0), MATCH(TEXT(AF$8, "####"), df_proj!$E$1:$AD$1,0)) * popn_fut!$C90/popn_fut!$E90,5))</f>
        <v>#N/A</v>
      </c>
      <c r="AG18" s="113" t="e">
        <f t="array" ref="AG18">IFERROR(MROUND(INDEX(df_proj!$E$2:$AD$1000, MATCH(1, ($A$2 = df_proj!$A$2:$A$1000) * (df_proj!$B$2:$B$1000 = $B18) * (df_proj!$C$2:$C$1000 = $D$2), 0), MATCH(TEXT(AG$8, "####"), df_proj!$E$1:$AD$1,0)),5),MROUND(INDEX(df_proj!$E$2:$AD$1000, MATCH(1, ($B$2 = df_proj!$A$2:$A$1000) * (df_proj!$B$2:$B$1000 = $B18) * (df_proj!$C$2:$C$1000 = $D$2), 0), MATCH(TEXT(AG$8, "####"), df_proj!$E$1:$AD$1,0)) * popn_fut!$C90/popn_fut!$E90,5))</f>
        <v>#N/A</v>
      </c>
      <c r="AH18" s="113" t="e">
        <f t="array" ref="AH18">IFERROR(MROUND(INDEX(df_proj!$E$2:$AD$1000, MATCH(1, ($A$2 = df_proj!$A$2:$A$1000) * (df_proj!$B$2:$B$1000 = $B18) * (df_proj!$C$2:$C$1000 = $D$2), 0), MATCH(TEXT(AH$8, "####"), df_proj!$E$1:$AD$1,0)),5),MROUND(INDEX(df_proj!$E$2:$AD$1000, MATCH(1, ($B$2 = df_proj!$A$2:$A$1000) * (df_proj!$B$2:$B$1000 = $B18) * (df_proj!$C$2:$C$1000 = $D$2), 0), MATCH(TEXT(AH$8, "####"), df_proj!$E$1:$AD$1,0)) * popn_fut!$C90/popn_fut!$E90,5))</f>
        <v>#N/A</v>
      </c>
      <c r="AI18" s="113" t="e">
        <f t="array" ref="AI18">IFERROR(MROUND(INDEX(df_proj!$E$2:$AD$1000, MATCH(1, ($A$2 = df_proj!$A$2:$A$1000) * (df_proj!$B$2:$B$1000 = $B18) * (df_proj!$C$2:$C$1000 = $D$2), 0), MATCH(TEXT(AI$8, "####"), df_proj!$E$1:$AD$1,0)),5),MROUND(INDEX(df_proj!$E$2:$AD$1000, MATCH(1, ($B$2 = df_proj!$A$2:$A$1000) * (df_proj!$B$2:$B$1000 = $B18) * (df_proj!$C$2:$C$1000 = $D$2), 0), MATCH(TEXT(AI$8, "####"), df_proj!$E$1:$AD$1,0)) * popn_fut!$C90/popn_fut!$E90,5))</f>
        <v>#N/A</v>
      </c>
      <c r="AJ18" s="113" t="e">
        <f t="array" ref="AJ18">IFERROR(MROUND(INDEX(df_proj!$E$2:$AD$1000, MATCH(1, ($A$2 = df_proj!$A$2:$A$1000) * (df_proj!$B$2:$B$1000 = $B18) * (df_proj!$C$2:$C$1000 = $D$2), 0), MATCH(TEXT(AJ$8, "####"), df_proj!$E$1:$AD$1,0)),5),MROUND(INDEX(df_proj!$E$2:$AD$1000, MATCH(1, ($B$2 = df_proj!$A$2:$A$1000) * (df_proj!$B$2:$B$1000 = $B18) * (df_proj!$C$2:$C$1000 = $D$2), 0), MATCH(TEXT(AJ$8, "####"), df_proj!$E$1:$AD$1,0)) * popn_fut!$C90/popn_fut!$E90,5))</f>
        <v>#N/A</v>
      </c>
      <c r="AK18" s="113" t="e">
        <f t="array" ref="AK18">IFERROR(MROUND(INDEX(df_proj!$E$2:$AD$1000, MATCH(1, ($A$2 = df_proj!$A$2:$A$1000) * (df_proj!$B$2:$B$1000 = $B18) * (df_proj!$C$2:$C$1000 = $D$2), 0), MATCH(TEXT(AK$8, "####"), df_proj!$E$1:$AD$1,0)),5),MROUND(INDEX(df_proj!$E$2:$AD$1000, MATCH(1, ($B$2 = df_proj!$A$2:$A$1000) * (df_proj!$B$2:$B$1000 = $B18) * (df_proj!$C$2:$C$1000 = $D$2), 0), MATCH(TEXT(AK$8, "####"), df_proj!$E$1:$AD$1,0)) * popn_fut!$C90/popn_fut!$E90,5))</f>
        <v>#N/A</v>
      </c>
      <c r="AL18" s="329" t="e">
        <f t="array" ref="AL18">IFERROR(MROUND(INDEX(df_proj!$E$2:$AD$1000, MATCH(1, ($A$2 = df_proj!$A$2:$A$1000) * (df_proj!$B$2:$B$1000 = $B18) * (df_proj!$C$2:$C$1000 = $D$2), 0), MATCH(TEXT(AL$8, "####"), df_proj!$E$1:$AD$1,0)),5),MROUND(INDEX(df_proj!$E$2:$AD$1000, MATCH(1, ($B$2 = df_proj!$A$2:$A$1000) * (df_proj!$B$2:$B$1000 = $B18) * (df_proj!$C$2:$C$1000 = $D$2), 0), MATCH(TEXT(AL$8, "####"), df_proj!$E$1:$AD$1,0)) * popn_fut!$C90/popn_fut!$E90,5))</f>
        <v>#N/A</v>
      </c>
      <c r="AM18" s="239" t="e">
        <f t="shared" si="0"/>
        <v>#N/A</v>
      </c>
      <c r="AP18" s="239" t="e">
        <f t="shared" si="1"/>
        <v>#N/A</v>
      </c>
    </row>
    <row r="19" spans="1:45" ht="20.100000000000001" customHeight="1" x14ac:dyDescent="0.2">
      <c r="A19" s="299">
        <v>45</v>
      </c>
      <c r="B19" s="277" t="s">
        <v>125</v>
      </c>
      <c r="C19" s="111"/>
      <c r="D19" s="111" t="e">
        <v>#N/A</v>
      </c>
      <c r="E19" s="111"/>
      <c r="F19" s="111"/>
      <c r="G19" s="111"/>
      <c r="H19" s="111"/>
      <c r="I19" s="111" t="e">
        <v>#N/A</v>
      </c>
      <c r="J19" s="111"/>
      <c r="K19" s="111"/>
      <c r="L19" s="111"/>
      <c r="M19" s="111" t="e">
        <f t="array" ref="M19">IFERROR(MROUND(INDEX(df_proj!$E$2:$AD$1000, MATCH(1, ($A$2 = df_proj!$A$2:$A$1000) * (df_proj!$B$2:$B$1000 = $B19) * (df_proj!$C$2:$C$1000 = $D$2), 0), MATCH(TEXT(M$8, "####"), df_proj!$E$1:$AD$1,0)),5),MROUND(INDEX(df_proj!$E$2:$AD$1000, MATCH(1, ($B$2 = df_proj!$A$2:$A$1000) * (df_proj!$B$2:$B$1000 = $B19) * (df_proj!$C$2:$C$1000 = $D$2), 0), MATCH(TEXT(M$8, "####"), df_proj!$E$1:$AD$1,0)) * popn_fut!$C91/popn_fut!$E91,5))</f>
        <v>#N/A</v>
      </c>
      <c r="N19" s="111" t="e">
        <f t="array" ref="N19">IFERROR(MROUND(INDEX(df_proj!$E$2:$AD$1000, MATCH(1, ($A$2 = df_proj!$A$2:$A$1000) * (df_proj!$B$2:$B$1000 = $B19) * (df_proj!$C$2:$C$1000 = $D$2), 0), MATCH(TEXT(N$8, "####"), df_proj!$E$1:$AD$1,0)),5),MROUND(INDEX(df_proj!$E$2:$AD$1000, MATCH(1, ($B$2 = df_proj!$A$2:$A$1000) * (df_proj!$B$2:$B$1000 = $B19) * (df_proj!$C$2:$C$1000 = $D$2), 0), MATCH(TEXT(N$8, "####"), df_proj!$E$1:$AD$1,0)) * popn_fut!$C91/popn_fut!$E91,5))</f>
        <v>#N/A</v>
      </c>
      <c r="O19" s="111" t="e">
        <f t="array" ref="O19">IFERROR(MROUND(INDEX(df_proj!$E$2:$AD$1000, MATCH(1, ($A$2 = df_proj!$A$2:$A$1000) * (df_proj!$B$2:$B$1000 = $B19) * (df_proj!$C$2:$C$1000 = $D$2), 0), MATCH(TEXT(O$8, "####"), df_proj!$E$1:$AD$1,0)),5),MROUND(INDEX(df_proj!$E$2:$AD$1000, MATCH(1, ($B$2 = df_proj!$A$2:$A$1000) * (df_proj!$B$2:$B$1000 = $B19) * (df_proj!$C$2:$C$1000 = $D$2), 0), MATCH(TEXT(O$8, "####"), df_proj!$E$1:$AD$1,0)) * popn_fut!$C91/popn_fut!$E91,5))</f>
        <v>#N/A</v>
      </c>
      <c r="P19" s="111" t="e">
        <f t="array" ref="P19">IFERROR(MROUND(INDEX(df_proj!$E$2:$AD$1000, MATCH(1, ($A$2 = df_proj!$A$2:$A$1000) * (df_proj!$B$2:$B$1000 = $B19) * (df_proj!$C$2:$C$1000 = $D$2), 0), MATCH(TEXT(P$8, "####"), df_proj!$E$1:$AD$1,0)),5),MROUND(INDEX(df_proj!$E$2:$AD$1000, MATCH(1, ($B$2 = df_proj!$A$2:$A$1000) * (df_proj!$B$2:$B$1000 = $B19) * (df_proj!$C$2:$C$1000 = $D$2), 0), MATCH(TEXT(P$8, "####"), df_proj!$E$1:$AD$1,0)) * popn_fut!$C91/popn_fut!$E91,5))</f>
        <v>#N/A</v>
      </c>
      <c r="Q19" s="111" t="e">
        <f t="array" ref="Q19">IFERROR(MROUND(INDEX(df_proj!$E$2:$AD$1000, MATCH(1, ($A$2 = df_proj!$A$2:$A$1000) * (df_proj!$B$2:$B$1000 = $B19) * (df_proj!$C$2:$C$1000 = $D$2), 0), MATCH(TEXT(Q$8, "####"), df_proj!$E$1:$AD$1,0)),5),MROUND(INDEX(df_proj!$E$2:$AD$1000, MATCH(1, ($B$2 = df_proj!$A$2:$A$1000) * (df_proj!$B$2:$B$1000 = $B19) * (df_proj!$C$2:$C$1000 = $D$2), 0), MATCH(TEXT(Q$8, "####"), df_proj!$E$1:$AD$1,0)) * popn_fut!$C91/popn_fut!$E91,5))</f>
        <v>#N/A</v>
      </c>
      <c r="R19" s="111" t="e">
        <f t="array" ref="R19">IFERROR(MROUND(INDEX(df_proj!$E$2:$AD$1000, MATCH(1, ($A$2 = df_proj!$A$2:$A$1000) * (df_proj!$B$2:$B$1000 = $B19) * (df_proj!$C$2:$C$1000 = $D$2), 0), MATCH(TEXT(R$8, "####"), df_proj!$E$1:$AD$1,0)),5),MROUND(INDEX(df_proj!$E$2:$AD$1000, MATCH(1, ($B$2 = df_proj!$A$2:$A$1000) * (df_proj!$B$2:$B$1000 = $B19) * (df_proj!$C$2:$C$1000 = $D$2), 0), MATCH(TEXT(R$8, "####"), df_proj!$E$1:$AD$1,0)) * popn_fut!$C91/popn_fut!$E91,5))</f>
        <v>#N/A</v>
      </c>
      <c r="S19" s="111" t="e">
        <f t="array" ref="S19">IFERROR(MROUND(INDEX(df_proj!$E$2:$AD$1000, MATCH(1, ($A$2 = df_proj!$A$2:$A$1000) * (df_proj!$B$2:$B$1000 = $B19) * (df_proj!$C$2:$C$1000 = $D$2), 0), MATCH(TEXT(S$8, "####"), df_proj!$E$1:$AD$1,0)),5),MROUND(INDEX(df_proj!$E$2:$AD$1000, MATCH(1, ($B$2 = df_proj!$A$2:$A$1000) * (df_proj!$B$2:$B$1000 = $B19) * (df_proj!$C$2:$C$1000 = $D$2), 0), MATCH(TEXT(S$8, "####"), df_proj!$E$1:$AD$1,0)) * popn_fut!$C91/popn_fut!$E91,5))</f>
        <v>#N/A</v>
      </c>
      <c r="T19" s="111" t="e">
        <f t="array" ref="T19">IFERROR(MROUND(INDEX(df_proj!$E$2:$AD$1000, MATCH(1, ($A$2 = df_proj!$A$2:$A$1000) * (df_proj!$B$2:$B$1000 = $B19) * (df_proj!$C$2:$C$1000 = $D$2), 0), MATCH(TEXT(T$8, "####"), df_proj!$E$1:$AD$1,0)),5),MROUND(INDEX(df_proj!$E$2:$AD$1000, MATCH(1, ($B$2 = df_proj!$A$2:$A$1000) * (df_proj!$B$2:$B$1000 = $B19) * (df_proj!$C$2:$C$1000 = $D$2), 0), MATCH(TEXT(T$8, "####"), df_proj!$E$1:$AD$1,0)) * popn_fut!$C91/popn_fut!$E91,5))</f>
        <v>#N/A</v>
      </c>
      <c r="U19" s="111" t="e">
        <f t="array" ref="U19">IFERROR(MROUND(INDEX(df_proj!$E$2:$AD$1000, MATCH(1, ($A$2 = df_proj!$A$2:$A$1000) * (df_proj!$B$2:$B$1000 = $B19) * (df_proj!$C$2:$C$1000 = $D$2), 0), MATCH(TEXT(U$8, "####"), df_proj!$E$1:$AD$1,0)),5),MROUND(INDEX(df_proj!$E$2:$AD$1000, MATCH(1, ($B$2 = df_proj!$A$2:$A$1000) * (df_proj!$B$2:$B$1000 = $B19) * (df_proj!$C$2:$C$1000 = $D$2), 0), MATCH(TEXT(U$8, "####"), df_proj!$E$1:$AD$1,0)) * popn_fut!$C91/popn_fut!$E91,5))</f>
        <v>#N/A</v>
      </c>
      <c r="V19" s="111" t="e">
        <f t="array" ref="V19">IFERROR(MROUND(INDEX(df_proj!$E$2:$AD$1000, MATCH(1, ($A$2 = df_proj!$A$2:$A$1000) * (df_proj!$B$2:$B$1000 = $B19) * (df_proj!$C$2:$C$1000 = $D$2), 0), MATCH(TEXT(V$8, "####"), df_proj!$E$1:$AD$1,0)),5),MROUND(INDEX(df_proj!$E$2:$AD$1000, MATCH(1, ($B$2 = df_proj!$A$2:$A$1000) * (df_proj!$B$2:$B$1000 = $B19) * (df_proj!$C$2:$C$1000 = $D$2), 0), MATCH(TEXT(V$8, "####"), df_proj!$E$1:$AD$1,0)) * popn_fut!$C91/popn_fut!$E91,5))</f>
        <v>#N/A</v>
      </c>
      <c r="W19" s="111" t="e">
        <f t="array" ref="W19">IFERROR(MROUND(INDEX(df_proj!$E$2:$AD$1000, MATCH(1, ($A$2 = df_proj!$A$2:$A$1000) * (df_proj!$B$2:$B$1000 = $B19) * (df_proj!$C$2:$C$1000 = $D$2), 0), MATCH(TEXT(W$8, "####"), df_proj!$E$1:$AD$1,0)),5),MROUND(INDEX(df_proj!$E$2:$AD$1000, MATCH(1, ($B$2 = df_proj!$A$2:$A$1000) * (df_proj!$B$2:$B$1000 = $B19) * (df_proj!$C$2:$C$1000 = $D$2), 0), MATCH(TEXT(W$8, "####"), df_proj!$E$1:$AD$1,0)) * popn_fut!$C91/popn_fut!$E91,5))</f>
        <v>#N/A</v>
      </c>
      <c r="X19" s="111" t="e">
        <f t="array" ref="X19">IFERROR(MROUND(INDEX(df_proj!$E$2:$AD$1000, MATCH(1, ($A$2 = df_proj!$A$2:$A$1000) * (df_proj!$B$2:$B$1000 = $B19) * (df_proj!$C$2:$C$1000 = $D$2), 0), MATCH(TEXT(X$8, "####"), df_proj!$E$1:$AD$1,0)),5),MROUND(INDEX(df_proj!$E$2:$AD$1000, MATCH(1, ($B$2 = df_proj!$A$2:$A$1000) * (df_proj!$B$2:$B$1000 = $B19) * (df_proj!$C$2:$C$1000 = $D$2), 0), MATCH(TEXT(X$8, "####"), df_proj!$E$1:$AD$1,0)) * popn_fut!$C91/popn_fut!$E91,5))</f>
        <v>#N/A</v>
      </c>
      <c r="Y19" s="111" t="e">
        <f t="array" ref="Y19">IFERROR(MROUND(INDEX(df_proj!$E$2:$AD$1000, MATCH(1, ($A$2 = df_proj!$A$2:$A$1000) * (df_proj!$B$2:$B$1000 = $B19) * (df_proj!$C$2:$C$1000 = $D$2), 0), MATCH(TEXT(Y$8, "####"), df_proj!$E$1:$AD$1,0)),5),MROUND(INDEX(df_proj!$E$2:$AD$1000, MATCH(1, ($B$2 = df_proj!$A$2:$A$1000) * (df_proj!$B$2:$B$1000 = $B19) * (df_proj!$C$2:$C$1000 = $D$2), 0), MATCH(TEXT(Y$8, "####"), df_proj!$E$1:$AD$1,0)) * popn_fut!$C91/popn_fut!$E91,5))</f>
        <v>#N/A</v>
      </c>
      <c r="Z19" s="111" t="e">
        <f t="array" ref="Z19">IFERROR(MROUND(INDEX(df_proj!$E$2:$AD$1000, MATCH(1, ($A$2 = df_proj!$A$2:$A$1000) * (df_proj!$B$2:$B$1000 = $B19) * (df_proj!$C$2:$C$1000 = $D$2), 0), MATCH(TEXT(Z$8, "####"), df_proj!$E$1:$AD$1,0)),5),MROUND(INDEX(df_proj!$E$2:$AD$1000, MATCH(1, ($B$2 = df_proj!$A$2:$A$1000) * (df_proj!$B$2:$B$1000 = $B19) * (df_proj!$C$2:$C$1000 = $D$2), 0), MATCH(TEXT(Z$8, "####"), df_proj!$E$1:$AD$1,0)) * popn_fut!$C91/popn_fut!$E91,5))</f>
        <v>#N/A</v>
      </c>
      <c r="AA19" s="111" t="e">
        <f t="array" ref="AA19">IFERROR(MROUND(INDEX(df_proj!$E$2:$AD$1000, MATCH(1, ($A$2 = df_proj!$A$2:$A$1000) * (df_proj!$B$2:$B$1000 = $B19) * (df_proj!$C$2:$C$1000 = $D$2), 0), MATCH(TEXT(AA$8, "####"), df_proj!$E$1:$AD$1,0)),5),MROUND(INDEX(df_proj!$E$2:$AD$1000, MATCH(1, ($B$2 = df_proj!$A$2:$A$1000) * (df_proj!$B$2:$B$1000 = $B19) * (df_proj!$C$2:$C$1000 = $D$2), 0), MATCH(TEXT(AA$8, "####"), df_proj!$E$1:$AD$1,0)) * popn_fut!$C91/popn_fut!$E91,5))</f>
        <v>#N/A</v>
      </c>
      <c r="AB19" s="111" t="e">
        <f t="array" ref="AB19">IFERROR(MROUND(INDEX(df_proj!$E$2:$AD$1000, MATCH(1, ($A$2 = df_proj!$A$2:$A$1000) * (df_proj!$B$2:$B$1000 = $B19) * (df_proj!$C$2:$C$1000 = $D$2), 0), MATCH(TEXT(AB$8, "####"), df_proj!$E$1:$AD$1,0)),5),MROUND(INDEX(df_proj!$E$2:$AD$1000, MATCH(1, ($B$2 = df_proj!$A$2:$A$1000) * (df_proj!$B$2:$B$1000 = $B19) * (df_proj!$C$2:$C$1000 = $D$2), 0), MATCH(TEXT(AB$8, "####"), df_proj!$E$1:$AD$1,0)) * popn_fut!$C91/popn_fut!$E91,5))</f>
        <v>#N/A</v>
      </c>
      <c r="AC19" s="111" t="e">
        <f t="array" ref="AC19">IFERROR(MROUND(INDEX(df_proj!$E$2:$AD$1000, MATCH(1, ($A$2 = df_proj!$A$2:$A$1000) * (df_proj!$B$2:$B$1000 = $B19) * (df_proj!$C$2:$C$1000 = $D$2), 0), MATCH(TEXT(AC$8, "####"), df_proj!$E$1:$AD$1,0)),5),MROUND(INDEX(df_proj!$E$2:$AD$1000, MATCH(1, ($B$2 = df_proj!$A$2:$A$1000) * (df_proj!$B$2:$B$1000 = $B19) * (df_proj!$C$2:$C$1000 = $D$2), 0), MATCH(TEXT(AC$8, "####"), df_proj!$E$1:$AD$1,0)) * popn_fut!$C91/popn_fut!$E91,5))</f>
        <v>#N/A</v>
      </c>
      <c r="AD19" s="111" t="e">
        <f t="array" ref="AD19">IFERROR(MROUND(INDEX(df_proj!$E$2:$AD$1000, MATCH(1, ($A$2 = df_proj!$A$2:$A$1000) * (df_proj!$B$2:$B$1000 = $B19) * (df_proj!$C$2:$C$1000 = $D$2), 0), MATCH(TEXT(AD$8, "####"), df_proj!$E$1:$AD$1,0)),5),MROUND(INDEX(df_proj!$E$2:$AD$1000, MATCH(1, ($B$2 = df_proj!$A$2:$A$1000) * (df_proj!$B$2:$B$1000 = $B19) * (df_proj!$C$2:$C$1000 = $D$2), 0), MATCH(TEXT(AD$8, "####"), df_proj!$E$1:$AD$1,0)) * popn_fut!$C91/popn_fut!$E91,5))</f>
        <v>#N/A</v>
      </c>
      <c r="AE19" s="111" t="e">
        <f t="array" ref="AE19">IFERROR(MROUND(INDEX(df_proj!$E$2:$AD$1000, MATCH(1, ($A$2 = df_proj!$A$2:$A$1000) * (df_proj!$B$2:$B$1000 = $B19) * (df_proj!$C$2:$C$1000 = $D$2), 0), MATCH(TEXT(AE$8, "####"), df_proj!$E$1:$AD$1,0)),5),MROUND(INDEX(df_proj!$E$2:$AD$1000, MATCH(1, ($B$2 = df_proj!$A$2:$A$1000) * (df_proj!$B$2:$B$1000 = $B19) * (df_proj!$C$2:$C$1000 = $D$2), 0), MATCH(TEXT(AE$8, "####"), df_proj!$E$1:$AD$1,0)) * popn_fut!$C91/popn_fut!$E91,5))</f>
        <v>#N/A</v>
      </c>
      <c r="AF19" s="111" t="e">
        <f t="array" ref="AF19">IFERROR(MROUND(INDEX(df_proj!$E$2:$AD$1000, MATCH(1, ($A$2 = df_proj!$A$2:$A$1000) * (df_proj!$B$2:$B$1000 = $B19) * (df_proj!$C$2:$C$1000 = $D$2), 0), MATCH(TEXT(AF$8, "####"), df_proj!$E$1:$AD$1,0)),5),MROUND(INDEX(df_proj!$E$2:$AD$1000, MATCH(1, ($B$2 = df_proj!$A$2:$A$1000) * (df_proj!$B$2:$B$1000 = $B19) * (df_proj!$C$2:$C$1000 = $D$2), 0), MATCH(TEXT(AF$8, "####"), df_proj!$E$1:$AD$1,0)) * popn_fut!$C91/popn_fut!$E91,5))</f>
        <v>#N/A</v>
      </c>
      <c r="AG19" s="111" t="e">
        <f t="array" ref="AG19">IFERROR(MROUND(INDEX(df_proj!$E$2:$AD$1000, MATCH(1, ($A$2 = df_proj!$A$2:$A$1000) * (df_proj!$B$2:$B$1000 = $B19) * (df_proj!$C$2:$C$1000 = $D$2), 0), MATCH(TEXT(AG$8, "####"), df_proj!$E$1:$AD$1,0)),5),MROUND(INDEX(df_proj!$E$2:$AD$1000, MATCH(1, ($B$2 = df_proj!$A$2:$A$1000) * (df_proj!$B$2:$B$1000 = $B19) * (df_proj!$C$2:$C$1000 = $D$2), 0), MATCH(TEXT(AG$8, "####"), df_proj!$E$1:$AD$1,0)) * popn_fut!$C91/popn_fut!$E91,5))</f>
        <v>#N/A</v>
      </c>
      <c r="AH19" s="111" t="e">
        <f t="array" ref="AH19">IFERROR(MROUND(INDEX(df_proj!$E$2:$AD$1000, MATCH(1, ($A$2 = df_proj!$A$2:$A$1000) * (df_proj!$B$2:$B$1000 = $B19) * (df_proj!$C$2:$C$1000 = $D$2), 0), MATCH(TEXT(AH$8, "####"), df_proj!$E$1:$AD$1,0)),5),MROUND(INDEX(df_proj!$E$2:$AD$1000, MATCH(1, ($B$2 = df_proj!$A$2:$A$1000) * (df_proj!$B$2:$B$1000 = $B19) * (df_proj!$C$2:$C$1000 = $D$2), 0), MATCH(TEXT(AH$8, "####"), df_proj!$E$1:$AD$1,0)) * popn_fut!$C91/popn_fut!$E91,5))</f>
        <v>#N/A</v>
      </c>
      <c r="AI19" s="111" t="e">
        <f t="array" ref="AI19">IFERROR(MROUND(INDEX(df_proj!$E$2:$AD$1000, MATCH(1, ($A$2 = df_proj!$A$2:$A$1000) * (df_proj!$B$2:$B$1000 = $B19) * (df_proj!$C$2:$C$1000 = $D$2), 0), MATCH(TEXT(AI$8, "####"), df_proj!$E$1:$AD$1,0)),5),MROUND(INDEX(df_proj!$E$2:$AD$1000, MATCH(1, ($B$2 = df_proj!$A$2:$A$1000) * (df_proj!$B$2:$B$1000 = $B19) * (df_proj!$C$2:$C$1000 = $D$2), 0), MATCH(TEXT(AI$8, "####"), df_proj!$E$1:$AD$1,0)) * popn_fut!$C91/popn_fut!$E91,5))</f>
        <v>#N/A</v>
      </c>
      <c r="AJ19" s="111" t="e">
        <f t="array" ref="AJ19">IFERROR(MROUND(INDEX(df_proj!$E$2:$AD$1000, MATCH(1, ($A$2 = df_proj!$A$2:$A$1000) * (df_proj!$B$2:$B$1000 = $B19) * (df_proj!$C$2:$C$1000 = $D$2), 0), MATCH(TEXT(AJ$8, "####"), df_proj!$E$1:$AD$1,0)),5),MROUND(INDEX(df_proj!$E$2:$AD$1000, MATCH(1, ($B$2 = df_proj!$A$2:$A$1000) * (df_proj!$B$2:$B$1000 = $B19) * (df_proj!$C$2:$C$1000 = $D$2), 0), MATCH(TEXT(AJ$8, "####"), df_proj!$E$1:$AD$1,0)) * popn_fut!$C91/popn_fut!$E91,5))</f>
        <v>#N/A</v>
      </c>
      <c r="AK19" s="111" t="e">
        <f t="array" ref="AK19">IFERROR(MROUND(INDEX(df_proj!$E$2:$AD$1000, MATCH(1, ($A$2 = df_proj!$A$2:$A$1000) * (df_proj!$B$2:$B$1000 = $B19) * (df_proj!$C$2:$C$1000 = $D$2), 0), MATCH(TEXT(AK$8, "####"), df_proj!$E$1:$AD$1,0)),5),MROUND(INDEX(df_proj!$E$2:$AD$1000, MATCH(1, ($B$2 = df_proj!$A$2:$A$1000) * (df_proj!$B$2:$B$1000 = $B19) * (df_proj!$C$2:$C$1000 = $D$2), 0), MATCH(TEXT(AK$8, "####"), df_proj!$E$1:$AD$1,0)) * popn_fut!$C91/popn_fut!$E91,5))</f>
        <v>#N/A</v>
      </c>
      <c r="AL19" s="181" t="e">
        <f t="array" ref="AL19">IFERROR(MROUND(INDEX(df_proj!$E$2:$AD$1000, MATCH(1, ($A$2 = df_proj!$A$2:$A$1000) * (df_proj!$B$2:$B$1000 = $B19) * (df_proj!$C$2:$C$1000 = $D$2), 0), MATCH(TEXT(AL$8, "####"), df_proj!$E$1:$AD$1,0)),5),MROUND(INDEX(df_proj!$E$2:$AD$1000, MATCH(1, ($B$2 = df_proj!$A$2:$A$1000) * (df_proj!$B$2:$B$1000 = $B19) * (df_proj!$C$2:$C$1000 = $D$2), 0), MATCH(TEXT(AL$8, "####"), df_proj!$E$1:$AD$1,0)) * popn_fut!$C91/popn_fut!$E91,5))</f>
        <v>#N/A</v>
      </c>
      <c r="AM19" s="239" t="e">
        <f t="shared" si="0"/>
        <v>#N/A</v>
      </c>
      <c r="AP19" s="239" t="e">
        <f t="shared" si="1"/>
        <v>#N/A</v>
      </c>
    </row>
    <row r="20" spans="1:45" ht="20.100000000000001" customHeight="1" x14ac:dyDescent="0.2">
      <c r="A20" s="299">
        <v>50</v>
      </c>
      <c r="B20" s="118" t="s">
        <v>126</v>
      </c>
      <c r="C20" s="113"/>
      <c r="D20" s="113" t="e">
        <v>#N/A</v>
      </c>
      <c r="E20" s="113"/>
      <c r="F20" s="113"/>
      <c r="G20" s="113"/>
      <c r="H20" s="113"/>
      <c r="I20" s="113" t="e">
        <v>#N/A</v>
      </c>
      <c r="J20" s="113"/>
      <c r="K20" s="113"/>
      <c r="L20" s="113"/>
      <c r="M20" s="113" t="e">
        <f t="array" ref="M20">IFERROR(MROUND(INDEX(df_proj!$E$2:$AD$1000, MATCH(1, ($A$2 = df_proj!$A$2:$A$1000) * (df_proj!$B$2:$B$1000 = $B20) * (df_proj!$C$2:$C$1000 = $D$2), 0), MATCH(TEXT(M$8, "####"), df_proj!$E$1:$AD$1,0)),5),MROUND(INDEX(df_proj!$E$2:$AD$1000, MATCH(1, ($B$2 = df_proj!$A$2:$A$1000) * (df_proj!$B$2:$B$1000 = $B20) * (df_proj!$C$2:$C$1000 = $D$2), 0), MATCH(TEXT(M$8, "####"), df_proj!$E$1:$AD$1,0)) * popn_fut!$C92/popn_fut!$E92,5))</f>
        <v>#N/A</v>
      </c>
      <c r="N20" s="113" t="e">
        <f t="array" ref="N20">IFERROR(MROUND(INDEX(df_proj!$E$2:$AD$1000, MATCH(1, ($A$2 = df_proj!$A$2:$A$1000) * (df_proj!$B$2:$B$1000 = $B20) * (df_proj!$C$2:$C$1000 = $D$2), 0), MATCH(TEXT(N$8, "####"), df_proj!$E$1:$AD$1,0)),5),MROUND(INDEX(df_proj!$E$2:$AD$1000, MATCH(1, ($B$2 = df_proj!$A$2:$A$1000) * (df_proj!$B$2:$B$1000 = $B20) * (df_proj!$C$2:$C$1000 = $D$2), 0), MATCH(TEXT(N$8, "####"), df_proj!$E$1:$AD$1,0)) * popn_fut!$C92/popn_fut!$E92,5))</f>
        <v>#N/A</v>
      </c>
      <c r="O20" s="113" t="e">
        <f t="array" ref="O20">IFERROR(MROUND(INDEX(df_proj!$E$2:$AD$1000, MATCH(1, ($A$2 = df_proj!$A$2:$A$1000) * (df_proj!$B$2:$B$1000 = $B20) * (df_proj!$C$2:$C$1000 = $D$2), 0), MATCH(TEXT(O$8, "####"), df_proj!$E$1:$AD$1,0)),5),MROUND(INDEX(df_proj!$E$2:$AD$1000, MATCH(1, ($B$2 = df_proj!$A$2:$A$1000) * (df_proj!$B$2:$B$1000 = $B20) * (df_proj!$C$2:$C$1000 = $D$2), 0), MATCH(TEXT(O$8, "####"), df_proj!$E$1:$AD$1,0)) * popn_fut!$C92/popn_fut!$E92,5))</f>
        <v>#N/A</v>
      </c>
      <c r="P20" s="113" t="e">
        <f t="array" ref="P20">IFERROR(MROUND(INDEX(df_proj!$E$2:$AD$1000, MATCH(1, ($A$2 = df_proj!$A$2:$A$1000) * (df_proj!$B$2:$B$1000 = $B20) * (df_proj!$C$2:$C$1000 = $D$2), 0), MATCH(TEXT(P$8, "####"), df_proj!$E$1:$AD$1,0)),5),MROUND(INDEX(df_proj!$E$2:$AD$1000, MATCH(1, ($B$2 = df_proj!$A$2:$A$1000) * (df_proj!$B$2:$B$1000 = $B20) * (df_proj!$C$2:$C$1000 = $D$2), 0), MATCH(TEXT(P$8, "####"), df_proj!$E$1:$AD$1,0)) * popn_fut!$C92/popn_fut!$E92,5))</f>
        <v>#N/A</v>
      </c>
      <c r="Q20" s="113" t="e">
        <f t="array" ref="Q20">IFERROR(MROUND(INDEX(df_proj!$E$2:$AD$1000, MATCH(1, ($A$2 = df_proj!$A$2:$A$1000) * (df_proj!$B$2:$B$1000 = $B20) * (df_proj!$C$2:$C$1000 = $D$2), 0), MATCH(TEXT(Q$8, "####"), df_proj!$E$1:$AD$1,0)),5),MROUND(INDEX(df_proj!$E$2:$AD$1000, MATCH(1, ($B$2 = df_proj!$A$2:$A$1000) * (df_proj!$B$2:$B$1000 = $B20) * (df_proj!$C$2:$C$1000 = $D$2), 0), MATCH(TEXT(Q$8, "####"), df_proj!$E$1:$AD$1,0)) * popn_fut!$C92/popn_fut!$E92,5))</f>
        <v>#N/A</v>
      </c>
      <c r="R20" s="113" t="e">
        <f t="array" ref="R20">IFERROR(MROUND(INDEX(df_proj!$E$2:$AD$1000, MATCH(1, ($A$2 = df_proj!$A$2:$A$1000) * (df_proj!$B$2:$B$1000 = $B20) * (df_proj!$C$2:$C$1000 = $D$2), 0), MATCH(TEXT(R$8, "####"), df_proj!$E$1:$AD$1,0)),5),MROUND(INDEX(df_proj!$E$2:$AD$1000, MATCH(1, ($B$2 = df_proj!$A$2:$A$1000) * (df_proj!$B$2:$B$1000 = $B20) * (df_proj!$C$2:$C$1000 = $D$2), 0), MATCH(TEXT(R$8, "####"), df_proj!$E$1:$AD$1,0)) * popn_fut!$C92/popn_fut!$E92,5))</f>
        <v>#N/A</v>
      </c>
      <c r="S20" s="113" t="e">
        <f t="array" ref="S20">IFERROR(MROUND(INDEX(df_proj!$E$2:$AD$1000, MATCH(1, ($A$2 = df_proj!$A$2:$A$1000) * (df_proj!$B$2:$B$1000 = $B20) * (df_proj!$C$2:$C$1000 = $D$2), 0), MATCH(TEXT(S$8, "####"), df_proj!$E$1:$AD$1,0)),5),MROUND(INDEX(df_proj!$E$2:$AD$1000, MATCH(1, ($B$2 = df_proj!$A$2:$A$1000) * (df_proj!$B$2:$B$1000 = $B20) * (df_proj!$C$2:$C$1000 = $D$2), 0), MATCH(TEXT(S$8, "####"), df_proj!$E$1:$AD$1,0)) * popn_fut!$C92/popn_fut!$E92,5))</f>
        <v>#N/A</v>
      </c>
      <c r="T20" s="113" t="e">
        <f t="array" ref="T20">IFERROR(MROUND(INDEX(df_proj!$E$2:$AD$1000, MATCH(1, ($A$2 = df_proj!$A$2:$A$1000) * (df_proj!$B$2:$B$1000 = $B20) * (df_proj!$C$2:$C$1000 = $D$2), 0), MATCH(TEXT(T$8, "####"), df_proj!$E$1:$AD$1,0)),5),MROUND(INDEX(df_proj!$E$2:$AD$1000, MATCH(1, ($B$2 = df_proj!$A$2:$A$1000) * (df_proj!$B$2:$B$1000 = $B20) * (df_proj!$C$2:$C$1000 = $D$2), 0), MATCH(TEXT(T$8, "####"), df_proj!$E$1:$AD$1,0)) * popn_fut!$C92/popn_fut!$E92,5))</f>
        <v>#N/A</v>
      </c>
      <c r="U20" s="113" t="e">
        <f t="array" ref="U20">IFERROR(MROUND(INDEX(df_proj!$E$2:$AD$1000, MATCH(1, ($A$2 = df_proj!$A$2:$A$1000) * (df_proj!$B$2:$B$1000 = $B20) * (df_proj!$C$2:$C$1000 = $D$2), 0), MATCH(TEXT(U$8, "####"), df_proj!$E$1:$AD$1,0)),5),MROUND(INDEX(df_proj!$E$2:$AD$1000, MATCH(1, ($B$2 = df_proj!$A$2:$A$1000) * (df_proj!$B$2:$B$1000 = $B20) * (df_proj!$C$2:$C$1000 = $D$2), 0), MATCH(TEXT(U$8, "####"), df_proj!$E$1:$AD$1,0)) * popn_fut!$C92/popn_fut!$E92,5))</f>
        <v>#N/A</v>
      </c>
      <c r="V20" s="113" t="e">
        <f t="array" ref="V20">IFERROR(MROUND(INDEX(df_proj!$E$2:$AD$1000, MATCH(1, ($A$2 = df_proj!$A$2:$A$1000) * (df_proj!$B$2:$B$1000 = $B20) * (df_proj!$C$2:$C$1000 = $D$2), 0), MATCH(TEXT(V$8, "####"), df_proj!$E$1:$AD$1,0)),5),MROUND(INDEX(df_proj!$E$2:$AD$1000, MATCH(1, ($B$2 = df_proj!$A$2:$A$1000) * (df_proj!$B$2:$B$1000 = $B20) * (df_proj!$C$2:$C$1000 = $D$2), 0), MATCH(TEXT(V$8, "####"), df_proj!$E$1:$AD$1,0)) * popn_fut!$C92/popn_fut!$E92,5))</f>
        <v>#N/A</v>
      </c>
      <c r="W20" s="113" t="e">
        <f t="array" ref="W20">IFERROR(MROUND(INDEX(df_proj!$E$2:$AD$1000, MATCH(1, ($A$2 = df_proj!$A$2:$A$1000) * (df_proj!$B$2:$B$1000 = $B20) * (df_proj!$C$2:$C$1000 = $D$2), 0), MATCH(TEXT(W$8, "####"), df_proj!$E$1:$AD$1,0)),5),MROUND(INDEX(df_proj!$E$2:$AD$1000, MATCH(1, ($B$2 = df_proj!$A$2:$A$1000) * (df_proj!$B$2:$B$1000 = $B20) * (df_proj!$C$2:$C$1000 = $D$2), 0), MATCH(TEXT(W$8, "####"), df_proj!$E$1:$AD$1,0)) * popn_fut!$C92/popn_fut!$E92,5))</f>
        <v>#N/A</v>
      </c>
      <c r="X20" s="113" t="e">
        <f t="array" ref="X20">IFERROR(MROUND(INDEX(df_proj!$E$2:$AD$1000, MATCH(1, ($A$2 = df_proj!$A$2:$A$1000) * (df_proj!$B$2:$B$1000 = $B20) * (df_proj!$C$2:$C$1000 = $D$2), 0), MATCH(TEXT(X$8, "####"), df_proj!$E$1:$AD$1,0)),5),MROUND(INDEX(df_proj!$E$2:$AD$1000, MATCH(1, ($B$2 = df_proj!$A$2:$A$1000) * (df_proj!$B$2:$B$1000 = $B20) * (df_proj!$C$2:$C$1000 = $D$2), 0), MATCH(TEXT(X$8, "####"), df_proj!$E$1:$AD$1,0)) * popn_fut!$C92/popn_fut!$E92,5))</f>
        <v>#N/A</v>
      </c>
      <c r="Y20" s="113" t="e">
        <f t="array" ref="Y20">IFERROR(MROUND(INDEX(df_proj!$E$2:$AD$1000, MATCH(1, ($A$2 = df_proj!$A$2:$A$1000) * (df_proj!$B$2:$B$1000 = $B20) * (df_proj!$C$2:$C$1000 = $D$2), 0), MATCH(TEXT(Y$8, "####"), df_proj!$E$1:$AD$1,0)),5),MROUND(INDEX(df_proj!$E$2:$AD$1000, MATCH(1, ($B$2 = df_proj!$A$2:$A$1000) * (df_proj!$B$2:$B$1000 = $B20) * (df_proj!$C$2:$C$1000 = $D$2), 0), MATCH(TEXT(Y$8, "####"), df_proj!$E$1:$AD$1,0)) * popn_fut!$C92/popn_fut!$E92,5))</f>
        <v>#N/A</v>
      </c>
      <c r="Z20" s="113" t="e">
        <f t="array" ref="Z20">IFERROR(MROUND(INDEX(df_proj!$E$2:$AD$1000, MATCH(1, ($A$2 = df_proj!$A$2:$A$1000) * (df_proj!$B$2:$B$1000 = $B20) * (df_proj!$C$2:$C$1000 = $D$2), 0), MATCH(TEXT(Z$8, "####"), df_proj!$E$1:$AD$1,0)),5),MROUND(INDEX(df_proj!$E$2:$AD$1000, MATCH(1, ($B$2 = df_proj!$A$2:$A$1000) * (df_proj!$B$2:$B$1000 = $B20) * (df_proj!$C$2:$C$1000 = $D$2), 0), MATCH(TEXT(Z$8, "####"), df_proj!$E$1:$AD$1,0)) * popn_fut!$C92/popn_fut!$E92,5))</f>
        <v>#N/A</v>
      </c>
      <c r="AA20" s="113" t="e">
        <f t="array" ref="AA20">IFERROR(MROUND(INDEX(df_proj!$E$2:$AD$1000, MATCH(1, ($A$2 = df_proj!$A$2:$A$1000) * (df_proj!$B$2:$B$1000 = $B20) * (df_proj!$C$2:$C$1000 = $D$2), 0), MATCH(TEXT(AA$8, "####"), df_proj!$E$1:$AD$1,0)),5),MROUND(INDEX(df_proj!$E$2:$AD$1000, MATCH(1, ($B$2 = df_proj!$A$2:$A$1000) * (df_proj!$B$2:$B$1000 = $B20) * (df_proj!$C$2:$C$1000 = $D$2), 0), MATCH(TEXT(AA$8, "####"), df_proj!$E$1:$AD$1,0)) * popn_fut!$C92/popn_fut!$E92,5))</f>
        <v>#N/A</v>
      </c>
      <c r="AB20" s="113" t="e">
        <f t="array" ref="AB20">IFERROR(MROUND(INDEX(df_proj!$E$2:$AD$1000, MATCH(1, ($A$2 = df_proj!$A$2:$A$1000) * (df_proj!$B$2:$B$1000 = $B20) * (df_proj!$C$2:$C$1000 = $D$2), 0), MATCH(TEXT(AB$8, "####"), df_proj!$E$1:$AD$1,0)),5),MROUND(INDEX(df_proj!$E$2:$AD$1000, MATCH(1, ($B$2 = df_proj!$A$2:$A$1000) * (df_proj!$B$2:$B$1000 = $B20) * (df_proj!$C$2:$C$1000 = $D$2), 0), MATCH(TEXT(AB$8, "####"), df_proj!$E$1:$AD$1,0)) * popn_fut!$C92/popn_fut!$E92,5))</f>
        <v>#N/A</v>
      </c>
      <c r="AC20" s="113" t="e">
        <f t="array" ref="AC20">IFERROR(MROUND(INDEX(df_proj!$E$2:$AD$1000, MATCH(1, ($A$2 = df_proj!$A$2:$A$1000) * (df_proj!$B$2:$B$1000 = $B20) * (df_proj!$C$2:$C$1000 = $D$2), 0), MATCH(TEXT(AC$8, "####"), df_proj!$E$1:$AD$1,0)),5),MROUND(INDEX(df_proj!$E$2:$AD$1000, MATCH(1, ($B$2 = df_proj!$A$2:$A$1000) * (df_proj!$B$2:$B$1000 = $B20) * (df_proj!$C$2:$C$1000 = $D$2), 0), MATCH(TEXT(AC$8, "####"), df_proj!$E$1:$AD$1,0)) * popn_fut!$C92/popn_fut!$E92,5))</f>
        <v>#N/A</v>
      </c>
      <c r="AD20" s="113" t="e">
        <f t="array" ref="AD20">IFERROR(MROUND(INDEX(df_proj!$E$2:$AD$1000, MATCH(1, ($A$2 = df_proj!$A$2:$A$1000) * (df_proj!$B$2:$B$1000 = $B20) * (df_proj!$C$2:$C$1000 = $D$2), 0), MATCH(TEXT(AD$8, "####"), df_proj!$E$1:$AD$1,0)),5),MROUND(INDEX(df_proj!$E$2:$AD$1000, MATCH(1, ($B$2 = df_proj!$A$2:$A$1000) * (df_proj!$B$2:$B$1000 = $B20) * (df_proj!$C$2:$C$1000 = $D$2), 0), MATCH(TEXT(AD$8, "####"), df_proj!$E$1:$AD$1,0)) * popn_fut!$C92/popn_fut!$E92,5))</f>
        <v>#N/A</v>
      </c>
      <c r="AE20" s="113" t="e">
        <f t="array" ref="AE20">IFERROR(MROUND(INDEX(df_proj!$E$2:$AD$1000, MATCH(1, ($A$2 = df_proj!$A$2:$A$1000) * (df_proj!$B$2:$B$1000 = $B20) * (df_proj!$C$2:$C$1000 = $D$2), 0), MATCH(TEXT(AE$8, "####"), df_proj!$E$1:$AD$1,0)),5),MROUND(INDEX(df_proj!$E$2:$AD$1000, MATCH(1, ($B$2 = df_proj!$A$2:$A$1000) * (df_proj!$B$2:$B$1000 = $B20) * (df_proj!$C$2:$C$1000 = $D$2), 0), MATCH(TEXT(AE$8, "####"), df_proj!$E$1:$AD$1,0)) * popn_fut!$C92/popn_fut!$E92,5))</f>
        <v>#N/A</v>
      </c>
      <c r="AF20" s="113" t="e">
        <f t="array" ref="AF20">IFERROR(MROUND(INDEX(df_proj!$E$2:$AD$1000, MATCH(1, ($A$2 = df_proj!$A$2:$A$1000) * (df_proj!$B$2:$B$1000 = $B20) * (df_proj!$C$2:$C$1000 = $D$2), 0), MATCH(TEXT(AF$8, "####"), df_proj!$E$1:$AD$1,0)),5),MROUND(INDEX(df_proj!$E$2:$AD$1000, MATCH(1, ($B$2 = df_proj!$A$2:$A$1000) * (df_proj!$B$2:$B$1000 = $B20) * (df_proj!$C$2:$C$1000 = $D$2), 0), MATCH(TEXT(AF$8, "####"), df_proj!$E$1:$AD$1,0)) * popn_fut!$C92/popn_fut!$E92,5))</f>
        <v>#N/A</v>
      </c>
      <c r="AG20" s="113" t="e">
        <f t="array" ref="AG20">IFERROR(MROUND(INDEX(df_proj!$E$2:$AD$1000, MATCH(1, ($A$2 = df_proj!$A$2:$A$1000) * (df_proj!$B$2:$B$1000 = $B20) * (df_proj!$C$2:$C$1000 = $D$2), 0), MATCH(TEXT(AG$8, "####"), df_proj!$E$1:$AD$1,0)),5),MROUND(INDEX(df_proj!$E$2:$AD$1000, MATCH(1, ($B$2 = df_proj!$A$2:$A$1000) * (df_proj!$B$2:$B$1000 = $B20) * (df_proj!$C$2:$C$1000 = $D$2), 0), MATCH(TEXT(AG$8, "####"), df_proj!$E$1:$AD$1,0)) * popn_fut!$C92/popn_fut!$E92,5))</f>
        <v>#N/A</v>
      </c>
      <c r="AH20" s="113" t="e">
        <f t="array" ref="AH20">IFERROR(MROUND(INDEX(df_proj!$E$2:$AD$1000, MATCH(1, ($A$2 = df_proj!$A$2:$A$1000) * (df_proj!$B$2:$B$1000 = $B20) * (df_proj!$C$2:$C$1000 = $D$2), 0), MATCH(TEXT(AH$8, "####"), df_proj!$E$1:$AD$1,0)),5),MROUND(INDEX(df_proj!$E$2:$AD$1000, MATCH(1, ($B$2 = df_proj!$A$2:$A$1000) * (df_proj!$B$2:$B$1000 = $B20) * (df_proj!$C$2:$C$1000 = $D$2), 0), MATCH(TEXT(AH$8, "####"), df_proj!$E$1:$AD$1,0)) * popn_fut!$C92/popn_fut!$E92,5))</f>
        <v>#N/A</v>
      </c>
      <c r="AI20" s="113" t="e">
        <f t="array" ref="AI20">IFERROR(MROUND(INDEX(df_proj!$E$2:$AD$1000, MATCH(1, ($A$2 = df_proj!$A$2:$A$1000) * (df_proj!$B$2:$B$1000 = $B20) * (df_proj!$C$2:$C$1000 = $D$2), 0), MATCH(TEXT(AI$8, "####"), df_proj!$E$1:$AD$1,0)),5),MROUND(INDEX(df_proj!$E$2:$AD$1000, MATCH(1, ($B$2 = df_proj!$A$2:$A$1000) * (df_proj!$B$2:$B$1000 = $B20) * (df_proj!$C$2:$C$1000 = $D$2), 0), MATCH(TEXT(AI$8, "####"), df_proj!$E$1:$AD$1,0)) * popn_fut!$C92/popn_fut!$E92,5))</f>
        <v>#N/A</v>
      </c>
      <c r="AJ20" s="113" t="e">
        <f t="array" ref="AJ20">IFERROR(MROUND(INDEX(df_proj!$E$2:$AD$1000, MATCH(1, ($A$2 = df_proj!$A$2:$A$1000) * (df_proj!$B$2:$B$1000 = $B20) * (df_proj!$C$2:$C$1000 = $D$2), 0), MATCH(TEXT(AJ$8, "####"), df_proj!$E$1:$AD$1,0)),5),MROUND(INDEX(df_proj!$E$2:$AD$1000, MATCH(1, ($B$2 = df_proj!$A$2:$A$1000) * (df_proj!$B$2:$B$1000 = $B20) * (df_proj!$C$2:$C$1000 = $D$2), 0), MATCH(TEXT(AJ$8, "####"), df_proj!$E$1:$AD$1,0)) * popn_fut!$C92/popn_fut!$E92,5))</f>
        <v>#N/A</v>
      </c>
      <c r="AK20" s="113" t="e">
        <f t="array" ref="AK20">IFERROR(MROUND(INDEX(df_proj!$E$2:$AD$1000, MATCH(1, ($A$2 = df_proj!$A$2:$A$1000) * (df_proj!$B$2:$B$1000 = $B20) * (df_proj!$C$2:$C$1000 = $D$2), 0), MATCH(TEXT(AK$8, "####"), df_proj!$E$1:$AD$1,0)),5),MROUND(INDEX(df_proj!$E$2:$AD$1000, MATCH(1, ($B$2 = df_proj!$A$2:$A$1000) * (df_proj!$B$2:$B$1000 = $B20) * (df_proj!$C$2:$C$1000 = $D$2), 0), MATCH(TEXT(AK$8, "####"), df_proj!$E$1:$AD$1,0)) * popn_fut!$C92/popn_fut!$E92,5))</f>
        <v>#N/A</v>
      </c>
      <c r="AL20" s="329" t="e">
        <f t="array" ref="AL20">IFERROR(MROUND(INDEX(df_proj!$E$2:$AD$1000, MATCH(1, ($A$2 = df_proj!$A$2:$A$1000) * (df_proj!$B$2:$B$1000 = $B20) * (df_proj!$C$2:$C$1000 = $D$2), 0), MATCH(TEXT(AL$8, "####"), df_proj!$E$1:$AD$1,0)),5),MROUND(INDEX(df_proj!$E$2:$AD$1000, MATCH(1, ($B$2 = df_proj!$A$2:$A$1000) * (df_proj!$B$2:$B$1000 = $B20) * (df_proj!$C$2:$C$1000 = $D$2), 0), MATCH(TEXT(AL$8, "####"), df_proj!$E$1:$AD$1,0)) * popn_fut!$C92/popn_fut!$E92,5))</f>
        <v>#N/A</v>
      </c>
      <c r="AM20" s="239" t="e">
        <f t="shared" si="0"/>
        <v>#N/A</v>
      </c>
      <c r="AP20" s="239" t="e">
        <f t="shared" si="1"/>
        <v>#N/A</v>
      </c>
    </row>
    <row r="21" spans="1:45" ht="20.100000000000001" customHeight="1" x14ac:dyDescent="0.2">
      <c r="A21" s="299">
        <v>55</v>
      </c>
      <c r="B21" s="277" t="s">
        <v>127</v>
      </c>
      <c r="C21" s="111"/>
      <c r="D21" s="111" t="e">
        <v>#N/A</v>
      </c>
      <c r="E21" s="111"/>
      <c r="F21" s="111"/>
      <c r="G21" s="111"/>
      <c r="H21" s="111"/>
      <c r="I21" s="111" t="e">
        <v>#N/A</v>
      </c>
      <c r="J21" s="111"/>
      <c r="K21" s="111"/>
      <c r="L21" s="111"/>
      <c r="M21" s="111" t="e">
        <f t="array" ref="M21">IFERROR(MROUND(INDEX(df_proj!$E$2:$AD$1000, MATCH(1, ($A$2 = df_proj!$A$2:$A$1000) * (df_proj!$B$2:$B$1000 = $B21) * (df_proj!$C$2:$C$1000 = $D$2), 0), MATCH(TEXT(M$8, "####"), df_proj!$E$1:$AD$1,0)),5),MROUND(INDEX(df_proj!$E$2:$AD$1000, MATCH(1, ($B$2 = df_proj!$A$2:$A$1000) * (df_proj!$B$2:$B$1000 = $B21) * (df_proj!$C$2:$C$1000 = $D$2), 0), MATCH(TEXT(M$8, "####"), df_proj!$E$1:$AD$1,0)) * popn_fut!$C93/popn_fut!$E93,5))</f>
        <v>#N/A</v>
      </c>
      <c r="N21" s="111" t="e">
        <f t="array" ref="N21">IFERROR(MROUND(INDEX(df_proj!$E$2:$AD$1000, MATCH(1, ($A$2 = df_proj!$A$2:$A$1000) * (df_proj!$B$2:$B$1000 = $B21) * (df_proj!$C$2:$C$1000 = $D$2), 0), MATCH(TEXT(N$8, "####"), df_proj!$E$1:$AD$1,0)),5),MROUND(INDEX(df_proj!$E$2:$AD$1000, MATCH(1, ($B$2 = df_proj!$A$2:$A$1000) * (df_proj!$B$2:$B$1000 = $B21) * (df_proj!$C$2:$C$1000 = $D$2), 0), MATCH(TEXT(N$8, "####"), df_proj!$E$1:$AD$1,0)) * popn_fut!$C93/popn_fut!$E93,5))</f>
        <v>#N/A</v>
      </c>
      <c r="O21" s="111" t="e">
        <f t="array" ref="O21">IFERROR(MROUND(INDEX(df_proj!$E$2:$AD$1000, MATCH(1, ($A$2 = df_proj!$A$2:$A$1000) * (df_proj!$B$2:$B$1000 = $B21) * (df_proj!$C$2:$C$1000 = $D$2), 0), MATCH(TEXT(O$8, "####"), df_proj!$E$1:$AD$1,0)),5),MROUND(INDEX(df_proj!$E$2:$AD$1000, MATCH(1, ($B$2 = df_proj!$A$2:$A$1000) * (df_proj!$B$2:$B$1000 = $B21) * (df_proj!$C$2:$C$1000 = $D$2), 0), MATCH(TEXT(O$8, "####"), df_proj!$E$1:$AD$1,0)) * popn_fut!$C93/popn_fut!$E93,5))</f>
        <v>#N/A</v>
      </c>
      <c r="P21" s="111" t="e">
        <f t="array" ref="P21">IFERROR(MROUND(INDEX(df_proj!$E$2:$AD$1000, MATCH(1, ($A$2 = df_proj!$A$2:$A$1000) * (df_proj!$B$2:$B$1000 = $B21) * (df_proj!$C$2:$C$1000 = $D$2), 0), MATCH(TEXT(P$8, "####"), df_proj!$E$1:$AD$1,0)),5),MROUND(INDEX(df_proj!$E$2:$AD$1000, MATCH(1, ($B$2 = df_proj!$A$2:$A$1000) * (df_proj!$B$2:$B$1000 = $B21) * (df_proj!$C$2:$C$1000 = $D$2), 0), MATCH(TEXT(P$8, "####"), df_proj!$E$1:$AD$1,0)) * popn_fut!$C93/popn_fut!$E93,5))</f>
        <v>#N/A</v>
      </c>
      <c r="Q21" s="111" t="e">
        <f t="array" ref="Q21">IFERROR(MROUND(INDEX(df_proj!$E$2:$AD$1000, MATCH(1, ($A$2 = df_proj!$A$2:$A$1000) * (df_proj!$B$2:$B$1000 = $B21) * (df_proj!$C$2:$C$1000 = $D$2), 0), MATCH(TEXT(Q$8, "####"), df_proj!$E$1:$AD$1,0)),5),MROUND(INDEX(df_proj!$E$2:$AD$1000, MATCH(1, ($B$2 = df_proj!$A$2:$A$1000) * (df_proj!$B$2:$B$1000 = $B21) * (df_proj!$C$2:$C$1000 = $D$2), 0), MATCH(TEXT(Q$8, "####"), df_proj!$E$1:$AD$1,0)) * popn_fut!$C93/popn_fut!$E93,5))</f>
        <v>#N/A</v>
      </c>
      <c r="R21" s="111" t="e">
        <f t="array" ref="R21">IFERROR(MROUND(INDEX(df_proj!$E$2:$AD$1000, MATCH(1, ($A$2 = df_proj!$A$2:$A$1000) * (df_proj!$B$2:$B$1000 = $B21) * (df_proj!$C$2:$C$1000 = $D$2), 0), MATCH(TEXT(R$8, "####"), df_proj!$E$1:$AD$1,0)),5),MROUND(INDEX(df_proj!$E$2:$AD$1000, MATCH(1, ($B$2 = df_proj!$A$2:$A$1000) * (df_proj!$B$2:$B$1000 = $B21) * (df_proj!$C$2:$C$1000 = $D$2), 0), MATCH(TEXT(R$8, "####"), df_proj!$E$1:$AD$1,0)) * popn_fut!$C93/popn_fut!$E93,5))</f>
        <v>#N/A</v>
      </c>
      <c r="S21" s="111" t="e">
        <f t="array" ref="S21">IFERROR(MROUND(INDEX(df_proj!$E$2:$AD$1000, MATCH(1, ($A$2 = df_proj!$A$2:$A$1000) * (df_proj!$B$2:$B$1000 = $B21) * (df_proj!$C$2:$C$1000 = $D$2), 0), MATCH(TEXT(S$8, "####"), df_proj!$E$1:$AD$1,0)),5),MROUND(INDEX(df_proj!$E$2:$AD$1000, MATCH(1, ($B$2 = df_proj!$A$2:$A$1000) * (df_proj!$B$2:$B$1000 = $B21) * (df_proj!$C$2:$C$1000 = $D$2), 0), MATCH(TEXT(S$8, "####"), df_proj!$E$1:$AD$1,0)) * popn_fut!$C93/popn_fut!$E93,5))</f>
        <v>#N/A</v>
      </c>
      <c r="T21" s="111" t="e">
        <f t="array" ref="T21">IFERROR(MROUND(INDEX(df_proj!$E$2:$AD$1000, MATCH(1, ($A$2 = df_proj!$A$2:$A$1000) * (df_proj!$B$2:$B$1000 = $B21) * (df_proj!$C$2:$C$1000 = $D$2), 0), MATCH(TEXT(T$8, "####"), df_proj!$E$1:$AD$1,0)),5),MROUND(INDEX(df_proj!$E$2:$AD$1000, MATCH(1, ($B$2 = df_proj!$A$2:$A$1000) * (df_proj!$B$2:$B$1000 = $B21) * (df_proj!$C$2:$C$1000 = $D$2), 0), MATCH(TEXT(T$8, "####"), df_proj!$E$1:$AD$1,0)) * popn_fut!$C93/popn_fut!$E93,5))</f>
        <v>#N/A</v>
      </c>
      <c r="U21" s="111" t="e">
        <f t="array" ref="U21">IFERROR(MROUND(INDEX(df_proj!$E$2:$AD$1000, MATCH(1, ($A$2 = df_proj!$A$2:$A$1000) * (df_proj!$B$2:$B$1000 = $B21) * (df_proj!$C$2:$C$1000 = $D$2), 0), MATCH(TEXT(U$8, "####"), df_proj!$E$1:$AD$1,0)),5),MROUND(INDEX(df_proj!$E$2:$AD$1000, MATCH(1, ($B$2 = df_proj!$A$2:$A$1000) * (df_proj!$B$2:$B$1000 = $B21) * (df_proj!$C$2:$C$1000 = $D$2), 0), MATCH(TEXT(U$8, "####"), df_proj!$E$1:$AD$1,0)) * popn_fut!$C93/popn_fut!$E93,5))</f>
        <v>#N/A</v>
      </c>
      <c r="V21" s="111" t="e">
        <f t="array" ref="V21">IFERROR(MROUND(INDEX(df_proj!$E$2:$AD$1000, MATCH(1, ($A$2 = df_proj!$A$2:$A$1000) * (df_proj!$B$2:$B$1000 = $B21) * (df_proj!$C$2:$C$1000 = $D$2), 0), MATCH(TEXT(V$8, "####"), df_proj!$E$1:$AD$1,0)),5),MROUND(INDEX(df_proj!$E$2:$AD$1000, MATCH(1, ($B$2 = df_proj!$A$2:$A$1000) * (df_proj!$B$2:$B$1000 = $B21) * (df_proj!$C$2:$C$1000 = $D$2), 0), MATCH(TEXT(V$8, "####"), df_proj!$E$1:$AD$1,0)) * popn_fut!$C93/popn_fut!$E93,5))</f>
        <v>#N/A</v>
      </c>
      <c r="W21" s="111" t="e">
        <f t="array" ref="W21">IFERROR(MROUND(INDEX(df_proj!$E$2:$AD$1000, MATCH(1, ($A$2 = df_proj!$A$2:$A$1000) * (df_proj!$B$2:$B$1000 = $B21) * (df_proj!$C$2:$C$1000 = $D$2), 0), MATCH(TEXT(W$8, "####"), df_proj!$E$1:$AD$1,0)),5),MROUND(INDEX(df_proj!$E$2:$AD$1000, MATCH(1, ($B$2 = df_proj!$A$2:$A$1000) * (df_proj!$B$2:$B$1000 = $B21) * (df_proj!$C$2:$C$1000 = $D$2), 0), MATCH(TEXT(W$8, "####"), df_proj!$E$1:$AD$1,0)) * popn_fut!$C93/popn_fut!$E93,5))</f>
        <v>#N/A</v>
      </c>
      <c r="X21" s="111" t="e">
        <f t="array" ref="X21">IFERROR(MROUND(INDEX(df_proj!$E$2:$AD$1000, MATCH(1, ($A$2 = df_proj!$A$2:$A$1000) * (df_proj!$B$2:$B$1000 = $B21) * (df_proj!$C$2:$C$1000 = $D$2), 0), MATCH(TEXT(X$8, "####"), df_proj!$E$1:$AD$1,0)),5),MROUND(INDEX(df_proj!$E$2:$AD$1000, MATCH(1, ($B$2 = df_proj!$A$2:$A$1000) * (df_proj!$B$2:$B$1000 = $B21) * (df_proj!$C$2:$C$1000 = $D$2), 0), MATCH(TEXT(X$8, "####"), df_proj!$E$1:$AD$1,0)) * popn_fut!$C93/popn_fut!$E93,5))</f>
        <v>#N/A</v>
      </c>
      <c r="Y21" s="111" t="e">
        <f t="array" ref="Y21">IFERROR(MROUND(INDEX(df_proj!$E$2:$AD$1000, MATCH(1, ($A$2 = df_proj!$A$2:$A$1000) * (df_proj!$B$2:$B$1000 = $B21) * (df_proj!$C$2:$C$1000 = $D$2), 0), MATCH(TEXT(Y$8, "####"), df_proj!$E$1:$AD$1,0)),5),MROUND(INDEX(df_proj!$E$2:$AD$1000, MATCH(1, ($B$2 = df_proj!$A$2:$A$1000) * (df_proj!$B$2:$B$1000 = $B21) * (df_proj!$C$2:$C$1000 = $D$2), 0), MATCH(TEXT(Y$8, "####"), df_proj!$E$1:$AD$1,0)) * popn_fut!$C93/popn_fut!$E93,5))</f>
        <v>#N/A</v>
      </c>
      <c r="Z21" s="111" t="e">
        <f t="array" ref="Z21">IFERROR(MROUND(INDEX(df_proj!$E$2:$AD$1000, MATCH(1, ($A$2 = df_proj!$A$2:$A$1000) * (df_proj!$B$2:$B$1000 = $B21) * (df_proj!$C$2:$C$1000 = $D$2), 0), MATCH(TEXT(Z$8, "####"), df_proj!$E$1:$AD$1,0)),5),MROUND(INDEX(df_proj!$E$2:$AD$1000, MATCH(1, ($B$2 = df_proj!$A$2:$A$1000) * (df_proj!$B$2:$B$1000 = $B21) * (df_proj!$C$2:$C$1000 = $D$2), 0), MATCH(TEXT(Z$8, "####"), df_proj!$E$1:$AD$1,0)) * popn_fut!$C93/popn_fut!$E93,5))</f>
        <v>#N/A</v>
      </c>
      <c r="AA21" s="111" t="e">
        <f t="array" ref="AA21">IFERROR(MROUND(INDEX(df_proj!$E$2:$AD$1000, MATCH(1, ($A$2 = df_proj!$A$2:$A$1000) * (df_proj!$B$2:$B$1000 = $B21) * (df_proj!$C$2:$C$1000 = $D$2), 0), MATCH(TEXT(AA$8, "####"), df_proj!$E$1:$AD$1,0)),5),MROUND(INDEX(df_proj!$E$2:$AD$1000, MATCH(1, ($B$2 = df_proj!$A$2:$A$1000) * (df_proj!$B$2:$B$1000 = $B21) * (df_proj!$C$2:$C$1000 = $D$2), 0), MATCH(TEXT(AA$8, "####"), df_proj!$E$1:$AD$1,0)) * popn_fut!$C93/popn_fut!$E93,5))</f>
        <v>#N/A</v>
      </c>
      <c r="AB21" s="111" t="e">
        <f t="array" ref="AB21">IFERROR(MROUND(INDEX(df_proj!$E$2:$AD$1000, MATCH(1, ($A$2 = df_proj!$A$2:$A$1000) * (df_proj!$B$2:$B$1000 = $B21) * (df_proj!$C$2:$C$1000 = $D$2), 0), MATCH(TEXT(AB$8, "####"), df_proj!$E$1:$AD$1,0)),5),MROUND(INDEX(df_proj!$E$2:$AD$1000, MATCH(1, ($B$2 = df_proj!$A$2:$A$1000) * (df_proj!$B$2:$B$1000 = $B21) * (df_proj!$C$2:$C$1000 = $D$2), 0), MATCH(TEXT(AB$8, "####"), df_proj!$E$1:$AD$1,0)) * popn_fut!$C93/popn_fut!$E93,5))</f>
        <v>#N/A</v>
      </c>
      <c r="AC21" s="111" t="e">
        <f t="array" ref="AC21">IFERROR(MROUND(INDEX(df_proj!$E$2:$AD$1000, MATCH(1, ($A$2 = df_proj!$A$2:$A$1000) * (df_proj!$B$2:$B$1000 = $B21) * (df_proj!$C$2:$C$1000 = $D$2), 0), MATCH(TEXT(AC$8, "####"), df_proj!$E$1:$AD$1,0)),5),MROUND(INDEX(df_proj!$E$2:$AD$1000, MATCH(1, ($B$2 = df_proj!$A$2:$A$1000) * (df_proj!$B$2:$B$1000 = $B21) * (df_proj!$C$2:$C$1000 = $D$2), 0), MATCH(TEXT(AC$8, "####"), df_proj!$E$1:$AD$1,0)) * popn_fut!$C93/popn_fut!$E93,5))</f>
        <v>#N/A</v>
      </c>
      <c r="AD21" s="111" t="e">
        <f t="array" ref="AD21">IFERROR(MROUND(INDEX(df_proj!$E$2:$AD$1000, MATCH(1, ($A$2 = df_proj!$A$2:$A$1000) * (df_proj!$B$2:$B$1000 = $B21) * (df_proj!$C$2:$C$1000 = $D$2), 0), MATCH(TEXT(AD$8, "####"), df_proj!$E$1:$AD$1,0)),5),MROUND(INDEX(df_proj!$E$2:$AD$1000, MATCH(1, ($B$2 = df_proj!$A$2:$A$1000) * (df_proj!$B$2:$B$1000 = $B21) * (df_proj!$C$2:$C$1000 = $D$2), 0), MATCH(TEXT(AD$8, "####"), df_proj!$E$1:$AD$1,0)) * popn_fut!$C93/popn_fut!$E93,5))</f>
        <v>#N/A</v>
      </c>
      <c r="AE21" s="111" t="e">
        <f t="array" ref="AE21">IFERROR(MROUND(INDEX(df_proj!$E$2:$AD$1000, MATCH(1, ($A$2 = df_proj!$A$2:$A$1000) * (df_proj!$B$2:$B$1000 = $B21) * (df_proj!$C$2:$C$1000 = $D$2), 0), MATCH(TEXT(AE$8, "####"), df_proj!$E$1:$AD$1,0)),5),MROUND(INDEX(df_proj!$E$2:$AD$1000, MATCH(1, ($B$2 = df_proj!$A$2:$A$1000) * (df_proj!$B$2:$B$1000 = $B21) * (df_proj!$C$2:$C$1000 = $D$2), 0), MATCH(TEXT(AE$8, "####"), df_proj!$E$1:$AD$1,0)) * popn_fut!$C93/popn_fut!$E93,5))</f>
        <v>#N/A</v>
      </c>
      <c r="AF21" s="111" t="e">
        <f t="array" ref="AF21">IFERROR(MROUND(INDEX(df_proj!$E$2:$AD$1000, MATCH(1, ($A$2 = df_proj!$A$2:$A$1000) * (df_proj!$B$2:$B$1000 = $B21) * (df_proj!$C$2:$C$1000 = $D$2), 0), MATCH(TEXT(AF$8, "####"), df_proj!$E$1:$AD$1,0)),5),MROUND(INDEX(df_proj!$E$2:$AD$1000, MATCH(1, ($B$2 = df_proj!$A$2:$A$1000) * (df_proj!$B$2:$B$1000 = $B21) * (df_proj!$C$2:$C$1000 = $D$2), 0), MATCH(TEXT(AF$8, "####"), df_proj!$E$1:$AD$1,0)) * popn_fut!$C93/popn_fut!$E93,5))</f>
        <v>#N/A</v>
      </c>
      <c r="AG21" s="111" t="e">
        <f t="array" ref="AG21">IFERROR(MROUND(INDEX(df_proj!$E$2:$AD$1000, MATCH(1, ($A$2 = df_proj!$A$2:$A$1000) * (df_proj!$B$2:$B$1000 = $B21) * (df_proj!$C$2:$C$1000 = $D$2), 0), MATCH(TEXT(AG$8, "####"), df_proj!$E$1:$AD$1,0)),5),MROUND(INDEX(df_proj!$E$2:$AD$1000, MATCH(1, ($B$2 = df_proj!$A$2:$A$1000) * (df_proj!$B$2:$B$1000 = $B21) * (df_proj!$C$2:$C$1000 = $D$2), 0), MATCH(TEXT(AG$8, "####"), df_proj!$E$1:$AD$1,0)) * popn_fut!$C93/popn_fut!$E93,5))</f>
        <v>#N/A</v>
      </c>
      <c r="AH21" s="111" t="e">
        <f t="array" ref="AH21">IFERROR(MROUND(INDEX(df_proj!$E$2:$AD$1000, MATCH(1, ($A$2 = df_proj!$A$2:$A$1000) * (df_proj!$B$2:$B$1000 = $B21) * (df_proj!$C$2:$C$1000 = $D$2), 0), MATCH(TEXT(AH$8, "####"), df_proj!$E$1:$AD$1,0)),5),MROUND(INDEX(df_proj!$E$2:$AD$1000, MATCH(1, ($B$2 = df_proj!$A$2:$A$1000) * (df_proj!$B$2:$B$1000 = $B21) * (df_proj!$C$2:$C$1000 = $D$2), 0), MATCH(TEXT(AH$8, "####"), df_proj!$E$1:$AD$1,0)) * popn_fut!$C93/popn_fut!$E93,5))</f>
        <v>#N/A</v>
      </c>
      <c r="AI21" s="111" t="e">
        <f t="array" ref="AI21">IFERROR(MROUND(INDEX(df_proj!$E$2:$AD$1000, MATCH(1, ($A$2 = df_proj!$A$2:$A$1000) * (df_proj!$B$2:$B$1000 = $B21) * (df_proj!$C$2:$C$1000 = $D$2), 0), MATCH(TEXT(AI$8, "####"), df_proj!$E$1:$AD$1,0)),5),MROUND(INDEX(df_proj!$E$2:$AD$1000, MATCH(1, ($B$2 = df_proj!$A$2:$A$1000) * (df_proj!$B$2:$B$1000 = $B21) * (df_proj!$C$2:$C$1000 = $D$2), 0), MATCH(TEXT(AI$8, "####"), df_proj!$E$1:$AD$1,0)) * popn_fut!$C93/popn_fut!$E93,5))</f>
        <v>#N/A</v>
      </c>
      <c r="AJ21" s="111" t="e">
        <f t="array" ref="AJ21">IFERROR(MROUND(INDEX(df_proj!$E$2:$AD$1000, MATCH(1, ($A$2 = df_proj!$A$2:$A$1000) * (df_proj!$B$2:$B$1000 = $B21) * (df_proj!$C$2:$C$1000 = $D$2), 0), MATCH(TEXT(AJ$8, "####"), df_proj!$E$1:$AD$1,0)),5),MROUND(INDEX(df_proj!$E$2:$AD$1000, MATCH(1, ($B$2 = df_proj!$A$2:$A$1000) * (df_proj!$B$2:$B$1000 = $B21) * (df_proj!$C$2:$C$1000 = $D$2), 0), MATCH(TEXT(AJ$8, "####"), df_proj!$E$1:$AD$1,0)) * popn_fut!$C93/popn_fut!$E93,5))</f>
        <v>#N/A</v>
      </c>
      <c r="AK21" s="111" t="e">
        <f t="array" ref="AK21">IFERROR(MROUND(INDEX(df_proj!$E$2:$AD$1000, MATCH(1, ($A$2 = df_proj!$A$2:$A$1000) * (df_proj!$B$2:$B$1000 = $B21) * (df_proj!$C$2:$C$1000 = $D$2), 0), MATCH(TEXT(AK$8, "####"), df_proj!$E$1:$AD$1,0)),5),MROUND(INDEX(df_proj!$E$2:$AD$1000, MATCH(1, ($B$2 = df_proj!$A$2:$A$1000) * (df_proj!$B$2:$B$1000 = $B21) * (df_proj!$C$2:$C$1000 = $D$2), 0), MATCH(TEXT(AK$8, "####"), df_proj!$E$1:$AD$1,0)) * popn_fut!$C93/popn_fut!$E93,5))</f>
        <v>#N/A</v>
      </c>
      <c r="AL21" s="181" t="e">
        <f t="array" ref="AL21">IFERROR(MROUND(INDEX(df_proj!$E$2:$AD$1000, MATCH(1, ($A$2 = df_proj!$A$2:$A$1000) * (df_proj!$B$2:$B$1000 = $B21) * (df_proj!$C$2:$C$1000 = $D$2), 0), MATCH(TEXT(AL$8, "####"), df_proj!$E$1:$AD$1,0)),5),MROUND(INDEX(df_proj!$E$2:$AD$1000, MATCH(1, ($B$2 = df_proj!$A$2:$A$1000) * (df_proj!$B$2:$B$1000 = $B21) * (df_proj!$C$2:$C$1000 = $D$2), 0), MATCH(TEXT(AL$8, "####"), df_proj!$E$1:$AD$1,0)) * popn_fut!$C93/popn_fut!$E93,5))</f>
        <v>#N/A</v>
      </c>
      <c r="AM21" s="239" t="e">
        <f t="shared" si="0"/>
        <v>#N/A</v>
      </c>
      <c r="AP21" s="239" t="e">
        <f t="shared" si="1"/>
        <v>#N/A</v>
      </c>
    </row>
    <row r="22" spans="1:45" ht="20.100000000000001" customHeight="1" x14ac:dyDescent="0.2">
      <c r="A22" s="299">
        <v>60</v>
      </c>
      <c r="B22" s="118" t="s">
        <v>128</v>
      </c>
      <c r="C22" s="113"/>
      <c r="D22" s="113" t="e">
        <v>#N/A</v>
      </c>
      <c r="E22" s="113"/>
      <c r="F22" s="113"/>
      <c r="G22" s="113"/>
      <c r="H22" s="113"/>
      <c r="I22" s="113" t="e">
        <v>#N/A</v>
      </c>
      <c r="J22" s="113"/>
      <c r="K22" s="113"/>
      <c r="L22" s="113"/>
      <c r="M22" s="113" t="e">
        <f t="array" ref="M22">IFERROR(MROUND(INDEX(df_proj!$E$2:$AD$1000, MATCH(1, ($A$2 = df_proj!$A$2:$A$1000) * (df_proj!$B$2:$B$1000 = $B22) * (df_proj!$C$2:$C$1000 = $D$2), 0), MATCH(TEXT(M$8, "####"), df_proj!$E$1:$AD$1,0)),5),MROUND(INDEX(df_proj!$E$2:$AD$1000, MATCH(1, ($B$2 = df_proj!$A$2:$A$1000) * (df_proj!$B$2:$B$1000 = $B22) * (df_proj!$C$2:$C$1000 = $D$2), 0), MATCH(TEXT(M$8, "####"), df_proj!$E$1:$AD$1,0)) * popn_fut!$C94/popn_fut!$E94,5))</f>
        <v>#N/A</v>
      </c>
      <c r="N22" s="113" t="e">
        <f t="array" ref="N22">IFERROR(MROUND(INDEX(df_proj!$E$2:$AD$1000, MATCH(1, ($A$2 = df_proj!$A$2:$A$1000) * (df_proj!$B$2:$B$1000 = $B22) * (df_proj!$C$2:$C$1000 = $D$2), 0), MATCH(TEXT(N$8, "####"), df_proj!$E$1:$AD$1,0)),5),MROUND(INDEX(df_proj!$E$2:$AD$1000, MATCH(1, ($B$2 = df_proj!$A$2:$A$1000) * (df_proj!$B$2:$B$1000 = $B22) * (df_proj!$C$2:$C$1000 = $D$2), 0), MATCH(TEXT(N$8, "####"), df_proj!$E$1:$AD$1,0)) * popn_fut!$C94/popn_fut!$E94,5))</f>
        <v>#N/A</v>
      </c>
      <c r="O22" s="113" t="e">
        <f t="array" ref="O22">IFERROR(MROUND(INDEX(df_proj!$E$2:$AD$1000, MATCH(1, ($A$2 = df_proj!$A$2:$A$1000) * (df_proj!$B$2:$B$1000 = $B22) * (df_proj!$C$2:$C$1000 = $D$2), 0), MATCH(TEXT(O$8, "####"), df_proj!$E$1:$AD$1,0)),5),MROUND(INDEX(df_proj!$E$2:$AD$1000, MATCH(1, ($B$2 = df_proj!$A$2:$A$1000) * (df_proj!$B$2:$B$1000 = $B22) * (df_proj!$C$2:$C$1000 = $D$2), 0), MATCH(TEXT(O$8, "####"), df_proj!$E$1:$AD$1,0)) * popn_fut!$C94/popn_fut!$E94,5))</f>
        <v>#N/A</v>
      </c>
      <c r="P22" s="113" t="e">
        <f t="array" ref="P22">IFERROR(MROUND(INDEX(df_proj!$E$2:$AD$1000, MATCH(1, ($A$2 = df_proj!$A$2:$A$1000) * (df_proj!$B$2:$B$1000 = $B22) * (df_proj!$C$2:$C$1000 = $D$2), 0), MATCH(TEXT(P$8, "####"), df_proj!$E$1:$AD$1,0)),5),MROUND(INDEX(df_proj!$E$2:$AD$1000, MATCH(1, ($B$2 = df_proj!$A$2:$A$1000) * (df_proj!$B$2:$B$1000 = $B22) * (df_proj!$C$2:$C$1000 = $D$2), 0), MATCH(TEXT(P$8, "####"), df_proj!$E$1:$AD$1,0)) * popn_fut!$C94/popn_fut!$E94,5))</f>
        <v>#N/A</v>
      </c>
      <c r="Q22" s="113" t="e">
        <f t="array" ref="Q22">IFERROR(MROUND(INDEX(df_proj!$E$2:$AD$1000, MATCH(1, ($A$2 = df_proj!$A$2:$A$1000) * (df_proj!$B$2:$B$1000 = $B22) * (df_proj!$C$2:$C$1000 = $D$2), 0), MATCH(TEXT(Q$8, "####"), df_proj!$E$1:$AD$1,0)),5),MROUND(INDEX(df_proj!$E$2:$AD$1000, MATCH(1, ($B$2 = df_proj!$A$2:$A$1000) * (df_proj!$B$2:$B$1000 = $B22) * (df_proj!$C$2:$C$1000 = $D$2), 0), MATCH(TEXT(Q$8, "####"), df_proj!$E$1:$AD$1,0)) * popn_fut!$C94/popn_fut!$E94,5))</f>
        <v>#N/A</v>
      </c>
      <c r="R22" s="113" t="e">
        <f t="array" ref="R22">IFERROR(MROUND(INDEX(df_proj!$E$2:$AD$1000, MATCH(1, ($A$2 = df_proj!$A$2:$A$1000) * (df_proj!$B$2:$B$1000 = $B22) * (df_proj!$C$2:$C$1000 = $D$2), 0), MATCH(TEXT(R$8, "####"), df_proj!$E$1:$AD$1,0)),5),MROUND(INDEX(df_proj!$E$2:$AD$1000, MATCH(1, ($B$2 = df_proj!$A$2:$A$1000) * (df_proj!$B$2:$B$1000 = $B22) * (df_proj!$C$2:$C$1000 = $D$2), 0), MATCH(TEXT(R$8, "####"), df_proj!$E$1:$AD$1,0)) * popn_fut!$C94/popn_fut!$E94,5))</f>
        <v>#N/A</v>
      </c>
      <c r="S22" s="113" t="e">
        <f t="array" ref="S22">IFERROR(MROUND(INDEX(df_proj!$E$2:$AD$1000, MATCH(1, ($A$2 = df_proj!$A$2:$A$1000) * (df_proj!$B$2:$B$1000 = $B22) * (df_proj!$C$2:$C$1000 = $D$2), 0), MATCH(TEXT(S$8, "####"), df_proj!$E$1:$AD$1,0)),5),MROUND(INDEX(df_proj!$E$2:$AD$1000, MATCH(1, ($B$2 = df_proj!$A$2:$A$1000) * (df_proj!$B$2:$B$1000 = $B22) * (df_proj!$C$2:$C$1000 = $D$2), 0), MATCH(TEXT(S$8, "####"), df_proj!$E$1:$AD$1,0)) * popn_fut!$C94/popn_fut!$E94,5))</f>
        <v>#N/A</v>
      </c>
      <c r="T22" s="113" t="e">
        <f t="array" ref="T22">IFERROR(MROUND(INDEX(df_proj!$E$2:$AD$1000, MATCH(1, ($A$2 = df_proj!$A$2:$A$1000) * (df_proj!$B$2:$B$1000 = $B22) * (df_proj!$C$2:$C$1000 = $D$2), 0), MATCH(TEXT(T$8, "####"), df_proj!$E$1:$AD$1,0)),5),MROUND(INDEX(df_proj!$E$2:$AD$1000, MATCH(1, ($B$2 = df_proj!$A$2:$A$1000) * (df_proj!$B$2:$B$1000 = $B22) * (df_proj!$C$2:$C$1000 = $D$2), 0), MATCH(TEXT(T$8, "####"), df_proj!$E$1:$AD$1,0)) * popn_fut!$C94/popn_fut!$E94,5))</f>
        <v>#N/A</v>
      </c>
      <c r="U22" s="113" t="e">
        <f t="array" ref="U22">IFERROR(MROUND(INDEX(df_proj!$E$2:$AD$1000, MATCH(1, ($A$2 = df_proj!$A$2:$A$1000) * (df_proj!$B$2:$B$1000 = $B22) * (df_proj!$C$2:$C$1000 = $D$2), 0), MATCH(TEXT(U$8, "####"), df_proj!$E$1:$AD$1,0)),5),MROUND(INDEX(df_proj!$E$2:$AD$1000, MATCH(1, ($B$2 = df_proj!$A$2:$A$1000) * (df_proj!$B$2:$B$1000 = $B22) * (df_proj!$C$2:$C$1000 = $D$2), 0), MATCH(TEXT(U$8, "####"), df_proj!$E$1:$AD$1,0)) * popn_fut!$C94/popn_fut!$E94,5))</f>
        <v>#N/A</v>
      </c>
      <c r="V22" s="113" t="e">
        <f t="array" ref="V22">IFERROR(MROUND(INDEX(df_proj!$E$2:$AD$1000, MATCH(1, ($A$2 = df_proj!$A$2:$A$1000) * (df_proj!$B$2:$B$1000 = $B22) * (df_proj!$C$2:$C$1000 = $D$2), 0), MATCH(TEXT(V$8, "####"), df_proj!$E$1:$AD$1,0)),5),MROUND(INDEX(df_proj!$E$2:$AD$1000, MATCH(1, ($B$2 = df_proj!$A$2:$A$1000) * (df_proj!$B$2:$B$1000 = $B22) * (df_proj!$C$2:$C$1000 = $D$2), 0), MATCH(TEXT(V$8, "####"), df_proj!$E$1:$AD$1,0)) * popn_fut!$C94/popn_fut!$E94,5))</f>
        <v>#N/A</v>
      </c>
      <c r="W22" s="113" t="e">
        <f t="array" ref="W22">IFERROR(MROUND(INDEX(df_proj!$E$2:$AD$1000, MATCH(1, ($A$2 = df_proj!$A$2:$A$1000) * (df_proj!$B$2:$B$1000 = $B22) * (df_proj!$C$2:$C$1000 = $D$2), 0), MATCH(TEXT(W$8, "####"), df_proj!$E$1:$AD$1,0)),5),MROUND(INDEX(df_proj!$E$2:$AD$1000, MATCH(1, ($B$2 = df_proj!$A$2:$A$1000) * (df_proj!$B$2:$B$1000 = $B22) * (df_proj!$C$2:$C$1000 = $D$2), 0), MATCH(TEXT(W$8, "####"), df_proj!$E$1:$AD$1,0)) * popn_fut!$C94/popn_fut!$E94,5))</f>
        <v>#N/A</v>
      </c>
      <c r="X22" s="113" t="e">
        <f t="array" ref="X22">IFERROR(MROUND(INDEX(df_proj!$E$2:$AD$1000, MATCH(1, ($A$2 = df_proj!$A$2:$A$1000) * (df_proj!$B$2:$B$1000 = $B22) * (df_proj!$C$2:$C$1000 = $D$2), 0), MATCH(TEXT(X$8, "####"), df_proj!$E$1:$AD$1,0)),5),MROUND(INDEX(df_proj!$E$2:$AD$1000, MATCH(1, ($B$2 = df_proj!$A$2:$A$1000) * (df_proj!$B$2:$B$1000 = $B22) * (df_proj!$C$2:$C$1000 = $D$2), 0), MATCH(TEXT(X$8, "####"), df_proj!$E$1:$AD$1,0)) * popn_fut!$C94/popn_fut!$E94,5))</f>
        <v>#N/A</v>
      </c>
      <c r="Y22" s="113" t="e">
        <f t="array" ref="Y22">IFERROR(MROUND(INDEX(df_proj!$E$2:$AD$1000, MATCH(1, ($A$2 = df_proj!$A$2:$A$1000) * (df_proj!$B$2:$B$1000 = $B22) * (df_proj!$C$2:$C$1000 = $D$2), 0), MATCH(TEXT(Y$8, "####"), df_proj!$E$1:$AD$1,0)),5),MROUND(INDEX(df_proj!$E$2:$AD$1000, MATCH(1, ($B$2 = df_proj!$A$2:$A$1000) * (df_proj!$B$2:$B$1000 = $B22) * (df_proj!$C$2:$C$1000 = $D$2), 0), MATCH(TEXT(Y$8, "####"), df_proj!$E$1:$AD$1,0)) * popn_fut!$C94/popn_fut!$E94,5))</f>
        <v>#N/A</v>
      </c>
      <c r="Z22" s="113" t="e">
        <f t="array" ref="Z22">IFERROR(MROUND(INDEX(df_proj!$E$2:$AD$1000, MATCH(1, ($A$2 = df_proj!$A$2:$A$1000) * (df_proj!$B$2:$B$1000 = $B22) * (df_proj!$C$2:$C$1000 = $D$2), 0), MATCH(TEXT(Z$8, "####"), df_proj!$E$1:$AD$1,0)),5),MROUND(INDEX(df_proj!$E$2:$AD$1000, MATCH(1, ($B$2 = df_proj!$A$2:$A$1000) * (df_proj!$B$2:$B$1000 = $B22) * (df_proj!$C$2:$C$1000 = $D$2), 0), MATCH(TEXT(Z$8, "####"), df_proj!$E$1:$AD$1,0)) * popn_fut!$C94/popn_fut!$E94,5))</f>
        <v>#N/A</v>
      </c>
      <c r="AA22" s="113" t="e">
        <f t="array" ref="AA22">IFERROR(MROUND(INDEX(df_proj!$E$2:$AD$1000, MATCH(1, ($A$2 = df_proj!$A$2:$A$1000) * (df_proj!$B$2:$B$1000 = $B22) * (df_proj!$C$2:$C$1000 = $D$2), 0), MATCH(TEXT(AA$8, "####"), df_proj!$E$1:$AD$1,0)),5),MROUND(INDEX(df_proj!$E$2:$AD$1000, MATCH(1, ($B$2 = df_proj!$A$2:$A$1000) * (df_proj!$B$2:$B$1000 = $B22) * (df_proj!$C$2:$C$1000 = $D$2), 0), MATCH(TEXT(AA$8, "####"), df_proj!$E$1:$AD$1,0)) * popn_fut!$C94/popn_fut!$E94,5))</f>
        <v>#N/A</v>
      </c>
      <c r="AB22" s="113" t="e">
        <f t="array" ref="AB22">IFERROR(MROUND(INDEX(df_proj!$E$2:$AD$1000, MATCH(1, ($A$2 = df_proj!$A$2:$A$1000) * (df_proj!$B$2:$B$1000 = $B22) * (df_proj!$C$2:$C$1000 = $D$2), 0), MATCH(TEXT(AB$8, "####"), df_proj!$E$1:$AD$1,0)),5),MROUND(INDEX(df_proj!$E$2:$AD$1000, MATCH(1, ($B$2 = df_proj!$A$2:$A$1000) * (df_proj!$B$2:$B$1000 = $B22) * (df_proj!$C$2:$C$1000 = $D$2), 0), MATCH(TEXT(AB$8, "####"), df_proj!$E$1:$AD$1,0)) * popn_fut!$C94/popn_fut!$E94,5))</f>
        <v>#N/A</v>
      </c>
      <c r="AC22" s="113" t="e">
        <f t="array" ref="AC22">IFERROR(MROUND(INDEX(df_proj!$E$2:$AD$1000, MATCH(1, ($A$2 = df_proj!$A$2:$A$1000) * (df_proj!$B$2:$B$1000 = $B22) * (df_proj!$C$2:$C$1000 = $D$2), 0), MATCH(TEXT(AC$8, "####"), df_proj!$E$1:$AD$1,0)),5),MROUND(INDEX(df_proj!$E$2:$AD$1000, MATCH(1, ($B$2 = df_proj!$A$2:$A$1000) * (df_proj!$B$2:$B$1000 = $B22) * (df_proj!$C$2:$C$1000 = $D$2), 0), MATCH(TEXT(AC$8, "####"), df_proj!$E$1:$AD$1,0)) * popn_fut!$C94/popn_fut!$E94,5))</f>
        <v>#N/A</v>
      </c>
      <c r="AD22" s="113" t="e">
        <f t="array" ref="AD22">IFERROR(MROUND(INDEX(df_proj!$E$2:$AD$1000, MATCH(1, ($A$2 = df_proj!$A$2:$A$1000) * (df_proj!$B$2:$B$1000 = $B22) * (df_proj!$C$2:$C$1000 = $D$2), 0), MATCH(TEXT(AD$8, "####"), df_proj!$E$1:$AD$1,0)),5),MROUND(INDEX(df_proj!$E$2:$AD$1000, MATCH(1, ($B$2 = df_proj!$A$2:$A$1000) * (df_proj!$B$2:$B$1000 = $B22) * (df_proj!$C$2:$C$1000 = $D$2), 0), MATCH(TEXT(AD$8, "####"), df_proj!$E$1:$AD$1,0)) * popn_fut!$C94/popn_fut!$E94,5))</f>
        <v>#N/A</v>
      </c>
      <c r="AE22" s="113" t="e">
        <f t="array" ref="AE22">IFERROR(MROUND(INDEX(df_proj!$E$2:$AD$1000, MATCH(1, ($A$2 = df_proj!$A$2:$A$1000) * (df_proj!$B$2:$B$1000 = $B22) * (df_proj!$C$2:$C$1000 = $D$2), 0), MATCH(TEXT(AE$8, "####"), df_proj!$E$1:$AD$1,0)),5),MROUND(INDEX(df_proj!$E$2:$AD$1000, MATCH(1, ($B$2 = df_proj!$A$2:$A$1000) * (df_proj!$B$2:$B$1000 = $B22) * (df_proj!$C$2:$C$1000 = $D$2), 0), MATCH(TEXT(AE$8, "####"), df_proj!$E$1:$AD$1,0)) * popn_fut!$C94/popn_fut!$E94,5))</f>
        <v>#N/A</v>
      </c>
      <c r="AF22" s="113" t="e">
        <f t="array" ref="AF22">IFERROR(MROUND(INDEX(df_proj!$E$2:$AD$1000, MATCH(1, ($A$2 = df_proj!$A$2:$A$1000) * (df_proj!$B$2:$B$1000 = $B22) * (df_proj!$C$2:$C$1000 = $D$2), 0), MATCH(TEXT(AF$8, "####"), df_proj!$E$1:$AD$1,0)),5),MROUND(INDEX(df_proj!$E$2:$AD$1000, MATCH(1, ($B$2 = df_proj!$A$2:$A$1000) * (df_proj!$B$2:$B$1000 = $B22) * (df_proj!$C$2:$C$1000 = $D$2), 0), MATCH(TEXT(AF$8, "####"), df_proj!$E$1:$AD$1,0)) * popn_fut!$C94/popn_fut!$E94,5))</f>
        <v>#N/A</v>
      </c>
      <c r="AG22" s="113" t="e">
        <f t="array" ref="AG22">IFERROR(MROUND(INDEX(df_proj!$E$2:$AD$1000, MATCH(1, ($A$2 = df_proj!$A$2:$A$1000) * (df_proj!$B$2:$B$1000 = $B22) * (df_proj!$C$2:$C$1000 = $D$2), 0), MATCH(TEXT(AG$8, "####"), df_proj!$E$1:$AD$1,0)),5),MROUND(INDEX(df_proj!$E$2:$AD$1000, MATCH(1, ($B$2 = df_proj!$A$2:$A$1000) * (df_proj!$B$2:$B$1000 = $B22) * (df_proj!$C$2:$C$1000 = $D$2), 0), MATCH(TEXT(AG$8, "####"), df_proj!$E$1:$AD$1,0)) * popn_fut!$C94/popn_fut!$E94,5))</f>
        <v>#N/A</v>
      </c>
      <c r="AH22" s="113" t="e">
        <f t="array" ref="AH22">IFERROR(MROUND(INDEX(df_proj!$E$2:$AD$1000, MATCH(1, ($A$2 = df_proj!$A$2:$A$1000) * (df_proj!$B$2:$B$1000 = $B22) * (df_proj!$C$2:$C$1000 = $D$2), 0), MATCH(TEXT(AH$8, "####"), df_proj!$E$1:$AD$1,0)),5),MROUND(INDEX(df_proj!$E$2:$AD$1000, MATCH(1, ($B$2 = df_proj!$A$2:$A$1000) * (df_proj!$B$2:$B$1000 = $B22) * (df_proj!$C$2:$C$1000 = $D$2), 0), MATCH(TEXT(AH$8, "####"), df_proj!$E$1:$AD$1,0)) * popn_fut!$C94/popn_fut!$E94,5))</f>
        <v>#N/A</v>
      </c>
      <c r="AI22" s="113" t="e">
        <f t="array" ref="AI22">IFERROR(MROUND(INDEX(df_proj!$E$2:$AD$1000, MATCH(1, ($A$2 = df_proj!$A$2:$A$1000) * (df_proj!$B$2:$B$1000 = $B22) * (df_proj!$C$2:$C$1000 = $D$2), 0), MATCH(TEXT(AI$8, "####"), df_proj!$E$1:$AD$1,0)),5),MROUND(INDEX(df_proj!$E$2:$AD$1000, MATCH(1, ($B$2 = df_proj!$A$2:$A$1000) * (df_proj!$B$2:$B$1000 = $B22) * (df_proj!$C$2:$C$1000 = $D$2), 0), MATCH(TEXT(AI$8, "####"), df_proj!$E$1:$AD$1,0)) * popn_fut!$C94/popn_fut!$E94,5))</f>
        <v>#N/A</v>
      </c>
      <c r="AJ22" s="113" t="e">
        <f t="array" ref="AJ22">IFERROR(MROUND(INDEX(df_proj!$E$2:$AD$1000, MATCH(1, ($A$2 = df_proj!$A$2:$A$1000) * (df_proj!$B$2:$B$1000 = $B22) * (df_proj!$C$2:$C$1000 = $D$2), 0), MATCH(TEXT(AJ$8, "####"), df_proj!$E$1:$AD$1,0)),5),MROUND(INDEX(df_proj!$E$2:$AD$1000, MATCH(1, ($B$2 = df_proj!$A$2:$A$1000) * (df_proj!$B$2:$B$1000 = $B22) * (df_proj!$C$2:$C$1000 = $D$2), 0), MATCH(TEXT(AJ$8, "####"), df_proj!$E$1:$AD$1,0)) * popn_fut!$C94/popn_fut!$E94,5))</f>
        <v>#N/A</v>
      </c>
      <c r="AK22" s="113" t="e">
        <f t="array" ref="AK22">IFERROR(MROUND(INDEX(df_proj!$E$2:$AD$1000, MATCH(1, ($A$2 = df_proj!$A$2:$A$1000) * (df_proj!$B$2:$B$1000 = $B22) * (df_proj!$C$2:$C$1000 = $D$2), 0), MATCH(TEXT(AK$8, "####"), df_proj!$E$1:$AD$1,0)),5),MROUND(INDEX(df_proj!$E$2:$AD$1000, MATCH(1, ($B$2 = df_proj!$A$2:$A$1000) * (df_proj!$B$2:$B$1000 = $B22) * (df_proj!$C$2:$C$1000 = $D$2), 0), MATCH(TEXT(AK$8, "####"), df_proj!$E$1:$AD$1,0)) * popn_fut!$C94/popn_fut!$E94,5))</f>
        <v>#N/A</v>
      </c>
      <c r="AL22" s="329" t="e">
        <f t="array" ref="AL22">IFERROR(MROUND(INDEX(df_proj!$E$2:$AD$1000, MATCH(1, ($A$2 = df_proj!$A$2:$A$1000) * (df_proj!$B$2:$B$1000 = $B22) * (df_proj!$C$2:$C$1000 = $D$2), 0), MATCH(TEXT(AL$8, "####"), df_proj!$E$1:$AD$1,0)),5),MROUND(INDEX(df_proj!$E$2:$AD$1000, MATCH(1, ($B$2 = df_proj!$A$2:$A$1000) * (df_proj!$B$2:$B$1000 = $B22) * (df_proj!$C$2:$C$1000 = $D$2), 0), MATCH(TEXT(AL$8, "####"), df_proj!$E$1:$AD$1,0)) * popn_fut!$C94/popn_fut!$E94,5))</f>
        <v>#N/A</v>
      </c>
      <c r="AM22" s="239" t="e">
        <f t="shared" si="0"/>
        <v>#N/A</v>
      </c>
      <c r="AP22" s="239" t="e">
        <f t="shared" si="1"/>
        <v>#N/A</v>
      </c>
    </row>
    <row r="23" spans="1:45" ht="20.100000000000001" customHeight="1" x14ac:dyDescent="0.2">
      <c r="A23" s="299">
        <v>65</v>
      </c>
      <c r="B23" s="277" t="s">
        <v>129</v>
      </c>
      <c r="C23" s="111"/>
      <c r="D23" s="111" t="e">
        <v>#N/A</v>
      </c>
      <c r="E23" s="111"/>
      <c r="F23" s="111"/>
      <c r="G23" s="111"/>
      <c r="H23" s="111"/>
      <c r="I23" s="111" t="e">
        <v>#N/A</v>
      </c>
      <c r="J23" s="111"/>
      <c r="K23" s="111"/>
      <c r="L23" s="111"/>
      <c r="M23" s="111" t="e">
        <f t="array" ref="M23">IFERROR(MROUND(INDEX(df_proj!$E$2:$AD$1000, MATCH(1, ($A$2 = df_proj!$A$2:$A$1000) * (df_proj!$B$2:$B$1000 = $B23) * (df_proj!$C$2:$C$1000 = $D$2), 0), MATCH(TEXT(M$8, "####"), df_proj!$E$1:$AD$1,0)),5),MROUND(INDEX(df_proj!$E$2:$AD$1000, MATCH(1, ($B$2 = df_proj!$A$2:$A$1000) * (df_proj!$B$2:$B$1000 = $B23) * (df_proj!$C$2:$C$1000 = $D$2), 0), MATCH(TEXT(M$8, "####"), df_proj!$E$1:$AD$1,0)) * popn_fut!$C95/popn_fut!$E95,5))</f>
        <v>#N/A</v>
      </c>
      <c r="N23" s="111" t="e">
        <f t="array" ref="N23">IFERROR(MROUND(INDEX(df_proj!$E$2:$AD$1000, MATCH(1, ($A$2 = df_proj!$A$2:$A$1000) * (df_proj!$B$2:$B$1000 = $B23) * (df_proj!$C$2:$C$1000 = $D$2), 0), MATCH(TEXT(N$8, "####"), df_proj!$E$1:$AD$1,0)),5),MROUND(INDEX(df_proj!$E$2:$AD$1000, MATCH(1, ($B$2 = df_proj!$A$2:$A$1000) * (df_proj!$B$2:$B$1000 = $B23) * (df_proj!$C$2:$C$1000 = $D$2), 0), MATCH(TEXT(N$8, "####"), df_proj!$E$1:$AD$1,0)) * popn_fut!$C95/popn_fut!$E95,5))</f>
        <v>#N/A</v>
      </c>
      <c r="O23" s="111" t="e">
        <f t="array" ref="O23">IFERROR(MROUND(INDEX(df_proj!$E$2:$AD$1000, MATCH(1, ($A$2 = df_proj!$A$2:$A$1000) * (df_proj!$B$2:$B$1000 = $B23) * (df_proj!$C$2:$C$1000 = $D$2), 0), MATCH(TEXT(O$8, "####"), df_proj!$E$1:$AD$1,0)),5),MROUND(INDEX(df_proj!$E$2:$AD$1000, MATCH(1, ($B$2 = df_proj!$A$2:$A$1000) * (df_proj!$B$2:$B$1000 = $B23) * (df_proj!$C$2:$C$1000 = $D$2), 0), MATCH(TEXT(O$8, "####"), df_proj!$E$1:$AD$1,0)) * popn_fut!$C95/popn_fut!$E95,5))</f>
        <v>#N/A</v>
      </c>
      <c r="P23" s="111" t="e">
        <f t="array" ref="P23">IFERROR(MROUND(INDEX(df_proj!$E$2:$AD$1000, MATCH(1, ($A$2 = df_proj!$A$2:$A$1000) * (df_proj!$B$2:$B$1000 = $B23) * (df_proj!$C$2:$C$1000 = $D$2), 0), MATCH(TEXT(P$8, "####"), df_proj!$E$1:$AD$1,0)),5),MROUND(INDEX(df_proj!$E$2:$AD$1000, MATCH(1, ($B$2 = df_proj!$A$2:$A$1000) * (df_proj!$B$2:$B$1000 = $B23) * (df_proj!$C$2:$C$1000 = $D$2), 0), MATCH(TEXT(P$8, "####"), df_proj!$E$1:$AD$1,0)) * popn_fut!$C95/popn_fut!$E95,5))</f>
        <v>#N/A</v>
      </c>
      <c r="Q23" s="111" t="e">
        <f t="array" ref="Q23">IFERROR(MROUND(INDEX(df_proj!$E$2:$AD$1000, MATCH(1, ($A$2 = df_proj!$A$2:$A$1000) * (df_proj!$B$2:$B$1000 = $B23) * (df_proj!$C$2:$C$1000 = $D$2), 0), MATCH(TEXT(Q$8, "####"), df_proj!$E$1:$AD$1,0)),5),MROUND(INDEX(df_proj!$E$2:$AD$1000, MATCH(1, ($B$2 = df_proj!$A$2:$A$1000) * (df_proj!$B$2:$B$1000 = $B23) * (df_proj!$C$2:$C$1000 = $D$2), 0), MATCH(TEXT(Q$8, "####"), df_proj!$E$1:$AD$1,0)) * popn_fut!$C95/popn_fut!$E95,5))</f>
        <v>#N/A</v>
      </c>
      <c r="R23" s="111" t="e">
        <f t="array" ref="R23">IFERROR(MROUND(INDEX(df_proj!$E$2:$AD$1000, MATCH(1, ($A$2 = df_proj!$A$2:$A$1000) * (df_proj!$B$2:$B$1000 = $B23) * (df_proj!$C$2:$C$1000 = $D$2), 0), MATCH(TEXT(R$8, "####"), df_proj!$E$1:$AD$1,0)),5),MROUND(INDEX(df_proj!$E$2:$AD$1000, MATCH(1, ($B$2 = df_proj!$A$2:$A$1000) * (df_proj!$B$2:$B$1000 = $B23) * (df_proj!$C$2:$C$1000 = $D$2), 0), MATCH(TEXT(R$8, "####"), df_proj!$E$1:$AD$1,0)) * popn_fut!$C95/popn_fut!$E95,5))</f>
        <v>#N/A</v>
      </c>
      <c r="S23" s="111" t="e">
        <f t="array" ref="S23">IFERROR(MROUND(INDEX(df_proj!$E$2:$AD$1000, MATCH(1, ($A$2 = df_proj!$A$2:$A$1000) * (df_proj!$B$2:$B$1000 = $B23) * (df_proj!$C$2:$C$1000 = $D$2), 0), MATCH(TEXT(S$8, "####"), df_proj!$E$1:$AD$1,0)),5),MROUND(INDEX(df_proj!$E$2:$AD$1000, MATCH(1, ($B$2 = df_proj!$A$2:$A$1000) * (df_proj!$B$2:$B$1000 = $B23) * (df_proj!$C$2:$C$1000 = $D$2), 0), MATCH(TEXT(S$8, "####"), df_proj!$E$1:$AD$1,0)) * popn_fut!$C95/popn_fut!$E95,5))</f>
        <v>#N/A</v>
      </c>
      <c r="T23" s="111" t="e">
        <f t="array" ref="T23">IFERROR(MROUND(INDEX(df_proj!$E$2:$AD$1000, MATCH(1, ($A$2 = df_proj!$A$2:$A$1000) * (df_proj!$B$2:$B$1000 = $B23) * (df_proj!$C$2:$C$1000 = $D$2), 0), MATCH(TEXT(T$8, "####"), df_proj!$E$1:$AD$1,0)),5),MROUND(INDEX(df_proj!$E$2:$AD$1000, MATCH(1, ($B$2 = df_proj!$A$2:$A$1000) * (df_proj!$B$2:$B$1000 = $B23) * (df_proj!$C$2:$C$1000 = $D$2), 0), MATCH(TEXT(T$8, "####"), df_proj!$E$1:$AD$1,0)) * popn_fut!$C95/popn_fut!$E95,5))</f>
        <v>#N/A</v>
      </c>
      <c r="U23" s="111" t="e">
        <f t="array" ref="U23">IFERROR(MROUND(INDEX(df_proj!$E$2:$AD$1000, MATCH(1, ($A$2 = df_proj!$A$2:$A$1000) * (df_proj!$B$2:$B$1000 = $B23) * (df_proj!$C$2:$C$1000 = $D$2), 0), MATCH(TEXT(U$8, "####"), df_proj!$E$1:$AD$1,0)),5),MROUND(INDEX(df_proj!$E$2:$AD$1000, MATCH(1, ($B$2 = df_proj!$A$2:$A$1000) * (df_proj!$B$2:$B$1000 = $B23) * (df_proj!$C$2:$C$1000 = $D$2), 0), MATCH(TEXT(U$8, "####"), df_proj!$E$1:$AD$1,0)) * popn_fut!$C95/popn_fut!$E95,5))</f>
        <v>#N/A</v>
      </c>
      <c r="V23" s="111" t="e">
        <f t="array" ref="V23">IFERROR(MROUND(INDEX(df_proj!$E$2:$AD$1000, MATCH(1, ($A$2 = df_proj!$A$2:$A$1000) * (df_proj!$B$2:$B$1000 = $B23) * (df_proj!$C$2:$C$1000 = $D$2), 0), MATCH(TEXT(V$8, "####"), df_proj!$E$1:$AD$1,0)),5),MROUND(INDEX(df_proj!$E$2:$AD$1000, MATCH(1, ($B$2 = df_proj!$A$2:$A$1000) * (df_proj!$B$2:$B$1000 = $B23) * (df_proj!$C$2:$C$1000 = $D$2), 0), MATCH(TEXT(V$8, "####"), df_proj!$E$1:$AD$1,0)) * popn_fut!$C95/popn_fut!$E95,5))</f>
        <v>#N/A</v>
      </c>
      <c r="W23" s="111" t="e">
        <f t="array" ref="W23">IFERROR(MROUND(INDEX(df_proj!$E$2:$AD$1000, MATCH(1, ($A$2 = df_proj!$A$2:$A$1000) * (df_proj!$B$2:$B$1000 = $B23) * (df_proj!$C$2:$C$1000 = $D$2), 0), MATCH(TEXT(W$8, "####"), df_proj!$E$1:$AD$1,0)),5),MROUND(INDEX(df_proj!$E$2:$AD$1000, MATCH(1, ($B$2 = df_proj!$A$2:$A$1000) * (df_proj!$B$2:$B$1000 = $B23) * (df_proj!$C$2:$C$1000 = $D$2), 0), MATCH(TEXT(W$8, "####"), df_proj!$E$1:$AD$1,0)) * popn_fut!$C95/popn_fut!$E95,5))</f>
        <v>#N/A</v>
      </c>
      <c r="X23" s="111" t="e">
        <f t="array" ref="X23">IFERROR(MROUND(INDEX(df_proj!$E$2:$AD$1000, MATCH(1, ($A$2 = df_proj!$A$2:$A$1000) * (df_proj!$B$2:$B$1000 = $B23) * (df_proj!$C$2:$C$1000 = $D$2), 0), MATCH(TEXT(X$8, "####"), df_proj!$E$1:$AD$1,0)),5),MROUND(INDEX(df_proj!$E$2:$AD$1000, MATCH(1, ($B$2 = df_proj!$A$2:$A$1000) * (df_proj!$B$2:$B$1000 = $B23) * (df_proj!$C$2:$C$1000 = $D$2), 0), MATCH(TEXT(X$8, "####"), df_proj!$E$1:$AD$1,0)) * popn_fut!$C95/popn_fut!$E95,5))</f>
        <v>#N/A</v>
      </c>
      <c r="Y23" s="111" t="e">
        <f t="array" ref="Y23">IFERROR(MROUND(INDEX(df_proj!$E$2:$AD$1000, MATCH(1, ($A$2 = df_proj!$A$2:$A$1000) * (df_proj!$B$2:$B$1000 = $B23) * (df_proj!$C$2:$C$1000 = $D$2), 0), MATCH(TEXT(Y$8, "####"), df_proj!$E$1:$AD$1,0)),5),MROUND(INDEX(df_proj!$E$2:$AD$1000, MATCH(1, ($B$2 = df_proj!$A$2:$A$1000) * (df_proj!$B$2:$B$1000 = $B23) * (df_proj!$C$2:$C$1000 = $D$2), 0), MATCH(TEXT(Y$8, "####"), df_proj!$E$1:$AD$1,0)) * popn_fut!$C95/popn_fut!$E95,5))</f>
        <v>#N/A</v>
      </c>
      <c r="Z23" s="111" t="e">
        <f t="array" ref="Z23">IFERROR(MROUND(INDEX(df_proj!$E$2:$AD$1000, MATCH(1, ($A$2 = df_proj!$A$2:$A$1000) * (df_proj!$B$2:$B$1000 = $B23) * (df_proj!$C$2:$C$1000 = $D$2), 0), MATCH(TEXT(Z$8, "####"), df_proj!$E$1:$AD$1,0)),5),MROUND(INDEX(df_proj!$E$2:$AD$1000, MATCH(1, ($B$2 = df_proj!$A$2:$A$1000) * (df_proj!$B$2:$B$1000 = $B23) * (df_proj!$C$2:$C$1000 = $D$2), 0), MATCH(TEXT(Z$8, "####"), df_proj!$E$1:$AD$1,0)) * popn_fut!$C95/popn_fut!$E95,5))</f>
        <v>#N/A</v>
      </c>
      <c r="AA23" s="111" t="e">
        <f t="array" ref="AA23">IFERROR(MROUND(INDEX(df_proj!$E$2:$AD$1000, MATCH(1, ($A$2 = df_proj!$A$2:$A$1000) * (df_proj!$B$2:$B$1000 = $B23) * (df_proj!$C$2:$C$1000 = $D$2), 0), MATCH(TEXT(AA$8, "####"), df_proj!$E$1:$AD$1,0)),5),MROUND(INDEX(df_proj!$E$2:$AD$1000, MATCH(1, ($B$2 = df_proj!$A$2:$A$1000) * (df_proj!$B$2:$B$1000 = $B23) * (df_proj!$C$2:$C$1000 = $D$2), 0), MATCH(TEXT(AA$8, "####"), df_proj!$E$1:$AD$1,0)) * popn_fut!$C95/popn_fut!$E95,5))</f>
        <v>#N/A</v>
      </c>
      <c r="AB23" s="111" t="e">
        <f t="array" ref="AB23">IFERROR(MROUND(INDEX(df_proj!$E$2:$AD$1000, MATCH(1, ($A$2 = df_proj!$A$2:$A$1000) * (df_proj!$B$2:$B$1000 = $B23) * (df_proj!$C$2:$C$1000 = $D$2), 0), MATCH(TEXT(AB$8, "####"), df_proj!$E$1:$AD$1,0)),5),MROUND(INDEX(df_proj!$E$2:$AD$1000, MATCH(1, ($B$2 = df_proj!$A$2:$A$1000) * (df_proj!$B$2:$B$1000 = $B23) * (df_proj!$C$2:$C$1000 = $D$2), 0), MATCH(TEXT(AB$8, "####"), df_proj!$E$1:$AD$1,0)) * popn_fut!$C95/popn_fut!$E95,5))</f>
        <v>#N/A</v>
      </c>
      <c r="AC23" s="111" t="e">
        <f t="array" ref="AC23">IFERROR(MROUND(INDEX(df_proj!$E$2:$AD$1000, MATCH(1, ($A$2 = df_proj!$A$2:$A$1000) * (df_proj!$B$2:$B$1000 = $B23) * (df_proj!$C$2:$C$1000 = $D$2), 0), MATCH(TEXT(AC$8, "####"), df_proj!$E$1:$AD$1,0)),5),MROUND(INDEX(df_proj!$E$2:$AD$1000, MATCH(1, ($B$2 = df_proj!$A$2:$A$1000) * (df_proj!$B$2:$B$1000 = $B23) * (df_proj!$C$2:$C$1000 = $D$2), 0), MATCH(TEXT(AC$8, "####"), df_proj!$E$1:$AD$1,0)) * popn_fut!$C95/popn_fut!$E95,5))</f>
        <v>#N/A</v>
      </c>
      <c r="AD23" s="111" t="e">
        <f t="array" ref="AD23">IFERROR(MROUND(INDEX(df_proj!$E$2:$AD$1000, MATCH(1, ($A$2 = df_proj!$A$2:$A$1000) * (df_proj!$B$2:$B$1000 = $B23) * (df_proj!$C$2:$C$1000 = $D$2), 0), MATCH(TEXT(AD$8, "####"), df_proj!$E$1:$AD$1,0)),5),MROUND(INDEX(df_proj!$E$2:$AD$1000, MATCH(1, ($B$2 = df_proj!$A$2:$A$1000) * (df_proj!$B$2:$B$1000 = $B23) * (df_proj!$C$2:$C$1000 = $D$2), 0), MATCH(TEXT(AD$8, "####"), df_proj!$E$1:$AD$1,0)) * popn_fut!$C95/popn_fut!$E95,5))</f>
        <v>#N/A</v>
      </c>
      <c r="AE23" s="111" t="e">
        <f t="array" ref="AE23">IFERROR(MROUND(INDEX(df_proj!$E$2:$AD$1000, MATCH(1, ($A$2 = df_proj!$A$2:$A$1000) * (df_proj!$B$2:$B$1000 = $B23) * (df_proj!$C$2:$C$1000 = $D$2), 0), MATCH(TEXT(AE$8, "####"), df_proj!$E$1:$AD$1,0)),5),MROUND(INDEX(df_proj!$E$2:$AD$1000, MATCH(1, ($B$2 = df_proj!$A$2:$A$1000) * (df_proj!$B$2:$B$1000 = $B23) * (df_proj!$C$2:$C$1000 = $D$2), 0), MATCH(TEXT(AE$8, "####"), df_proj!$E$1:$AD$1,0)) * popn_fut!$C95/popn_fut!$E95,5))</f>
        <v>#N/A</v>
      </c>
      <c r="AF23" s="111" t="e">
        <f t="array" ref="AF23">IFERROR(MROUND(INDEX(df_proj!$E$2:$AD$1000, MATCH(1, ($A$2 = df_proj!$A$2:$A$1000) * (df_proj!$B$2:$B$1000 = $B23) * (df_proj!$C$2:$C$1000 = $D$2), 0), MATCH(TEXT(AF$8, "####"), df_proj!$E$1:$AD$1,0)),5),MROUND(INDEX(df_proj!$E$2:$AD$1000, MATCH(1, ($B$2 = df_proj!$A$2:$A$1000) * (df_proj!$B$2:$B$1000 = $B23) * (df_proj!$C$2:$C$1000 = $D$2), 0), MATCH(TEXT(AF$8, "####"), df_proj!$E$1:$AD$1,0)) * popn_fut!$C95/popn_fut!$E95,5))</f>
        <v>#N/A</v>
      </c>
      <c r="AG23" s="111" t="e">
        <f t="array" ref="AG23">IFERROR(MROUND(INDEX(df_proj!$E$2:$AD$1000, MATCH(1, ($A$2 = df_proj!$A$2:$A$1000) * (df_proj!$B$2:$B$1000 = $B23) * (df_proj!$C$2:$C$1000 = $D$2), 0), MATCH(TEXT(AG$8, "####"), df_proj!$E$1:$AD$1,0)),5),MROUND(INDEX(df_proj!$E$2:$AD$1000, MATCH(1, ($B$2 = df_proj!$A$2:$A$1000) * (df_proj!$B$2:$B$1000 = $B23) * (df_proj!$C$2:$C$1000 = $D$2), 0), MATCH(TEXT(AG$8, "####"), df_proj!$E$1:$AD$1,0)) * popn_fut!$C95/popn_fut!$E95,5))</f>
        <v>#N/A</v>
      </c>
      <c r="AH23" s="111" t="e">
        <f t="array" ref="AH23">IFERROR(MROUND(INDEX(df_proj!$E$2:$AD$1000, MATCH(1, ($A$2 = df_proj!$A$2:$A$1000) * (df_proj!$B$2:$B$1000 = $B23) * (df_proj!$C$2:$C$1000 = $D$2), 0), MATCH(TEXT(AH$8, "####"), df_proj!$E$1:$AD$1,0)),5),MROUND(INDEX(df_proj!$E$2:$AD$1000, MATCH(1, ($B$2 = df_proj!$A$2:$A$1000) * (df_proj!$B$2:$B$1000 = $B23) * (df_proj!$C$2:$C$1000 = $D$2), 0), MATCH(TEXT(AH$8, "####"), df_proj!$E$1:$AD$1,0)) * popn_fut!$C95/popn_fut!$E95,5))</f>
        <v>#N/A</v>
      </c>
      <c r="AI23" s="111" t="e">
        <f t="array" ref="AI23">IFERROR(MROUND(INDEX(df_proj!$E$2:$AD$1000, MATCH(1, ($A$2 = df_proj!$A$2:$A$1000) * (df_proj!$B$2:$B$1000 = $B23) * (df_proj!$C$2:$C$1000 = $D$2), 0), MATCH(TEXT(AI$8, "####"), df_proj!$E$1:$AD$1,0)),5),MROUND(INDEX(df_proj!$E$2:$AD$1000, MATCH(1, ($B$2 = df_proj!$A$2:$A$1000) * (df_proj!$B$2:$B$1000 = $B23) * (df_proj!$C$2:$C$1000 = $D$2), 0), MATCH(TEXT(AI$8, "####"), df_proj!$E$1:$AD$1,0)) * popn_fut!$C95/popn_fut!$E95,5))</f>
        <v>#N/A</v>
      </c>
      <c r="AJ23" s="111" t="e">
        <f t="array" ref="AJ23">IFERROR(MROUND(INDEX(df_proj!$E$2:$AD$1000, MATCH(1, ($A$2 = df_proj!$A$2:$A$1000) * (df_proj!$B$2:$B$1000 = $B23) * (df_proj!$C$2:$C$1000 = $D$2), 0), MATCH(TEXT(AJ$8, "####"), df_proj!$E$1:$AD$1,0)),5),MROUND(INDEX(df_proj!$E$2:$AD$1000, MATCH(1, ($B$2 = df_proj!$A$2:$A$1000) * (df_proj!$B$2:$B$1000 = $B23) * (df_proj!$C$2:$C$1000 = $D$2), 0), MATCH(TEXT(AJ$8, "####"), df_proj!$E$1:$AD$1,0)) * popn_fut!$C95/popn_fut!$E95,5))</f>
        <v>#N/A</v>
      </c>
      <c r="AK23" s="111" t="e">
        <f t="array" ref="AK23">IFERROR(MROUND(INDEX(df_proj!$E$2:$AD$1000, MATCH(1, ($A$2 = df_proj!$A$2:$A$1000) * (df_proj!$B$2:$B$1000 = $B23) * (df_proj!$C$2:$C$1000 = $D$2), 0), MATCH(TEXT(AK$8, "####"), df_proj!$E$1:$AD$1,0)),5),MROUND(INDEX(df_proj!$E$2:$AD$1000, MATCH(1, ($B$2 = df_proj!$A$2:$A$1000) * (df_proj!$B$2:$B$1000 = $B23) * (df_proj!$C$2:$C$1000 = $D$2), 0), MATCH(TEXT(AK$8, "####"), df_proj!$E$1:$AD$1,0)) * popn_fut!$C95/popn_fut!$E95,5))</f>
        <v>#N/A</v>
      </c>
      <c r="AL23" s="181" t="e">
        <f t="array" ref="AL23">IFERROR(MROUND(INDEX(df_proj!$E$2:$AD$1000, MATCH(1, ($A$2 = df_proj!$A$2:$A$1000) * (df_proj!$B$2:$B$1000 = $B23) * (df_proj!$C$2:$C$1000 = $D$2), 0), MATCH(TEXT(AL$8, "####"), df_proj!$E$1:$AD$1,0)),5),MROUND(INDEX(df_proj!$E$2:$AD$1000, MATCH(1, ($B$2 = df_proj!$A$2:$A$1000) * (df_proj!$B$2:$B$1000 = $B23) * (df_proj!$C$2:$C$1000 = $D$2), 0), MATCH(TEXT(AL$8, "####"), df_proj!$E$1:$AD$1,0)) * popn_fut!$C95/popn_fut!$E95,5))</f>
        <v>#N/A</v>
      </c>
      <c r="AM23" s="239" t="e">
        <f t="shared" si="0"/>
        <v>#N/A</v>
      </c>
      <c r="AP23" s="239" t="e">
        <f t="shared" si="1"/>
        <v>#N/A</v>
      </c>
    </row>
    <row r="24" spans="1:45" ht="20.100000000000001" customHeight="1" x14ac:dyDescent="0.2">
      <c r="A24" s="299">
        <v>70</v>
      </c>
      <c r="B24" s="118" t="s">
        <v>131</v>
      </c>
      <c r="C24" s="113"/>
      <c r="D24" s="113" t="e">
        <v>#N/A</v>
      </c>
      <c r="E24" s="113"/>
      <c r="F24" s="113"/>
      <c r="G24" s="113"/>
      <c r="H24" s="113"/>
      <c r="I24" s="113" t="e">
        <v>#N/A</v>
      </c>
      <c r="J24" s="113"/>
      <c r="K24" s="113"/>
      <c r="L24" s="113"/>
      <c r="M24" s="113" t="e">
        <f t="array" ref="M24">IFERROR(MROUND(INDEX(df_proj!$E$2:$AD$1000, MATCH(1, ($A$2 = df_proj!$A$2:$A$1000) * (df_proj!$B$2:$B$1000 = $B24) * (df_proj!$C$2:$C$1000 = $D$2), 0), MATCH(TEXT(M$8, "####"), df_proj!$E$1:$AD$1,0)),5),MROUND(INDEX(df_proj!$E$2:$AD$1000, MATCH(1, ($B$2 = df_proj!$A$2:$A$1000) * (df_proj!$B$2:$B$1000 = $B24) * (df_proj!$C$2:$C$1000 = $D$2), 0), MATCH(TEXT(M$8, "####"), df_proj!$E$1:$AD$1,0)) * popn_fut!$C96/popn_fut!$E96,5))</f>
        <v>#N/A</v>
      </c>
      <c r="N24" s="113" t="e">
        <f t="array" ref="N24">IFERROR(MROUND(INDEX(df_proj!$E$2:$AD$1000, MATCH(1, ($A$2 = df_proj!$A$2:$A$1000) * (df_proj!$B$2:$B$1000 = $B24) * (df_proj!$C$2:$C$1000 = $D$2), 0), MATCH(TEXT(N$8, "####"), df_proj!$E$1:$AD$1,0)),5),MROUND(INDEX(df_proj!$E$2:$AD$1000, MATCH(1, ($B$2 = df_proj!$A$2:$A$1000) * (df_proj!$B$2:$B$1000 = $B24) * (df_proj!$C$2:$C$1000 = $D$2), 0), MATCH(TEXT(N$8, "####"), df_proj!$E$1:$AD$1,0)) * popn_fut!$C96/popn_fut!$E96,5))</f>
        <v>#N/A</v>
      </c>
      <c r="O24" s="113" t="e">
        <f t="array" ref="O24">IFERROR(MROUND(INDEX(df_proj!$E$2:$AD$1000, MATCH(1, ($A$2 = df_proj!$A$2:$A$1000) * (df_proj!$B$2:$B$1000 = $B24) * (df_proj!$C$2:$C$1000 = $D$2), 0), MATCH(TEXT(O$8, "####"), df_proj!$E$1:$AD$1,0)),5),MROUND(INDEX(df_proj!$E$2:$AD$1000, MATCH(1, ($B$2 = df_proj!$A$2:$A$1000) * (df_proj!$B$2:$B$1000 = $B24) * (df_proj!$C$2:$C$1000 = $D$2), 0), MATCH(TEXT(O$8, "####"), df_proj!$E$1:$AD$1,0)) * popn_fut!$C96/popn_fut!$E96,5))</f>
        <v>#N/A</v>
      </c>
      <c r="P24" s="113" t="e">
        <f t="array" ref="P24">IFERROR(MROUND(INDEX(df_proj!$E$2:$AD$1000, MATCH(1, ($A$2 = df_proj!$A$2:$A$1000) * (df_proj!$B$2:$B$1000 = $B24) * (df_proj!$C$2:$C$1000 = $D$2), 0), MATCH(TEXT(P$8, "####"), df_proj!$E$1:$AD$1,0)),5),MROUND(INDEX(df_proj!$E$2:$AD$1000, MATCH(1, ($B$2 = df_proj!$A$2:$A$1000) * (df_proj!$B$2:$B$1000 = $B24) * (df_proj!$C$2:$C$1000 = $D$2), 0), MATCH(TEXT(P$8, "####"), df_proj!$E$1:$AD$1,0)) * popn_fut!$C96/popn_fut!$E96,5))</f>
        <v>#N/A</v>
      </c>
      <c r="Q24" s="113" t="e">
        <f t="array" ref="Q24">IFERROR(MROUND(INDEX(df_proj!$E$2:$AD$1000, MATCH(1, ($A$2 = df_proj!$A$2:$A$1000) * (df_proj!$B$2:$B$1000 = $B24) * (df_proj!$C$2:$C$1000 = $D$2), 0), MATCH(TEXT(Q$8, "####"), df_proj!$E$1:$AD$1,0)),5),MROUND(INDEX(df_proj!$E$2:$AD$1000, MATCH(1, ($B$2 = df_proj!$A$2:$A$1000) * (df_proj!$B$2:$B$1000 = $B24) * (df_proj!$C$2:$C$1000 = $D$2), 0), MATCH(TEXT(Q$8, "####"), df_proj!$E$1:$AD$1,0)) * popn_fut!$C96/popn_fut!$E96,5))</f>
        <v>#N/A</v>
      </c>
      <c r="R24" s="113" t="e">
        <f t="array" ref="R24">IFERROR(MROUND(INDEX(df_proj!$E$2:$AD$1000, MATCH(1, ($A$2 = df_proj!$A$2:$A$1000) * (df_proj!$B$2:$B$1000 = $B24) * (df_proj!$C$2:$C$1000 = $D$2), 0), MATCH(TEXT(R$8, "####"), df_proj!$E$1:$AD$1,0)),5),MROUND(INDEX(df_proj!$E$2:$AD$1000, MATCH(1, ($B$2 = df_proj!$A$2:$A$1000) * (df_proj!$B$2:$B$1000 = $B24) * (df_proj!$C$2:$C$1000 = $D$2), 0), MATCH(TEXT(R$8, "####"), df_proj!$E$1:$AD$1,0)) * popn_fut!$C96/popn_fut!$E96,5))</f>
        <v>#N/A</v>
      </c>
      <c r="S24" s="113" t="e">
        <f t="array" ref="S24">IFERROR(MROUND(INDEX(df_proj!$E$2:$AD$1000, MATCH(1, ($A$2 = df_proj!$A$2:$A$1000) * (df_proj!$B$2:$B$1000 = $B24) * (df_proj!$C$2:$C$1000 = $D$2), 0), MATCH(TEXT(S$8, "####"), df_proj!$E$1:$AD$1,0)),5),MROUND(INDEX(df_proj!$E$2:$AD$1000, MATCH(1, ($B$2 = df_proj!$A$2:$A$1000) * (df_proj!$B$2:$B$1000 = $B24) * (df_proj!$C$2:$C$1000 = $D$2), 0), MATCH(TEXT(S$8, "####"), df_proj!$E$1:$AD$1,0)) * popn_fut!$C96/popn_fut!$E96,5))</f>
        <v>#N/A</v>
      </c>
      <c r="T24" s="113" t="e">
        <f t="array" ref="T24">IFERROR(MROUND(INDEX(df_proj!$E$2:$AD$1000, MATCH(1, ($A$2 = df_proj!$A$2:$A$1000) * (df_proj!$B$2:$B$1000 = $B24) * (df_proj!$C$2:$C$1000 = $D$2), 0), MATCH(TEXT(T$8, "####"), df_proj!$E$1:$AD$1,0)),5),MROUND(INDEX(df_proj!$E$2:$AD$1000, MATCH(1, ($B$2 = df_proj!$A$2:$A$1000) * (df_proj!$B$2:$B$1000 = $B24) * (df_proj!$C$2:$C$1000 = $D$2), 0), MATCH(TEXT(T$8, "####"), df_proj!$E$1:$AD$1,0)) * popn_fut!$C96/popn_fut!$E96,5))</f>
        <v>#N/A</v>
      </c>
      <c r="U24" s="113" t="e">
        <f t="array" ref="U24">IFERROR(MROUND(INDEX(df_proj!$E$2:$AD$1000, MATCH(1, ($A$2 = df_proj!$A$2:$A$1000) * (df_proj!$B$2:$B$1000 = $B24) * (df_proj!$C$2:$C$1000 = $D$2), 0), MATCH(TEXT(U$8, "####"), df_proj!$E$1:$AD$1,0)),5),MROUND(INDEX(df_proj!$E$2:$AD$1000, MATCH(1, ($B$2 = df_proj!$A$2:$A$1000) * (df_proj!$B$2:$B$1000 = $B24) * (df_proj!$C$2:$C$1000 = $D$2), 0), MATCH(TEXT(U$8, "####"), df_proj!$E$1:$AD$1,0)) * popn_fut!$C96/popn_fut!$E96,5))</f>
        <v>#N/A</v>
      </c>
      <c r="V24" s="113" t="e">
        <f t="array" ref="V24">IFERROR(MROUND(INDEX(df_proj!$E$2:$AD$1000, MATCH(1, ($A$2 = df_proj!$A$2:$A$1000) * (df_proj!$B$2:$B$1000 = $B24) * (df_proj!$C$2:$C$1000 = $D$2), 0), MATCH(TEXT(V$8, "####"), df_proj!$E$1:$AD$1,0)),5),MROUND(INDEX(df_proj!$E$2:$AD$1000, MATCH(1, ($B$2 = df_proj!$A$2:$A$1000) * (df_proj!$B$2:$B$1000 = $B24) * (df_proj!$C$2:$C$1000 = $D$2), 0), MATCH(TEXT(V$8, "####"), df_proj!$E$1:$AD$1,0)) * popn_fut!$C96/popn_fut!$E96,5))</f>
        <v>#N/A</v>
      </c>
      <c r="W24" s="113" t="e">
        <f t="array" ref="W24">IFERROR(MROUND(INDEX(df_proj!$E$2:$AD$1000, MATCH(1, ($A$2 = df_proj!$A$2:$A$1000) * (df_proj!$B$2:$B$1000 = $B24) * (df_proj!$C$2:$C$1000 = $D$2), 0), MATCH(TEXT(W$8, "####"), df_proj!$E$1:$AD$1,0)),5),MROUND(INDEX(df_proj!$E$2:$AD$1000, MATCH(1, ($B$2 = df_proj!$A$2:$A$1000) * (df_proj!$B$2:$B$1000 = $B24) * (df_proj!$C$2:$C$1000 = $D$2), 0), MATCH(TEXT(W$8, "####"), df_proj!$E$1:$AD$1,0)) * popn_fut!$C96/popn_fut!$E96,5))</f>
        <v>#N/A</v>
      </c>
      <c r="X24" s="113" t="e">
        <f t="array" ref="X24">IFERROR(MROUND(INDEX(df_proj!$E$2:$AD$1000, MATCH(1, ($A$2 = df_proj!$A$2:$A$1000) * (df_proj!$B$2:$B$1000 = $B24) * (df_proj!$C$2:$C$1000 = $D$2), 0), MATCH(TEXT(X$8, "####"), df_proj!$E$1:$AD$1,0)),5),MROUND(INDEX(df_proj!$E$2:$AD$1000, MATCH(1, ($B$2 = df_proj!$A$2:$A$1000) * (df_proj!$B$2:$B$1000 = $B24) * (df_proj!$C$2:$C$1000 = $D$2), 0), MATCH(TEXT(X$8, "####"), df_proj!$E$1:$AD$1,0)) * popn_fut!$C96/popn_fut!$E96,5))</f>
        <v>#N/A</v>
      </c>
      <c r="Y24" s="113" t="e">
        <f t="array" ref="Y24">IFERROR(MROUND(INDEX(df_proj!$E$2:$AD$1000, MATCH(1, ($A$2 = df_proj!$A$2:$A$1000) * (df_proj!$B$2:$B$1000 = $B24) * (df_proj!$C$2:$C$1000 = $D$2), 0), MATCH(TEXT(Y$8, "####"), df_proj!$E$1:$AD$1,0)),5),MROUND(INDEX(df_proj!$E$2:$AD$1000, MATCH(1, ($B$2 = df_proj!$A$2:$A$1000) * (df_proj!$B$2:$B$1000 = $B24) * (df_proj!$C$2:$C$1000 = $D$2), 0), MATCH(TEXT(Y$8, "####"), df_proj!$E$1:$AD$1,0)) * popn_fut!$C96/popn_fut!$E96,5))</f>
        <v>#N/A</v>
      </c>
      <c r="Z24" s="113" t="e">
        <f t="array" ref="Z24">IFERROR(MROUND(INDEX(df_proj!$E$2:$AD$1000, MATCH(1, ($A$2 = df_proj!$A$2:$A$1000) * (df_proj!$B$2:$B$1000 = $B24) * (df_proj!$C$2:$C$1000 = $D$2), 0), MATCH(TEXT(Z$8, "####"), df_proj!$E$1:$AD$1,0)),5),MROUND(INDEX(df_proj!$E$2:$AD$1000, MATCH(1, ($B$2 = df_proj!$A$2:$A$1000) * (df_proj!$B$2:$B$1000 = $B24) * (df_proj!$C$2:$C$1000 = $D$2), 0), MATCH(TEXT(Z$8, "####"), df_proj!$E$1:$AD$1,0)) * popn_fut!$C96/popn_fut!$E96,5))</f>
        <v>#N/A</v>
      </c>
      <c r="AA24" s="113" t="e">
        <f t="array" ref="AA24">IFERROR(MROUND(INDEX(df_proj!$E$2:$AD$1000, MATCH(1, ($A$2 = df_proj!$A$2:$A$1000) * (df_proj!$B$2:$B$1000 = $B24) * (df_proj!$C$2:$C$1000 = $D$2), 0), MATCH(TEXT(AA$8, "####"), df_proj!$E$1:$AD$1,0)),5),MROUND(INDEX(df_proj!$E$2:$AD$1000, MATCH(1, ($B$2 = df_proj!$A$2:$A$1000) * (df_proj!$B$2:$B$1000 = $B24) * (df_proj!$C$2:$C$1000 = $D$2), 0), MATCH(TEXT(AA$8, "####"), df_proj!$E$1:$AD$1,0)) * popn_fut!$C96/popn_fut!$E96,5))</f>
        <v>#N/A</v>
      </c>
      <c r="AB24" s="113" t="e">
        <f t="array" ref="AB24">IFERROR(MROUND(INDEX(df_proj!$E$2:$AD$1000, MATCH(1, ($A$2 = df_proj!$A$2:$A$1000) * (df_proj!$B$2:$B$1000 = $B24) * (df_proj!$C$2:$C$1000 = $D$2), 0), MATCH(TEXT(AB$8, "####"), df_proj!$E$1:$AD$1,0)),5),MROUND(INDEX(df_proj!$E$2:$AD$1000, MATCH(1, ($B$2 = df_proj!$A$2:$A$1000) * (df_proj!$B$2:$B$1000 = $B24) * (df_proj!$C$2:$C$1000 = $D$2), 0), MATCH(TEXT(AB$8, "####"), df_proj!$E$1:$AD$1,0)) * popn_fut!$C96/popn_fut!$E96,5))</f>
        <v>#N/A</v>
      </c>
      <c r="AC24" s="113" t="e">
        <f t="array" ref="AC24">IFERROR(MROUND(INDEX(df_proj!$E$2:$AD$1000, MATCH(1, ($A$2 = df_proj!$A$2:$A$1000) * (df_proj!$B$2:$B$1000 = $B24) * (df_proj!$C$2:$C$1000 = $D$2), 0), MATCH(TEXT(AC$8, "####"), df_proj!$E$1:$AD$1,0)),5),MROUND(INDEX(df_proj!$E$2:$AD$1000, MATCH(1, ($B$2 = df_proj!$A$2:$A$1000) * (df_proj!$B$2:$B$1000 = $B24) * (df_proj!$C$2:$C$1000 = $D$2), 0), MATCH(TEXT(AC$8, "####"), df_proj!$E$1:$AD$1,0)) * popn_fut!$C96/popn_fut!$E96,5))</f>
        <v>#N/A</v>
      </c>
      <c r="AD24" s="113" t="e">
        <f t="array" ref="AD24">IFERROR(MROUND(INDEX(df_proj!$E$2:$AD$1000, MATCH(1, ($A$2 = df_proj!$A$2:$A$1000) * (df_proj!$B$2:$B$1000 = $B24) * (df_proj!$C$2:$C$1000 = $D$2), 0), MATCH(TEXT(AD$8, "####"), df_proj!$E$1:$AD$1,0)),5),MROUND(INDEX(df_proj!$E$2:$AD$1000, MATCH(1, ($B$2 = df_proj!$A$2:$A$1000) * (df_proj!$B$2:$B$1000 = $B24) * (df_proj!$C$2:$C$1000 = $D$2), 0), MATCH(TEXT(AD$8, "####"), df_proj!$E$1:$AD$1,0)) * popn_fut!$C96/popn_fut!$E96,5))</f>
        <v>#N/A</v>
      </c>
      <c r="AE24" s="113" t="e">
        <f t="array" ref="AE24">IFERROR(MROUND(INDEX(df_proj!$E$2:$AD$1000, MATCH(1, ($A$2 = df_proj!$A$2:$A$1000) * (df_proj!$B$2:$B$1000 = $B24) * (df_proj!$C$2:$C$1000 = $D$2), 0), MATCH(TEXT(AE$8, "####"), df_proj!$E$1:$AD$1,0)),5),MROUND(INDEX(df_proj!$E$2:$AD$1000, MATCH(1, ($B$2 = df_proj!$A$2:$A$1000) * (df_proj!$B$2:$B$1000 = $B24) * (df_proj!$C$2:$C$1000 = $D$2), 0), MATCH(TEXT(AE$8, "####"), df_proj!$E$1:$AD$1,0)) * popn_fut!$C96/popn_fut!$E96,5))</f>
        <v>#N/A</v>
      </c>
      <c r="AF24" s="113" t="e">
        <f t="array" ref="AF24">IFERROR(MROUND(INDEX(df_proj!$E$2:$AD$1000, MATCH(1, ($A$2 = df_proj!$A$2:$A$1000) * (df_proj!$B$2:$B$1000 = $B24) * (df_proj!$C$2:$C$1000 = $D$2), 0), MATCH(TEXT(AF$8, "####"), df_proj!$E$1:$AD$1,0)),5),MROUND(INDEX(df_proj!$E$2:$AD$1000, MATCH(1, ($B$2 = df_proj!$A$2:$A$1000) * (df_proj!$B$2:$B$1000 = $B24) * (df_proj!$C$2:$C$1000 = $D$2), 0), MATCH(TEXT(AF$8, "####"), df_proj!$E$1:$AD$1,0)) * popn_fut!$C96/popn_fut!$E96,5))</f>
        <v>#N/A</v>
      </c>
      <c r="AG24" s="113" t="e">
        <f t="array" ref="AG24">IFERROR(MROUND(INDEX(df_proj!$E$2:$AD$1000, MATCH(1, ($A$2 = df_proj!$A$2:$A$1000) * (df_proj!$B$2:$B$1000 = $B24) * (df_proj!$C$2:$C$1000 = $D$2), 0), MATCH(TEXT(AG$8, "####"), df_proj!$E$1:$AD$1,0)),5),MROUND(INDEX(df_proj!$E$2:$AD$1000, MATCH(1, ($B$2 = df_proj!$A$2:$A$1000) * (df_proj!$B$2:$B$1000 = $B24) * (df_proj!$C$2:$C$1000 = $D$2), 0), MATCH(TEXT(AG$8, "####"), df_proj!$E$1:$AD$1,0)) * popn_fut!$C96/popn_fut!$E96,5))</f>
        <v>#N/A</v>
      </c>
      <c r="AH24" s="113" t="e">
        <f t="array" ref="AH24">IFERROR(MROUND(INDEX(df_proj!$E$2:$AD$1000, MATCH(1, ($A$2 = df_proj!$A$2:$A$1000) * (df_proj!$B$2:$B$1000 = $B24) * (df_proj!$C$2:$C$1000 = $D$2), 0), MATCH(TEXT(AH$8, "####"), df_proj!$E$1:$AD$1,0)),5),MROUND(INDEX(df_proj!$E$2:$AD$1000, MATCH(1, ($B$2 = df_proj!$A$2:$A$1000) * (df_proj!$B$2:$B$1000 = $B24) * (df_proj!$C$2:$C$1000 = $D$2), 0), MATCH(TEXT(AH$8, "####"), df_proj!$E$1:$AD$1,0)) * popn_fut!$C96/popn_fut!$E96,5))</f>
        <v>#N/A</v>
      </c>
      <c r="AI24" s="113" t="e">
        <f t="array" ref="AI24">IFERROR(MROUND(INDEX(df_proj!$E$2:$AD$1000, MATCH(1, ($A$2 = df_proj!$A$2:$A$1000) * (df_proj!$B$2:$B$1000 = $B24) * (df_proj!$C$2:$C$1000 = $D$2), 0), MATCH(TEXT(AI$8, "####"), df_proj!$E$1:$AD$1,0)),5),MROUND(INDEX(df_proj!$E$2:$AD$1000, MATCH(1, ($B$2 = df_proj!$A$2:$A$1000) * (df_proj!$B$2:$B$1000 = $B24) * (df_proj!$C$2:$C$1000 = $D$2), 0), MATCH(TEXT(AI$8, "####"), df_proj!$E$1:$AD$1,0)) * popn_fut!$C96/popn_fut!$E96,5))</f>
        <v>#N/A</v>
      </c>
      <c r="AJ24" s="113" t="e">
        <f t="array" ref="AJ24">IFERROR(MROUND(INDEX(df_proj!$E$2:$AD$1000, MATCH(1, ($A$2 = df_proj!$A$2:$A$1000) * (df_proj!$B$2:$B$1000 = $B24) * (df_proj!$C$2:$C$1000 = $D$2), 0), MATCH(TEXT(AJ$8, "####"), df_proj!$E$1:$AD$1,0)),5),MROUND(INDEX(df_proj!$E$2:$AD$1000, MATCH(1, ($B$2 = df_proj!$A$2:$A$1000) * (df_proj!$B$2:$B$1000 = $B24) * (df_proj!$C$2:$C$1000 = $D$2), 0), MATCH(TEXT(AJ$8, "####"), df_proj!$E$1:$AD$1,0)) * popn_fut!$C96/popn_fut!$E96,5))</f>
        <v>#N/A</v>
      </c>
      <c r="AK24" s="113" t="e">
        <f t="array" ref="AK24">IFERROR(MROUND(INDEX(df_proj!$E$2:$AD$1000, MATCH(1, ($A$2 = df_proj!$A$2:$A$1000) * (df_proj!$B$2:$B$1000 = $B24) * (df_proj!$C$2:$C$1000 = $D$2), 0), MATCH(TEXT(AK$8, "####"), df_proj!$E$1:$AD$1,0)),5),MROUND(INDEX(df_proj!$E$2:$AD$1000, MATCH(1, ($B$2 = df_proj!$A$2:$A$1000) * (df_proj!$B$2:$B$1000 = $B24) * (df_proj!$C$2:$C$1000 = $D$2), 0), MATCH(TEXT(AK$8, "####"), df_proj!$E$1:$AD$1,0)) * popn_fut!$C96/popn_fut!$E96,5))</f>
        <v>#N/A</v>
      </c>
      <c r="AL24" s="329" t="e">
        <f t="array" ref="AL24">IFERROR(MROUND(INDEX(df_proj!$E$2:$AD$1000, MATCH(1, ($A$2 = df_proj!$A$2:$A$1000) * (df_proj!$B$2:$B$1000 = $B24) * (df_proj!$C$2:$C$1000 = $D$2), 0), MATCH(TEXT(AL$8, "####"), df_proj!$E$1:$AD$1,0)),5),MROUND(INDEX(df_proj!$E$2:$AD$1000, MATCH(1, ($B$2 = df_proj!$A$2:$A$1000) * (df_proj!$B$2:$B$1000 = $B24) * (df_proj!$C$2:$C$1000 = $D$2), 0), MATCH(TEXT(AL$8, "####"), df_proj!$E$1:$AD$1,0)) * popn_fut!$C96/popn_fut!$E96,5))</f>
        <v>#N/A</v>
      </c>
      <c r="AM24" s="239" t="e">
        <f t="shared" si="0"/>
        <v>#N/A</v>
      </c>
      <c r="AP24" s="239" t="e">
        <f t="shared" si="1"/>
        <v>#N/A</v>
      </c>
    </row>
    <row r="25" spans="1:45" ht="20.100000000000001" customHeight="1" x14ac:dyDescent="0.2">
      <c r="A25" s="299">
        <v>75</v>
      </c>
      <c r="B25" s="277" t="s">
        <v>130</v>
      </c>
      <c r="C25" s="111"/>
      <c r="D25" s="111" t="e">
        <v>#N/A</v>
      </c>
      <c r="E25" s="111"/>
      <c r="F25" s="111"/>
      <c r="G25" s="111"/>
      <c r="H25" s="111"/>
      <c r="I25" s="111" t="e">
        <v>#N/A</v>
      </c>
      <c r="J25" s="111"/>
      <c r="K25" s="111"/>
      <c r="L25" s="111"/>
      <c r="M25" s="111" t="e">
        <f t="array" ref="M25">IFERROR(MROUND(INDEX(df_proj!$E$2:$AD$1000, MATCH(1, ($A$2 = df_proj!$A$2:$A$1000) * (df_proj!$B$2:$B$1000 = $B25) * (df_proj!$C$2:$C$1000 = $D$2), 0), MATCH(TEXT(M$8, "####"), df_proj!$E$1:$AD$1,0)),5),MROUND(INDEX(df_proj!$E$2:$AD$1000, MATCH(1, ($B$2 = df_proj!$A$2:$A$1000) * (df_proj!$B$2:$B$1000 = $B25) * (df_proj!$C$2:$C$1000 = $D$2), 0), MATCH(TEXT(M$8, "####"), df_proj!$E$1:$AD$1,0)) * popn_fut!$C97/popn_fut!$E97,5))</f>
        <v>#N/A</v>
      </c>
      <c r="N25" s="111" t="e">
        <f t="array" ref="N25">IFERROR(MROUND(INDEX(df_proj!$E$2:$AD$1000, MATCH(1, ($A$2 = df_proj!$A$2:$A$1000) * (df_proj!$B$2:$B$1000 = $B25) * (df_proj!$C$2:$C$1000 = $D$2), 0), MATCH(TEXT(N$8, "####"), df_proj!$E$1:$AD$1,0)),5),MROUND(INDEX(df_proj!$E$2:$AD$1000, MATCH(1, ($B$2 = df_proj!$A$2:$A$1000) * (df_proj!$B$2:$B$1000 = $B25) * (df_proj!$C$2:$C$1000 = $D$2), 0), MATCH(TEXT(N$8, "####"), df_proj!$E$1:$AD$1,0)) * popn_fut!$C97/popn_fut!$E97,5))</f>
        <v>#N/A</v>
      </c>
      <c r="O25" s="111" t="e">
        <f t="array" ref="O25">IFERROR(MROUND(INDEX(df_proj!$E$2:$AD$1000, MATCH(1, ($A$2 = df_proj!$A$2:$A$1000) * (df_proj!$B$2:$B$1000 = $B25) * (df_proj!$C$2:$C$1000 = $D$2), 0), MATCH(TEXT(O$8, "####"), df_proj!$E$1:$AD$1,0)),5),MROUND(INDEX(df_proj!$E$2:$AD$1000, MATCH(1, ($B$2 = df_proj!$A$2:$A$1000) * (df_proj!$B$2:$B$1000 = $B25) * (df_proj!$C$2:$C$1000 = $D$2), 0), MATCH(TEXT(O$8, "####"), df_proj!$E$1:$AD$1,0)) * popn_fut!$C97/popn_fut!$E97,5))</f>
        <v>#N/A</v>
      </c>
      <c r="P25" s="111" t="e">
        <f t="array" ref="P25">IFERROR(MROUND(INDEX(df_proj!$E$2:$AD$1000, MATCH(1, ($A$2 = df_proj!$A$2:$A$1000) * (df_proj!$B$2:$B$1000 = $B25) * (df_proj!$C$2:$C$1000 = $D$2), 0), MATCH(TEXT(P$8, "####"), df_proj!$E$1:$AD$1,0)),5),MROUND(INDEX(df_proj!$E$2:$AD$1000, MATCH(1, ($B$2 = df_proj!$A$2:$A$1000) * (df_proj!$B$2:$B$1000 = $B25) * (df_proj!$C$2:$C$1000 = $D$2), 0), MATCH(TEXT(P$8, "####"), df_proj!$E$1:$AD$1,0)) * popn_fut!$C97/popn_fut!$E97,5))</f>
        <v>#N/A</v>
      </c>
      <c r="Q25" s="111" t="e">
        <f t="array" ref="Q25">IFERROR(MROUND(INDEX(df_proj!$E$2:$AD$1000, MATCH(1, ($A$2 = df_proj!$A$2:$A$1000) * (df_proj!$B$2:$B$1000 = $B25) * (df_proj!$C$2:$C$1000 = $D$2), 0), MATCH(TEXT(Q$8, "####"), df_proj!$E$1:$AD$1,0)),5),MROUND(INDEX(df_proj!$E$2:$AD$1000, MATCH(1, ($B$2 = df_proj!$A$2:$A$1000) * (df_proj!$B$2:$B$1000 = $B25) * (df_proj!$C$2:$C$1000 = $D$2), 0), MATCH(TEXT(Q$8, "####"), df_proj!$E$1:$AD$1,0)) * popn_fut!$C97/popn_fut!$E97,5))</f>
        <v>#N/A</v>
      </c>
      <c r="R25" s="111" t="e">
        <f t="array" ref="R25">IFERROR(MROUND(INDEX(df_proj!$E$2:$AD$1000, MATCH(1, ($A$2 = df_proj!$A$2:$A$1000) * (df_proj!$B$2:$B$1000 = $B25) * (df_proj!$C$2:$C$1000 = $D$2), 0), MATCH(TEXT(R$8, "####"), df_proj!$E$1:$AD$1,0)),5),MROUND(INDEX(df_proj!$E$2:$AD$1000, MATCH(1, ($B$2 = df_proj!$A$2:$A$1000) * (df_proj!$B$2:$B$1000 = $B25) * (df_proj!$C$2:$C$1000 = $D$2), 0), MATCH(TEXT(R$8, "####"), df_proj!$E$1:$AD$1,0)) * popn_fut!$C97/popn_fut!$E97,5))</f>
        <v>#N/A</v>
      </c>
      <c r="S25" s="111" t="e">
        <f t="array" ref="S25">IFERROR(MROUND(INDEX(df_proj!$E$2:$AD$1000, MATCH(1, ($A$2 = df_proj!$A$2:$A$1000) * (df_proj!$B$2:$B$1000 = $B25) * (df_proj!$C$2:$C$1000 = $D$2), 0), MATCH(TEXT(S$8, "####"), df_proj!$E$1:$AD$1,0)),5),MROUND(INDEX(df_proj!$E$2:$AD$1000, MATCH(1, ($B$2 = df_proj!$A$2:$A$1000) * (df_proj!$B$2:$B$1000 = $B25) * (df_proj!$C$2:$C$1000 = $D$2), 0), MATCH(TEXT(S$8, "####"), df_proj!$E$1:$AD$1,0)) * popn_fut!$C97/popn_fut!$E97,5))</f>
        <v>#N/A</v>
      </c>
      <c r="T25" s="111" t="e">
        <f t="array" ref="T25">IFERROR(MROUND(INDEX(df_proj!$E$2:$AD$1000, MATCH(1, ($A$2 = df_proj!$A$2:$A$1000) * (df_proj!$B$2:$B$1000 = $B25) * (df_proj!$C$2:$C$1000 = $D$2), 0), MATCH(TEXT(T$8, "####"), df_proj!$E$1:$AD$1,0)),5),MROUND(INDEX(df_proj!$E$2:$AD$1000, MATCH(1, ($B$2 = df_proj!$A$2:$A$1000) * (df_proj!$B$2:$B$1000 = $B25) * (df_proj!$C$2:$C$1000 = $D$2), 0), MATCH(TEXT(T$8, "####"), df_proj!$E$1:$AD$1,0)) * popn_fut!$C97/popn_fut!$E97,5))</f>
        <v>#N/A</v>
      </c>
      <c r="U25" s="111" t="e">
        <f t="array" ref="U25">IFERROR(MROUND(INDEX(df_proj!$E$2:$AD$1000, MATCH(1, ($A$2 = df_proj!$A$2:$A$1000) * (df_proj!$B$2:$B$1000 = $B25) * (df_proj!$C$2:$C$1000 = $D$2), 0), MATCH(TEXT(U$8, "####"), df_proj!$E$1:$AD$1,0)),5),MROUND(INDEX(df_proj!$E$2:$AD$1000, MATCH(1, ($B$2 = df_proj!$A$2:$A$1000) * (df_proj!$B$2:$B$1000 = $B25) * (df_proj!$C$2:$C$1000 = $D$2), 0), MATCH(TEXT(U$8, "####"), df_proj!$E$1:$AD$1,0)) * popn_fut!$C97/popn_fut!$E97,5))</f>
        <v>#N/A</v>
      </c>
      <c r="V25" s="111" t="e">
        <f t="array" ref="V25">IFERROR(MROUND(INDEX(df_proj!$E$2:$AD$1000, MATCH(1, ($A$2 = df_proj!$A$2:$A$1000) * (df_proj!$B$2:$B$1000 = $B25) * (df_proj!$C$2:$C$1000 = $D$2), 0), MATCH(TEXT(V$8, "####"), df_proj!$E$1:$AD$1,0)),5),MROUND(INDEX(df_proj!$E$2:$AD$1000, MATCH(1, ($B$2 = df_proj!$A$2:$A$1000) * (df_proj!$B$2:$B$1000 = $B25) * (df_proj!$C$2:$C$1000 = $D$2), 0), MATCH(TEXT(V$8, "####"), df_proj!$E$1:$AD$1,0)) * popn_fut!$C97/popn_fut!$E97,5))</f>
        <v>#N/A</v>
      </c>
      <c r="W25" s="111" t="e">
        <f t="array" ref="W25">IFERROR(MROUND(INDEX(df_proj!$E$2:$AD$1000, MATCH(1, ($A$2 = df_proj!$A$2:$A$1000) * (df_proj!$B$2:$B$1000 = $B25) * (df_proj!$C$2:$C$1000 = $D$2), 0), MATCH(TEXT(W$8, "####"), df_proj!$E$1:$AD$1,0)),5),MROUND(INDEX(df_proj!$E$2:$AD$1000, MATCH(1, ($B$2 = df_proj!$A$2:$A$1000) * (df_proj!$B$2:$B$1000 = $B25) * (df_proj!$C$2:$C$1000 = $D$2), 0), MATCH(TEXT(W$8, "####"), df_proj!$E$1:$AD$1,0)) * popn_fut!$C97/popn_fut!$E97,5))</f>
        <v>#N/A</v>
      </c>
      <c r="X25" s="111" t="e">
        <f t="array" ref="X25">IFERROR(MROUND(INDEX(df_proj!$E$2:$AD$1000, MATCH(1, ($A$2 = df_proj!$A$2:$A$1000) * (df_proj!$B$2:$B$1000 = $B25) * (df_proj!$C$2:$C$1000 = $D$2), 0), MATCH(TEXT(X$8, "####"), df_proj!$E$1:$AD$1,0)),5),MROUND(INDEX(df_proj!$E$2:$AD$1000, MATCH(1, ($B$2 = df_proj!$A$2:$A$1000) * (df_proj!$B$2:$B$1000 = $B25) * (df_proj!$C$2:$C$1000 = $D$2), 0), MATCH(TEXT(X$8, "####"), df_proj!$E$1:$AD$1,0)) * popn_fut!$C97/popn_fut!$E97,5))</f>
        <v>#N/A</v>
      </c>
      <c r="Y25" s="111" t="e">
        <f t="array" ref="Y25">IFERROR(MROUND(INDEX(df_proj!$E$2:$AD$1000, MATCH(1, ($A$2 = df_proj!$A$2:$A$1000) * (df_proj!$B$2:$B$1000 = $B25) * (df_proj!$C$2:$C$1000 = $D$2), 0), MATCH(TEXT(Y$8, "####"), df_proj!$E$1:$AD$1,0)),5),MROUND(INDEX(df_proj!$E$2:$AD$1000, MATCH(1, ($B$2 = df_proj!$A$2:$A$1000) * (df_proj!$B$2:$B$1000 = $B25) * (df_proj!$C$2:$C$1000 = $D$2), 0), MATCH(TEXT(Y$8, "####"), df_proj!$E$1:$AD$1,0)) * popn_fut!$C97/popn_fut!$E97,5))</f>
        <v>#N/A</v>
      </c>
      <c r="Z25" s="111" t="e">
        <f t="array" ref="Z25">IFERROR(MROUND(INDEX(df_proj!$E$2:$AD$1000, MATCH(1, ($A$2 = df_proj!$A$2:$A$1000) * (df_proj!$B$2:$B$1000 = $B25) * (df_proj!$C$2:$C$1000 = $D$2), 0), MATCH(TEXT(Z$8, "####"), df_proj!$E$1:$AD$1,0)),5),MROUND(INDEX(df_proj!$E$2:$AD$1000, MATCH(1, ($B$2 = df_proj!$A$2:$A$1000) * (df_proj!$B$2:$B$1000 = $B25) * (df_proj!$C$2:$C$1000 = $D$2), 0), MATCH(TEXT(Z$8, "####"), df_proj!$E$1:$AD$1,0)) * popn_fut!$C97/popn_fut!$E97,5))</f>
        <v>#N/A</v>
      </c>
      <c r="AA25" s="111" t="e">
        <f t="array" ref="AA25">IFERROR(MROUND(INDEX(df_proj!$E$2:$AD$1000, MATCH(1, ($A$2 = df_proj!$A$2:$A$1000) * (df_proj!$B$2:$B$1000 = $B25) * (df_proj!$C$2:$C$1000 = $D$2), 0), MATCH(TEXT(AA$8, "####"), df_proj!$E$1:$AD$1,0)),5),MROUND(INDEX(df_proj!$E$2:$AD$1000, MATCH(1, ($B$2 = df_proj!$A$2:$A$1000) * (df_proj!$B$2:$B$1000 = $B25) * (df_proj!$C$2:$C$1000 = $D$2), 0), MATCH(TEXT(AA$8, "####"), df_proj!$E$1:$AD$1,0)) * popn_fut!$C97/popn_fut!$E97,5))</f>
        <v>#N/A</v>
      </c>
      <c r="AB25" s="111" t="e">
        <f t="array" ref="AB25">IFERROR(MROUND(INDEX(df_proj!$E$2:$AD$1000, MATCH(1, ($A$2 = df_proj!$A$2:$A$1000) * (df_proj!$B$2:$B$1000 = $B25) * (df_proj!$C$2:$C$1000 = $D$2), 0), MATCH(TEXT(AB$8, "####"), df_proj!$E$1:$AD$1,0)),5),MROUND(INDEX(df_proj!$E$2:$AD$1000, MATCH(1, ($B$2 = df_proj!$A$2:$A$1000) * (df_proj!$B$2:$B$1000 = $B25) * (df_proj!$C$2:$C$1000 = $D$2), 0), MATCH(TEXT(AB$8, "####"), df_proj!$E$1:$AD$1,0)) * popn_fut!$C97/popn_fut!$E97,5))</f>
        <v>#N/A</v>
      </c>
      <c r="AC25" s="111" t="e">
        <f t="array" ref="AC25">IFERROR(MROUND(INDEX(df_proj!$E$2:$AD$1000, MATCH(1, ($A$2 = df_proj!$A$2:$A$1000) * (df_proj!$B$2:$B$1000 = $B25) * (df_proj!$C$2:$C$1000 = $D$2), 0), MATCH(TEXT(AC$8, "####"), df_proj!$E$1:$AD$1,0)),5),MROUND(INDEX(df_proj!$E$2:$AD$1000, MATCH(1, ($B$2 = df_proj!$A$2:$A$1000) * (df_proj!$B$2:$B$1000 = $B25) * (df_proj!$C$2:$C$1000 = $D$2), 0), MATCH(TEXT(AC$8, "####"), df_proj!$E$1:$AD$1,0)) * popn_fut!$C97/popn_fut!$E97,5))</f>
        <v>#N/A</v>
      </c>
      <c r="AD25" s="111" t="e">
        <f t="array" ref="AD25">IFERROR(MROUND(INDEX(df_proj!$E$2:$AD$1000, MATCH(1, ($A$2 = df_proj!$A$2:$A$1000) * (df_proj!$B$2:$B$1000 = $B25) * (df_proj!$C$2:$C$1000 = $D$2), 0), MATCH(TEXT(AD$8, "####"), df_proj!$E$1:$AD$1,0)),5),MROUND(INDEX(df_proj!$E$2:$AD$1000, MATCH(1, ($B$2 = df_proj!$A$2:$A$1000) * (df_proj!$B$2:$B$1000 = $B25) * (df_proj!$C$2:$C$1000 = $D$2), 0), MATCH(TEXT(AD$8, "####"), df_proj!$E$1:$AD$1,0)) * popn_fut!$C97/popn_fut!$E97,5))</f>
        <v>#N/A</v>
      </c>
      <c r="AE25" s="111" t="e">
        <f t="array" ref="AE25">IFERROR(MROUND(INDEX(df_proj!$E$2:$AD$1000, MATCH(1, ($A$2 = df_proj!$A$2:$A$1000) * (df_proj!$B$2:$B$1000 = $B25) * (df_proj!$C$2:$C$1000 = $D$2), 0), MATCH(TEXT(AE$8, "####"), df_proj!$E$1:$AD$1,0)),5),MROUND(INDEX(df_proj!$E$2:$AD$1000, MATCH(1, ($B$2 = df_proj!$A$2:$A$1000) * (df_proj!$B$2:$B$1000 = $B25) * (df_proj!$C$2:$C$1000 = $D$2), 0), MATCH(TEXT(AE$8, "####"), df_proj!$E$1:$AD$1,0)) * popn_fut!$C97/popn_fut!$E97,5))</f>
        <v>#N/A</v>
      </c>
      <c r="AF25" s="111" t="e">
        <f t="array" ref="AF25">IFERROR(MROUND(INDEX(df_proj!$E$2:$AD$1000, MATCH(1, ($A$2 = df_proj!$A$2:$A$1000) * (df_proj!$B$2:$B$1000 = $B25) * (df_proj!$C$2:$C$1000 = $D$2), 0), MATCH(TEXT(AF$8, "####"), df_proj!$E$1:$AD$1,0)),5),MROUND(INDEX(df_proj!$E$2:$AD$1000, MATCH(1, ($B$2 = df_proj!$A$2:$A$1000) * (df_proj!$B$2:$B$1000 = $B25) * (df_proj!$C$2:$C$1000 = $D$2), 0), MATCH(TEXT(AF$8, "####"), df_proj!$E$1:$AD$1,0)) * popn_fut!$C97/popn_fut!$E97,5))</f>
        <v>#N/A</v>
      </c>
      <c r="AG25" s="111" t="e">
        <f t="array" ref="AG25">IFERROR(MROUND(INDEX(df_proj!$E$2:$AD$1000, MATCH(1, ($A$2 = df_proj!$A$2:$A$1000) * (df_proj!$B$2:$B$1000 = $B25) * (df_proj!$C$2:$C$1000 = $D$2), 0), MATCH(TEXT(AG$8, "####"), df_proj!$E$1:$AD$1,0)),5),MROUND(INDEX(df_proj!$E$2:$AD$1000, MATCH(1, ($B$2 = df_proj!$A$2:$A$1000) * (df_proj!$B$2:$B$1000 = $B25) * (df_proj!$C$2:$C$1000 = $D$2), 0), MATCH(TEXT(AG$8, "####"), df_proj!$E$1:$AD$1,0)) * popn_fut!$C97/popn_fut!$E97,5))</f>
        <v>#N/A</v>
      </c>
      <c r="AH25" s="111" t="e">
        <f t="array" ref="AH25">IFERROR(MROUND(INDEX(df_proj!$E$2:$AD$1000, MATCH(1, ($A$2 = df_proj!$A$2:$A$1000) * (df_proj!$B$2:$B$1000 = $B25) * (df_proj!$C$2:$C$1000 = $D$2), 0), MATCH(TEXT(AH$8, "####"), df_proj!$E$1:$AD$1,0)),5),MROUND(INDEX(df_proj!$E$2:$AD$1000, MATCH(1, ($B$2 = df_proj!$A$2:$A$1000) * (df_proj!$B$2:$B$1000 = $B25) * (df_proj!$C$2:$C$1000 = $D$2), 0), MATCH(TEXT(AH$8, "####"), df_proj!$E$1:$AD$1,0)) * popn_fut!$C97/popn_fut!$E97,5))</f>
        <v>#N/A</v>
      </c>
      <c r="AI25" s="111" t="e">
        <f t="array" ref="AI25">IFERROR(MROUND(INDEX(df_proj!$E$2:$AD$1000, MATCH(1, ($A$2 = df_proj!$A$2:$A$1000) * (df_proj!$B$2:$B$1000 = $B25) * (df_proj!$C$2:$C$1000 = $D$2), 0), MATCH(TEXT(AI$8, "####"), df_proj!$E$1:$AD$1,0)),5),MROUND(INDEX(df_proj!$E$2:$AD$1000, MATCH(1, ($B$2 = df_proj!$A$2:$A$1000) * (df_proj!$B$2:$B$1000 = $B25) * (df_proj!$C$2:$C$1000 = $D$2), 0), MATCH(TEXT(AI$8, "####"), df_proj!$E$1:$AD$1,0)) * popn_fut!$C97/popn_fut!$E97,5))</f>
        <v>#N/A</v>
      </c>
      <c r="AJ25" s="111" t="e">
        <f t="array" ref="AJ25">IFERROR(MROUND(INDEX(df_proj!$E$2:$AD$1000, MATCH(1, ($A$2 = df_proj!$A$2:$A$1000) * (df_proj!$B$2:$B$1000 = $B25) * (df_proj!$C$2:$C$1000 = $D$2), 0), MATCH(TEXT(AJ$8, "####"), df_proj!$E$1:$AD$1,0)),5),MROUND(INDEX(df_proj!$E$2:$AD$1000, MATCH(1, ($B$2 = df_proj!$A$2:$A$1000) * (df_proj!$B$2:$B$1000 = $B25) * (df_proj!$C$2:$C$1000 = $D$2), 0), MATCH(TEXT(AJ$8, "####"), df_proj!$E$1:$AD$1,0)) * popn_fut!$C97/popn_fut!$E97,5))</f>
        <v>#N/A</v>
      </c>
      <c r="AK25" s="111" t="e">
        <f t="array" ref="AK25">IFERROR(MROUND(INDEX(df_proj!$E$2:$AD$1000, MATCH(1, ($A$2 = df_proj!$A$2:$A$1000) * (df_proj!$B$2:$B$1000 = $B25) * (df_proj!$C$2:$C$1000 = $D$2), 0), MATCH(TEXT(AK$8, "####"), df_proj!$E$1:$AD$1,0)),5),MROUND(INDEX(df_proj!$E$2:$AD$1000, MATCH(1, ($B$2 = df_proj!$A$2:$A$1000) * (df_proj!$B$2:$B$1000 = $B25) * (df_proj!$C$2:$C$1000 = $D$2), 0), MATCH(TEXT(AK$8, "####"), df_proj!$E$1:$AD$1,0)) * popn_fut!$C97/popn_fut!$E97,5))</f>
        <v>#N/A</v>
      </c>
      <c r="AL25" s="181" t="e">
        <f t="array" ref="AL25">IFERROR(MROUND(INDEX(df_proj!$E$2:$AD$1000, MATCH(1, ($A$2 = df_proj!$A$2:$A$1000) * (df_proj!$B$2:$B$1000 = $B25) * (df_proj!$C$2:$C$1000 = $D$2), 0), MATCH(TEXT(AL$8, "####"), df_proj!$E$1:$AD$1,0)),5),MROUND(INDEX(df_proj!$E$2:$AD$1000, MATCH(1, ($B$2 = df_proj!$A$2:$A$1000) * (df_proj!$B$2:$B$1000 = $B25) * (df_proj!$C$2:$C$1000 = $D$2), 0), MATCH(TEXT(AL$8, "####"), df_proj!$E$1:$AD$1,0)) * popn_fut!$C97/popn_fut!$E97,5))</f>
        <v>#N/A</v>
      </c>
      <c r="AM25" s="239" t="e">
        <f t="shared" si="0"/>
        <v>#N/A</v>
      </c>
      <c r="AO25" s="294" t="e">
        <f t="array" ref="AO25">SUMPRODUCT(I10:I27,A10:A27+2) / SUM(I10:I27)</f>
        <v>#N/A</v>
      </c>
      <c r="AP25" s="239" t="e">
        <f t="shared" si="1"/>
        <v>#N/A</v>
      </c>
      <c r="AQ25" s="1"/>
      <c r="AR25" s="294" t="e">
        <f>SUMPRODUCT(W10:W27,A10:A27+2) / SUM(W10:W27)</f>
        <v>#N/A</v>
      </c>
      <c r="AS25" s="294" t="e">
        <f>AR25-AO25+federal_req!E8</f>
        <v>#N/A</v>
      </c>
    </row>
    <row r="26" spans="1:45" ht="20.100000000000001" customHeight="1" x14ac:dyDescent="0.2">
      <c r="A26" s="299">
        <v>80</v>
      </c>
      <c r="B26" s="118" t="s">
        <v>132</v>
      </c>
      <c r="C26" s="113"/>
      <c r="D26" s="113" t="e">
        <v>#N/A</v>
      </c>
      <c r="E26" s="113"/>
      <c r="F26" s="113"/>
      <c r="G26" s="113"/>
      <c r="H26" s="113"/>
      <c r="I26" s="113" t="e">
        <v>#N/A</v>
      </c>
      <c r="J26" s="113"/>
      <c r="K26" s="113"/>
      <c r="L26" s="113"/>
      <c r="M26" s="113" t="e">
        <f t="array" ref="M26">IFERROR(MROUND(INDEX(df_proj!$E$2:$AD$1000, MATCH(1, ($A$2 = df_proj!$A$2:$A$1000) * (df_proj!$B$2:$B$1000 = $B26) * (df_proj!$C$2:$C$1000 = $D$2), 0), MATCH(TEXT(M$8, "####"), df_proj!$E$1:$AD$1,0)),5),MROUND(INDEX(df_proj!$E$2:$AD$1000, MATCH(1, ($B$2 = df_proj!$A$2:$A$1000) * (df_proj!$B$2:$B$1000 = $B26) * (df_proj!$C$2:$C$1000 = $D$2), 0), MATCH(TEXT(M$8, "####"), df_proj!$E$1:$AD$1,0)) * popn_fut!$C98/popn_fut!$E98,5))</f>
        <v>#N/A</v>
      </c>
      <c r="N26" s="113" t="e">
        <f t="array" ref="N26">IFERROR(MROUND(INDEX(df_proj!$E$2:$AD$1000, MATCH(1, ($A$2 = df_proj!$A$2:$A$1000) * (df_proj!$B$2:$B$1000 = $B26) * (df_proj!$C$2:$C$1000 = $D$2), 0), MATCH(TEXT(N$8, "####"), df_proj!$E$1:$AD$1,0)),5),MROUND(INDEX(df_proj!$E$2:$AD$1000, MATCH(1, ($B$2 = df_proj!$A$2:$A$1000) * (df_proj!$B$2:$B$1000 = $B26) * (df_proj!$C$2:$C$1000 = $D$2), 0), MATCH(TEXT(N$8, "####"), df_proj!$E$1:$AD$1,0)) * popn_fut!$C98/popn_fut!$E98,5))</f>
        <v>#N/A</v>
      </c>
      <c r="O26" s="113" t="e">
        <f t="array" ref="O26">IFERROR(MROUND(INDEX(df_proj!$E$2:$AD$1000, MATCH(1, ($A$2 = df_proj!$A$2:$A$1000) * (df_proj!$B$2:$B$1000 = $B26) * (df_proj!$C$2:$C$1000 = $D$2), 0), MATCH(TEXT(O$8, "####"), df_proj!$E$1:$AD$1,0)),5),MROUND(INDEX(df_proj!$E$2:$AD$1000, MATCH(1, ($B$2 = df_proj!$A$2:$A$1000) * (df_proj!$B$2:$B$1000 = $B26) * (df_proj!$C$2:$C$1000 = $D$2), 0), MATCH(TEXT(O$8, "####"), df_proj!$E$1:$AD$1,0)) * popn_fut!$C98/popn_fut!$E98,5))</f>
        <v>#N/A</v>
      </c>
      <c r="P26" s="113" t="e">
        <f t="array" ref="P26">IFERROR(MROUND(INDEX(df_proj!$E$2:$AD$1000, MATCH(1, ($A$2 = df_proj!$A$2:$A$1000) * (df_proj!$B$2:$B$1000 = $B26) * (df_proj!$C$2:$C$1000 = $D$2), 0), MATCH(TEXT(P$8, "####"), df_proj!$E$1:$AD$1,0)),5),MROUND(INDEX(df_proj!$E$2:$AD$1000, MATCH(1, ($B$2 = df_proj!$A$2:$A$1000) * (df_proj!$B$2:$B$1000 = $B26) * (df_proj!$C$2:$C$1000 = $D$2), 0), MATCH(TEXT(P$8, "####"), df_proj!$E$1:$AD$1,0)) * popn_fut!$C98/popn_fut!$E98,5))</f>
        <v>#N/A</v>
      </c>
      <c r="Q26" s="113" t="e">
        <f t="array" ref="Q26">IFERROR(MROUND(INDEX(df_proj!$E$2:$AD$1000, MATCH(1, ($A$2 = df_proj!$A$2:$A$1000) * (df_proj!$B$2:$B$1000 = $B26) * (df_proj!$C$2:$C$1000 = $D$2), 0), MATCH(TEXT(Q$8, "####"), df_proj!$E$1:$AD$1,0)),5),MROUND(INDEX(df_proj!$E$2:$AD$1000, MATCH(1, ($B$2 = df_proj!$A$2:$A$1000) * (df_proj!$B$2:$B$1000 = $B26) * (df_proj!$C$2:$C$1000 = $D$2), 0), MATCH(TEXT(Q$8, "####"), df_proj!$E$1:$AD$1,0)) * popn_fut!$C98/popn_fut!$E98,5))</f>
        <v>#N/A</v>
      </c>
      <c r="R26" s="113" t="e">
        <f t="array" ref="R26">IFERROR(MROUND(INDEX(df_proj!$E$2:$AD$1000, MATCH(1, ($A$2 = df_proj!$A$2:$A$1000) * (df_proj!$B$2:$B$1000 = $B26) * (df_proj!$C$2:$C$1000 = $D$2), 0), MATCH(TEXT(R$8, "####"), df_proj!$E$1:$AD$1,0)),5),MROUND(INDEX(df_proj!$E$2:$AD$1000, MATCH(1, ($B$2 = df_proj!$A$2:$A$1000) * (df_proj!$B$2:$B$1000 = $B26) * (df_proj!$C$2:$C$1000 = $D$2), 0), MATCH(TEXT(R$8, "####"), df_proj!$E$1:$AD$1,0)) * popn_fut!$C98/popn_fut!$E98,5))</f>
        <v>#N/A</v>
      </c>
      <c r="S26" s="113" t="e">
        <f t="array" ref="S26">IFERROR(MROUND(INDEX(df_proj!$E$2:$AD$1000, MATCH(1, ($A$2 = df_proj!$A$2:$A$1000) * (df_proj!$B$2:$B$1000 = $B26) * (df_proj!$C$2:$C$1000 = $D$2), 0), MATCH(TEXT(S$8, "####"), df_proj!$E$1:$AD$1,0)),5),MROUND(INDEX(df_proj!$E$2:$AD$1000, MATCH(1, ($B$2 = df_proj!$A$2:$A$1000) * (df_proj!$B$2:$B$1000 = $B26) * (df_proj!$C$2:$C$1000 = $D$2), 0), MATCH(TEXT(S$8, "####"), df_proj!$E$1:$AD$1,0)) * popn_fut!$C98/popn_fut!$E98,5))</f>
        <v>#N/A</v>
      </c>
      <c r="T26" s="113" t="e">
        <f t="array" ref="T26">IFERROR(MROUND(INDEX(df_proj!$E$2:$AD$1000, MATCH(1, ($A$2 = df_proj!$A$2:$A$1000) * (df_proj!$B$2:$B$1000 = $B26) * (df_proj!$C$2:$C$1000 = $D$2), 0), MATCH(TEXT(T$8, "####"), df_proj!$E$1:$AD$1,0)),5),MROUND(INDEX(df_proj!$E$2:$AD$1000, MATCH(1, ($B$2 = df_proj!$A$2:$A$1000) * (df_proj!$B$2:$B$1000 = $B26) * (df_proj!$C$2:$C$1000 = $D$2), 0), MATCH(TEXT(T$8, "####"), df_proj!$E$1:$AD$1,0)) * popn_fut!$C98/popn_fut!$E98,5))</f>
        <v>#N/A</v>
      </c>
      <c r="U26" s="113" t="e">
        <f t="array" ref="U26">IFERROR(MROUND(INDEX(df_proj!$E$2:$AD$1000, MATCH(1, ($A$2 = df_proj!$A$2:$A$1000) * (df_proj!$B$2:$B$1000 = $B26) * (df_proj!$C$2:$C$1000 = $D$2), 0), MATCH(TEXT(U$8, "####"), df_proj!$E$1:$AD$1,0)),5),MROUND(INDEX(df_proj!$E$2:$AD$1000, MATCH(1, ($B$2 = df_proj!$A$2:$A$1000) * (df_proj!$B$2:$B$1000 = $B26) * (df_proj!$C$2:$C$1000 = $D$2), 0), MATCH(TEXT(U$8, "####"), df_proj!$E$1:$AD$1,0)) * popn_fut!$C98/popn_fut!$E98,5))</f>
        <v>#N/A</v>
      </c>
      <c r="V26" s="113" t="e">
        <f t="array" ref="V26">IFERROR(MROUND(INDEX(df_proj!$E$2:$AD$1000, MATCH(1, ($A$2 = df_proj!$A$2:$A$1000) * (df_proj!$B$2:$B$1000 = $B26) * (df_proj!$C$2:$C$1000 = $D$2), 0), MATCH(TEXT(V$8, "####"), df_proj!$E$1:$AD$1,0)),5),MROUND(INDEX(df_proj!$E$2:$AD$1000, MATCH(1, ($B$2 = df_proj!$A$2:$A$1000) * (df_proj!$B$2:$B$1000 = $B26) * (df_proj!$C$2:$C$1000 = $D$2), 0), MATCH(TEXT(V$8, "####"), df_proj!$E$1:$AD$1,0)) * popn_fut!$C98/popn_fut!$E98,5))</f>
        <v>#N/A</v>
      </c>
      <c r="W26" s="113" t="e">
        <f t="array" ref="W26">IFERROR(MROUND(INDEX(df_proj!$E$2:$AD$1000, MATCH(1, ($A$2 = df_proj!$A$2:$A$1000) * (df_proj!$B$2:$B$1000 = $B26) * (df_proj!$C$2:$C$1000 = $D$2), 0), MATCH(TEXT(W$8, "####"), df_proj!$E$1:$AD$1,0)),5),MROUND(INDEX(df_proj!$E$2:$AD$1000, MATCH(1, ($B$2 = df_proj!$A$2:$A$1000) * (df_proj!$B$2:$B$1000 = $B26) * (df_proj!$C$2:$C$1000 = $D$2), 0), MATCH(TEXT(W$8, "####"), df_proj!$E$1:$AD$1,0)) * popn_fut!$C98/popn_fut!$E98,5))</f>
        <v>#N/A</v>
      </c>
      <c r="X26" s="113" t="e">
        <f t="array" ref="X26">IFERROR(MROUND(INDEX(df_proj!$E$2:$AD$1000, MATCH(1, ($A$2 = df_proj!$A$2:$A$1000) * (df_proj!$B$2:$B$1000 = $B26) * (df_proj!$C$2:$C$1000 = $D$2), 0), MATCH(TEXT(X$8, "####"), df_proj!$E$1:$AD$1,0)),5),MROUND(INDEX(df_proj!$E$2:$AD$1000, MATCH(1, ($B$2 = df_proj!$A$2:$A$1000) * (df_proj!$B$2:$B$1000 = $B26) * (df_proj!$C$2:$C$1000 = $D$2), 0), MATCH(TEXT(X$8, "####"), df_proj!$E$1:$AD$1,0)) * popn_fut!$C98/popn_fut!$E98,5))</f>
        <v>#N/A</v>
      </c>
      <c r="Y26" s="113" t="e">
        <f t="array" ref="Y26">IFERROR(MROUND(INDEX(df_proj!$E$2:$AD$1000, MATCH(1, ($A$2 = df_proj!$A$2:$A$1000) * (df_proj!$B$2:$B$1000 = $B26) * (df_proj!$C$2:$C$1000 = $D$2), 0), MATCH(TEXT(Y$8, "####"), df_proj!$E$1:$AD$1,0)),5),MROUND(INDEX(df_proj!$E$2:$AD$1000, MATCH(1, ($B$2 = df_proj!$A$2:$A$1000) * (df_proj!$B$2:$B$1000 = $B26) * (df_proj!$C$2:$C$1000 = $D$2), 0), MATCH(TEXT(Y$8, "####"), df_proj!$E$1:$AD$1,0)) * popn_fut!$C98/popn_fut!$E98,5))</f>
        <v>#N/A</v>
      </c>
      <c r="Z26" s="113" t="e">
        <f t="array" ref="Z26">IFERROR(MROUND(INDEX(df_proj!$E$2:$AD$1000, MATCH(1, ($A$2 = df_proj!$A$2:$A$1000) * (df_proj!$B$2:$B$1000 = $B26) * (df_proj!$C$2:$C$1000 = $D$2), 0), MATCH(TEXT(Z$8, "####"), df_proj!$E$1:$AD$1,0)),5),MROUND(INDEX(df_proj!$E$2:$AD$1000, MATCH(1, ($B$2 = df_proj!$A$2:$A$1000) * (df_proj!$B$2:$B$1000 = $B26) * (df_proj!$C$2:$C$1000 = $D$2), 0), MATCH(TEXT(Z$8, "####"), df_proj!$E$1:$AD$1,0)) * popn_fut!$C98/popn_fut!$E98,5))</f>
        <v>#N/A</v>
      </c>
      <c r="AA26" s="113" t="e">
        <f t="array" ref="AA26">IFERROR(MROUND(INDEX(df_proj!$E$2:$AD$1000, MATCH(1, ($A$2 = df_proj!$A$2:$A$1000) * (df_proj!$B$2:$B$1000 = $B26) * (df_proj!$C$2:$C$1000 = $D$2), 0), MATCH(TEXT(AA$8, "####"), df_proj!$E$1:$AD$1,0)),5),MROUND(INDEX(df_proj!$E$2:$AD$1000, MATCH(1, ($B$2 = df_proj!$A$2:$A$1000) * (df_proj!$B$2:$B$1000 = $B26) * (df_proj!$C$2:$C$1000 = $D$2), 0), MATCH(TEXT(AA$8, "####"), df_proj!$E$1:$AD$1,0)) * popn_fut!$C98/popn_fut!$E98,5))</f>
        <v>#N/A</v>
      </c>
      <c r="AB26" s="113" t="e">
        <f t="array" ref="AB26">IFERROR(MROUND(INDEX(df_proj!$E$2:$AD$1000, MATCH(1, ($A$2 = df_proj!$A$2:$A$1000) * (df_proj!$B$2:$B$1000 = $B26) * (df_proj!$C$2:$C$1000 = $D$2), 0), MATCH(TEXT(AB$8, "####"), df_proj!$E$1:$AD$1,0)),5),MROUND(INDEX(df_proj!$E$2:$AD$1000, MATCH(1, ($B$2 = df_proj!$A$2:$A$1000) * (df_proj!$B$2:$B$1000 = $B26) * (df_proj!$C$2:$C$1000 = $D$2), 0), MATCH(TEXT(AB$8, "####"), df_proj!$E$1:$AD$1,0)) * popn_fut!$C98/popn_fut!$E98,5))</f>
        <v>#N/A</v>
      </c>
      <c r="AC26" s="113" t="e">
        <f t="array" ref="AC26">IFERROR(MROUND(INDEX(df_proj!$E$2:$AD$1000, MATCH(1, ($A$2 = df_proj!$A$2:$A$1000) * (df_proj!$B$2:$B$1000 = $B26) * (df_proj!$C$2:$C$1000 = $D$2), 0), MATCH(TEXT(AC$8, "####"), df_proj!$E$1:$AD$1,0)),5),MROUND(INDEX(df_proj!$E$2:$AD$1000, MATCH(1, ($B$2 = df_proj!$A$2:$A$1000) * (df_proj!$B$2:$B$1000 = $B26) * (df_proj!$C$2:$C$1000 = $D$2), 0), MATCH(TEXT(AC$8, "####"), df_proj!$E$1:$AD$1,0)) * popn_fut!$C98/popn_fut!$E98,5))</f>
        <v>#N/A</v>
      </c>
      <c r="AD26" s="113" t="e">
        <f t="array" ref="AD26">IFERROR(MROUND(INDEX(df_proj!$E$2:$AD$1000, MATCH(1, ($A$2 = df_proj!$A$2:$A$1000) * (df_proj!$B$2:$B$1000 = $B26) * (df_proj!$C$2:$C$1000 = $D$2), 0), MATCH(TEXT(AD$8, "####"), df_proj!$E$1:$AD$1,0)),5),MROUND(INDEX(df_proj!$E$2:$AD$1000, MATCH(1, ($B$2 = df_proj!$A$2:$A$1000) * (df_proj!$B$2:$B$1000 = $B26) * (df_proj!$C$2:$C$1000 = $D$2), 0), MATCH(TEXT(AD$8, "####"), df_proj!$E$1:$AD$1,0)) * popn_fut!$C98/popn_fut!$E98,5))</f>
        <v>#N/A</v>
      </c>
      <c r="AE26" s="113" t="e">
        <f t="array" ref="AE26">IFERROR(MROUND(INDEX(df_proj!$E$2:$AD$1000, MATCH(1, ($A$2 = df_proj!$A$2:$A$1000) * (df_proj!$B$2:$B$1000 = $B26) * (df_proj!$C$2:$C$1000 = $D$2), 0), MATCH(TEXT(AE$8, "####"), df_proj!$E$1:$AD$1,0)),5),MROUND(INDEX(df_proj!$E$2:$AD$1000, MATCH(1, ($B$2 = df_proj!$A$2:$A$1000) * (df_proj!$B$2:$B$1000 = $B26) * (df_proj!$C$2:$C$1000 = $D$2), 0), MATCH(TEXT(AE$8, "####"), df_proj!$E$1:$AD$1,0)) * popn_fut!$C98/popn_fut!$E98,5))</f>
        <v>#N/A</v>
      </c>
      <c r="AF26" s="113" t="e">
        <f t="array" ref="AF26">IFERROR(MROUND(INDEX(df_proj!$E$2:$AD$1000, MATCH(1, ($A$2 = df_proj!$A$2:$A$1000) * (df_proj!$B$2:$B$1000 = $B26) * (df_proj!$C$2:$C$1000 = $D$2), 0), MATCH(TEXT(AF$8, "####"), df_proj!$E$1:$AD$1,0)),5),MROUND(INDEX(df_proj!$E$2:$AD$1000, MATCH(1, ($B$2 = df_proj!$A$2:$A$1000) * (df_proj!$B$2:$B$1000 = $B26) * (df_proj!$C$2:$C$1000 = $D$2), 0), MATCH(TEXT(AF$8, "####"), df_proj!$E$1:$AD$1,0)) * popn_fut!$C98/popn_fut!$E98,5))</f>
        <v>#N/A</v>
      </c>
      <c r="AG26" s="113" t="e">
        <f t="array" ref="AG26">IFERROR(MROUND(INDEX(df_proj!$E$2:$AD$1000, MATCH(1, ($A$2 = df_proj!$A$2:$A$1000) * (df_proj!$B$2:$B$1000 = $B26) * (df_proj!$C$2:$C$1000 = $D$2), 0), MATCH(TEXT(AG$8, "####"), df_proj!$E$1:$AD$1,0)),5),MROUND(INDEX(df_proj!$E$2:$AD$1000, MATCH(1, ($B$2 = df_proj!$A$2:$A$1000) * (df_proj!$B$2:$B$1000 = $B26) * (df_proj!$C$2:$C$1000 = $D$2), 0), MATCH(TEXT(AG$8, "####"), df_proj!$E$1:$AD$1,0)) * popn_fut!$C98/popn_fut!$E98,5))</f>
        <v>#N/A</v>
      </c>
      <c r="AH26" s="113" t="e">
        <f t="array" ref="AH26">IFERROR(MROUND(INDEX(df_proj!$E$2:$AD$1000, MATCH(1, ($A$2 = df_proj!$A$2:$A$1000) * (df_proj!$B$2:$B$1000 = $B26) * (df_proj!$C$2:$C$1000 = $D$2), 0), MATCH(TEXT(AH$8, "####"), df_proj!$E$1:$AD$1,0)),5),MROUND(INDEX(df_proj!$E$2:$AD$1000, MATCH(1, ($B$2 = df_proj!$A$2:$A$1000) * (df_proj!$B$2:$B$1000 = $B26) * (df_proj!$C$2:$C$1000 = $D$2), 0), MATCH(TEXT(AH$8, "####"), df_proj!$E$1:$AD$1,0)) * popn_fut!$C98/popn_fut!$E98,5))</f>
        <v>#N/A</v>
      </c>
      <c r="AI26" s="113" t="e">
        <f t="array" ref="AI26">IFERROR(MROUND(INDEX(df_proj!$E$2:$AD$1000, MATCH(1, ($A$2 = df_proj!$A$2:$A$1000) * (df_proj!$B$2:$B$1000 = $B26) * (df_proj!$C$2:$C$1000 = $D$2), 0), MATCH(TEXT(AI$8, "####"), df_proj!$E$1:$AD$1,0)),5),MROUND(INDEX(df_proj!$E$2:$AD$1000, MATCH(1, ($B$2 = df_proj!$A$2:$A$1000) * (df_proj!$B$2:$B$1000 = $B26) * (df_proj!$C$2:$C$1000 = $D$2), 0), MATCH(TEXT(AI$8, "####"), df_proj!$E$1:$AD$1,0)) * popn_fut!$C98/popn_fut!$E98,5))</f>
        <v>#N/A</v>
      </c>
      <c r="AJ26" s="113" t="e">
        <f t="array" ref="AJ26">IFERROR(MROUND(INDEX(df_proj!$E$2:$AD$1000, MATCH(1, ($A$2 = df_proj!$A$2:$A$1000) * (df_proj!$B$2:$B$1000 = $B26) * (df_proj!$C$2:$C$1000 = $D$2), 0), MATCH(TEXT(AJ$8, "####"), df_proj!$E$1:$AD$1,0)),5),MROUND(INDEX(df_proj!$E$2:$AD$1000, MATCH(1, ($B$2 = df_proj!$A$2:$A$1000) * (df_proj!$B$2:$B$1000 = $B26) * (df_proj!$C$2:$C$1000 = $D$2), 0), MATCH(TEXT(AJ$8, "####"), df_proj!$E$1:$AD$1,0)) * popn_fut!$C98/popn_fut!$E98,5))</f>
        <v>#N/A</v>
      </c>
      <c r="AK26" s="113" t="e">
        <f t="array" ref="AK26">IFERROR(MROUND(INDEX(df_proj!$E$2:$AD$1000, MATCH(1, ($A$2 = df_proj!$A$2:$A$1000) * (df_proj!$B$2:$B$1000 = $B26) * (df_proj!$C$2:$C$1000 = $D$2), 0), MATCH(TEXT(AK$8, "####"), df_proj!$E$1:$AD$1,0)),5),MROUND(INDEX(df_proj!$E$2:$AD$1000, MATCH(1, ($B$2 = df_proj!$A$2:$A$1000) * (df_proj!$B$2:$B$1000 = $B26) * (df_proj!$C$2:$C$1000 = $D$2), 0), MATCH(TEXT(AK$8, "####"), df_proj!$E$1:$AD$1,0)) * popn_fut!$C98/popn_fut!$E98,5))</f>
        <v>#N/A</v>
      </c>
      <c r="AL26" s="329" t="e">
        <f t="array" ref="AL26">IFERROR(MROUND(INDEX(df_proj!$E$2:$AD$1000, MATCH(1, ($A$2 = df_proj!$A$2:$A$1000) * (df_proj!$B$2:$B$1000 = $B26) * (df_proj!$C$2:$C$1000 = $D$2), 0), MATCH(TEXT(AL$8, "####"), df_proj!$E$1:$AD$1,0)),5),MROUND(INDEX(df_proj!$E$2:$AD$1000, MATCH(1, ($B$2 = df_proj!$A$2:$A$1000) * (df_proj!$B$2:$B$1000 = $B26) * (df_proj!$C$2:$C$1000 = $D$2), 0), MATCH(TEXT(AL$8, "####"), df_proj!$E$1:$AD$1,0)) * popn_fut!$C98/popn_fut!$E98,5))</f>
        <v>#N/A</v>
      </c>
      <c r="AM26" s="239" t="e">
        <f t="shared" si="0"/>
        <v>#N/A</v>
      </c>
      <c r="AO26" s="294" t="e">
        <f>AO27+5*(AM28-AN27)/(AN28-AN27)</f>
        <v>#N/A</v>
      </c>
      <c r="AP26" s="239" t="e">
        <f t="shared" si="1"/>
        <v>#N/A</v>
      </c>
      <c r="AR26" s="294" t="e">
        <f>AR27+5*(AP28-AQ27)/(AQ28-AQ27)</f>
        <v>#N/A</v>
      </c>
      <c r="AS26" s="294" t="e">
        <f>AR26-AO26+federal_req!E9</f>
        <v>#N/A</v>
      </c>
    </row>
    <row r="27" spans="1:45" ht="20.100000000000001" customHeight="1" x14ac:dyDescent="0.2">
      <c r="A27" s="299">
        <v>85</v>
      </c>
      <c r="B27" s="158" t="s">
        <v>5</v>
      </c>
      <c r="C27" s="42"/>
      <c r="D27" s="42" t="e">
        <v>#N/A</v>
      </c>
      <c r="E27" s="42"/>
      <c r="F27" s="42"/>
      <c r="G27" s="42"/>
      <c r="H27" s="42"/>
      <c r="I27" s="42" t="e">
        <v>#N/A</v>
      </c>
      <c r="J27" s="42"/>
      <c r="K27" s="42"/>
      <c r="L27" s="42"/>
      <c r="M27" s="42" t="e">
        <f t="array" ref="M27">IFERROR(MROUND(INDEX(df_proj!$E$2:$AD$1000, MATCH(1, ($A$2 = df_proj!$A$2:$A$1000) * (df_proj!$B$2:$B$1000  &amp; "+"  = $B27) * (df_proj!$C$2:$C$1000 = $D$2), 0), MATCH(TEXT(M$8, "####"), df_proj!$E$1:$AD$1,0)),5),MROUND(INDEX(df_proj!$E$2:$AD$1000, MATCH(1, ($B$2 = df_proj!$A$2:$A$1000) * (df_proj!$B$2:$B$1000  &amp; "+"  = $B27) * (df_proj!$C$2:$C$1000 = $D$2), 0), MATCH(TEXT(M$8, "####"), df_proj!$E$1:$AD$1,0)) * popn_fut!$C99/popn_fut!$E99,5))</f>
        <v>#N/A</v>
      </c>
      <c r="N27" s="42" t="e">
        <f t="array" ref="N27">IFERROR(MROUND(INDEX(df_proj!$E$2:$AD$1000, MATCH(1, ($A$2 = df_proj!$A$2:$A$1000) * (df_proj!$B$2:$B$1000  &amp; "+"  = $B27) * (df_proj!$C$2:$C$1000 = $D$2), 0), MATCH(TEXT(N$8, "####"), df_proj!$E$1:$AD$1,0)),5),MROUND(INDEX(df_proj!$E$2:$AD$1000, MATCH(1, ($B$2 = df_proj!$A$2:$A$1000) * (df_proj!$B$2:$B$1000  &amp; "+"  = $B27) * (df_proj!$C$2:$C$1000 = $D$2), 0), MATCH(TEXT(N$8, "####"), df_proj!$E$1:$AD$1,0)) * popn_fut!$C99/popn_fut!$E99,5))</f>
        <v>#N/A</v>
      </c>
      <c r="O27" s="42" t="e">
        <f t="array" ref="O27">IFERROR(MROUND(INDEX(df_proj!$E$2:$AD$1000, MATCH(1, ($A$2 = df_proj!$A$2:$A$1000) * (df_proj!$B$2:$B$1000  &amp; "+"  = $B27) * (df_proj!$C$2:$C$1000 = $D$2), 0), MATCH(TEXT(O$8, "####"), df_proj!$E$1:$AD$1,0)),5),MROUND(INDEX(df_proj!$E$2:$AD$1000, MATCH(1, ($B$2 = df_proj!$A$2:$A$1000) * (df_proj!$B$2:$B$1000  &amp; "+"  = $B27) * (df_proj!$C$2:$C$1000 = $D$2), 0), MATCH(TEXT(O$8, "####"), df_proj!$E$1:$AD$1,0)) * popn_fut!$C99/popn_fut!$E99,5))</f>
        <v>#N/A</v>
      </c>
      <c r="P27" s="42" t="e">
        <f t="array" ref="P27">IFERROR(MROUND(INDEX(df_proj!$E$2:$AD$1000, MATCH(1, ($A$2 = df_proj!$A$2:$A$1000) * (df_proj!$B$2:$B$1000  &amp; "+"  = $B27) * (df_proj!$C$2:$C$1000 = $D$2), 0), MATCH(TEXT(P$8, "####"), df_proj!$E$1:$AD$1,0)),5),MROUND(INDEX(df_proj!$E$2:$AD$1000, MATCH(1, ($B$2 = df_proj!$A$2:$A$1000) * (df_proj!$B$2:$B$1000  &amp; "+"  = $B27) * (df_proj!$C$2:$C$1000 = $D$2), 0), MATCH(TEXT(P$8, "####"), df_proj!$E$1:$AD$1,0)) * popn_fut!$C99/popn_fut!$E99,5))</f>
        <v>#N/A</v>
      </c>
      <c r="Q27" s="42" t="e">
        <f t="array" ref="Q27">IFERROR(MROUND(INDEX(df_proj!$E$2:$AD$1000, MATCH(1, ($A$2 = df_proj!$A$2:$A$1000) * (df_proj!$B$2:$B$1000  &amp; "+"  = $B27) * (df_proj!$C$2:$C$1000 = $D$2), 0), MATCH(TEXT(Q$8, "####"), df_proj!$E$1:$AD$1,0)),5),MROUND(INDEX(df_proj!$E$2:$AD$1000, MATCH(1, ($B$2 = df_proj!$A$2:$A$1000) * (df_proj!$B$2:$B$1000  &amp; "+"  = $B27) * (df_proj!$C$2:$C$1000 = $D$2), 0), MATCH(TEXT(Q$8, "####"), df_proj!$E$1:$AD$1,0)) * popn_fut!$C99/popn_fut!$E99,5))</f>
        <v>#N/A</v>
      </c>
      <c r="R27" s="42" t="e">
        <f t="array" ref="R27">IFERROR(MROUND(INDEX(df_proj!$E$2:$AD$1000, MATCH(1, ($A$2 = df_proj!$A$2:$A$1000) * (df_proj!$B$2:$B$1000  &amp; "+"  = $B27) * (df_proj!$C$2:$C$1000 = $D$2), 0), MATCH(TEXT(R$8, "####"), df_proj!$E$1:$AD$1,0)),5),MROUND(INDEX(df_proj!$E$2:$AD$1000, MATCH(1, ($B$2 = df_proj!$A$2:$A$1000) * (df_proj!$B$2:$B$1000  &amp; "+"  = $B27) * (df_proj!$C$2:$C$1000 = $D$2), 0), MATCH(TEXT(R$8, "####"), df_proj!$E$1:$AD$1,0)) * popn_fut!$C99/popn_fut!$E99,5))</f>
        <v>#N/A</v>
      </c>
      <c r="S27" s="42" t="e">
        <f t="array" ref="S27">IFERROR(MROUND(INDEX(df_proj!$E$2:$AD$1000, MATCH(1, ($A$2 = df_proj!$A$2:$A$1000) * (df_proj!$B$2:$B$1000  &amp; "+"  = $B27) * (df_proj!$C$2:$C$1000 = $D$2), 0), MATCH(TEXT(S$8, "####"), df_proj!$E$1:$AD$1,0)),5),MROUND(INDEX(df_proj!$E$2:$AD$1000, MATCH(1, ($B$2 = df_proj!$A$2:$A$1000) * (df_proj!$B$2:$B$1000  &amp; "+"  = $B27) * (df_proj!$C$2:$C$1000 = $D$2), 0), MATCH(TEXT(S$8, "####"), df_proj!$E$1:$AD$1,0)) * popn_fut!$C99/popn_fut!$E99,5))</f>
        <v>#N/A</v>
      </c>
      <c r="T27" s="42" t="e">
        <f t="array" ref="T27">IFERROR(MROUND(INDEX(df_proj!$E$2:$AD$1000, MATCH(1, ($A$2 = df_proj!$A$2:$A$1000) * (df_proj!$B$2:$B$1000  &amp; "+"  = $B27) * (df_proj!$C$2:$C$1000 = $D$2), 0), MATCH(TEXT(T$8, "####"), df_proj!$E$1:$AD$1,0)),5),MROUND(INDEX(df_proj!$E$2:$AD$1000, MATCH(1, ($B$2 = df_proj!$A$2:$A$1000) * (df_proj!$B$2:$B$1000  &amp; "+"  = $B27) * (df_proj!$C$2:$C$1000 = $D$2), 0), MATCH(TEXT(T$8, "####"), df_proj!$E$1:$AD$1,0)) * popn_fut!$C99/popn_fut!$E99,5))</f>
        <v>#N/A</v>
      </c>
      <c r="U27" s="42" t="e">
        <f t="array" ref="U27">IFERROR(MROUND(INDEX(df_proj!$E$2:$AD$1000, MATCH(1, ($A$2 = df_proj!$A$2:$A$1000) * (df_proj!$B$2:$B$1000  &amp; "+"  = $B27) * (df_proj!$C$2:$C$1000 = $D$2), 0), MATCH(TEXT(U$8, "####"), df_proj!$E$1:$AD$1,0)),5),MROUND(INDEX(df_proj!$E$2:$AD$1000, MATCH(1, ($B$2 = df_proj!$A$2:$A$1000) * (df_proj!$B$2:$B$1000  &amp; "+"  = $B27) * (df_proj!$C$2:$C$1000 = $D$2), 0), MATCH(TEXT(U$8, "####"), df_proj!$E$1:$AD$1,0)) * popn_fut!$C99/popn_fut!$E99,5))</f>
        <v>#N/A</v>
      </c>
      <c r="V27" s="42" t="e">
        <f t="array" ref="V27">IFERROR(MROUND(INDEX(df_proj!$E$2:$AD$1000, MATCH(1, ($A$2 = df_proj!$A$2:$A$1000) * (df_proj!$B$2:$B$1000  &amp; "+"  = $B27) * (df_proj!$C$2:$C$1000 = $D$2), 0), MATCH(TEXT(V$8, "####"), df_proj!$E$1:$AD$1,0)),5),MROUND(INDEX(df_proj!$E$2:$AD$1000, MATCH(1, ($B$2 = df_proj!$A$2:$A$1000) * (df_proj!$B$2:$B$1000  &amp; "+"  = $B27) * (df_proj!$C$2:$C$1000 = $D$2), 0), MATCH(TEXT(V$8, "####"), df_proj!$E$1:$AD$1,0)) * popn_fut!$C99/popn_fut!$E99,5))</f>
        <v>#N/A</v>
      </c>
      <c r="W27" s="42" t="e">
        <f t="array" ref="W27">IFERROR(MROUND(INDEX(df_proj!$E$2:$AD$1000, MATCH(1, ($A$2 = df_proj!$A$2:$A$1000) * (df_proj!$B$2:$B$1000  &amp; "+"  = $B27) * (df_proj!$C$2:$C$1000 = $D$2), 0), MATCH(TEXT(W$8, "####"), df_proj!$E$1:$AD$1,0)),5),MROUND(INDEX(df_proj!$E$2:$AD$1000, MATCH(1, ($B$2 = df_proj!$A$2:$A$1000) * (df_proj!$B$2:$B$1000  &amp; "+"  = $B27) * (df_proj!$C$2:$C$1000 = $D$2), 0), MATCH(TEXT(W$8, "####"), df_proj!$E$1:$AD$1,0)) * popn_fut!$C99/popn_fut!$E99,5))</f>
        <v>#N/A</v>
      </c>
      <c r="X27" s="42" t="e">
        <f t="array" ref="X27">IFERROR(MROUND(INDEX(df_proj!$E$2:$AD$1000, MATCH(1, ($A$2 = df_proj!$A$2:$A$1000) * (df_proj!$B$2:$B$1000  &amp; "+"  = $B27) * (df_proj!$C$2:$C$1000 = $D$2), 0), MATCH(TEXT(X$8, "####"), df_proj!$E$1:$AD$1,0)),5),MROUND(INDEX(df_proj!$E$2:$AD$1000, MATCH(1, ($B$2 = df_proj!$A$2:$A$1000) * (df_proj!$B$2:$B$1000  &amp; "+"  = $B27) * (df_proj!$C$2:$C$1000 = $D$2), 0), MATCH(TEXT(X$8, "####"), df_proj!$E$1:$AD$1,0)) * popn_fut!$C99/popn_fut!$E99,5))</f>
        <v>#N/A</v>
      </c>
      <c r="Y27" s="42" t="e">
        <f t="array" ref="Y27">IFERROR(MROUND(INDEX(df_proj!$E$2:$AD$1000, MATCH(1, ($A$2 = df_proj!$A$2:$A$1000) * (df_proj!$B$2:$B$1000  &amp; "+"  = $B27) * (df_proj!$C$2:$C$1000 = $D$2), 0), MATCH(TEXT(Y$8, "####"), df_proj!$E$1:$AD$1,0)),5),MROUND(INDEX(df_proj!$E$2:$AD$1000, MATCH(1, ($B$2 = df_proj!$A$2:$A$1000) * (df_proj!$B$2:$B$1000  &amp; "+"  = $B27) * (df_proj!$C$2:$C$1000 = $D$2), 0), MATCH(TEXT(Y$8, "####"), df_proj!$E$1:$AD$1,0)) * popn_fut!$C99/popn_fut!$E99,5))</f>
        <v>#N/A</v>
      </c>
      <c r="Z27" s="42" t="e">
        <f t="array" ref="Z27">IFERROR(MROUND(INDEX(df_proj!$E$2:$AD$1000, MATCH(1, ($A$2 = df_proj!$A$2:$A$1000) * (df_proj!$B$2:$B$1000  &amp; "+"  = $B27) * (df_proj!$C$2:$C$1000 = $D$2), 0), MATCH(TEXT(Z$8, "####"), df_proj!$E$1:$AD$1,0)),5),MROUND(INDEX(df_proj!$E$2:$AD$1000, MATCH(1, ($B$2 = df_proj!$A$2:$A$1000) * (df_proj!$B$2:$B$1000  &amp; "+"  = $B27) * (df_proj!$C$2:$C$1000 = $D$2), 0), MATCH(TEXT(Z$8, "####"), df_proj!$E$1:$AD$1,0)) * popn_fut!$C99/popn_fut!$E99,5))</f>
        <v>#N/A</v>
      </c>
      <c r="AA27" s="42" t="e">
        <f t="array" ref="AA27">IFERROR(MROUND(INDEX(df_proj!$E$2:$AD$1000, MATCH(1, ($A$2 = df_proj!$A$2:$A$1000) * (df_proj!$B$2:$B$1000  &amp; "+"  = $B27) * (df_proj!$C$2:$C$1000 = $D$2), 0), MATCH(TEXT(AA$8, "####"), df_proj!$E$1:$AD$1,0)),5),MROUND(INDEX(df_proj!$E$2:$AD$1000, MATCH(1, ($B$2 = df_proj!$A$2:$A$1000) * (df_proj!$B$2:$B$1000  &amp; "+"  = $B27) * (df_proj!$C$2:$C$1000 = $D$2), 0), MATCH(TEXT(AA$8, "####"), df_proj!$E$1:$AD$1,0)) * popn_fut!$C99/popn_fut!$E99,5))</f>
        <v>#N/A</v>
      </c>
      <c r="AB27" s="42" t="e">
        <f t="array" ref="AB27">IFERROR(MROUND(INDEX(df_proj!$E$2:$AD$1000, MATCH(1, ($A$2 = df_proj!$A$2:$A$1000) * (df_proj!$B$2:$B$1000  &amp; "+"  = $B27) * (df_proj!$C$2:$C$1000 = $D$2), 0), MATCH(TEXT(AB$8, "####"), df_proj!$E$1:$AD$1,0)),5),MROUND(INDEX(df_proj!$E$2:$AD$1000, MATCH(1, ($B$2 = df_proj!$A$2:$A$1000) * (df_proj!$B$2:$B$1000  &amp; "+"  = $B27) * (df_proj!$C$2:$C$1000 = $D$2), 0), MATCH(TEXT(AB$8, "####"), df_proj!$E$1:$AD$1,0)) * popn_fut!$C99/popn_fut!$E99,5))</f>
        <v>#N/A</v>
      </c>
      <c r="AC27" s="42" t="e">
        <f t="array" ref="AC27">IFERROR(MROUND(INDEX(df_proj!$E$2:$AD$1000, MATCH(1, ($A$2 = df_proj!$A$2:$A$1000) * (df_proj!$B$2:$B$1000  &amp; "+"  = $B27) * (df_proj!$C$2:$C$1000 = $D$2), 0), MATCH(TEXT(AC$8, "####"), df_proj!$E$1:$AD$1,0)),5),MROUND(INDEX(df_proj!$E$2:$AD$1000, MATCH(1, ($B$2 = df_proj!$A$2:$A$1000) * (df_proj!$B$2:$B$1000  &amp; "+"  = $B27) * (df_proj!$C$2:$C$1000 = $D$2), 0), MATCH(TEXT(AC$8, "####"), df_proj!$E$1:$AD$1,0)) * popn_fut!$C99/popn_fut!$E99,5))</f>
        <v>#N/A</v>
      </c>
      <c r="AD27" s="42" t="e">
        <f t="array" ref="AD27">IFERROR(MROUND(INDEX(df_proj!$E$2:$AD$1000, MATCH(1, ($A$2 = df_proj!$A$2:$A$1000) * (df_proj!$B$2:$B$1000  &amp; "+"  = $B27) * (df_proj!$C$2:$C$1000 = $D$2), 0), MATCH(TEXT(AD$8, "####"), df_proj!$E$1:$AD$1,0)),5),MROUND(INDEX(df_proj!$E$2:$AD$1000, MATCH(1, ($B$2 = df_proj!$A$2:$A$1000) * (df_proj!$B$2:$B$1000  &amp; "+"  = $B27) * (df_proj!$C$2:$C$1000 = $D$2), 0), MATCH(TEXT(AD$8, "####"), df_proj!$E$1:$AD$1,0)) * popn_fut!$C99/popn_fut!$E99,5))</f>
        <v>#N/A</v>
      </c>
      <c r="AE27" s="42" t="e">
        <f t="array" ref="AE27">IFERROR(MROUND(INDEX(df_proj!$E$2:$AD$1000, MATCH(1, ($A$2 = df_proj!$A$2:$A$1000) * (df_proj!$B$2:$B$1000  &amp; "+"  = $B27) * (df_proj!$C$2:$C$1000 = $D$2), 0), MATCH(TEXT(AE$8, "####"), df_proj!$E$1:$AD$1,0)),5),MROUND(INDEX(df_proj!$E$2:$AD$1000, MATCH(1, ($B$2 = df_proj!$A$2:$A$1000) * (df_proj!$B$2:$B$1000  &amp; "+"  = $B27) * (df_proj!$C$2:$C$1000 = $D$2), 0), MATCH(TEXT(AE$8, "####"), df_proj!$E$1:$AD$1,0)) * popn_fut!$C99/popn_fut!$E99,5))</f>
        <v>#N/A</v>
      </c>
      <c r="AF27" s="42" t="e">
        <f t="array" ref="AF27">IFERROR(MROUND(INDEX(df_proj!$E$2:$AD$1000, MATCH(1, ($A$2 = df_proj!$A$2:$A$1000) * (df_proj!$B$2:$B$1000  &amp; "+"  = $B27) * (df_proj!$C$2:$C$1000 = $D$2), 0), MATCH(TEXT(AF$8, "####"), df_proj!$E$1:$AD$1,0)),5),MROUND(INDEX(df_proj!$E$2:$AD$1000, MATCH(1, ($B$2 = df_proj!$A$2:$A$1000) * (df_proj!$B$2:$B$1000  &amp; "+"  = $B27) * (df_proj!$C$2:$C$1000 = $D$2), 0), MATCH(TEXT(AF$8, "####"), df_proj!$E$1:$AD$1,0)) * popn_fut!$C99/popn_fut!$E99,5))</f>
        <v>#N/A</v>
      </c>
      <c r="AG27" s="42" t="e">
        <f t="array" ref="AG27">IFERROR(MROUND(INDEX(df_proj!$E$2:$AD$1000, MATCH(1, ($A$2 = df_proj!$A$2:$A$1000) * (df_proj!$B$2:$B$1000  &amp; "+"  = $B27) * (df_proj!$C$2:$C$1000 = $D$2), 0), MATCH(TEXT(AG$8, "####"), df_proj!$E$1:$AD$1,0)),5),MROUND(INDEX(df_proj!$E$2:$AD$1000, MATCH(1, ($B$2 = df_proj!$A$2:$A$1000) * (df_proj!$B$2:$B$1000  &amp; "+"  = $B27) * (df_proj!$C$2:$C$1000 = $D$2), 0), MATCH(TEXT(AG$8, "####"), df_proj!$E$1:$AD$1,0)) * popn_fut!$C99/popn_fut!$E99,5))</f>
        <v>#N/A</v>
      </c>
      <c r="AH27" s="42" t="e">
        <f t="array" ref="AH27">IFERROR(MROUND(INDEX(df_proj!$E$2:$AD$1000, MATCH(1, ($A$2 = df_proj!$A$2:$A$1000) * (df_proj!$B$2:$B$1000  &amp; "+"  = $B27) * (df_proj!$C$2:$C$1000 = $D$2), 0), MATCH(TEXT(AH$8, "####"), df_proj!$E$1:$AD$1,0)),5),MROUND(INDEX(df_proj!$E$2:$AD$1000, MATCH(1, ($B$2 = df_proj!$A$2:$A$1000) * (df_proj!$B$2:$B$1000  &amp; "+"  = $B27) * (df_proj!$C$2:$C$1000 = $D$2), 0), MATCH(TEXT(AH$8, "####"), df_proj!$E$1:$AD$1,0)) * popn_fut!$C99/popn_fut!$E99,5))</f>
        <v>#N/A</v>
      </c>
      <c r="AI27" s="42" t="e">
        <f t="array" ref="AI27">IFERROR(MROUND(INDEX(df_proj!$E$2:$AD$1000, MATCH(1, ($A$2 = df_proj!$A$2:$A$1000) * (df_proj!$B$2:$B$1000  &amp; "+"  = $B27) * (df_proj!$C$2:$C$1000 = $D$2), 0), MATCH(TEXT(AI$8, "####"), df_proj!$E$1:$AD$1,0)),5),MROUND(INDEX(df_proj!$E$2:$AD$1000, MATCH(1, ($B$2 = df_proj!$A$2:$A$1000) * (df_proj!$B$2:$B$1000  &amp; "+"  = $B27) * (df_proj!$C$2:$C$1000 = $D$2), 0), MATCH(TEXT(AI$8, "####"), df_proj!$E$1:$AD$1,0)) * popn_fut!$C99/popn_fut!$E99,5))</f>
        <v>#N/A</v>
      </c>
      <c r="AJ27" s="42" t="e">
        <f t="array" ref="AJ27">IFERROR(MROUND(INDEX(df_proj!$E$2:$AD$1000, MATCH(1, ($A$2 = df_proj!$A$2:$A$1000) * (df_proj!$B$2:$B$1000  &amp; "+"  = $B27) * (df_proj!$C$2:$C$1000 = $D$2), 0), MATCH(TEXT(AJ$8, "####"), df_proj!$E$1:$AD$1,0)),5),MROUND(INDEX(df_proj!$E$2:$AD$1000, MATCH(1, ($B$2 = df_proj!$A$2:$A$1000) * (df_proj!$B$2:$B$1000  &amp; "+"  = $B27) * (df_proj!$C$2:$C$1000 = $D$2), 0), MATCH(TEXT(AJ$8, "####"), df_proj!$E$1:$AD$1,0)) * popn_fut!$C99/popn_fut!$E99,5))</f>
        <v>#N/A</v>
      </c>
      <c r="AK27" s="42" t="e">
        <f t="array" ref="AK27">IFERROR(MROUND(INDEX(df_proj!$E$2:$AD$1000, MATCH(1, ($A$2 = df_proj!$A$2:$A$1000) * (df_proj!$B$2:$B$1000  &amp; "+"  = $B27) * (df_proj!$C$2:$C$1000 = $D$2), 0), MATCH(TEXT(AK$8, "####"), df_proj!$E$1:$AD$1,0)),5),MROUND(INDEX(df_proj!$E$2:$AD$1000, MATCH(1, ($B$2 = df_proj!$A$2:$A$1000) * (df_proj!$B$2:$B$1000  &amp; "+"  = $B27) * (df_proj!$C$2:$C$1000 = $D$2), 0), MATCH(TEXT(AK$8, "####"), df_proj!$E$1:$AD$1,0)) * popn_fut!$C99/popn_fut!$E99,5))</f>
        <v>#N/A</v>
      </c>
      <c r="AL27" s="347" t="e">
        <f t="array" ref="AL27">IFERROR(MROUND(INDEX(df_proj!$E$2:$AD$1000, MATCH(1, ($A$2 = df_proj!$A$2:$A$1000) * (df_proj!$B$2:$B$1000  &amp; "+"  = $B27) * (df_proj!$C$2:$C$1000 = $D$2), 0), MATCH(TEXT(AL$8, "####"), df_proj!$E$1:$AD$1,0)),5),MROUND(INDEX(df_proj!$E$2:$AD$1000, MATCH(1, ($B$2 = df_proj!$A$2:$A$1000) * (df_proj!$B$2:$B$1000  &amp; "+"  = $B27) * (df_proj!$C$2:$C$1000 = $D$2), 0), MATCH(TEXT(AL$8, "####"), df_proj!$E$1:$AD$1,0)) * popn_fut!$C99/popn_fut!$E99,5))</f>
        <v>#N/A</v>
      </c>
      <c r="AM27" s="239" t="e">
        <f t="shared" si="0"/>
        <v>#N/A</v>
      </c>
      <c r="AN27" s="186" t="e">
        <f>INDEX($AM$10:$AM$27,MATCH(AN28,AM10:AM27,0)-1,0)</f>
        <v>#N/A</v>
      </c>
      <c r="AO27" s="1" t="e">
        <f>INDEX(A10:A27,MATCH(AN27,AM10:AM27,0),0)+5</f>
        <v>#N/A</v>
      </c>
      <c r="AP27" s="239" t="e">
        <f t="shared" ref="AP27" si="2">AP26+L27</f>
        <v>#N/A</v>
      </c>
      <c r="AQ27" s="186" t="e">
        <f>INDEX($AP$10:$AP$27,MATCH(AQ28,AP10:AP27,0)-1,0)</f>
        <v>#N/A</v>
      </c>
      <c r="AR27" s="1" t="e">
        <f>INDEX(A10:A27,MATCH(AQ27,AP10:AP27,0),0)+5</f>
        <v>#N/A</v>
      </c>
    </row>
    <row r="28" spans="1:45" ht="20.100000000000001" customHeight="1" x14ac:dyDescent="0.2">
      <c r="AF28" s="239"/>
      <c r="AM28" s="239" t="e">
        <f>AM27/2</f>
        <v>#N/A</v>
      </c>
      <c r="AN28" s="186" t="e">
        <f>_xlfn.MINIFS(AM11:AM27,AM11:AM27,"&gt;"&amp;AM28)</f>
        <v>#N/A</v>
      </c>
      <c r="AO28" s="1" t="e">
        <f>AO27+4</f>
        <v>#N/A</v>
      </c>
      <c r="AP28" s="239" t="e">
        <f>AP27/2</f>
        <v>#N/A</v>
      </c>
      <c r="AQ28" s="186" t="e">
        <f>_xlfn.MINIFS(AP11:AP27,AP11:AP27,"&gt;"&amp;AP28)</f>
        <v>#N/A</v>
      </c>
      <c r="AR28" s="1" t="e">
        <f>AR27+4</f>
        <v>#N/A</v>
      </c>
    </row>
    <row r="29" spans="1:45" ht="30" customHeight="1" x14ac:dyDescent="0.2">
      <c r="B29" s="175" t="s">
        <v>13</v>
      </c>
      <c r="C29" s="310"/>
      <c r="D29" s="310"/>
      <c r="E29" s="310"/>
      <c r="F29" s="310"/>
      <c r="G29" s="310"/>
      <c r="H29" s="310"/>
      <c r="I29" s="310"/>
      <c r="J29" s="310"/>
      <c r="K29" s="310"/>
      <c r="L29" s="310"/>
      <c r="M29" s="310"/>
      <c r="N29" s="310"/>
      <c r="O29" s="310"/>
      <c r="P29" s="310"/>
      <c r="Q29" s="310"/>
      <c r="R29" s="310"/>
      <c r="S29" s="310"/>
      <c r="T29" s="310"/>
      <c r="U29" s="310"/>
      <c r="V29" s="310"/>
      <c r="W29" s="310"/>
      <c r="X29" s="310"/>
      <c r="Y29" s="310"/>
      <c r="Z29" s="310"/>
      <c r="AA29" s="310"/>
      <c r="AB29" s="310"/>
      <c r="AC29" s="310"/>
      <c r="AD29" s="310"/>
      <c r="AE29" s="310"/>
      <c r="AF29" s="310"/>
      <c r="AG29" s="310"/>
      <c r="AH29" s="310"/>
    </row>
    <row r="30" spans="1:45" ht="20.100000000000001" customHeight="1" x14ac:dyDescent="0.2">
      <c r="B30" s="77"/>
      <c r="C30" s="194">
        <v>2015</v>
      </c>
      <c r="D30" s="194">
        <v>2016</v>
      </c>
      <c r="E30" s="194">
        <v>2017</v>
      </c>
      <c r="F30" s="194">
        <v>2018</v>
      </c>
      <c r="G30" s="194">
        <v>2019</v>
      </c>
      <c r="H30" s="194">
        <v>2020</v>
      </c>
      <c r="I30" s="194">
        <v>2021</v>
      </c>
      <c r="J30" s="194">
        <v>2022</v>
      </c>
      <c r="K30" s="194">
        <v>2023</v>
      </c>
      <c r="L30" s="194">
        <v>2024</v>
      </c>
      <c r="M30" s="194">
        <v>2025</v>
      </c>
      <c r="N30" s="194">
        <v>2026</v>
      </c>
      <c r="O30" s="194">
        <v>2027</v>
      </c>
      <c r="P30" s="194">
        <v>2028</v>
      </c>
      <c r="Q30" s="194">
        <v>2029</v>
      </c>
      <c r="R30" s="194">
        <v>2030</v>
      </c>
      <c r="S30" s="194">
        <v>2031</v>
      </c>
      <c r="T30" s="194">
        <v>2032</v>
      </c>
      <c r="U30" s="194">
        <v>2033</v>
      </c>
      <c r="V30" s="194">
        <v>2034</v>
      </c>
      <c r="W30" s="194">
        <v>2035</v>
      </c>
      <c r="X30" s="194">
        <v>2036</v>
      </c>
      <c r="Y30" s="194">
        <v>2037</v>
      </c>
      <c r="Z30" s="194">
        <v>2038</v>
      </c>
      <c r="AA30" s="194">
        <v>2039</v>
      </c>
      <c r="AB30" s="194">
        <v>2040</v>
      </c>
      <c r="AC30" s="194">
        <v>2041</v>
      </c>
      <c r="AD30" s="194">
        <v>2042</v>
      </c>
      <c r="AE30" s="194">
        <v>2043</v>
      </c>
      <c r="AF30" s="194">
        <v>2044</v>
      </c>
      <c r="AG30" s="194">
        <v>2045</v>
      </c>
      <c r="AH30" s="194">
        <v>2046</v>
      </c>
      <c r="AI30" s="194">
        <v>2047</v>
      </c>
      <c r="AJ30" s="194">
        <v>2048</v>
      </c>
      <c r="AK30" s="194">
        <v>2049</v>
      </c>
      <c r="AL30" s="250">
        <v>2050</v>
      </c>
    </row>
    <row r="31" spans="1:45" ht="20.100000000000001" customHeight="1" x14ac:dyDescent="0.2">
      <c r="B31" s="208" t="s">
        <v>409</v>
      </c>
      <c r="C31" s="42"/>
      <c r="D31" s="42" t="e">
        <f t="array" ref="D31:D39">hh!D72:D80</f>
        <v>#N/A</v>
      </c>
      <c r="E31" s="42"/>
      <c r="F31" s="42"/>
      <c r="G31" s="42"/>
      <c r="H31" s="42"/>
      <c r="I31" s="42" t="e">
        <f t="array" ref="I31:I39">hh!E72:E80</f>
        <v>#N/A</v>
      </c>
      <c r="J31" s="42" t="e">
        <f>SUM(J32:J39)</f>
        <v>#N/A</v>
      </c>
      <c r="K31" s="42" t="e">
        <f>SUM(K32:K39)</f>
        <v>#N/A</v>
      </c>
      <c r="L31" s="42" t="e">
        <f>SUM(L32:L39)</f>
        <v>#N/A</v>
      </c>
      <c r="M31" s="42">
        <f>MROUND(SUM(M32:M39),5)</f>
        <v>0</v>
      </c>
      <c r="N31" s="42">
        <f t="shared" ref="N31:AL31" si="3">MROUND(SUM(N32:N39),5)</f>
        <v>0</v>
      </c>
      <c r="O31" s="42">
        <f t="shared" si="3"/>
        <v>0</v>
      </c>
      <c r="P31" s="42">
        <f t="shared" si="3"/>
        <v>0</v>
      </c>
      <c r="Q31" s="42">
        <f t="shared" si="3"/>
        <v>0</v>
      </c>
      <c r="R31" s="42">
        <f t="shared" si="3"/>
        <v>0</v>
      </c>
      <c r="S31" s="42">
        <f t="shared" si="3"/>
        <v>0</v>
      </c>
      <c r="T31" s="42">
        <f t="shared" si="3"/>
        <v>0</v>
      </c>
      <c r="U31" s="42">
        <f t="shared" si="3"/>
        <v>0</v>
      </c>
      <c r="V31" s="42">
        <f t="shared" si="3"/>
        <v>0</v>
      </c>
      <c r="W31" s="42">
        <f t="shared" si="3"/>
        <v>0</v>
      </c>
      <c r="X31" s="42">
        <f t="shared" si="3"/>
        <v>0</v>
      </c>
      <c r="Y31" s="42">
        <f t="shared" si="3"/>
        <v>0</v>
      </c>
      <c r="Z31" s="42">
        <f t="shared" si="3"/>
        <v>0</v>
      </c>
      <c r="AA31" s="42">
        <f t="shared" si="3"/>
        <v>0</v>
      </c>
      <c r="AB31" s="42">
        <f t="shared" si="3"/>
        <v>0</v>
      </c>
      <c r="AC31" s="42">
        <f t="shared" si="3"/>
        <v>0</v>
      </c>
      <c r="AD31" s="42">
        <f t="shared" si="3"/>
        <v>0</v>
      </c>
      <c r="AE31" s="42">
        <f t="shared" si="3"/>
        <v>0</v>
      </c>
      <c r="AF31" s="42">
        <f t="shared" si="3"/>
        <v>0</v>
      </c>
      <c r="AG31" s="42">
        <f t="shared" si="3"/>
        <v>0</v>
      </c>
      <c r="AH31" s="42">
        <f t="shared" si="3"/>
        <v>0</v>
      </c>
      <c r="AI31" s="42">
        <f t="shared" si="3"/>
        <v>0</v>
      </c>
      <c r="AJ31" s="42">
        <f t="shared" si="3"/>
        <v>0</v>
      </c>
      <c r="AK31" s="42">
        <f t="shared" si="3"/>
        <v>0</v>
      </c>
      <c r="AL31" s="347">
        <f t="shared" si="3"/>
        <v>0</v>
      </c>
    </row>
    <row r="32" spans="1:45" ht="20.100000000000001" customHeight="1" x14ac:dyDescent="0.2">
      <c r="A32" s="299">
        <v>15</v>
      </c>
      <c r="B32" s="354" t="s">
        <v>60</v>
      </c>
      <c r="C32" s="137"/>
      <c r="D32" s="137" t="e">
        <v>#N/A</v>
      </c>
      <c r="E32" s="137"/>
      <c r="F32" s="137"/>
      <c r="G32" s="137"/>
      <c r="H32" s="137"/>
      <c r="I32" s="137" t="e">
        <v>#N/A</v>
      </c>
      <c r="J32" s="137" t="e">
        <f t="shared" ref="J32" si="4">(M32-I32)/4+I32</f>
        <v>#N/A</v>
      </c>
      <c r="K32" s="137" t="e">
        <f t="shared" ref="K32" si="5">(M32-I32)/4+J32</f>
        <v>#N/A</v>
      </c>
      <c r="L32" s="137" t="e">
        <f t="shared" ref="L32" si="6">(M32-I32)/4+K32</f>
        <v>#N/A</v>
      </c>
      <c r="M32" s="137">
        <f t="array" ref="M32">IFERROR(MROUND(IFERROR($D$32/SUM($D$13:$D$14)*SUM(M13:M14), $I$32/SUM($I$13:$I$14)*SUM(M13:M14)),5),0)</f>
        <v>0</v>
      </c>
      <c r="N32" s="137">
        <f t="array" ref="N32">IFERROR(MROUND(IFERROR($D$32/SUM($D$13:$D$14)*SUM(N13:N14), $I$32/SUM($I$13:$I$14)*SUM(N13:N14)),5),0)</f>
        <v>0</v>
      </c>
      <c r="O32" s="137">
        <f t="array" ref="O32">IFERROR(MROUND(IFERROR($D$32/SUM($D$13:$D$14)*SUM(O13:O14), $I$32/SUM($I$13:$I$14)*SUM(O13:O14)),5),0)</f>
        <v>0</v>
      </c>
      <c r="P32" s="137">
        <f t="array" ref="P32">IFERROR(MROUND(IFERROR($D$32/SUM($D$13:$D$14)*SUM(P13:P14), $I$32/SUM($I$13:$I$14)*SUM(P13:P14)),5),0)</f>
        <v>0</v>
      </c>
      <c r="Q32" s="137">
        <f t="array" ref="Q32">IFERROR(MROUND(IFERROR($D$32/SUM($D$13:$D$14)*SUM(Q13:Q14), $I$32/SUM($I$13:$I$14)*SUM(Q13:Q14)),5),0)</f>
        <v>0</v>
      </c>
      <c r="R32" s="137">
        <f t="array" ref="R32">IFERROR(MROUND(IFERROR($D$32/SUM($D$13:$D$14)*SUM(R13:R14), $I$32/SUM($I$13:$I$14)*SUM(R13:R14)),5),0)</f>
        <v>0</v>
      </c>
      <c r="S32" s="137">
        <f t="array" ref="S32">IFERROR(MROUND(IFERROR($D$32/SUM($D$13:$D$14)*SUM(S13:S14), $I$32/SUM($I$13:$I$14)*SUM(S13:S14)),5),0)</f>
        <v>0</v>
      </c>
      <c r="T32" s="137">
        <f t="array" ref="T32">IFERROR(MROUND(IFERROR($D$32/SUM($D$13:$D$14)*SUM(T13:T14), $I$32/SUM($I$13:$I$14)*SUM(T13:T14)),5),0)</f>
        <v>0</v>
      </c>
      <c r="U32" s="137">
        <f t="array" ref="U32">IFERROR(MROUND(IFERROR($D$32/SUM($D$13:$D$14)*SUM(U13:U14), $I$32/SUM($I$13:$I$14)*SUM(U13:U14)),5),0)</f>
        <v>0</v>
      </c>
      <c r="V32" s="137">
        <f t="array" ref="V32">IFERROR(MROUND(IFERROR($D$32/SUM($D$13:$D$14)*SUM(V13:V14), $I$32/SUM($I$13:$I$14)*SUM(V13:V14)),5),0)</f>
        <v>0</v>
      </c>
      <c r="W32" s="137">
        <f t="array" ref="W32">IFERROR(MROUND(IFERROR($D$32/SUM($D$13:$D$14)*SUM(W13:W14), $I$32/SUM($I$13:$I$14)*SUM(W13:W14)),5),0)</f>
        <v>0</v>
      </c>
      <c r="X32" s="137">
        <f t="array" ref="X32">IFERROR(MROUND(IFERROR($D$32/SUM($D$13:$D$14)*SUM(X13:X14), $I$32/SUM($I$13:$I$14)*SUM(X13:X14)),5),0)</f>
        <v>0</v>
      </c>
      <c r="Y32" s="137">
        <f t="array" ref="Y32">IFERROR(MROUND(IFERROR($D$32/SUM($D$13:$D$14)*SUM(Y13:Y14), $I$32/SUM($I$13:$I$14)*SUM(Y13:Y14)),5),0)</f>
        <v>0</v>
      </c>
      <c r="Z32" s="137">
        <f t="array" ref="Z32">IFERROR(MROUND(IFERROR($D$32/SUM($D$13:$D$14)*SUM(Z13:Z14), $I$32/SUM($I$13:$I$14)*SUM(Z13:Z14)),5),0)</f>
        <v>0</v>
      </c>
      <c r="AA32" s="137">
        <f t="array" ref="AA32">IFERROR(MROUND(IFERROR($D$32/SUM($D$13:$D$14)*SUM(AA13:AA14), $I$32/SUM($I$13:$I$14)*SUM(AA13:AA14)),5),0)</f>
        <v>0</v>
      </c>
      <c r="AB32" s="137">
        <f t="array" ref="AB32">IFERROR(MROUND(IFERROR($D$32/SUM($D$13:$D$14)*SUM(AB13:AB14), $I$32/SUM($I$13:$I$14)*SUM(AB13:AB14)),5),0)</f>
        <v>0</v>
      </c>
      <c r="AC32" s="137">
        <f t="array" ref="AC32">IFERROR(MROUND(IFERROR($D$32/SUM($D$13:$D$14)*SUM(AC13:AC14), $I$32/SUM($I$13:$I$14)*SUM(AC13:AC14)),5),0)</f>
        <v>0</v>
      </c>
      <c r="AD32" s="137">
        <f t="array" ref="AD32">IFERROR(MROUND(IFERROR($D$32/SUM($D$13:$D$14)*SUM(AD13:AD14), $I$32/SUM($I$13:$I$14)*SUM(AD13:AD14)),5),0)</f>
        <v>0</v>
      </c>
      <c r="AE32" s="137">
        <f t="array" ref="AE32">IFERROR(MROUND(IFERROR($D$32/SUM($D$13:$D$14)*SUM(AE13:AE14), $I$32/SUM($I$13:$I$14)*SUM(AE13:AE14)),5),0)</f>
        <v>0</v>
      </c>
      <c r="AF32" s="137">
        <f t="array" ref="AF32">IFERROR(MROUND(IFERROR($D$32/SUM($D$13:$D$14)*SUM(AF13:AF14), $I$32/SUM($I$13:$I$14)*SUM(AF13:AF14)),5),0)</f>
        <v>0</v>
      </c>
      <c r="AG32" s="137">
        <f t="array" ref="AG32">IFERROR(MROUND(IFERROR($D$32/SUM($D$13:$D$14)*SUM(AG13:AG14), $I$32/SUM($I$13:$I$14)*SUM(AG13:AG14)),5),0)</f>
        <v>0</v>
      </c>
      <c r="AH32" s="137">
        <f t="array" ref="AH32">IFERROR(MROUND(IFERROR($D$32/SUM($D$13:$D$14)*SUM(AH13:AH14), $I$32/SUM($I$13:$I$14)*SUM(AH13:AH14)),5),0)</f>
        <v>0</v>
      </c>
      <c r="AI32" s="137">
        <f t="array" ref="AI32">IFERROR(MROUND(IFERROR($D$32/SUM($D$13:$D$14)*SUM(AI13:AI14), $I$32/SUM($I$13:$I$14)*SUM(AI13:AI14)),5),0)</f>
        <v>0</v>
      </c>
      <c r="AJ32" s="137">
        <f t="array" ref="AJ32">IFERROR(MROUND(IFERROR($D$32/SUM($D$13:$D$14)*SUM(AJ13:AJ14), $I$32/SUM($I$13:$I$14)*SUM(AJ13:AJ14)),5),0)</f>
        <v>0</v>
      </c>
      <c r="AK32" s="137">
        <f t="array" ref="AK32">IFERROR(MROUND(IFERROR($D$32/SUM($D$13:$D$14)*SUM(AK13:AK14), $I$32/SUM($I$13:$I$14)*SUM(AK13:AK14)),5),0)</f>
        <v>0</v>
      </c>
      <c r="AL32" s="269">
        <f t="array" ref="AL32">IFERROR(MROUND(IFERROR($D$32/SUM($D$13:$D$14)*SUM(AL13:AL14), $I$32/SUM($I$13:$I$14)*SUM(AL13:AL14)),5),0)</f>
        <v>0</v>
      </c>
      <c r="AM32" s="239">
        <f>W32</f>
        <v>0</v>
      </c>
    </row>
    <row r="33" spans="1:41" ht="20.100000000000001" customHeight="1" x14ac:dyDescent="0.2">
      <c r="A33" s="299">
        <v>25</v>
      </c>
      <c r="B33" s="277" t="s">
        <v>61</v>
      </c>
      <c r="C33" s="111"/>
      <c r="D33" s="111" t="e">
        <v>#N/A</v>
      </c>
      <c r="E33" s="111"/>
      <c r="F33" s="111"/>
      <c r="G33" s="111"/>
      <c r="H33" s="111"/>
      <c r="I33" s="111" t="e">
        <v>#N/A</v>
      </c>
      <c r="J33" s="111" t="e">
        <f>(M33-I33)/4+I33</f>
        <v>#N/A</v>
      </c>
      <c r="K33" s="111" t="e">
        <f>(M33-I33)/4+J33</f>
        <v>#N/A</v>
      </c>
      <c r="L33" s="111" t="e">
        <f>(M33-I33)/4+K33</f>
        <v>#N/A</v>
      </c>
      <c r="M33" s="111">
        <f t="array" ref="M33">IFERROR(MROUND(IFERROR($D$33/SUM($D$15:$D$16)*SUM(M15:M16), $I$33/SUM($I$15:$I$16)*SUM(M15:M16)),5),0)</f>
        <v>0</v>
      </c>
      <c r="N33" s="111">
        <f t="array" ref="N33">IFERROR(MROUND(IFERROR($D$33/SUM($D$15:$D$16)*SUM(N15:N16), $I$33/SUM($I$15:$I$16)*SUM(N15:N16)),5),0)</f>
        <v>0</v>
      </c>
      <c r="O33" s="111">
        <f t="array" ref="O33">IFERROR(MROUND(IFERROR($D$33/SUM($D$15:$D$16)*SUM(O15:O16), $I$33/SUM($I$15:$I$16)*SUM(O15:O16)),5),0)</f>
        <v>0</v>
      </c>
      <c r="P33" s="111">
        <f t="array" ref="P33">IFERROR(MROUND(IFERROR($D$33/SUM($D$15:$D$16)*SUM(P15:P16), $I$33/SUM($I$15:$I$16)*SUM(P15:P16)),5),0)</f>
        <v>0</v>
      </c>
      <c r="Q33" s="111">
        <f t="array" ref="Q33">IFERROR(MROUND(IFERROR($D$33/SUM($D$15:$D$16)*SUM(Q15:Q16), $I$33/SUM($I$15:$I$16)*SUM(Q15:Q16)),5),0)</f>
        <v>0</v>
      </c>
      <c r="R33" s="111">
        <f t="array" ref="R33">IFERROR(MROUND(IFERROR($D$33/SUM($D$15:$D$16)*SUM(R15:R16), $I$33/SUM($I$15:$I$16)*SUM(R15:R16)),5),0)</f>
        <v>0</v>
      </c>
      <c r="S33" s="111">
        <f t="array" ref="S33">IFERROR(MROUND(IFERROR($D$33/SUM($D$15:$D$16)*SUM(S15:S16), $I$33/SUM($I$15:$I$16)*SUM(S15:S16)),5),0)</f>
        <v>0</v>
      </c>
      <c r="T33" s="111">
        <f t="array" ref="T33">IFERROR(MROUND(IFERROR($D$33/SUM($D$15:$D$16)*SUM(T15:T16), $I$33/SUM($I$15:$I$16)*SUM(T15:T16)),5),0)</f>
        <v>0</v>
      </c>
      <c r="U33" s="111">
        <f t="array" ref="U33">IFERROR(MROUND(IFERROR($D$33/SUM($D$15:$D$16)*SUM(U15:U16), $I$33/SUM($I$15:$I$16)*SUM(U15:U16)),5),0)</f>
        <v>0</v>
      </c>
      <c r="V33" s="111">
        <f t="array" ref="V33">IFERROR(MROUND(IFERROR($D$33/SUM($D$15:$D$16)*SUM(V15:V16), $I$33/SUM($I$15:$I$16)*SUM(V15:V16)),5),0)</f>
        <v>0</v>
      </c>
      <c r="W33" s="111">
        <f t="array" ref="W33">IFERROR(MROUND(IFERROR($D$33/SUM($D$15:$D$16)*SUM(W15:W16), $I$33/SUM($I$15:$I$16)*SUM(W15:W16)),5),0)</f>
        <v>0</v>
      </c>
      <c r="X33" s="111">
        <f t="array" ref="X33">IFERROR(MROUND(IFERROR($D$33/SUM($D$15:$D$16)*SUM(X15:X16), $I$33/SUM($I$15:$I$16)*SUM(X15:X16)),5),0)</f>
        <v>0</v>
      </c>
      <c r="Y33" s="111">
        <f t="array" ref="Y33">IFERROR(MROUND(IFERROR($D$33/SUM($D$15:$D$16)*SUM(Y15:Y16), $I$33/SUM($I$15:$I$16)*SUM(Y15:Y16)),5),0)</f>
        <v>0</v>
      </c>
      <c r="Z33" s="111">
        <f t="array" ref="Z33">IFERROR(MROUND(IFERROR($D$33/SUM($D$15:$D$16)*SUM(Z15:Z16), $I$33/SUM($I$15:$I$16)*SUM(Z15:Z16)),5),0)</f>
        <v>0</v>
      </c>
      <c r="AA33" s="111">
        <f t="array" ref="AA33">IFERROR(MROUND(IFERROR($D$33/SUM($D$15:$D$16)*SUM(AA15:AA16), $I$33/SUM($I$15:$I$16)*SUM(AA15:AA16)),5),0)</f>
        <v>0</v>
      </c>
      <c r="AB33" s="111">
        <f t="array" ref="AB33">IFERROR(MROUND(IFERROR($D$33/SUM($D$15:$D$16)*SUM(AB15:AB16), $I$33/SUM($I$15:$I$16)*SUM(AB15:AB16)),5),0)</f>
        <v>0</v>
      </c>
      <c r="AC33" s="111">
        <f t="array" ref="AC33">IFERROR(MROUND(IFERROR($D$33/SUM($D$15:$D$16)*SUM(AC15:AC16), $I$33/SUM($I$15:$I$16)*SUM(AC15:AC16)),5),0)</f>
        <v>0</v>
      </c>
      <c r="AD33" s="111">
        <f t="array" ref="AD33">IFERROR(MROUND(IFERROR($D$33/SUM($D$15:$D$16)*SUM(AD15:AD16), $I$33/SUM($I$15:$I$16)*SUM(AD15:AD16)),5),0)</f>
        <v>0</v>
      </c>
      <c r="AE33" s="111">
        <f t="array" ref="AE33">IFERROR(MROUND(IFERROR($D$33/SUM($D$15:$D$16)*SUM(AE15:AE16), $I$33/SUM($I$15:$I$16)*SUM(AE15:AE16)),5),0)</f>
        <v>0</v>
      </c>
      <c r="AF33" s="111">
        <f t="array" ref="AF33">IFERROR(MROUND(IFERROR($D$33/SUM($D$15:$D$16)*SUM(AF15:AF16), $I$33/SUM($I$15:$I$16)*SUM(AF15:AF16)),5),0)</f>
        <v>0</v>
      </c>
      <c r="AG33" s="111">
        <f t="array" ref="AG33">IFERROR(MROUND(IFERROR($D$33/SUM($D$15:$D$16)*SUM(AG15:AG16), $I$33/SUM($I$15:$I$16)*SUM(AG15:AG16)),5),0)</f>
        <v>0</v>
      </c>
      <c r="AH33" s="111">
        <f t="array" ref="AH33">IFERROR(MROUND(IFERROR($D$33/SUM($D$15:$D$16)*SUM(AH15:AH16), $I$33/SUM($I$15:$I$16)*SUM(AH15:AH16)),5),0)</f>
        <v>0</v>
      </c>
      <c r="AI33" s="111">
        <f t="array" ref="AI33">IFERROR(MROUND(IFERROR($D$33/SUM($D$15:$D$16)*SUM(AI15:AI16), $I$33/SUM($I$15:$I$16)*SUM(AI15:AI16)),5),0)</f>
        <v>0</v>
      </c>
      <c r="AJ33" s="111">
        <f t="array" ref="AJ33">IFERROR(MROUND(IFERROR($D$33/SUM($D$15:$D$16)*SUM(AJ15:AJ16), $I$33/SUM($I$15:$I$16)*SUM(AJ15:AJ16)),5),0)</f>
        <v>0</v>
      </c>
      <c r="AK33" s="111">
        <f t="array" ref="AK33">IFERROR(MROUND(IFERROR($D$33/SUM($D$15:$D$16)*SUM(AK15:AK16), $I$33/SUM($I$15:$I$16)*SUM(AK15:AK16)),5),0)</f>
        <v>0</v>
      </c>
      <c r="AL33" s="181">
        <f t="array" ref="AL33">IFERROR(MROUND(IFERROR($D$33/SUM($D$15:$D$16)*SUM(AL15:AL16), $I$33/SUM($I$15:$I$16)*SUM(AL15:AL16)),5),0)</f>
        <v>0</v>
      </c>
      <c r="AM33" s="239">
        <f>AM32+W33</f>
        <v>0</v>
      </c>
    </row>
    <row r="34" spans="1:41" ht="20.100000000000001" customHeight="1" x14ac:dyDescent="0.2">
      <c r="A34" s="299">
        <v>35</v>
      </c>
      <c r="B34" s="118" t="s">
        <v>62</v>
      </c>
      <c r="C34" s="113"/>
      <c r="D34" s="113" t="e">
        <v>#N/A</v>
      </c>
      <c r="E34" s="113"/>
      <c r="F34" s="113"/>
      <c r="G34" s="113"/>
      <c r="H34" s="113"/>
      <c r="I34" s="113" t="e">
        <v>#N/A</v>
      </c>
      <c r="J34" s="113" t="e">
        <f t="shared" ref="J34:J39" si="7">(M34-I34)/4+I34</f>
        <v>#N/A</v>
      </c>
      <c r="K34" s="113" t="e">
        <f t="shared" ref="K34:K39" si="8">(M34-I34)/4+J34</f>
        <v>#N/A</v>
      </c>
      <c r="L34" s="113" t="e">
        <f t="shared" ref="L34:L39" si="9">(M34-I34)/4+K34</f>
        <v>#N/A</v>
      </c>
      <c r="M34" s="113">
        <f t="array" ref="M34">IFERROR(MROUND(IFERROR($D$34/SUM($D$17:$D$18)*SUM(M17:M18), $I$34/SUM($I$17:$I$18)*SUM(M17:M18)),5),0)</f>
        <v>0</v>
      </c>
      <c r="N34" s="113">
        <f t="array" ref="N34">IFERROR(MROUND(IFERROR($D$34/SUM($D$17:$D$18)*SUM(N17:N18), $I$34/SUM($I$17:$I$18)*SUM(N17:N18)),5),0)</f>
        <v>0</v>
      </c>
      <c r="O34" s="113">
        <f t="array" ref="O34">IFERROR(MROUND(IFERROR($D$34/SUM($D$17:$D$18)*SUM(O17:O18), $I$34/SUM($I$17:$I$18)*SUM(O17:O18)),5),0)</f>
        <v>0</v>
      </c>
      <c r="P34" s="113">
        <f t="array" ref="P34">IFERROR(MROUND(IFERROR($D$34/SUM($D$17:$D$18)*SUM(P17:P18), $I$34/SUM($I$17:$I$18)*SUM(P17:P18)),5),0)</f>
        <v>0</v>
      </c>
      <c r="Q34" s="113">
        <f t="array" ref="Q34">IFERROR(MROUND(IFERROR($D$34/SUM($D$17:$D$18)*SUM(Q17:Q18), $I$34/SUM($I$17:$I$18)*SUM(Q17:Q18)),5),0)</f>
        <v>0</v>
      </c>
      <c r="R34" s="113">
        <f t="array" ref="R34">IFERROR(MROUND(IFERROR($D$34/SUM($D$17:$D$18)*SUM(R17:R18), $I$34/SUM($I$17:$I$18)*SUM(R17:R18)),5),0)</f>
        <v>0</v>
      </c>
      <c r="S34" s="113">
        <f t="array" ref="S34">IFERROR(MROUND(IFERROR($D$34/SUM($D$17:$D$18)*SUM(S17:S18), $I$34/SUM($I$17:$I$18)*SUM(S17:S18)),5),0)</f>
        <v>0</v>
      </c>
      <c r="T34" s="113">
        <f t="array" ref="T34">IFERROR(MROUND(IFERROR($D$34/SUM($D$17:$D$18)*SUM(T17:T18), $I$34/SUM($I$17:$I$18)*SUM(T17:T18)),5),0)</f>
        <v>0</v>
      </c>
      <c r="U34" s="113">
        <f t="array" ref="U34">IFERROR(MROUND(IFERROR($D$34/SUM($D$17:$D$18)*SUM(U17:U18), $I$34/SUM($I$17:$I$18)*SUM(U17:U18)),5),0)</f>
        <v>0</v>
      </c>
      <c r="V34" s="113">
        <f t="array" ref="V34">IFERROR(MROUND(IFERROR($D$34/SUM($D$17:$D$18)*SUM(V17:V18), $I$34/SUM($I$17:$I$18)*SUM(V17:V18)),5),0)</f>
        <v>0</v>
      </c>
      <c r="W34" s="113">
        <f t="array" ref="W34">IFERROR(MROUND(IFERROR($D$34/SUM($D$17:$D$18)*SUM(W17:W18), $I$34/SUM($I$17:$I$18)*SUM(W17:W18)),5),0)</f>
        <v>0</v>
      </c>
      <c r="X34" s="113">
        <f t="array" ref="X34">IFERROR(MROUND(IFERROR($D$34/SUM($D$17:$D$18)*SUM(X17:X18), $I$34/SUM($I$17:$I$18)*SUM(X17:X18)),5),0)</f>
        <v>0</v>
      </c>
      <c r="Y34" s="113">
        <f t="array" ref="Y34">IFERROR(MROUND(IFERROR($D$34/SUM($D$17:$D$18)*SUM(Y17:Y18), $I$34/SUM($I$17:$I$18)*SUM(Y17:Y18)),5),0)</f>
        <v>0</v>
      </c>
      <c r="Z34" s="113">
        <f t="array" ref="Z34">IFERROR(MROUND(IFERROR($D$34/SUM($D$17:$D$18)*SUM(Z17:Z18), $I$34/SUM($I$17:$I$18)*SUM(Z17:Z18)),5),0)</f>
        <v>0</v>
      </c>
      <c r="AA34" s="113">
        <f t="array" ref="AA34">IFERROR(MROUND(IFERROR($D$34/SUM($D$17:$D$18)*SUM(AA17:AA18), $I$34/SUM($I$17:$I$18)*SUM(AA17:AA18)),5),0)</f>
        <v>0</v>
      </c>
      <c r="AB34" s="113">
        <f t="array" ref="AB34">IFERROR(MROUND(IFERROR($D$34/SUM($D$17:$D$18)*SUM(AB17:AB18), $I$34/SUM($I$17:$I$18)*SUM(AB17:AB18)),5),0)</f>
        <v>0</v>
      </c>
      <c r="AC34" s="113">
        <f t="array" ref="AC34">IFERROR(MROUND(IFERROR($D$34/SUM($D$17:$D$18)*SUM(AC17:AC18), $I$34/SUM($I$17:$I$18)*SUM(AC17:AC18)),5),0)</f>
        <v>0</v>
      </c>
      <c r="AD34" s="113">
        <f t="array" ref="AD34">IFERROR(MROUND(IFERROR($D$34/SUM($D$17:$D$18)*SUM(AD17:AD18), $I$34/SUM($I$17:$I$18)*SUM(AD17:AD18)),5),0)</f>
        <v>0</v>
      </c>
      <c r="AE34" s="113">
        <f t="array" ref="AE34">IFERROR(MROUND(IFERROR($D$34/SUM($D$17:$D$18)*SUM(AE17:AE18), $I$34/SUM($I$17:$I$18)*SUM(AE17:AE18)),5),0)</f>
        <v>0</v>
      </c>
      <c r="AF34" s="113">
        <f t="array" ref="AF34">IFERROR(MROUND(IFERROR($D$34/SUM($D$17:$D$18)*SUM(AF17:AF18), $I$34/SUM($I$17:$I$18)*SUM(AF17:AF18)),5),0)</f>
        <v>0</v>
      </c>
      <c r="AG34" s="113">
        <f t="array" ref="AG34">IFERROR(MROUND(IFERROR($D$34/SUM($D$17:$D$18)*SUM(AG17:AG18), $I$34/SUM($I$17:$I$18)*SUM(AG17:AG18)),5),0)</f>
        <v>0</v>
      </c>
      <c r="AH34" s="113">
        <f t="array" ref="AH34">IFERROR(MROUND(IFERROR($D$34/SUM($D$17:$D$18)*SUM(AH17:AH18), $I$34/SUM($I$17:$I$18)*SUM(AH17:AH18)),5),0)</f>
        <v>0</v>
      </c>
      <c r="AI34" s="113">
        <f t="array" ref="AI34">IFERROR(MROUND(IFERROR($D$34/SUM($D$17:$D$18)*SUM(AI17:AI18), $I$34/SUM($I$17:$I$18)*SUM(AI17:AI18)),5),0)</f>
        <v>0</v>
      </c>
      <c r="AJ34" s="113">
        <f t="array" ref="AJ34">IFERROR(MROUND(IFERROR($D$34/SUM($D$17:$D$18)*SUM(AJ17:AJ18), $I$34/SUM($I$17:$I$18)*SUM(AJ17:AJ18)),5),0)</f>
        <v>0</v>
      </c>
      <c r="AK34" s="113">
        <f t="array" ref="AK34">IFERROR(MROUND(IFERROR($D$34/SUM($D$17:$D$18)*SUM(AK17:AK18), $I$34/SUM($I$17:$I$18)*SUM(AK17:AK18)),5),0)</f>
        <v>0</v>
      </c>
      <c r="AL34" s="329">
        <f t="array" ref="AL34">IFERROR(MROUND(IFERROR($D$34/SUM($D$17:$D$18)*SUM(AL17:AL18), $I$34/SUM($I$17:$I$18)*SUM(AL17:AL18)),5),0)</f>
        <v>0</v>
      </c>
      <c r="AM34" s="239">
        <f t="shared" ref="AM34:AM39" si="10">AM33+W34</f>
        <v>0</v>
      </c>
    </row>
    <row r="35" spans="1:41" ht="20.100000000000001" customHeight="1" x14ac:dyDescent="0.2">
      <c r="A35" s="299">
        <v>45</v>
      </c>
      <c r="B35" s="277" t="s">
        <v>63</v>
      </c>
      <c r="C35" s="111"/>
      <c r="D35" s="111" t="e">
        <v>#N/A</v>
      </c>
      <c r="E35" s="111"/>
      <c r="F35" s="111"/>
      <c r="G35" s="111"/>
      <c r="H35" s="111"/>
      <c r="I35" s="111" t="e">
        <v>#N/A</v>
      </c>
      <c r="J35" s="111" t="e">
        <f t="shared" si="7"/>
        <v>#N/A</v>
      </c>
      <c r="K35" s="111" t="e">
        <f t="shared" si="8"/>
        <v>#N/A</v>
      </c>
      <c r="L35" s="111" t="e">
        <f t="shared" si="9"/>
        <v>#N/A</v>
      </c>
      <c r="M35" s="111">
        <f t="array" ref="M35">IFERROR(MROUND(IFERROR($D$35/SUM($D$19:$D$20)*SUM(M19:M20), $I$35/SUM($I$19:$I$20)*SUM(M19:M20)),5),0)</f>
        <v>0</v>
      </c>
      <c r="N35" s="111">
        <f t="array" ref="N35">IFERROR(MROUND(IFERROR($D$35/SUM($D$19:$D$20)*SUM(N19:N20), $I$35/SUM($I$19:$I$20)*SUM(N19:N20)),5),0)</f>
        <v>0</v>
      </c>
      <c r="O35" s="111">
        <f t="array" ref="O35">IFERROR(MROUND(IFERROR($D$35/SUM($D$19:$D$20)*SUM(O19:O20), $I$35/SUM($I$19:$I$20)*SUM(O19:O20)),5),0)</f>
        <v>0</v>
      </c>
      <c r="P35" s="111">
        <f t="array" ref="P35">IFERROR(MROUND(IFERROR($D$35/SUM($D$19:$D$20)*SUM(P19:P20), $I$35/SUM($I$19:$I$20)*SUM(P19:P20)),5),0)</f>
        <v>0</v>
      </c>
      <c r="Q35" s="111">
        <f t="array" ref="Q35">IFERROR(MROUND(IFERROR($D$35/SUM($D$19:$D$20)*SUM(Q19:Q20), $I$35/SUM($I$19:$I$20)*SUM(Q19:Q20)),5),0)</f>
        <v>0</v>
      </c>
      <c r="R35" s="111">
        <f t="array" ref="R35">IFERROR(MROUND(IFERROR($D$35/SUM($D$19:$D$20)*SUM(R19:R20), $I$35/SUM($I$19:$I$20)*SUM(R19:R20)),5),0)</f>
        <v>0</v>
      </c>
      <c r="S35" s="111">
        <f t="array" ref="S35">IFERROR(MROUND(IFERROR($D$35/SUM($D$19:$D$20)*SUM(S19:S20), $I$35/SUM($I$19:$I$20)*SUM(S19:S20)),5),0)</f>
        <v>0</v>
      </c>
      <c r="T35" s="111">
        <f t="array" ref="T35">IFERROR(MROUND(IFERROR($D$35/SUM($D$19:$D$20)*SUM(T19:T20), $I$35/SUM($I$19:$I$20)*SUM(T19:T20)),5),0)</f>
        <v>0</v>
      </c>
      <c r="U35" s="111">
        <f t="array" ref="U35">IFERROR(MROUND(IFERROR($D$35/SUM($D$19:$D$20)*SUM(U19:U20), $I$35/SUM($I$19:$I$20)*SUM(U19:U20)),5),0)</f>
        <v>0</v>
      </c>
      <c r="V35" s="111">
        <f t="array" ref="V35">IFERROR(MROUND(IFERROR($D$35/SUM($D$19:$D$20)*SUM(V19:V20), $I$35/SUM($I$19:$I$20)*SUM(V19:V20)),5),0)</f>
        <v>0</v>
      </c>
      <c r="W35" s="111">
        <f t="array" ref="W35">IFERROR(MROUND(IFERROR($D$35/SUM($D$19:$D$20)*SUM(W19:W20), $I$35/SUM($I$19:$I$20)*SUM(W19:W20)),5),0)</f>
        <v>0</v>
      </c>
      <c r="X35" s="111">
        <f t="array" ref="X35">IFERROR(MROUND(IFERROR($D$35/SUM($D$19:$D$20)*SUM(X19:X20), $I$35/SUM($I$19:$I$20)*SUM(X19:X20)),5),0)</f>
        <v>0</v>
      </c>
      <c r="Y35" s="111">
        <f t="array" ref="Y35">IFERROR(MROUND(IFERROR($D$35/SUM($D$19:$D$20)*SUM(Y19:Y20), $I$35/SUM($I$19:$I$20)*SUM(Y19:Y20)),5),0)</f>
        <v>0</v>
      </c>
      <c r="Z35" s="111">
        <f t="array" ref="Z35">IFERROR(MROUND(IFERROR($D$35/SUM($D$19:$D$20)*SUM(Z19:Z20), $I$35/SUM($I$19:$I$20)*SUM(Z19:Z20)),5),0)</f>
        <v>0</v>
      </c>
      <c r="AA35" s="111">
        <f t="array" ref="AA35">IFERROR(MROUND(IFERROR($D$35/SUM($D$19:$D$20)*SUM(AA19:AA20), $I$35/SUM($I$19:$I$20)*SUM(AA19:AA20)),5),0)</f>
        <v>0</v>
      </c>
      <c r="AB35" s="111">
        <f t="array" ref="AB35">IFERROR(MROUND(IFERROR($D$35/SUM($D$19:$D$20)*SUM(AB19:AB20), $I$35/SUM($I$19:$I$20)*SUM(AB19:AB20)),5),0)</f>
        <v>0</v>
      </c>
      <c r="AC35" s="111">
        <f t="array" ref="AC35">IFERROR(MROUND(IFERROR($D$35/SUM($D$19:$D$20)*SUM(AC19:AC20), $I$35/SUM($I$19:$I$20)*SUM(AC19:AC20)),5),0)</f>
        <v>0</v>
      </c>
      <c r="AD35" s="111">
        <f t="array" ref="AD35">IFERROR(MROUND(IFERROR($D$35/SUM($D$19:$D$20)*SUM(AD19:AD20), $I$35/SUM($I$19:$I$20)*SUM(AD19:AD20)),5),0)</f>
        <v>0</v>
      </c>
      <c r="AE35" s="111">
        <f t="array" ref="AE35">IFERROR(MROUND(IFERROR($D$35/SUM($D$19:$D$20)*SUM(AE19:AE20), $I$35/SUM($I$19:$I$20)*SUM(AE19:AE20)),5),0)</f>
        <v>0</v>
      </c>
      <c r="AF35" s="111">
        <f t="array" ref="AF35">IFERROR(MROUND(IFERROR($D$35/SUM($D$19:$D$20)*SUM(AF19:AF20), $I$35/SUM($I$19:$I$20)*SUM(AF19:AF20)),5),0)</f>
        <v>0</v>
      </c>
      <c r="AG35" s="111">
        <f t="array" ref="AG35">IFERROR(MROUND(IFERROR($D$35/SUM($D$19:$D$20)*SUM(AG19:AG20), $I$35/SUM($I$19:$I$20)*SUM(AG19:AG20)),5),0)</f>
        <v>0</v>
      </c>
      <c r="AH35" s="111">
        <f t="array" ref="AH35">IFERROR(MROUND(IFERROR($D$35/SUM($D$19:$D$20)*SUM(AH19:AH20), $I$35/SUM($I$19:$I$20)*SUM(AH19:AH20)),5),0)</f>
        <v>0</v>
      </c>
      <c r="AI35" s="111">
        <f t="array" ref="AI35">IFERROR(MROUND(IFERROR($D$35/SUM($D$19:$D$20)*SUM(AI19:AI20), $I$35/SUM($I$19:$I$20)*SUM(AI19:AI20)),5),0)</f>
        <v>0</v>
      </c>
      <c r="AJ35" s="111">
        <f t="array" ref="AJ35">IFERROR(MROUND(IFERROR($D$35/SUM($D$19:$D$20)*SUM(AJ19:AJ20), $I$35/SUM($I$19:$I$20)*SUM(AJ19:AJ20)),5),0)</f>
        <v>0</v>
      </c>
      <c r="AK35" s="111">
        <f t="array" ref="AK35">IFERROR(MROUND(IFERROR($D$35/SUM($D$19:$D$20)*SUM(AK19:AK20), $I$35/SUM($I$19:$I$20)*SUM(AK19:AK20)),5),0)</f>
        <v>0</v>
      </c>
      <c r="AL35" s="181">
        <f t="array" ref="AL35">IFERROR(MROUND(IFERROR($D$35/SUM($D$19:$D$20)*SUM(AL19:AL20), $I$35/SUM($I$19:$I$20)*SUM(AL19:AL20)),5),0)</f>
        <v>0</v>
      </c>
      <c r="AM35" s="239">
        <f t="shared" si="10"/>
        <v>0</v>
      </c>
    </row>
    <row r="36" spans="1:41" ht="20.100000000000001" customHeight="1" x14ac:dyDescent="0.2">
      <c r="A36" s="299">
        <v>55</v>
      </c>
      <c r="B36" s="118" t="s">
        <v>64</v>
      </c>
      <c r="C36" s="113"/>
      <c r="D36" s="113" t="e">
        <v>#N/A</v>
      </c>
      <c r="E36" s="113"/>
      <c r="F36" s="113"/>
      <c r="G36" s="113"/>
      <c r="H36" s="113"/>
      <c r="I36" s="113" t="e">
        <v>#N/A</v>
      </c>
      <c r="J36" s="113" t="e">
        <f t="shared" si="7"/>
        <v>#N/A</v>
      </c>
      <c r="K36" s="113" t="e">
        <f t="shared" si="8"/>
        <v>#N/A</v>
      </c>
      <c r="L36" s="113" t="e">
        <f t="shared" si="9"/>
        <v>#N/A</v>
      </c>
      <c r="M36" s="113">
        <f t="array" ref="M36">IFERROR(MROUND(IFERROR($D$36/SUM($D$21:$D$22)*SUM(M21:M22), $I$36/SUM($I$21:$I$22)*SUM(M21:M22)),5),0)</f>
        <v>0</v>
      </c>
      <c r="N36" s="113">
        <f t="array" ref="N36">IFERROR(MROUND(IFERROR($D$36/SUM($D$21:$D$22)*SUM(N21:N22), $I$36/SUM($I$21:$I$22)*SUM(N21:N22)),5),0)</f>
        <v>0</v>
      </c>
      <c r="O36" s="113">
        <f t="array" ref="O36">IFERROR(MROUND(IFERROR($D$36/SUM($D$21:$D$22)*SUM(O21:O22), $I$36/SUM($I$21:$I$22)*SUM(O21:O22)),5),0)</f>
        <v>0</v>
      </c>
      <c r="P36" s="113">
        <f t="array" ref="P36">IFERROR(MROUND(IFERROR($D$36/SUM($D$21:$D$22)*SUM(P21:P22), $I$36/SUM($I$21:$I$22)*SUM(P21:P22)),5),0)</f>
        <v>0</v>
      </c>
      <c r="Q36" s="113">
        <f t="array" ref="Q36">IFERROR(MROUND(IFERROR($D$36/SUM($D$21:$D$22)*SUM(Q21:Q22), $I$36/SUM($I$21:$I$22)*SUM(Q21:Q22)),5),0)</f>
        <v>0</v>
      </c>
      <c r="R36" s="113">
        <f t="array" ref="R36">IFERROR(MROUND(IFERROR($D$36/SUM($D$21:$D$22)*SUM(R21:R22), $I$36/SUM($I$21:$I$22)*SUM(R21:R22)),5),0)</f>
        <v>0</v>
      </c>
      <c r="S36" s="113">
        <f t="array" ref="S36">IFERROR(MROUND(IFERROR($D$36/SUM($D$21:$D$22)*SUM(S21:S22), $I$36/SUM($I$21:$I$22)*SUM(S21:S22)),5),0)</f>
        <v>0</v>
      </c>
      <c r="T36" s="113">
        <f t="array" ref="T36">IFERROR(MROUND(IFERROR($D$36/SUM($D$21:$D$22)*SUM(T21:T22), $I$36/SUM($I$21:$I$22)*SUM(T21:T22)),5),0)</f>
        <v>0</v>
      </c>
      <c r="U36" s="113">
        <f t="array" ref="U36">IFERROR(MROUND(IFERROR($D$36/SUM($D$21:$D$22)*SUM(U21:U22), $I$36/SUM($I$21:$I$22)*SUM(U21:U22)),5),0)</f>
        <v>0</v>
      </c>
      <c r="V36" s="113">
        <f t="array" ref="V36">IFERROR(MROUND(IFERROR($D$36/SUM($D$21:$D$22)*SUM(V21:V22), $I$36/SUM($I$21:$I$22)*SUM(V21:V22)),5),0)</f>
        <v>0</v>
      </c>
      <c r="W36" s="113">
        <f t="array" ref="W36">IFERROR(MROUND(IFERROR($D$36/SUM($D$21:$D$22)*SUM(W21:W22), $I$36/SUM($I$21:$I$22)*SUM(W21:W22)),5),0)</f>
        <v>0</v>
      </c>
      <c r="X36" s="113">
        <f t="array" ref="X36">IFERROR(MROUND(IFERROR($D$36/SUM($D$21:$D$22)*SUM(X21:X22), $I$36/SUM($I$21:$I$22)*SUM(X21:X22)),5),0)</f>
        <v>0</v>
      </c>
      <c r="Y36" s="113">
        <f t="array" ref="Y36">IFERROR(MROUND(IFERROR($D$36/SUM($D$21:$D$22)*SUM(Y21:Y22), $I$36/SUM($I$21:$I$22)*SUM(Y21:Y22)),5),0)</f>
        <v>0</v>
      </c>
      <c r="Z36" s="113">
        <f t="array" ref="Z36">IFERROR(MROUND(IFERROR($D$36/SUM($D$21:$D$22)*SUM(Z21:Z22), $I$36/SUM($I$21:$I$22)*SUM(Z21:Z22)),5),0)</f>
        <v>0</v>
      </c>
      <c r="AA36" s="113">
        <f t="array" ref="AA36">IFERROR(MROUND(IFERROR($D$36/SUM($D$21:$D$22)*SUM(AA21:AA22), $I$36/SUM($I$21:$I$22)*SUM(AA21:AA22)),5),0)</f>
        <v>0</v>
      </c>
      <c r="AB36" s="113">
        <f t="array" ref="AB36">IFERROR(MROUND(IFERROR($D$36/SUM($D$21:$D$22)*SUM(AB21:AB22), $I$36/SUM($I$21:$I$22)*SUM(AB21:AB22)),5),0)</f>
        <v>0</v>
      </c>
      <c r="AC36" s="113">
        <f t="array" ref="AC36">IFERROR(MROUND(IFERROR($D$36/SUM($D$21:$D$22)*SUM(AC21:AC22), $I$36/SUM($I$21:$I$22)*SUM(AC21:AC22)),5),0)</f>
        <v>0</v>
      </c>
      <c r="AD36" s="113">
        <f t="array" ref="AD36">IFERROR(MROUND(IFERROR($D$36/SUM($D$21:$D$22)*SUM(AD21:AD22), $I$36/SUM($I$21:$I$22)*SUM(AD21:AD22)),5),0)</f>
        <v>0</v>
      </c>
      <c r="AE36" s="113">
        <f t="array" ref="AE36">IFERROR(MROUND(IFERROR($D$36/SUM($D$21:$D$22)*SUM(AE21:AE22), $I$36/SUM($I$21:$I$22)*SUM(AE21:AE22)),5),0)</f>
        <v>0</v>
      </c>
      <c r="AF36" s="113">
        <f t="array" ref="AF36">IFERROR(MROUND(IFERROR($D$36/SUM($D$21:$D$22)*SUM(AF21:AF22), $I$36/SUM($I$21:$I$22)*SUM(AF21:AF22)),5),0)</f>
        <v>0</v>
      </c>
      <c r="AG36" s="113">
        <f t="array" ref="AG36">IFERROR(MROUND(IFERROR($D$36/SUM($D$21:$D$22)*SUM(AG21:AG22), $I$36/SUM($I$21:$I$22)*SUM(AG21:AG22)),5),0)</f>
        <v>0</v>
      </c>
      <c r="AH36" s="113">
        <f t="array" ref="AH36">IFERROR(MROUND(IFERROR($D$36/SUM($D$21:$D$22)*SUM(AH21:AH22), $I$36/SUM($I$21:$I$22)*SUM(AH21:AH22)),5),0)</f>
        <v>0</v>
      </c>
      <c r="AI36" s="113">
        <f t="array" ref="AI36">IFERROR(MROUND(IFERROR($D$36/SUM($D$21:$D$22)*SUM(AI21:AI22), $I$36/SUM($I$21:$I$22)*SUM(AI21:AI22)),5),0)</f>
        <v>0</v>
      </c>
      <c r="AJ36" s="113">
        <f t="array" ref="AJ36">IFERROR(MROUND(IFERROR($D$36/SUM($D$21:$D$22)*SUM(AJ21:AJ22), $I$36/SUM($I$21:$I$22)*SUM(AJ21:AJ22)),5),0)</f>
        <v>0</v>
      </c>
      <c r="AK36" s="113">
        <f t="array" ref="AK36">IFERROR(MROUND(IFERROR($D$36/SUM($D$21:$D$22)*SUM(AK21:AK22), $I$36/SUM($I$21:$I$22)*SUM(AK21:AK22)),5),0)</f>
        <v>0</v>
      </c>
      <c r="AL36" s="329">
        <f t="array" ref="AL36">IFERROR(MROUND(IFERROR($D$36/SUM($D$21:$D$22)*SUM(AL21:AL22), $I$36/SUM($I$21:$I$22)*SUM(AL21:AL22)),5),0)</f>
        <v>0</v>
      </c>
      <c r="AM36" s="239">
        <f t="shared" si="10"/>
        <v>0</v>
      </c>
    </row>
    <row r="37" spans="1:41" ht="20.100000000000001" customHeight="1" x14ac:dyDescent="0.2">
      <c r="A37" s="299">
        <v>65</v>
      </c>
      <c r="B37" s="277" t="s">
        <v>65</v>
      </c>
      <c r="C37" s="111"/>
      <c r="D37" s="111" t="e">
        <v>#N/A</v>
      </c>
      <c r="E37" s="111"/>
      <c r="F37" s="111"/>
      <c r="G37" s="111"/>
      <c r="H37" s="111"/>
      <c r="I37" s="111" t="e">
        <v>#N/A</v>
      </c>
      <c r="J37" s="111" t="e">
        <f t="shared" si="7"/>
        <v>#N/A</v>
      </c>
      <c r="K37" s="111" t="e">
        <f t="shared" si="8"/>
        <v>#N/A</v>
      </c>
      <c r="L37" s="111" t="e">
        <f t="shared" si="9"/>
        <v>#N/A</v>
      </c>
      <c r="M37" s="111">
        <f t="array" ref="M37">IFERROR(MROUND(IFERROR($D$37/SUM($D$23:$D$24)*SUM(M23:M24), $I$37/SUM($I$23:$I$24)*SUM(M23:M24)),5),0)</f>
        <v>0</v>
      </c>
      <c r="N37" s="111">
        <f t="array" ref="N37">IFERROR(MROUND(IFERROR($D$37/SUM($D$23:$D$24)*SUM(N23:N24), $I$37/SUM($I$23:$I$24)*SUM(N23:N24)),5),0)</f>
        <v>0</v>
      </c>
      <c r="O37" s="111">
        <f t="array" ref="O37">IFERROR(MROUND(IFERROR($D$37/SUM($D$23:$D$24)*SUM(O23:O24), $I$37/SUM($I$23:$I$24)*SUM(O23:O24)),5),0)</f>
        <v>0</v>
      </c>
      <c r="P37" s="111">
        <f t="array" ref="P37">IFERROR(MROUND(IFERROR($D$37/SUM($D$23:$D$24)*SUM(P23:P24), $I$37/SUM($I$23:$I$24)*SUM(P23:P24)),5),0)</f>
        <v>0</v>
      </c>
      <c r="Q37" s="111">
        <f t="array" ref="Q37">IFERROR(MROUND(IFERROR($D$37/SUM($D$23:$D$24)*SUM(Q23:Q24), $I$37/SUM($I$23:$I$24)*SUM(Q23:Q24)),5),0)</f>
        <v>0</v>
      </c>
      <c r="R37" s="111">
        <f t="array" ref="R37">IFERROR(MROUND(IFERROR($D$37/SUM($D$23:$D$24)*SUM(R23:R24), $I$37/SUM($I$23:$I$24)*SUM(R23:R24)),5),0)</f>
        <v>0</v>
      </c>
      <c r="S37" s="111">
        <f t="array" ref="S37">IFERROR(MROUND(IFERROR($D$37/SUM($D$23:$D$24)*SUM(S23:S24), $I$37/SUM($I$23:$I$24)*SUM(S23:S24)),5),0)</f>
        <v>0</v>
      </c>
      <c r="T37" s="111">
        <f t="array" ref="T37">IFERROR(MROUND(IFERROR($D$37/SUM($D$23:$D$24)*SUM(T23:T24), $I$37/SUM($I$23:$I$24)*SUM(T23:T24)),5),0)</f>
        <v>0</v>
      </c>
      <c r="U37" s="111">
        <f t="array" ref="U37">IFERROR(MROUND(IFERROR($D$37/SUM($D$23:$D$24)*SUM(U23:U24), $I$37/SUM($I$23:$I$24)*SUM(U23:U24)),5),0)</f>
        <v>0</v>
      </c>
      <c r="V37" s="111">
        <f t="array" ref="V37">IFERROR(MROUND(IFERROR($D$37/SUM($D$23:$D$24)*SUM(V23:V24), $I$37/SUM($I$23:$I$24)*SUM(V23:V24)),5),0)</f>
        <v>0</v>
      </c>
      <c r="W37" s="111">
        <f t="array" ref="W37">IFERROR(MROUND(IFERROR($D$37/SUM($D$23:$D$24)*SUM(W23:W24), $I$37/SUM($I$23:$I$24)*SUM(W23:W24)),5),0)</f>
        <v>0</v>
      </c>
      <c r="X37" s="111">
        <f t="array" ref="X37">IFERROR(MROUND(IFERROR($D$37/SUM($D$23:$D$24)*SUM(X23:X24), $I$37/SUM($I$23:$I$24)*SUM(X23:X24)),5),0)</f>
        <v>0</v>
      </c>
      <c r="Y37" s="111">
        <f t="array" ref="Y37">IFERROR(MROUND(IFERROR($D$37/SUM($D$23:$D$24)*SUM(Y23:Y24), $I$37/SUM($I$23:$I$24)*SUM(Y23:Y24)),5),0)</f>
        <v>0</v>
      </c>
      <c r="Z37" s="111">
        <f t="array" ref="Z37">IFERROR(MROUND(IFERROR($D$37/SUM($D$23:$D$24)*SUM(Z23:Z24), $I$37/SUM($I$23:$I$24)*SUM(Z23:Z24)),5),0)</f>
        <v>0</v>
      </c>
      <c r="AA37" s="111">
        <f t="array" ref="AA37">IFERROR(MROUND(IFERROR($D$37/SUM($D$23:$D$24)*SUM(AA23:AA24), $I$37/SUM($I$23:$I$24)*SUM(AA23:AA24)),5),0)</f>
        <v>0</v>
      </c>
      <c r="AB37" s="111">
        <f t="array" ref="AB37">IFERROR(MROUND(IFERROR($D$37/SUM($D$23:$D$24)*SUM(AB23:AB24), $I$37/SUM($I$23:$I$24)*SUM(AB23:AB24)),5),0)</f>
        <v>0</v>
      </c>
      <c r="AC37" s="111">
        <f t="array" ref="AC37">IFERROR(MROUND(IFERROR($D$37/SUM($D$23:$D$24)*SUM(AC23:AC24), $I$37/SUM($I$23:$I$24)*SUM(AC23:AC24)),5),0)</f>
        <v>0</v>
      </c>
      <c r="AD37" s="111">
        <f t="array" ref="AD37">IFERROR(MROUND(IFERROR($D$37/SUM($D$23:$D$24)*SUM(AD23:AD24), $I$37/SUM($I$23:$I$24)*SUM(AD23:AD24)),5),0)</f>
        <v>0</v>
      </c>
      <c r="AE37" s="111">
        <f t="array" ref="AE37">IFERROR(MROUND(IFERROR($D$37/SUM($D$23:$D$24)*SUM(AE23:AE24), $I$37/SUM($I$23:$I$24)*SUM(AE23:AE24)),5),0)</f>
        <v>0</v>
      </c>
      <c r="AF37" s="111">
        <f t="array" ref="AF37">IFERROR(MROUND(IFERROR($D$37/SUM($D$23:$D$24)*SUM(AF23:AF24), $I$37/SUM($I$23:$I$24)*SUM(AF23:AF24)),5),0)</f>
        <v>0</v>
      </c>
      <c r="AG37" s="111">
        <f t="array" ref="AG37">IFERROR(MROUND(IFERROR($D$37/SUM($D$23:$D$24)*SUM(AG23:AG24), $I$37/SUM($I$23:$I$24)*SUM(AG23:AG24)),5),0)</f>
        <v>0</v>
      </c>
      <c r="AH37" s="111">
        <f t="array" ref="AH37">IFERROR(MROUND(IFERROR($D$37/SUM($D$23:$D$24)*SUM(AH23:AH24), $I$37/SUM($I$23:$I$24)*SUM(AH23:AH24)),5),0)</f>
        <v>0</v>
      </c>
      <c r="AI37" s="111">
        <f t="array" ref="AI37">IFERROR(MROUND(IFERROR($D$37/SUM($D$23:$D$24)*SUM(AI23:AI24), $I$37/SUM($I$23:$I$24)*SUM(AI23:AI24)),5),0)</f>
        <v>0</v>
      </c>
      <c r="AJ37" s="111">
        <f t="array" ref="AJ37">IFERROR(MROUND(IFERROR($D$37/SUM($D$23:$D$24)*SUM(AJ23:AJ24), $I$37/SUM($I$23:$I$24)*SUM(AJ23:AJ24)),5),0)</f>
        <v>0</v>
      </c>
      <c r="AK37" s="111">
        <f t="array" ref="AK37">IFERROR(MROUND(IFERROR($D$37/SUM($D$23:$D$24)*SUM(AK23:AK24), $I$37/SUM($I$23:$I$24)*SUM(AK23:AK24)),5),0)</f>
        <v>0</v>
      </c>
      <c r="AL37" s="181">
        <f t="array" ref="AL37">IFERROR(MROUND(IFERROR($D$37/SUM($D$23:$D$24)*SUM(AL23:AL24), $I$37/SUM($I$23:$I$24)*SUM(AL23:AL24)),5),0)</f>
        <v>0</v>
      </c>
      <c r="AM37" s="239">
        <f t="shared" si="10"/>
        <v>0</v>
      </c>
      <c r="AO37" s="294" t="e">
        <f>SUMPRODUCT(I32:I39,A32:A39+4.5) / SUM(I32:I39)</f>
        <v>#N/A</v>
      </c>
    </row>
    <row r="38" spans="1:41" ht="20.100000000000001" customHeight="1" x14ac:dyDescent="0.2">
      <c r="A38" s="299">
        <v>75</v>
      </c>
      <c r="B38" s="118" t="s">
        <v>133</v>
      </c>
      <c r="C38" s="113"/>
      <c r="D38" s="113" t="e">
        <v>#N/A</v>
      </c>
      <c r="E38" s="113"/>
      <c r="F38" s="113"/>
      <c r="G38" s="113"/>
      <c r="H38" s="113"/>
      <c r="I38" s="113" t="e">
        <v>#N/A</v>
      </c>
      <c r="J38" s="113" t="e">
        <f t="shared" si="7"/>
        <v>#N/A</v>
      </c>
      <c r="K38" s="113" t="e">
        <f t="shared" si="8"/>
        <v>#N/A</v>
      </c>
      <c r="L38" s="113" t="e">
        <f t="shared" si="9"/>
        <v>#N/A</v>
      </c>
      <c r="M38" s="113">
        <f t="array" ref="M38">IFERROR(MROUND(IFERROR($D$37/SUM($D$25:$D$26)*SUM(M25:M26), $I$37/SUM($I$25:$I$26)*SUM(M25:M26)),5),0)</f>
        <v>0</v>
      </c>
      <c r="N38" s="113">
        <f t="array" ref="N38">IFERROR(MROUND(IFERROR($D$37/SUM($D$25:$D$26)*SUM(N25:N26), $I$37/SUM($I$25:$I$26)*SUM(N25:N26)),5),0)</f>
        <v>0</v>
      </c>
      <c r="O38" s="113">
        <f t="array" ref="O38">IFERROR(MROUND(IFERROR($D$37/SUM($D$25:$D$26)*SUM(O25:O26), $I$37/SUM($I$25:$I$26)*SUM(O25:O26)),5),0)</f>
        <v>0</v>
      </c>
      <c r="P38" s="113">
        <f t="array" ref="P38">IFERROR(MROUND(IFERROR($D$37/SUM($D$25:$D$26)*SUM(P25:P26), $I$37/SUM($I$25:$I$26)*SUM(P25:P26)),5),0)</f>
        <v>0</v>
      </c>
      <c r="Q38" s="113">
        <f t="array" ref="Q38">IFERROR(MROUND(IFERROR($D$37/SUM($D$25:$D$26)*SUM(Q25:Q26), $I$37/SUM($I$25:$I$26)*SUM(Q25:Q26)),5),0)</f>
        <v>0</v>
      </c>
      <c r="R38" s="113">
        <f t="array" ref="R38">IFERROR(MROUND(IFERROR($D$37/SUM($D$25:$D$26)*SUM(R25:R26), $I$37/SUM($I$25:$I$26)*SUM(R25:R26)),5),0)</f>
        <v>0</v>
      </c>
      <c r="S38" s="113">
        <f t="array" ref="S38">IFERROR(MROUND(IFERROR($D$37/SUM($D$25:$D$26)*SUM(S25:S26), $I$37/SUM($I$25:$I$26)*SUM(S25:S26)),5),0)</f>
        <v>0</v>
      </c>
      <c r="T38" s="113">
        <f t="array" ref="T38">IFERROR(MROUND(IFERROR($D$37/SUM($D$25:$D$26)*SUM(T25:T26), $I$37/SUM($I$25:$I$26)*SUM(T25:T26)),5),0)</f>
        <v>0</v>
      </c>
      <c r="U38" s="113">
        <f t="array" ref="U38">IFERROR(MROUND(IFERROR($D$37/SUM($D$25:$D$26)*SUM(U25:U26), $I$37/SUM($I$25:$I$26)*SUM(U25:U26)),5),0)</f>
        <v>0</v>
      </c>
      <c r="V38" s="113">
        <f t="array" ref="V38">IFERROR(MROUND(IFERROR($D$37/SUM($D$25:$D$26)*SUM(V25:V26), $I$37/SUM($I$25:$I$26)*SUM(V25:V26)),5),0)</f>
        <v>0</v>
      </c>
      <c r="W38" s="113">
        <f t="array" ref="W38">IFERROR(MROUND(IFERROR($D$37/SUM($D$25:$D$26)*SUM(W25:W26), $I$37/SUM($I$25:$I$26)*SUM(W25:W26)),5),0)</f>
        <v>0</v>
      </c>
      <c r="X38" s="113">
        <f t="array" ref="X38">IFERROR(MROUND(IFERROR($D$37/SUM($D$25:$D$26)*SUM(X25:X26), $I$37/SUM($I$25:$I$26)*SUM(X25:X26)),5),0)</f>
        <v>0</v>
      </c>
      <c r="Y38" s="113">
        <f t="array" ref="Y38">IFERROR(MROUND(IFERROR($D$37/SUM($D$25:$D$26)*SUM(Y25:Y26), $I$37/SUM($I$25:$I$26)*SUM(Y25:Y26)),5),0)</f>
        <v>0</v>
      </c>
      <c r="Z38" s="113">
        <f t="array" ref="Z38">IFERROR(MROUND(IFERROR($D$37/SUM($D$25:$D$26)*SUM(Z25:Z26), $I$37/SUM($I$25:$I$26)*SUM(Z25:Z26)),5),0)</f>
        <v>0</v>
      </c>
      <c r="AA38" s="113">
        <f t="array" ref="AA38">IFERROR(MROUND(IFERROR($D$37/SUM($D$25:$D$26)*SUM(AA25:AA26), $I$37/SUM($I$25:$I$26)*SUM(AA25:AA26)),5),0)</f>
        <v>0</v>
      </c>
      <c r="AB38" s="113">
        <f t="array" ref="AB38">IFERROR(MROUND(IFERROR($D$37/SUM($D$25:$D$26)*SUM(AB25:AB26), $I$37/SUM($I$25:$I$26)*SUM(AB25:AB26)),5),0)</f>
        <v>0</v>
      </c>
      <c r="AC38" s="113">
        <f t="array" ref="AC38">IFERROR(MROUND(IFERROR($D$37/SUM($D$25:$D$26)*SUM(AC25:AC26), $I$37/SUM($I$25:$I$26)*SUM(AC25:AC26)),5),0)</f>
        <v>0</v>
      </c>
      <c r="AD38" s="113">
        <f t="array" ref="AD38">IFERROR(MROUND(IFERROR($D$37/SUM($D$25:$D$26)*SUM(AD25:AD26), $I$37/SUM($I$25:$I$26)*SUM(AD25:AD26)),5),0)</f>
        <v>0</v>
      </c>
      <c r="AE38" s="113">
        <f t="array" ref="AE38">IFERROR(MROUND(IFERROR($D$37/SUM($D$25:$D$26)*SUM(AE25:AE26), $I$37/SUM($I$25:$I$26)*SUM(AE25:AE26)),5),0)</f>
        <v>0</v>
      </c>
      <c r="AF38" s="113">
        <f t="array" ref="AF38">IFERROR(MROUND(IFERROR($D$37/SUM($D$25:$D$26)*SUM(AF25:AF26), $I$37/SUM($I$25:$I$26)*SUM(AF25:AF26)),5),0)</f>
        <v>0</v>
      </c>
      <c r="AG38" s="113">
        <f t="array" ref="AG38">IFERROR(MROUND(IFERROR($D$37/SUM($D$25:$D$26)*SUM(AG25:AG26), $I$37/SUM($I$25:$I$26)*SUM(AG25:AG26)),5),0)</f>
        <v>0</v>
      </c>
      <c r="AH38" s="113">
        <f t="array" ref="AH38">IFERROR(MROUND(IFERROR($D$37/SUM($D$25:$D$26)*SUM(AH25:AH26), $I$37/SUM($I$25:$I$26)*SUM(AH25:AH26)),5),0)</f>
        <v>0</v>
      </c>
      <c r="AI38" s="113">
        <f t="array" ref="AI38">IFERROR(MROUND(IFERROR($D$37/SUM($D$25:$D$26)*SUM(AI25:AI26), $I$37/SUM($I$25:$I$26)*SUM(AI25:AI26)),5),0)</f>
        <v>0</v>
      </c>
      <c r="AJ38" s="113">
        <f t="array" ref="AJ38">IFERROR(MROUND(IFERROR($D$37/SUM($D$25:$D$26)*SUM(AJ25:AJ26), $I$37/SUM($I$25:$I$26)*SUM(AJ25:AJ26)),5),0)</f>
        <v>0</v>
      </c>
      <c r="AK38" s="113">
        <f t="array" ref="AK38">IFERROR(MROUND(IFERROR($D$37/SUM($D$25:$D$26)*SUM(AK25:AK26), $I$37/SUM($I$25:$I$26)*SUM(AK25:AK26)),5),0)</f>
        <v>0</v>
      </c>
      <c r="AL38" s="329">
        <f t="array" ref="AL38">IFERROR(MROUND(IFERROR($D$37/SUM($D$25:$D$26)*SUM(AL25:AL26), $I$37/SUM($I$25:$I$26)*SUM(AL25:AL26)),5),0)</f>
        <v>0</v>
      </c>
      <c r="AM38" s="239">
        <f>AM37+W38</f>
        <v>0</v>
      </c>
      <c r="AO38" s="294" t="e">
        <f>AO39+10*(AM40-AN39)/(AN40-AN39)</f>
        <v>#DIV/0!</v>
      </c>
    </row>
    <row r="39" spans="1:41" ht="20.100000000000001" customHeight="1" x14ac:dyDescent="0.2">
      <c r="A39" s="299">
        <v>85</v>
      </c>
      <c r="B39" s="158" t="s">
        <v>5</v>
      </c>
      <c r="C39" s="42"/>
      <c r="D39" s="42" t="e">
        <v>#N/A</v>
      </c>
      <c r="E39" s="42"/>
      <c r="F39" s="42"/>
      <c r="G39" s="42"/>
      <c r="H39" s="42"/>
      <c r="I39" s="42" t="e">
        <v>#N/A</v>
      </c>
      <c r="J39" s="42" t="e">
        <f t="shared" si="7"/>
        <v>#N/A</v>
      </c>
      <c r="K39" s="42" t="e">
        <f t="shared" si="8"/>
        <v>#N/A</v>
      </c>
      <c r="L39" s="42" t="e">
        <f t="shared" si="9"/>
        <v>#N/A</v>
      </c>
      <c r="M39" s="42">
        <f t="array" ref="M39">IFERROR(MROUND(IFERROR($D$39/SUM($D$27)*SUM(M27), $I$39/SUM($I$27)*SUM(M27)),5),0)</f>
        <v>0</v>
      </c>
      <c r="N39" s="42">
        <f t="array" ref="N39">IFERROR(MROUND(IFERROR($D$39/SUM($D$27)*SUM(N27), $I$39/SUM($I$27)*SUM(N27)),5),0)</f>
        <v>0</v>
      </c>
      <c r="O39" s="42">
        <f t="array" ref="O39">IFERROR(MROUND(IFERROR($D$39/SUM($D$27)*SUM(O27), $I$39/SUM($I$27)*SUM(O27)),5),0)</f>
        <v>0</v>
      </c>
      <c r="P39" s="42">
        <f t="array" ref="P39">IFERROR(MROUND(IFERROR($D$39/SUM($D$27)*SUM(P27), $I$39/SUM($I$27)*SUM(P27)),5),0)</f>
        <v>0</v>
      </c>
      <c r="Q39" s="42">
        <f t="array" ref="Q39">IFERROR(MROUND(IFERROR($D$39/SUM($D$27)*SUM(Q27), $I$39/SUM($I$27)*SUM(Q27)),5),0)</f>
        <v>0</v>
      </c>
      <c r="R39" s="42">
        <f t="array" ref="R39">IFERROR(MROUND(IFERROR($D$39/SUM($D$27)*SUM(R27), $I$39/SUM($I$27)*SUM(R27)),5),0)</f>
        <v>0</v>
      </c>
      <c r="S39" s="42">
        <f t="array" ref="S39">IFERROR(MROUND(IFERROR($D$39/SUM($D$27)*SUM(S27), $I$39/SUM($I$27)*SUM(S27)),5),0)</f>
        <v>0</v>
      </c>
      <c r="T39" s="42">
        <f t="array" ref="T39">IFERROR(MROUND(IFERROR($D$39/SUM($D$27)*SUM(T27), $I$39/SUM($I$27)*SUM(T27)),5),0)</f>
        <v>0</v>
      </c>
      <c r="U39" s="42">
        <f t="array" ref="U39">IFERROR(MROUND(IFERROR($D$39/SUM($D$27)*SUM(U27), $I$39/SUM($I$27)*SUM(U27)),5),0)</f>
        <v>0</v>
      </c>
      <c r="V39" s="42">
        <f t="array" ref="V39">IFERROR(MROUND(IFERROR($D$39/SUM($D$27)*SUM(V27), $I$39/SUM($I$27)*SUM(V27)),5),0)</f>
        <v>0</v>
      </c>
      <c r="W39" s="42">
        <f t="array" ref="W39">IFERROR(MROUND(IFERROR($D$39/SUM($D$27)*SUM(W27), $I$39/SUM($I$27)*SUM(W27)),5),0)</f>
        <v>0</v>
      </c>
      <c r="X39" s="42">
        <f t="array" ref="X39">IFERROR(MROUND(IFERROR($D$39/SUM($D$27)*SUM(X27), $I$39/SUM($I$27)*SUM(X27)),5),0)</f>
        <v>0</v>
      </c>
      <c r="Y39" s="42">
        <f t="array" ref="Y39">IFERROR(MROUND(IFERROR($D$39/SUM($D$27)*SUM(Y27), $I$39/SUM($I$27)*SUM(Y27)),5),0)</f>
        <v>0</v>
      </c>
      <c r="Z39" s="42">
        <f t="array" ref="Z39">IFERROR(MROUND(IFERROR($D$39/SUM($D$27)*SUM(Z27), $I$39/SUM($I$27)*SUM(Z27)),5),0)</f>
        <v>0</v>
      </c>
      <c r="AA39" s="42">
        <f t="array" ref="AA39">IFERROR(MROUND(IFERROR($D$39/SUM($D$27)*SUM(AA27), $I$39/SUM($I$27)*SUM(AA27)),5),0)</f>
        <v>0</v>
      </c>
      <c r="AB39" s="42">
        <f t="array" ref="AB39">IFERROR(MROUND(IFERROR($D$39/SUM($D$27)*SUM(AB27), $I$39/SUM($I$27)*SUM(AB27)),5),0)</f>
        <v>0</v>
      </c>
      <c r="AC39" s="42">
        <f t="array" ref="AC39">IFERROR(MROUND(IFERROR($D$39/SUM($D$27)*SUM(AC27), $I$39/SUM($I$27)*SUM(AC27)),5),0)</f>
        <v>0</v>
      </c>
      <c r="AD39" s="42">
        <f t="array" ref="AD39">IFERROR(MROUND(IFERROR($D$39/SUM($D$27)*SUM(AD27), $I$39/SUM($I$27)*SUM(AD27)),5),0)</f>
        <v>0</v>
      </c>
      <c r="AE39" s="42">
        <f t="array" ref="AE39">IFERROR(MROUND(IFERROR($D$39/SUM($D$27)*SUM(AE27), $I$39/SUM($I$27)*SUM(AE27)),5),0)</f>
        <v>0</v>
      </c>
      <c r="AF39" s="42">
        <f t="array" ref="AF39">IFERROR(MROUND(IFERROR($D$39/SUM($D$27)*SUM(AF27), $I$39/SUM($I$27)*SUM(AF27)),5),0)</f>
        <v>0</v>
      </c>
      <c r="AG39" s="42">
        <f t="array" ref="AG39">IFERROR(MROUND(IFERROR($D$39/SUM($D$27)*SUM(AG27), $I$39/SUM($I$27)*SUM(AG27)),5),0)</f>
        <v>0</v>
      </c>
      <c r="AH39" s="42">
        <f t="array" ref="AH39">IFERROR(MROUND(IFERROR($D$39/SUM($D$27)*SUM(AH27), $I$39/SUM($I$27)*SUM(AH27)),5),0)</f>
        <v>0</v>
      </c>
      <c r="AI39" s="42">
        <f t="array" ref="AI39">IFERROR(MROUND(IFERROR($D$39/SUM($D$27)*SUM(AI27), $I$39/SUM($I$27)*SUM(AI27)),5),0)</f>
        <v>0</v>
      </c>
      <c r="AJ39" s="42">
        <f t="array" ref="AJ39">IFERROR(MROUND(IFERROR($D$39/SUM($D$27)*SUM(AJ27), $I$39/SUM($I$27)*SUM(AJ27)),5),0)</f>
        <v>0</v>
      </c>
      <c r="AK39" s="42">
        <f t="array" ref="AK39">IFERROR(MROUND(IFERROR($D$39/SUM($D$27)*SUM(AK27), $I$39/SUM($I$27)*SUM(AK27)),5),0)</f>
        <v>0</v>
      </c>
      <c r="AL39" s="347">
        <f t="array" ref="AL39">IFERROR(MROUND(IFERROR($D$39/SUM($D$27)*SUM(AL27), $I$39/SUM($I$27)*SUM(AL27)),5),0)</f>
        <v>0</v>
      </c>
      <c r="AM39" s="239">
        <f t="shared" si="10"/>
        <v>0</v>
      </c>
      <c r="AN39" s="186">
        <f>INDEX($AM$32:$AM$39,MATCH(AN40,AM32:AM39,0)-1,0)</f>
        <v>0</v>
      </c>
      <c r="AO39" s="1">
        <f>INDEX(A32:A39,MATCH(AN39,AM32:AM39,0),0)+10</f>
        <v>25</v>
      </c>
    </row>
    <row r="40" spans="1:41" ht="20.100000000000001" customHeight="1" x14ac:dyDescent="0.2">
      <c r="B40" s="124" t="s">
        <v>377</v>
      </c>
      <c r="C40" s="404"/>
      <c r="D40" s="404"/>
      <c r="E40" s="404"/>
      <c r="F40" s="404"/>
      <c r="G40" s="404"/>
      <c r="H40" s="404"/>
      <c r="I40" s="404" t="e">
        <f>dwell!$N$17</f>
        <v>#N/A</v>
      </c>
      <c r="J40" s="373" t="e">
        <f t="shared" ref="J40:L40" si="11">MROUND($I$40/$I$31*J31,5)</f>
        <v>#N/A</v>
      </c>
      <c r="K40" s="373" t="e">
        <f t="shared" si="11"/>
        <v>#N/A</v>
      </c>
      <c r="L40" s="373" t="e">
        <f t="shared" si="11"/>
        <v>#N/A</v>
      </c>
      <c r="M40" s="373" t="e">
        <f>MROUND($I$40/$I$31*M31,5)</f>
        <v>#N/A</v>
      </c>
      <c r="N40" s="373" t="e">
        <f t="shared" ref="N40:AL40" si="12">MROUND($I$40/$I$31*N31,5)</f>
        <v>#N/A</v>
      </c>
      <c r="O40" s="373" t="e">
        <f t="shared" si="12"/>
        <v>#N/A</v>
      </c>
      <c r="P40" s="373" t="e">
        <f t="shared" si="12"/>
        <v>#N/A</v>
      </c>
      <c r="Q40" s="373" t="e">
        <f t="shared" si="12"/>
        <v>#N/A</v>
      </c>
      <c r="R40" s="373" t="e">
        <f t="shared" si="12"/>
        <v>#N/A</v>
      </c>
      <c r="S40" s="373" t="e">
        <f t="shared" si="12"/>
        <v>#N/A</v>
      </c>
      <c r="T40" s="373" t="e">
        <f t="shared" si="12"/>
        <v>#N/A</v>
      </c>
      <c r="U40" s="373" t="e">
        <f t="shared" si="12"/>
        <v>#N/A</v>
      </c>
      <c r="V40" s="373" t="e">
        <f t="shared" si="12"/>
        <v>#N/A</v>
      </c>
      <c r="W40" s="373" t="e">
        <f t="shared" si="12"/>
        <v>#N/A</v>
      </c>
      <c r="X40" s="373" t="e">
        <f t="shared" si="12"/>
        <v>#N/A</v>
      </c>
      <c r="Y40" s="373" t="e">
        <f t="shared" si="12"/>
        <v>#N/A</v>
      </c>
      <c r="Z40" s="373" t="e">
        <f t="shared" si="12"/>
        <v>#N/A</v>
      </c>
      <c r="AA40" s="373" t="e">
        <f t="shared" si="12"/>
        <v>#N/A</v>
      </c>
      <c r="AB40" s="373" t="e">
        <f t="shared" si="12"/>
        <v>#N/A</v>
      </c>
      <c r="AC40" s="373" t="e">
        <f t="shared" si="12"/>
        <v>#N/A</v>
      </c>
      <c r="AD40" s="373" t="e">
        <f t="shared" si="12"/>
        <v>#N/A</v>
      </c>
      <c r="AE40" s="373" t="e">
        <f t="shared" si="12"/>
        <v>#N/A</v>
      </c>
      <c r="AF40" s="373" t="e">
        <f t="shared" si="12"/>
        <v>#N/A</v>
      </c>
      <c r="AG40" s="373" t="e">
        <f t="shared" si="12"/>
        <v>#N/A</v>
      </c>
      <c r="AH40" s="373" t="e">
        <f t="shared" si="12"/>
        <v>#N/A</v>
      </c>
      <c r="AI40" s="373" t="e">
        <f t="shared" si="12"/>
        <v>#N/A</v>
      </c>
      <c r="AJ40" s="373" t="e">
        <f t="shared" si="12"/>
        <v>#N/A</v>
      </c>
      <c r="AK40" s="373" t="e">
        <f t="shared" si="12"/>
        <v>#N/A</v>
      </c>
      <c r="AL40" s="350" t="e">
        <f t="shared" si="12"/>
        <v>#N/A</v>
      </c>
      <c r="AM40" s="239">
        <f>AM39/2</f>
        <v>0</v>
      </c>
      <c r="AN40" s="186">
        <f>_xlfn.MINIFS(AM32:AM39,AM32:AM39,"&gt;"&amp;AM40)</f>
        <v>0</v>
      </c>
      <c r="AO40" s="1">
        <f>AO39+9</f>
        <v>34</v>
      </c>
    </row>
    <row r="44" spans="1:41" ht="50.1" customHeight="1" x14ac:dyDescent="0.2">
      <c r="B44" s="159" t="s">
        <v>15</v>
      </c>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351"/>
      <c r="AD44" s="351"/>
      <c r="AE44" s="351"/>
      <c r="AF44" s="351"/>
      <c r="AG44" s="351"/>
      <c r="AH44" s="351"/>
    </row>
    <row r="46" spans="1:41" ht="30" customHeight="1" x14ac:dyDescent="0.2">
      <c r="B46" s="175" t="s">
        <v>16</v>
      </c>
      <c r="C46" s="310"/>
      <c r="D46" s="310"/>
      <c r="E46" s="310"/>
      <c r="F46" s="310"/>
      <c r="G46" s="310"/>
      <c r="H46" s="310"/>
      <c r="J46" s="175" t="s">
        <v>22</v>
      </c>
      <c r="K46" s="310"/>
      <c r="L46" s="310"/>
      <c r="M46" s="310"/>
      <c r="N46" s="310"/>
      <c r="O46" s="310"/>
      <c r="Q46" s="175" t="s">
        <v>41</v>
      </c>
      <c r="R46" s="310"/>
      <c r="T46" s="175" t="s">
        <v>29</v>
      </c>
      <c r="U46" s="310"/>
      <c r="V46" s="310"/>
      <c r="W46" s="310"/>
      <c r="X46" s="310"/>
      <c r="Y46" s="310"/>
    </row>
    <row r="48" spans="1:41" ht="20.100000000000001" customHeight="1" x14ac:dyDescent="0.2">
      <c r="B48" s="188"/>
      <c r="C48" s="1215" t="s">
        <v>325</v>
      </c>
      <c r="D48" s="1216"/>
      <c r="E48" s="1217" t="s">
        <v>328</v>
      </c>
      <c r="G48" s="77" t="s">
        <v>21</v>
      </c>
      <c r="H48" s="301" t="s">
        <v>20</v>
      </c>
      <c r="J48" s="192"/>
      <c r="K48" s="54"/>
      <c r="L48" s="268" t="s">
        <v>26</v>
      </c>
      <c r="M48" s="268" t="s">
        <v>28</v>
      </c>
      <c r="N48" s="268" t="s">
        <v>27</v>
      </c>
      <c r="O48" s="312" t="s">
        <v>148</v>
      </c>
      <c r="Q48" s="96"/>
      <c r="R48" s="335">
        <v>2025</v>
      </c>
      <c r="T48" s="192"/>
      <c r="U48" s="54"/>
      <c r="V48" s="104" t="s">
        <v>181</v>
      </c>
      <c r="W48" s="268" t="s">
        <v>182</v>
      </c>
      <c r="X48" s="268" t="s">
        <v>183</v>
      </c>
      <c r="Y48" s="312" t="s">
        <v>148</v>
      </c>
    </row>
    <row r="49" spans="1:34" ht="20.100000000000001" customHeight="1" x14ac:dyDescent="0.2">
      <c r="B49" s="77" t="s">
        <v>107</v>
      </c>
      <c r="C49" s="200" t="s">
        <v>326</v>
      </c>
      <c r="D49" s="125" t="s">
        <v>327</v>
      </c>
      <c r="E49" s="1218"/>
      <c r="G49" s="208" t="s">
        <v>17</v>
      </c>
      <c r="H49" s="185" t="str">
        <f>E50</f>
        <v>x</v>
      </c>
      <c r="J49" s="148" t="s">
        <v>24</v>
      </c>
      <c r="K49" s="181"/>
      <c r="L49" s="222">
        <v>0.03</v>
      </c>
      <c r="M49" s="222" t="str">
        <f>dwell!E102</f>
        <v>x</v>
      </c>
      <c r="N49" s="35" t="e">
        <f>ROUND(M49*M31,0)</f>
        <v>#VALUE!</v>
      </c>
      <c r="O49" s="391" t="e">
        <f>ROUND(N49/(1-L49),0)</f>
        <v>#VALUE!</v>
      </c>
      <c r="Q49" s="211" t="s">
        <v>1389</v>
      </c>
      <c r="R49" s="243" t="e">
        <f>INDEX(df_unhoused!$B$2:$B$100, MATCH($B$2, df_unhoused!$A$2:$A$100, 0), 0)</f>
        <v>#N/A</v>
      </c>
      <c r="T49" s="148" t="s">
        <v>445</v>
      </c>
      <c r="U49" s="181"/>
      <c r="V49" s="270">
        <f t="array" ref="V49:V50">need!D95:D96</f>
        <v>0</v>
      </c>
      <c r="W49" s="300">
        <f t="array" ref="W49:W50">need!E95:E96</f>
        <v>0</v>
      </c>
      <c r="X49" s="393">
        <f t="array" ref="X49:X50">need!F95:F96</f>
        <v>0</v>
      </c>
      <c r="Y49" s="391">
        <f>M31</f>
        <v>0</v>
      </c>
    </row>
    <row r="50" spans="1:34" ht="20.100000000000001" customHeight="1" x14ac:dyDescent="0.2">
      <c r="B50" s="208" t="s">
        <v>6</v>
      </c>
      <c r="C50" s="193" t="str">
        <f t="array" ref="C50:E58">hh!E88:G96</f>
        <v>x</v>
      </c>
      <c r="D50" s="185">
        <v>0</v>
      </c>
      <c r="E50" s="185" t="str">
        <v>x</v>
      </c>
      <c r="G50" s="354" t="s">
        <v>18</v>
      </c>
      <c r="H50" s="303">
        <f>SUMIF(E51:E58,"&gt;"&amp;0)</f>
        <v>0</v>
      </c>
      <c r="J50" s="76" t="s">
        <v>25</v>
      </c>
      <c r="K50" s="52"/>
      <c r="L50" s="395" t="str">
        <f>IF(rental!D34 = "x",rental!F34,rental!D34)</f>
        <v>x</v>
      </c>
      <c r="M50" s="395" t="str">
        <f>M49</f>
        <v>x</v>
      </c>
      <c r="N50" s="152" t="e">
        <f>N49</f>
        <v>#VALUE!</v>
      </c>
      <c r="O50" s="79" t="e">
        <f>ROUND(N50/(1-L50),0)</f>
        <v>#VALUE!</v>
      </c>
      <c r="Q50" s="124" t="s">
        <v>1390</v>
      </c>
      <c r="R50" s="79" t="e">
        <f>ROUND(R49*popn_now!L12/popn_now!N12,0)</f>
        <v>#N/A</v>
      </c>
      <c r="T50" s="76" t="s">
        <v>32</v>
      </c>
      <c r="U50" s="52"/>
      <c r="V50" s="369">
        <v>0</v>
      </c>
      <c r="W50" s="152">
        <v>0</v>
      </c>
      <c r="X50" s="402">
        <v>0</v>
      </c>
      <c r="Y50" s="79" t="e">
        <f>ROUND(Y49*Y51,0)</f>
        <v>#DIV/0!</v>
      </c>
    </row>
    <row r="51" spans="1:34" ht="20.100000000000001" customHeight="1" x14ac:dyDescent="0.2">
      <c r="A51" s="1">
        <v>0</v>
      </c>
      <c r="B51" s="354" t="s">
        <v>60</v>
      </c>
      <c r="C51" s="357" t="str">
        <v>x</v>
      </c>
      <c r="D51" s="303" t="str">
        <v>x</v>
      </c>
      <c r="E51" s="303" t="str">
        <v>x</v>
      </c>
      <c r="G51" s="158" t="s">
        <v>19</v>
      </c>
      <c r="H51" s="185">
        <f>SUMIF(E51:E58,"&lt;"&amp;0)</f>
        <v>0</v>
      </c>
      <c r="J51" s="179" t="s">
        <v>6</v>
      </c>
      <c r="K51" s="214"/>
      <c r="L51" s="259"/>
      <c r="M51" s="174"/>
      <c r="N51" s="174"/>
      <c r="O51" s="336" t="e">
        <f>O49-O50</f>
        <v>#VALUE!</v>
      </c>
      <c r="T51" s="179" t="s">
        <v>31</v>
      </c>
      <c r="U51" s="214"/>
      <c r="V51" s="162" t="e">
        <f>V50/V49</f>
        <v>#DIV/0!</v>
      </c>
      <c r="W51" s="50" t="e">
        <f>W50/W49</f>
        <v>#DIV/0!</v>
      </c>
      <c r="X51" s="50" t="e">
        <f>X50/X49</f>
        <v>#DIV/0!</v>
      </c>
      <c r="Y51" s="60" t="e">
        <f>IFERROR(IF(V51=0,AVERAGE(W51:X51),V51),AVERAGE(W51:X51))</f>
        <v>#DIV/0!</v>
      </c>
    </row>
    <row r="52" spans="1:34" ht="20.100000000000001" customHeight="1" x14ac:dyDescent="0.2">
      <c r="A52" s="1">
        <v>1</v>
      </c>
      <c r="B52" s="277" t="s">
        <v>61</v>
      </c>
      <c r="C52" s="139" t="str">
        <v>x</v>
      </c>
      <c r="D52" s="80" t="str">
        <v>x</v>
      </c>
      <c r="E52" s="80" t="str">
        <v>x</v>
      </c>
    </row>
    <row r="53" spans="1:34" ht="20.100000000000001" customHeight="1" x14ac:dyDescent="0.2">
      <c r="A53" s="1">
        <v>2</v>
      </c>
      <c r="B53" s="118" t="s">
        <v>62</v>
      </c>
      <c r="C53" s="198" t="str">
        <v>x</v>
      </c>
      <c r="D53" s="172" t="str">
        <v>x</v>
      </c>
      <c r="E53" s="172" t="str">
        <v>x</v>
      </c>
    </row>
    <row r="54" spans="1:34" ht="20.100000000000001" customHeight="1" x14ac:dyDescent="0.2">
      <c r="A54" s="1">
        <v>3</v>
      </c>
      <c r="B54" s="277" t="s">
        <v>63</v>
      </c>
      <c r="C54" s="139" t="str">
        <v>x</v>
      </c>
      <c r="D54" s="80" t="str">
        <v>x</v>
      </c>
      <c r="E54" s="80" t="str">
        <v>x</v>
      </c>
    </row>
    <row r="55" spans="1:34" ht="20.100000000000001" customHeight="1" x14ac:dyDescent="0.2">
      <c r="A55" s="1">
        <v>4</v>
      </c>
      <c r="B55" s="118" t="s">
        <v>64</v>
      </c>
      <c r="C55" s="198" t="str">
        <v>x</v>
      </c>
      <c r="D55" s="172" t="str">
        <v>x</v>
      </c>
      <c r="E55" s="172" t="str">
        <v>x</v>
      </c>
    </row>
    <row r="56" spans="1:34" ht="20.100000000000001" customHeight="1" x14ac:dyDescent="0.2">
      <c r="A56" s="1">
        <v>5</v>
      </c>
      <c r="B56" s="277" t="s">
        <v>65</v>
      </c>
      <c r="C56" s="139" t="str">
        <v>x</v>
      </c>
      <c r="D56" s="80" t="str">
        <v>x</v>
      </c>
      <c r="E56" s="80" t="str">
        <v>x</v>
      </c>
    </row>
    <row r="57" spans="1:34" ht="20.100000000000001" customHeight="1" x14ac:dyDescent="0.2">
      <c r="A57" s="1">
        <v>6</v>
      </c>
      <c r="B57" s="118" t="s">
        <v>133</v>
      </c>
      <c r="C57" s="198" t="str">
        <v>x</v>
      </c>
      <c r="D57" s="172" t="str">
        <v>x</v>
      </c>
      <c r="E57" s="172" t="str">
        <v>x</v>
      </c>
    </row>
    <row r="58" spans="1:34" ht="20.100000000000001" customHeight="1" x14ac:dyDescent="0.2">
      <c r="B58" s="158" t="s">
        <v>5</v>
      </c>
      <c r="C58" s="193" t="str">
        <v>x</v>
      </c>
      <c r="D58" s="185" t="str">
        <v>x</v>
      </c>
      <c r="E58" s="185" t="str">
        <v>x</v>
      </c>
    </row>
    <row r="59" spans="1:34" ht="20.100000000000001" customHeight="1" x14ac:dyDescent="0.2">
      <c r="B59" s="239"/>
      <c r="K59" s="239"/>
      <c r="L59" s="239"/>
      <c r="M59" s="239"/>
    </row>
    <row r="60" spans="1:34" ht="20.100000000000001" customHeight="1" x14ac:dyDescent="0.2">
      <c r="B60" s="239"/>
      <c r="K60" s="239"/>
      <c r="L60" s="239"/>
      <c r="M60" s="239"/>
    </row>
    <row r="62" spans="1:34" ht="50.1" customHeight="1" x14ac:dyDescent="0.2">
      <c r="B62" s="159" t="s">
        <v>474</v>
      </c>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351"/>
      <c r="AD62" s="351"/>
      <c r="AE62" s="351"/>
      <c r="AF62" s="351"/>
      <c r="AG62" s="351"/>
      <c r="AH62" s="351"/>
    </row>
    <row r="64" spans="1:34" ht="30" customHeight="1" x14ac:dyDescent="0.2">
      <c r="B64" s="175" t="s">
        <v>475</v>
      </c>
      <c r="C64" s="310"/>
      <c r="D64" s="310"/>
      <c r="F64" s="175" t="s">
        <v>378</v>
      </c>
      <c r="G64" s="310"/>
      <c r="H64" s="310"/>
      <c r="J64" s="175" t="s">
        <v>36</v>
      </c>
      <c r="K64" s="175"/>
      <c r="L64" s="175"/>
      <c r="M64" s="175"/>
      <c r="N64" s="175"/>
      <c r="O64" s="175"/>
      <c r="P64" s="175"/>
      <c r="Q64" s="175"/>
    </row>
    <row r="65" spans="2:34" ht="20.100000000000001" customHeight="1" x14ac:dyDescent="0.2">
      <c r="B65" s="136" t="s">
        <v>33</v>
      </c>
      <c r="C65" s="273" t="s">
        <v>35</v>
      </c>
      <c r="D65" s="273" t="s">
        <v>134</v>
      </c>
      <c r="F65" s="192"/>
      <c r="G65" s="54"/>
      <c r="H65" s="335">
        <v>2021</v>
      </c>
      <c r="J65" s="65"/>
      <c r="K65" s="268">
        <v>2021</v>
      </c>
      <c r="L65" s="268">
        <v>2025</v>
      </c>
      <c r="M65" s="312" t="s">
        <v>149</v>
      </c>
      <c r="N65" s="268">
        <v>2035</v>
      </c>
      <c r="O65" s="268">
        <v>2045</v>
      </c>
      <c r="P65" s="312" t="s">
        <v>901</v>
      </c>
      <c r="Q65" s="273" t="s">
        <v>150</v>
      </c>
    </row>
    <row r="66" spans="2:34" ht="20.100000000000001" customHeight="1" x14ac:dyDescent="0.2">
      <c r="B66" s="249" t="s">
        <v>144</v>
      </c>
      <c r="C66" s="80">
        <f>IF(H50 &gt;0, H50, 0)</f>
        <v>0</v>
      </c>
      <c r="D66" s="80" t="e">
        <f>MROUND(C66*$H$68,5)</f>
        <v>#N/A</v>
      </c>
      <c r="F66" s="148" t="s">
        <v>37</v>
      </c>
      <c r="G66" s="181"/>
      <c r="H66" s="181" t="e">
        <f>I40</f>
        <v>#N/A</v>
      </c>
      <c r="J66" s="169" t="s">
        <v>30</v>
      </c>
      <c r="K66" s="36" t="e">
        <f>I31</f>
        <v>#N/A</v>
      </c>
      <c r="L66" s="164">
        <f>M31</f>
        <v>0</v>
      </c>
      <c r="M66" s="368" t="e">
        <f>L66-K66</f>
        <v>#N/A</v>
      </c>
      <c r="N66" s="164">
        <f>ROUND(INDEX($M$31:$W$31,0,MATCH($N$65,$M$30:$W$30,0)),0)</f>
        <v>0</v>
      </c>
      <c r="O66" s="164">
        <f>ROUND(INDEX($M$31:$AH$31,0,MATCH($O$65,$M$30:$AH$30,0)),0)</f>
        <v>0</v>
      </c>
      <c r="P66" s="368">
        <f>N66-L66</f>
        <v>0</v>
      </c>
      <c r="Q66" s="406">
        <f>O66-N66+P66</f>
        <v>0</v>
      </c>
    </row>
    <row r="67" spans="2:34" ht="20.100000000000001" customHeight="1" x14ac:dyDescent="0.2">
      <c r="B67" s="118" t="s">
        <v>143</v>
      </c>
      <c r="C67" s="172" t="e">
        <f>M66</f>
        <v>#N/A</v>
      </c>
      <c r="D67" s="172" t="e">
        <f>IFERROR(MROUND(C67*$H$68,5),MROUND(C67*$H$68,-5))</f>
        <v>#N/A</v>
      </c>
      <c r="F67" s="76" t="s">
        <v>38</v>
      </c>
      <c r="G67" s="52"/>
      <c r="H67" s="329" t="e">
        <f>I31</f>
        <v>#N/A</v>
      </c>
      <c r="J67" s="315" t="s">
        <v>135</v>
      </c>
      <c r="K67" s="259"/>
      <c r="L67" s="174"/>
      <c r="M67" s="165" t="e">
        <f>MROUND(M66*$H$68,5)</f>
        <v>#N/A</v>
      </c>
      <c r="N67" s="174"/>
      <c r="O67" s="174"/>
      <c r="P67" s="165" t="e">
        <f>MROUND(P66*$H$68,5)</f>
        <v>#N/A</v>
      </c>
      <c r="Q67" s="57" t="e">
        <f>MROUND(Q66*$H$68,5)</f>
        <v>#N/A</v>
      </c>
    </row>
    <row r="68" spans="2:34" ht="20.100000000000001" customHeight="1" x14ac:dyDescent="0.2">
      <c r="B68" s="277" t="s">
        <v>23</v>
      </c>
      <c r="C68" s="80" t="e">
        <f>IF(O51&gt;0,O51,0)</f>
        <v>#VALUE!</v>
      </c>
      <c r="D68" s="80" t="e">
        <f t="shared" ref="D68:D70" si="13">MROUND(C68*$H$68,5)</f>
        <v>#VALUE!</v>
      </c>
      <c r="F68" s="179" t="s">
        <v>39</v>
      </c>
      <c r="G68" s="214"/>
      <c r="H68" s="401" t="e">
        <f>H66/H67</f>
        <v>#N/A</v>
      </c>
    </row>
    <row r="69" spans="2:34" ht="20.100000000000001" customHeight="1" x14ac:dyDescent="0.2">
      <c r="B69" s="349" t="s">
        <v>40</v>
      </c>
      <c r="C69" s="352">
        <f>IFERROR(R50,0)</f>
        <v>0</v>
      </c>
      <c r="D69" s="352" t="e">
        <f t="shared" si="13"/>
        <v>#N/A</v>
      </c>
    </row>
    <row r="70" spans="2:34" ht="20.100000000000001" customHeight="1" x14ac:dyDescent="0.2">
      <c r="B70" s="277" t="s">
        <v>32</v>
      </c>
      <c r="C70" s="80" t="e">
        <f>MROUND(Y50,5)</f>
        <v>#DIV/0!</v>
      </c>
      <c r="D70" s="80" t="e">
        <f t="shared" si="13"/>
        <v>#DIV/0!</v>
      </c>
    </row>
    <row r="71" spans="2:34" ht="20.100000000000001" customHeight="1" x14ac:dyDescent="0.2">
      <c r="B71" s="131" t="s">
        <v>145</v>
      </c>
      <c r="C71" s="197" t="e">
        <f>IF(MROUND(D71/H68,5) &lt; 1, MROUND(dwell!C58/5 * (L65-K65), 5), MROUND(D71/H68,5))</f>
        <v>#N/A</v>
      </c>
      <c r="D71" s="197" t="e">
        <f>IF(MROUND(AVERAGE(dwell!$C$17:$H$17) * (L65-K65),5) &lt; 5, MROUND(dwell!C58/5 * (L65-K65) * H68, 5), MROUND(AVERAGE(dwell!$C$17:$H$17) * (L65-K65),5))</f>
        <v>#N/A</v>
      </c>
    </row>
    <row r="72" spans="2:34" ht="20.100000000000001" customHeight="1" x14ac:dyDescent="0.2">
      <c r="B72" s="158" t="s">
        <v>6</v>
      </c>
      <c r="C72" s="163" t="e">
        <f>SUM(C66:C69)-C71</f>
        <v>#N/A</v>
      </c>
      <c r="D72" s="163" t="e">
        <f>SUM(D66:D69)-D71</f>
        <v>#N/A</v>
      </c>
    </row>
    <row r="76" spans="2:34" ht="50.1" customHeight="1" x14ac:dyDescent="0.2">
      <c r="B76" s="159" t="s">
        <v>476</v>
      </c>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351"/>
      <c r="AD76" s="351"/>
      <c r="AE76" s="351"/>
      <c r="AF76" s="351"/>
      <c r="AG76" s="351"/>
      <c r="AH76" s="351"/>
    </row>
    <row r="78" spans="2:34" ht="20.100000000000001" customHeight="1" x14ac:dyDescent="0.2">
      <c r="B78" s="1213" t="s">
        <v>478</v>
      </c>
      <c r="C78" s="1214"/>
      <c r="D78" s="203">
        <v>2021</v>
      </c>
      <c r="E78" s="194">
        <v>2022</v>
      </c>
      <c r="F78" s="194">
        <v>2023</v>
      </c>
      <c r="G78" s="194">
        <v>2024</v>
      </c>
      <c r="H78" s="194">
        <v>2025</v>
      </c>
      <c r="I78" s="194">
        <v>2026</v>
      </c>
      <c r="J78" s="194">
        <v>2027</v>
      </c>
      <c r="K78" s="194">
        <v>2028</v>
      </c>
      <c r="L78" s="194">
        <v>2029</v>
      </c>
      <c r="M78" s="194">
        <v>2030</v>
      </c>
      <c r="N78" s="194">
        <v>2031</v>
      </c>
      <c r="O78" s="194">
        <v>2032</v>
      </c>
      <c r="P78" s="194">
        <v>2033</v>
      </c>
      <c r="Q78" s="194">
        <v>2034</v>
      </c>
      <c r="R78" s="194">
        <v>2035</v>
      </c>
      <c r="S78" s="194">
        <v>2036</v>
      </c>
      <c r="T78" s="194">
        <v>2037</v>
      </c>
      <c r="U78" s="194">
        <v>2038</v>
      </c>
      <c r="V78" s="194">
        <v>2039</v>
      </c>
      <c r="W78" s="250">
        <v>2040</v>
      </c>
    </row>
    <row r="79" spans="2:34" ht="20.100000000000001" customHeight="1" x14ac:dyDescent="0.2">
      <c r="B79" s="145" t="s">
        <v>479</v>
      </c>
      <c r="C79" s="399"/>
      <c r="D79" s="416" t="e">
        <f t="shared" ref="D79:W79" si="14">I31</f>
        <v>#N/A</v>
      </c>
      <c r="E79" s="160" t="e">
        <f t="shared" si="14"/>
        <v>#N/A</v>
      </c>
      <c r="F79" s="160" t="e">
        <f t="shared" si="14"/>
        <v>#N/A</v>
      </c>
      <c r="G79" s="160" t="e">
        <f t="shared" si="14"/>
        <v>#N/A</v>
      </c>
      <c r="H79" s="160">
        <f t="shared" si="14"/>
        <v>0</v>
      </c>
      <c r="I79" s="160">
        <f t="shared" si="14"/>
        <v>0</v>
      </c>
      <c r="J79" s="160">
        <f t="shared" si="14"/>
        <v>0</v>
      </c>
      <c r="K79" s="160">
        <f t="shared" si="14"/>
        <v>0</v>
      </c>
      <c r="L79" s="160">
        <f t="shared" si="14"/>
        <v>0</v>
      </c>
      <c r="M79" s="160">
        <f t="shared" si="14"/>
        <v>0</v>
      </c>
      <c r="N79" s="160">
        <f t="shared" si="14"/>
        <v>0</v>
      </c>
      <c r="O79" s="160">
        <f t="shared" si="14"/>
        <v>0</v>
      </c>
      <c r="P79" s="160">
        <f t="shared" si="14"/>
        <v>0</v>
      </c>
      <c r="Q79" s="160">
        <f t="shared" si="14"/>
        <v>0</v>
      </c>
      <c r="R79" s="160">
        <f t="shared" si="14"/>
        <v>0</v>
      </c>
      <c r="S79" s="160">
        <f t="shared" si="14"/>
        <v>0</v>
      </c>
      <c r="T79" s="160">
        <f t="shared" si="14"/>
        <v>0</v>
      </c>
      <c r="U79" s="160">
        <f t="shared" si="14"/>
        <v>0</v>
      </c>
      <c r="V79" s="160">
        <f t="shared" si="14"/>
        <v>0</v>
      </c>
      <c r="W79" s="119">
        <f t="shared" si="14"/>
        <v>0</v>
      </c>
    </row>
    <row r="80" spans="2:34" ht="20.100000000000001" customHeight="1" x14ac:dyDescent="0.2">
      <c r="B80" s="76" t="s">
        <v>480</v>
      </c>
      <c r="C80" s="52"/>
      <c r="D80" s="63" t="e">
        <f t="shared" ref="D80:W80" si="15">I40</f>
        <v>#N/A</v>
      </c>
      <c r="E80" s="404" t="e">
        <f t="shared" si="15"/>
        <v>#N/A</v>
      </c>
      <c r="F80" s="404" t="e">
        <f t="shared" si="15"/>
        <v>#N/A</v>
      </c>
      <c r="G80" s="404" t="e">
        <f t="shared" si="15"/>
        <v>#N/A</v>
      </c>
      <c r="H80" s="404" t="e">
        <f t="shared" si="15"/>
        <v>#N/A</v>
      </c>
      <c r="I80" s="404" t="e">
        <f t="shared" si="15"/>
        <v>#N/A</v>
      </c>
      <c r="J80" s="404" t="e">
        <f t="shared" si="15"/>
        <v>#N/A</v>
      </c>
      <c r="K80" s="404" t="e">
        <f t="shared" si="15"/>
        <v>#N/A</v>
      </c>
      <c r="L80" s="404" t="e">
        <f t="shared" si="15"/>
        <v>#N/A</v>
      </c>
      <c r="M80" s="404" t="e">
        <f t="shared" si="15"/>
        <v>#N/A</v>
      </c>
      <c r="N80" s="404" t="e">
        <f t="shared" si="15"/>
        <v>#N/A</v>
      </c>
      <c r="O80" s="404" t="e">
        <f t="shared" si="15"/>
        <v>#N/A</v>
      </c>
      <c r="P80" s="404" t="e">
        <f t="shared" si="15"/>
        <v>#N/A</v>
      </c>
      <c r="Q80" s="404" t="e">
        <f t="shared" si="15"/>
        <v>#N/A</v>
      </c>
      <c r="R80" s="404" t="e">
        <f t="shared" si="15"/>
        <v>#N/A</v>
      </c>
      <c r="S80" s="404" t="e">
        <f t="shared" si="15"/>
        <v>#N/A</v>
      </c>
      <c r="T80" s="404" t="e">
        <f t="shared" si="15"/>
        <v>#N/A</v>
      </c>
      <c r="U80" s="404" t="e">
        <f t="shared" si="15"/>
        <v>#N/A</v>
      </c>
      <c r="V80" s="404" t="e">
        <f t="shared" si="15"/>
        <v>#N/A</v>
      </c>
      <c r="W80" s="103" t="e">
        <f t="shared" si="15"/>
        <v>#N/A</v>
      </c>
    </row>
    <row r="81" spans="2:23" ht="20.100000000000001" customHeight="1" x14ac:dyDescent="0.2">
      <c r="B81" s="145" t="s">
        <v>481</v>
      </c>
      <c r="C81" s="399"/>
      <c r="D81" s="416"/>
      <c r="E81" s="160"/>
      <c r="F81" s="160"/>
      <c r="G81" s="160"/>
      <c r="H81" s="160"/>
      <c r="I81" s="160" t="e">
        <f t="shared" ref="I81:W81" si="16">I80-H80</f>
        <v>#N/A</v>
      </c>
      <c r="J81" s="160" t="e">
        <f t="shared" si="16"/>
        <v>#N/A</v>
      </c>
      <c r="K81" s="160" t="e">
        <f t="shared" si="16"/>
        <v>#N/A</v>
      </c>
      <c r="L81" s="160" t="e">
        <f t="shared" si="16"/>
        <v>#N/A</v>
      </c>
      <c r="M81" s="160" t="e">
        <f t="shared" si="16"/>
        <v>#N/A</v>
      </c>
      <c r="N81" s="160" t="e">
        <f t="shared" si="16"/>
        <v>#N/A</v>
      </c>
      <c r="O81" s="160" t="e">
        <f t="shared" si="16"/>
        <v>#N/A</v>
      </c>
      <c r="P81" s="160" t="e">
        <f t="shared" si="16"/>
        <v>#N/A</v>
      </c>
      <c r="Q81" s="160" t="e">
        <f t="shared" si="16"/>
        <v>#N/A</v>
      </c>
      <c r="R81" s="160" t="e">
        <f t="shared" si="16"/>
        <v>#N/A</v>
      </c>
      <c r="S81" s="160" t="e">
        <f t="shared" si="16"/>
        <v>#N/A</v>
      </c>
      <c r="T81" s="160" t="e">
        <f t="shared" si="16"/>
        <v>#N/A</v>
      </c>
      <c r="U81" s="160" t="e">
        <f t="shared" si="16"/>
        <v>#N/A</v>
      </c>
      <c r="V81" s="160" t="e">
        <f t="shared" si="16"/>
        <v>#N/A</v>
      </c>
      <c r="W81" s="119" t="e">
        <f t="shared" si="16"/>
        <v>#N/A</v>
      </c>
    </row>
    <row r="82" spans="2:23" ht="20.100000000000001" customHeight="1" x14ac:dyDescent="0.2">
      <c r="B82" s="75" t="s">
        <v>483</v>
      </c>
      <c r="C82" s="284"/>
      <c r="D82" s="91"/>
      <c r="E82" s="113"/>
      <c r="F82" s="113"/>
      <c r="G82" s="113"/>
      <c r="H82" s="113">
        <v>0</v>
      </c>
      <c r="I82" s="113" t="e">
        <f t="shared" ref="I82:W82" si="17">H82+I81</f>
        <v>#N/A</v>
      </c>
      <c r="J82" s="113" t="e">
        <f t="shared" si="17"/>
        <v>#N/A</v>
      </c>
      <c r="K82" s="113" t="e">
        <f t="shared" si="17"/>
        <v>#N/A</v>
      </c>
      <c r="L82" s="113" t="e">
        <f t="shared" si="17"/>
        <v>#N/A</v>
      </c>
      <c r="M82" s="113" t="e">
        <f t="shared" si="17"/>
        <v>#N/A</v>
      </c>
      <c r="N82" s="113" t="e">
        <f t="shared" si="17"/>
        <v>#N/A</v>
      </c>
      <c r="O82" s="113" t="e">
        <f t="shared" si="17"/>
        <v>#N/A</v>
      </c>
      <c r="P82" s="113" t="e">
        <f t="shared" si="17"/>
        <v>#N/A</v>
      </c>
      <c r="Q82" s="113" t="e">
        <f t="shared" si="17"/>
        <v>#N/A</v>
      </c>
      <c r="R82" s="113" t="e">
        <f t="shared" si="17"/>
        <v>#N/A</v>
      </c>
      <c r="S82" s="113" t="e">
        <f t="shared" si="17"/>
        <v>#N/A</v>
      </c>
      <c r="T82" s="113" t="e">
        <f t="shared" si="17"/>
        <v>#N/A</v>
      </c>
      <c r="U82" s="113" t="e">
        <f t="shared" si="17"/>
        <v>#N/A</v>
      </c>
      <c r="V82" s="113" t="e">
        <f t="shared" si="17"/>
        <v>#N/A</v>
      </c>
      <c r="W82" s="329" t="e">
        <f t="shared" si="17"/>
        <v>#N/A</v>
      </c>
    </row>
    <row r="83" spans="2:23" ht="20.100000000000001" customHeight="1" x14ac:dyDescent="0.2">
      <c r="B83" s="258" t="s">
        <v>482</v>
      </c>
      <c r="C83" s="49"/>
      <c r="D83" s="148"/>
      <c r="E83" s="111"/>
      <c r="F83" s="111"/>
      <c r="G83" s="111"/>
      <c r="H83" s="111" t="e">
        <f>D72</f>
        <v>#N/A</v>
      </c>
      <c r="I83" s="111" t="e">
        <f t="shared" ref="I83:W83" si="18">H83</f>
        <v>#N/A</v>
      </c>
      <c r="J83" s="111" t="e">
        <f t="shared" si="18"/>
        <v>#N/A</v>
      </c>
      <c r="K83" s="111" t="e">
        <f t="shared" si="18"/>
        <v>#N/A</v>
      </c>
      <c r="L83" s="111" t="e">
        <f t="shared" si="18"/>
        <v>#N/A</v>
      </c>
      <c r="M83" s="111" t="e">
        <f t="shared" si="18"/>
        <v>#N/A</v>
      </c>
      <c r="N83" s="111" t="e">
        <f t="shared" si="18"/>
        <v>#N/A</v>
      </c>
      <c r="O83" s="111" t="e">
        <f t="shared" si="18"/>
        <v>#N/A</v>
      </c>
      <c r="P83" s="111" t="e">
        <f t="shared" si="18"/>
        <v>#N/A</v>
      </c>
      <c r="Q83" s="111" t="e">
        <f t="shared" si="18"/>
        <v>#N/A</v>
      </c>
      <c r="R83" s="111" t="e">
        <f t="shared" si="18"/>
        <v>#N/A</v>
      </c>
      <c r="S83" s="111" t="e">
        <f t="shared" si="18"/>
        <v>#N/A</v>
      </c>
      <c r="T83" s="111" t="e">
        <f t="shared" si="18"/>
        <v>#N/A</v>
      </c>
      <c r="U83" s="111" t="e">
        <f t="shared" si="18"/>
        <v>#N/A</v>
      </c>
      <c r="V83" s="111" t="e">
        <f t="shared" si="18"/>
        <v>#N/A</v>
      </c>
      <c r="W83" s="181" t="e">
        <f t="shared" si="18"/>
        <v>#N/A</v>
      </c>
    </row>
    <row r="84" spans="2:23" ht="20.100000000000001" customHeight="1" x14ac:dyDescent="0.2">
      <c r="B84" s="76" t="s">
        <v>477</v>
      </c>
      <c r="C84" s="52"/>
      <c r="D84" s="76"/>
      <c r="E84" s="412"/>
      <c r="F84" s="412"/>
      <c r="G84" s="404"/>
      <c r="H84" s="404" t="e">
        <f t="shared" ref="H84:W84" si="19">SUM(H82,H83)</f>
        <v>#N/A</v>
      </c>
      <c r="I84" s="404" t="e">
        <f t="shared" si="19"/>
        <v>#N/A</v>
      </c>
      <c r="J84" s="404" t="e">
        <f t="shared" si="19"/>
        <v>#N/A</v>
      </c>
      <c r="K84" s="404" t="e">
        <f t="shared" si="19"/>
        <v>#N/A</v>
      </c>
      <c r="L84" s="404" t="e">
        <f t="shared" si="19"/>
        <v>#N/A</v>
      </c>
      <c r="M84" s="404" t="e">
        <f t="shared" si="19"/>
        <v>#N/A</v>
      </c>
      <c r="N84" s="404" t="e">
        <f t="shared" si="19"/>
        <v>#N/A</v>
      </c>
      <c r="O84" s="404" t="e">
        <f t="shared" si="19"/>
        <v>#N/A</v>
      </c>
      <c r="P84" s="404" t="e">
        <f t="shared" si="19"/>
        <v>#N/A</v>
      </c>
      <c r="Q84" s="404" t="e">
        <f t="shared" si="19"/>
        <v>#N/A</v>
      </c>
      <c r="R84" s="404" t="e">
        <f t="shared" si="19"/>
        <v>#N/A</v>
      </c>
      <c r="S84" s="404" t="e">
        <f t="shared" si="19"/>
        <v>#N/A</v>
      </c>
      <c r="T84" s="404" t="e">
        <f t="shared" si="19"/>
        <v>#N/A</v>
      </c>
      <c r="U84" s="404" t="e">
        <f t="shared" si="19"/>
        <v>#N/A</v>
      </c>
      <c r="V84" s="404" t="e">
        <f t="shared" si="19"/>
        <v>#N/A</v>
      </c>
      <c r="W84" s="103" t="e">
        <f t="shared" si="19"/>
        <v>#N/A</v>
      </c>
    </row>
    <row r="85" spans="2:23" ht="20.100000000000001" customHeight="1" x14ac:dyDescent="0.2">
      <c r="B85" s="258" t="s">
        <v>484</v>
      </c>
      <c r="C85" s="49"/>
      <c r="D85" s="258"/>
      <c r="E85" s="309"/>
      <c r="F85" s="309"/>
      <c r="G85" s="111"/>
      <c r="H85" s="111"/>
      <c r="I85" s="160">
        <f>MROUND(AVERAGE(dwell!$C$17:$H$17),5)</f>
        <v>0</v>
      </c>
      <c r="J85" s="160">
        <f>MROUND(AVERAGE(dwell!$C$17:$H$17),5)</f>
        <v>0</v>
      </c>
      <c r="K85" s="160">
        <f>MROUND(AVERAGE(dwell!$C$17:$H$17),5)</f>
        <v>0</v>
      </c>
      <c r="L85" s="160">
        <f>MROUND(AVERAGE(dwell!$C$17:$H$17),5)</f>
        <v>0</v>
      </c>
      <c r="M85" s="160">
        <f>MROUND(AVERAGE(dwell!$C$17:$H$17),5)</f>
        <v>0</v>
      </c>
      <c r="N85" s="160">
        <f>MROUND(AVERAGE(dwell!$C$17:$H$17),5)</f>
        <v>0</v>
      </c>
      <c r="O85" s="160">
        <f>MROUND(AVERAGE(dwell!$C$17:$H$17),5)</f>
        <v>0</v>
      </c>
      <c r="P85" s="160">
        <f>MROUND(AVERAGE(dwell!$C$17:$H$17),5)</f>
        <v>0</v>
      </c>
      <c r="Q85" s="160">
        <f>MROUND(AVERAGE(dwell!$C$17:$H$17),5)</f>
        <v>0</v>
      </c>
      <c r="R85" s="160">
        <f>MROUND(AVERAGE(dwell!$C$17:$H$17),5)</f>
        <v>0</v>
      </c>
      <c r="S85" s="160">
        <f>MROUND(AVERAGE(dwell!$C$17:$H$17),5)</f>
        <v>0</v>
      </c>
      <c r="T85" s="160">
        <f>MROUND(AVERAGE(dwell!$C$17:$H$17),5)</f>
        <v>0</v>
      </c>
      <c r="U85" s="160">
        <f>MROUND(AVERAGE(dwell!$C$17:$H$17),5)</f>
        <v>0</v>
      </c>
      <c r="V85" s="160">
        <f>MROUND(AVERAGE(dwell!$C$17:$H$17),5)</f>
        <v>0</v>
      </c>
      <c r="W85" s="119">
        <f>MROUND(AVERAGE(dwell!$C$17:$H$17),5)</f>
        <v>0</v>
      </c>
    </row>
    <row r="86" spans="2:23" ht="20.100000000000001" customHeight="1" x14ac:dyDescent="0.2">
      <c r="B86" s="75" t="s">
        <v>485</v>
      </c>
      <c r="C86" s="284"/>
      <c r="D86" s="75"/>
      <c r="E86" s="355"/>
      <c r="F86" s="355"/>
      <c r="G86" s="113"/>
      <c r="H86" s="113"/>
      <c r="I86" s="113">
        <f>I85+H86</f>
        <v>0</v>
      </c>
      <c r="J86" s="113">
        <f t="shared" ref="J86:W86" si="20">J85+I86</f>
        <v>0</v>
      </c>
      <c r="K86" s="113">
        <f t="shared" si="20"/>
        <v>0</v>
      </c>
      <c r="L86" s="113">
        <f t="shared" si="20"/>
        <v>0</v>
      </c>
      <c r="M86" s="113">
        <f t="shared" si="20"/>
        <v>0</v>
      </c>
      <c r="N86" s="113">
        <f t="shared" si="20"/>
        <v>0</v>
      </c>
      <c r="O86" s="113">
        <f t="shared" si="20"/>
        <v>0</v>
      </c>
      <c r="P86" s="113">
        <f t="shared" si="20"/>
        <v>0</v>
      </c>
      <c r="Q86" s="113">
        <f t="shared" si="20"/>
        <v>0</v>
      </c>
      <c r="R86" s="113">
        <f t="shared" si="20"/>
        <v>0</v>
      </c>
      <c r="S86" s="113">
        <f t="shared" si="20"/>
        <v>0</v>
      </c>
      <c r="T86" s="113">
        <f t="shared" si="20"/>
        <v>0</v>
      </c>
      <c r="U86" s="113">
        <f t="shared" si="20"/>
        <v>0</v>
      </c>
      <c r="V86" s="113">
        <f t="shared" si="20"/>
        <v>0</v>
      </c>
      <c r="W86" s="329">
        <f t="shared" si="20"/>
        <v>0</v>
      </c>
    </row>
    <row r="87" spans="2:23" ht="20.100000000000001" customHeight="1" x14ac:dyDescent="0.2">
      <c r="B87" s="212" t="s">
        <v>486</v>
      </c>
      <c r="C87" s="37"/>
      <c r="D87" s="212"/>
      <c r="E87" s="189"/>
      <c r="F87" s="189"/>
      <c r="G87" s="366"/>
      <c r="H87" s="366" t="e">
        <f>H84-H86</f>
        <v>#N/A</v>
      </c>
      <c r="I87" s="366" t="e">
        <f t="shared" ref="I87:W87" si="21">I84-I86</f>
        <v>#N/A</v>
      </c>
      <c r="J87" s="366" t="e">
        <f t="shared" si="21"/>
        <v>#N/A</v>
      </c>
      <c r="K87" s="366" t="e">
        <f t="shared" si="21"/>
        <v>#N/A</v>
      </c>
      <c r="L87" s="366" t="e">
        <f t="shared" si="21"/>
        <v>#N/A</v>
      </c>
      <c r="M87" s="366" t="e">
        <f t="shared" si="21"/>
        <v>#N/A</v>
      </c>
      <c r="N87" s="366" t="e">
        <f t="shared" si="21"/>
        <v>#N/A</v>
      </c>
      <c r="O87" s="366" t="e">
        <f t="shared" si="21"/>
        <v>#N/A</v>
      </c>
      <c r="P87" s="366" t="e">
        <f t="shared" si="21"/>
        <v>#N/A</v>
      </c>
      <c r="Q87" s="366" t="e">
        <f t="shared" si="21"/>
        <v>#N/A</v>
      </c>
      <c r="R87" s="366" t="e">
        <f t="shared" si="21"/>
        <v>#N/A</v>
      </c>
      <c r="S87" s="366" t="e">
        <f t="shared" si="21"/>
        <v>#N/A</v>
      </c>
      <c r="T87" s="366" t="e">
        <f t="shared" si="21"/>
        <v>#N/A</v>
      </c>
      <c r="U87" s="366" t="e">
        <f t="shared" si="21"/>
        <v>#N/A</v>
      </c>
      <c r="V87" s="366" t="e">
        <f t="shared" si="21"/>
        <v>#N/A</v>
      </c>
      <c r="W87" s="233" t="e">
        <f t="shared" si="21"/>
        <v>#N/A</v>
      </c>
    </row>
    <row r="106" spans="2:34" ht="50.1" customHeight="1" x14ac:dyDescent="0.2">
      <c r="B106" s="159" t="s">
        <v>472</v>
      </c>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351"/>
      <c r="AD106" s="351"/>
      <c r="AE106" s="351"/>
      <c r="AF106" s="351"/>
      <c r="AG106" s="351"/>
      <c r="AH106" s="351"/>
    </row>
    <row r="109" spans="2:34" ht="30" customHeight="1" x14ac:dyDescent="0.2">
      <c r="B109" s="175" t="s">
        <v>55</v>
      </c>
      <c r="C109" s="310"/>
      <c r="D109" s="310"/>
      <c r="E109" s="310"/>
      <c r="F109" s="310"/>
      <c r="G109" s="310"/>
      <c r="H109" s="310"/>
      <c r="I109" s="310"/>
      <c r="J109" s="310"/>
      <c r="K109" s="310"/>
      <c r="L109" s="310"/>
      <c r="M109" s="310"/>
      <c r="N109" s="310"/>
      <c r="O109" s="310"/>
      <c r="P109" s="310"/>
      <c r="Q109" s="310"/>
      <c r="R109" s="310"/>
      <c r="S109" s="310"/>
      <c r="T109" s="310"/>
      <c r="U109" s="310"/>
      <c r="V109" s="310"/>
      <c r="W109" s="310"/>
      <c r="X109" s="310"/>
      <c r="Y109" s="310"/>
      <c r="Z109" s="310"/>
      <c r="AA109" s="310"/>
      <c r="AB109" s="310"/>
      <c r="AC109" s="310"/>
      <c r="AD109" s="310"/>
      <c r="AE109" s="310"/>
      <c r="AF109" s="310"/>
      <c r="AG109" s="310"/>
      <c r="AH109" s="310"/>
    </row>
    <row r="111" spans="2:34" ht="20.100000000000001" customHeight="1" x14ac:dyDescent="0.2">
      <c r="B111" s="203" t="s">
        <v>468</v>
      </c>
      <c r="C111" s="194"/>
      <c r="D111" s="194"/>
      <c r="E111" s="194"/>
      <c r="F111" s="194"/>
      <c r="G111" s="250"/>
      <c r="I111" s="203" t="s">
        <v>469</v>
      </c>
      <c r="J111" s="194"/>
      <c r="K111" s="194"/>
      <c r="L111" s="194"/>
      <c r="M111" s="194"/>
      <c r="N111" s="194"/>
      <c r="O111" s="250"/>
      <c r="Q111" s="203" t="s">
        <v>470</v>
      </c>
      <c r="R111" s="194"/>
      <c r="S111" s="194"/>
      <c r="T111" s="194"/>
      <c r="U111" s="194"/>
      <c r="V111" s="194"/>
      <c r="W111" s="250"/>
      <c r="Y111" s="203" t="s">
        <v>471</v>
      </c>
      <c r="Z111" s="194"/>
      <c r="AA111" s="194"/>
      <c r="AB111" s="194"/>
      <c r="AC111" s="194"/>
      <c r="AD111" s="194"/>
      <c r="AE111" s="250"/>
    </row>
    <row r="112" spans="2:34" ht="20.100000000000001" customHeight="1" x14ac:dyDescent="0.2">
      <c r="B112" s="156"/>
      <c r="C112" s="224" t="s">
        <v>6</v>
      </c>
      <c r="D112" s="385" t="s">
        <v>56</v>
      </c>
      <c r="E112" s="385" t="s">
        <v>57</v>
      </c>
      <c r="F112" s="385" t="s">
        <v>58</v>
      </c>
      <c r="G112" s="415" t="s">
        <v>59</v>
      </c>
      <c r="I112" s="354"/>
      <c r="J112" s="276">
        <v>2021</v>
      </c>
      <c r="K112" s="382">
        <v>2025</v>
      </c>
      <c r="L112" s="340">
        <f>K112+5</f>
        <v>2030</v>
      </c>
      <c r="M112" s="340">
        <f t="shared" ref="M112:O112" si="22">L112+5</f>
        <v>2035</v>
      </c>
      <c r="N112" s="340">
        <f t="shared" si="22"/>
        <v>2040</v>
      </c>
      <c r="O112" s="289">
        <f t="shared" si="22"/>
        <v>2045</v>
      </c>
      <c r="Q112" s="354"/>
      <c r="R112" s="354">
        <v>2021</v>
      </c>
      <c r="S112" s="134">
        <f t="array" ref="S112:W112">K112:O112</f>
        <v>2025</v>
      </c>
      <c r="T112" s="340">
        <v>2030</v>
      </c>
      <c r="U112" s="340">
        <v>2035</v>
      </c>
      <c r="V112" s="340">
        <v>2040</v>
      </c>
      <c r="W112" s="289">
        <v>2045</v>
      </c>
      <c r="Y112" s="354"/>
      <c r="Z112" s="354">
        <f t="shared" ref="Z112:AE112" si="23">R112</f>
        <v>2021</v>
      </c>
      <c r="AA112" s="134">
        <f t="shared" si="23"/>
        <v>2025</v>
      </c>
      <c r="AB112" s="340">
        <f t="shared" si="23"/>
        <v>2030</v>
      </c>
      <c r="AC112" s="340">
        <f t="shared" si="23"/>
        <v>2035</v>
      </c>
      <c r="AD112" s="340">
        <f t="shared" si="23"/>
        <v>2040</v>
      </c>
      <c r="AE112" s="289">
        <f t="shared" si="23"/>
        <v>2045</v>
      </c>
    </row>
    <row r="113" spans="2:31" ht="20.100000000000001" customHeight="1" x14ac:dyDescent="0.2">
      <c r="B113" s="247" t="s">
        <v>6</v>
      </c>
      <c r="C113" s="363">
        <f t="array" ref="C113:G120">nos!K3:O10</f>
        <v>303917.93938424997</v>
      </c>
      <c r="D113" s="106">
        <v>209184.68868831499</v>
      </c>
      <c r="E113" s="106">
        <v>45570.73620124501</v>
      </c>
      <c r="F113" s="106">
        <v>26627.550149680003</v>
      </c>
      <c r="G113" s="190">
        <v>22349.7419391</v>
      </c>
      <c r="I113" s="247" t="s">
        <v>409</v>
      </c>
      <c r="J113" s="361">
        <f t="array" ref="J113">IFERROR(INDEX($C$31:$AF$38,MATCH($I113,$B$31:$B$38,0),MATCH(J$112,$C$30:$AF$30,0)),SUM(J114:J120))</f>
        <v>0</v>
      </c>
      <c r="K113" s="106">
        <f t="array" ref="K113">IFERROR(INDEX($C$31:$AF$38,MATCH($I113,$B$31:$B$38,0),MATCH(K$112,$C$30:$AF$30,0)),SUM(K114:K120))</f>
        <v>0</v>
      </c>
      <c r="L113" s="106">
        <f t="array" ref="L113">IFERROR(INDEX($C$31:$AF$38,MATCH($I113,$B$31:$B$38,0),MATCH(L$112,$C$30:$AF$30,0)),SUM(L114:L120))</f>
        <v>0</v>
      </c>
      <c r="M113" s="106">
        <f t="array" ref="M113">IFERROR(INDEX($C$31:$AF$38,MATCH($I113,$B$31:$B$38,0),MATCH(M$112,$C$30:$AF$30,0)),SUM(M114:M120))</f>
        <v>0</v>
      </c>
      <c r="N113" s="106">
        <f t="array" ref="N113">IFERROR(INDEX($C$31:$AF$38,MATCH($I113,$B$31:$B$38,0),MATCH(N$112,$C$30:$AF$30,0)),SUM(N114:N120))</f>
        <v>0</v>
      </c>
      <c r="O113" s="190">
        <f t="array" ref="O113">IFERROR(INDEX($C$31:$AF$38,MATCH($I113,$B$31:$B$38,0),MATCH(O$112,$C$30:$AF$30,0)),SUM(O114:O120))</f>
        <v>0</v>
      </c>
      <c r="Q113" s="51" t="s">
        <v>72</v>
      </c>
      <c r="R113" s="243">
        <f t="array" ref="R113">SUMPRODUCT($D$124:$D$130,J$114:J$120)</f>
        <v>0</v>
      </c>
      <c r="S113" s="378">
        <f t="array" ref="S113">SUMPRODUCT($D$124:$D$130,K$114:K$120)</f>
        <v>0</v>
      </c>
      <c r="T113" s="114">
        <f t="array" ref="T113">SUMPRODUCT($D$124:$D$130,L$114:L$120)</f>
        <v>0</v>
      </c>
      <c r="U113" s="114">
        <f t="array" ref="U113">SUMPRODUCT($D$124:$D$130,M$114:M$120)</f>
        <v>0</v>
      </c>
      <c r="V113" s="114">
        <f t="array" ref="V113">SUMPRODUCT($D$124:$D$130,N$114:N$120)</f>
        <v>0</v>
      </c>
      <c r="W113" s="291">
        <f t="array" ref="W113">SUMPRODUCT($D$124:$D$130,O$114:O$120)</f>
        <v>0</v>
      </c>
      <c r="Y113" s="211" t="s">
        <v>73</v>
      </c>
      <c r="Z113" s="324" t="e">
        <f t="shared" ref="Z113:AE116" si="24">R113/SUM(R$113:R$116)</f>
        <v>#DIV/0!</v>
      </c>
      <c r="AA113" s="182" t="e">
        <f t="shared" si="24"/>
        <v>#DIV/0!</v>
      </c>
      <c r="AB113" s="32" t="e">
        <f t="shared" si="24"/>
        <v>#DIV/0!</v>
      </c>
      <c r="AC113" s="32" t="e">
        <f t="shared" si="24"/>
        <v>#DIV/0!</v>
      </c>
      <c r="AD113" s="32" t="e">
        <f t="shared" si="24"/>
        <v>#DIV/0!</v>
      </c>
      <c r="AE113" s="112" t="e">
        <f t="shared" si="24"/>
        <v>#DIV/0!</v>
      </c>
    </row>
    <row r="114" spans="2:31" ht="20.100000000000001" customHeight="1" x14ac:dyDescent="0.2">
      <c r="B114" s="180" t="s">
        <v>10</v>
      </c>
      <c r="C114" s="209">
        <v>10036.323810309999</v>
      </c>
      <c r="D114" s="296">
        <v>5055.2066692349999</v>
      </c>
      <c r="E114" s="296">
        <v>2758.8897648399998</v>
      </c>
      <c r="F114" s="296">
        <v>1425.8922679949997</v>
      </c>
      <c r="G114" s="83">
        <v>722.26248123999994</v>
      </c>
      <c r="I114" s="180" t="s">
        <v>60</v>
      </c>
      <c r="J114" s="153">
        <f t="array" ref="J114">IFERROR(INDEX($C$31:$AF$38,MATCH($I114,$B$31:$B$38,0),MATCH(J$112,$C$30:$AF$30,0)),0)</f>
        <v>0</v>
      </c>
      <c r="K114" s="296">
        <f t="array" ref="K114">IFERROR(INDEX($C$31:$AF$38,MATCH($I114,$B$31:$B$38,0),MATCH(K$112,$C$30:$AF$30,0)),0)</f>
        <v>0</v>
      </c>
      <c r="L114" s="296">
        <f t="array" ref="L114">IFERROR(INDEX($C$31:$AF$38,MATCH($I114,$B$31:$B$38,0),MATCH(L$112,$C$30:$AF$30,0)),0)</f>
        <v>0</v>
      </c>
      <c r="M114" s="296">
        <f t="array" ref="M114">IFERROR(INDEX($C$31:$AF$38,MATCH($I114,$B$31:$B$38,0),MATCH(M$112,$C$30:$AF$30,0)),0)</f>
        <v>0</v>
      </c>
      <c r="N114" s="296">
        <f t="array" ref="N114">IFERROR(INDEX($C$31:$AF$38,MATCH($I114,$B$31:$B$38,0),MATCH(N$112,$C$30:$AF$30,0)),0)</f>
        <v>0</v>
      </c>
      <c r="O114" s="83">
        <f t="array" ref="O114">IFERROR(INDEX($C$31:$AL$38,MATCH($I114,$B$31:$B$38,0),MATCH(O$112,$C$30:$AL$30,0)),0)</f>
        <v>0</v>
      </c>
      <c r="Q114" s="180" t="s">
        <v>68</v>
      </c>
      <c r="R114" s="209">
        <f t="array" ref="R114">SUMPRODUCT($E$124:$E$130,J$114:J$120)</f>
        <v>0</v>
      </c>
      <c r="S114" s="311">
        <f t="array" ref="S114">SUMPRODUCT($E$124:$E$130,K$114:K$120)</f>
        <v>0</v>
      </c>
      <c r="T114" s="296">
        <f t="array" ref="T114">SUMPRODUCT($E$124:$E$130,L$114:L$120)</f>
        <v>0</v>
      </c>
      <c r="U114" s="296">
        <f t="array" ref="U114">SUMPRODUCT($E$124:$E$130,M$114:M$120)</f>
        <v>0</v>
      </c>
      <c r="V114" s="296">
        <f t="array" ref="V114">SUMPRODUCT($E$124:$E$130,N$114:N$120)</f>
        <v>0</v>
      </c>
      <c r="W114" s="83">
        <f t="array" ref="W114">SUMPRODUCT($E$124:$E$130,O$114:O$120)</f>
        <v>0</v>
      </c>
      <c r="Y114" s="305" t="s">
        <v>68</v>
      </c>
      <c r="Z114" s="318" t="e">
        <f t="shared" si="24"/>
        <v>#DIV/0!</v>
      </c>
      <c r="AA114" s="400" t="e">
        <f t="shared" si="24"/>
        <v>#DIV/0!</v>
      </c>
      <c r="AB114" s="176" t="e">
        <f t="shared" si="24"/>
        <v>#DIV/0!</v>
      </c>
      <c r="AC114" s="176" t="e">
        <f t="shared" si="24"/>
        <v>#DIV/0!</v>
      </c>
      <c r="AD114" s="176" t="e">
        <f t="shared" si="24"/>
        <v>#DIV/0!</v>
      </c>
      <c r="AE114" s="142" t="e">
        <f t="shared" si="24"/>
        <v>#DIV/0!</v>
      </c>
    </row>
    <row r="115" spans="2:31" ht="20.100000000000001" customHeight="1" x14ac:dyDescent="0.2">
      <c r="B115" s="332" t="s">
        <v>0</v>
      </c>
      <c r="C115" s="391">
        <v>31517.222613990001</v>
      </c>
      <c r="D115" s="146">
        <v>13481.450898555</v>
      </c>
      <c r="E115" s="146">
        <v>6092.0678998450003</v>
      </c>
      <c r="F115" s="146">
        <v>5814.6039246849996</v>
      </c>
      <c r="G115" s="204">
        <v>6129.0998909050004</v>
      </c>
      <c r="I115" s="332" t="s">
        <v>61</v>
      </c>
      <c r="J115" s="105">
        <f t="array" ref="J115">IFERROR(INDEX($C$31:$AF$38,MATCH($I115,$B$31:$B$38,0),MATCH(J$112,$C$30:$AF$30,0)),0)</f>
        <v>0</v>
      </c>
      <c r="K115" s="146">
        <f t="array" ref="K115">IFERROR(INDEX($C$31:$AF$38,MATCH($I115,$B$31:$B$38,0),MATCH(K$112,$C$30:$AF$30,0)),0)</f>
        <v>0</v>
      </c>
      <c r="L115" s="146">
        <f t="array" ref="L115">IFERROR(INDEX($C$31:$AF$38,MATCH($I115,$B$31:$B$38,0),MATCH(L$112,$C$30:$AF$30,0)),0)</f>
        <v>0</v>
      </c>
      <c r="M115" s="146">
        <f t="array" ref="M115">IFERROR(INDEX($C$31:$AF$38,MATCH($I115,$B$31:$B$38,0),MATCH(M$112,$C$30:$AF$30,0)),0)</f>
        <v>0</v>
      </c>
      <c r="N115" s="146">
        <f t="array" ref="N115">IFERROR(INDEX($C$31:$AF$38,MATCH($I115,$B$31:$B$38,0),MATCH(N$112,$C$30:$AF$30,0)),0)</f>
        <v>0</v>
      </c>
      <c r="O115" s="204">
        <f t="array" ref="O115">IFERROR(INDEX($C$31:$AL$38,MATCH($I115,$B$31:$B$38,0),MATCH(O$112,$C$30:$AL$30,0)),0)</f>
        <v>0</v>
      </c>
      <c r="Q115" s="332" t="s">
        <v>69</v>
      </c>
      <c r="R115" s="391">
        <f t="array" ref="R115">SUMPRODUCT($F$124:$F$130,J$114:J$120)</f>
        <v>0</v>
      </c>
      <c r="S115" s="34">
        <f t="array" ref="S115">SUMPRODUCT($F$124:$F$130,K$114:K$120)</f>
        <v>0</v>
      </c>
      <c r="T115" s="146">
        <f t="array" ref="T115">SUMPRODUCT($F$124:$F$130,L$114:L$120)</f>
        <v>0</v>
      </c>
      <c r="U115" s="146">
        <f t="array" ref="U115">SUMPRODUCT($F$124:$F$130,M$114:M$120)</f>
        <v>0</v>
      </c>
      <c r="V115" s="146">
        <f t="array" ref="V115">SUMPRODUCT($F$124:$F$130,N$114:N$120)</f>
        <v>0</v>
      </c>
      <c r="W115" s="204">
        <f t="array" ref="W115">SUMPRODUCT($F$124:$F$130,O$114:O$120)</f>
        <v>0</v>
      </c>
      <c r="Y115" s="109" t="s">
        <v>69</v>
      </c>
      <c r="Z115" s="184" t="e">
        <f t="shared" si="24"/>
        <v>#DIV/0!</v>
      </c>
      <c r="AA115" s="66" t="e">
        <f t="shared" si="24"/>
        <v>#DIV/0!</v>
      </c>
      <c r="AB115" s="241" t="e">
        <f t="shared" si="24"/>
        <v>#DIV/0!</v>
      </c>
      <c r="AC115" s="241" t="e">
        <f t="shared" si="24"/>
        <v>#DIV/0!</v>
      </c>
      <c r="AD115" s="241" t="e">
        <f t="shared" si="24"/>
        <v>#DIV/0!</v>
      </c>
      <c r="AE115" s="379" t="e">
        <f t="shared" si="24"/>
        <v>#DIV/0!</v>
      </c>
    </row>
    <row r="116" spans="2:31" ht="20.100000000000001" customHeight="1" x14ac:dyDescent="0.2">
      <c r="B116" s="180" t="s">
        <v>1</v>
      </c>
      <c r="C116" s="209">
        <v>37961.35096648</v>
      </c>
      <c r="D116" s="296">
        <v>15888.799729815</v>
      </c>
      <c r="E116" s="296">
        <v>5907.0706709550004</v>
      </c>
      <c r="F116" s="296">
        <v>7684.8594689350011</v>
      </c>
      <c r="G116" s="83">
        <v>8443.5536617950002</v>
      </c>
      <c r="I116" s="180" t="s">
        <v>62</v>
      </c>
      <c r="J116" s="153">
        <f t="array" ref="J116">IFERROR(INDEX($C$31:$AF$38,MATCH($I116,$B$31:$B$38,0),MATCH(J$112,$C$30:$AF$30,0)),0)</f>
        <v>0</v>
      </c>
      <c r="K116" s="296">
        <f t="array" ref="K116">IFERROR(INDEX($C$31:$AF$38,MATCH($I116,$B$31:$B$38,0),MATCH(K$112,$C$30:$AF$30,0)),0)</f>
        <v>0</v>
      </c>
      <c r="L116" s="296">
        <f t="array" ref="L116">IFERROR(INDEX($C$31:$AF$38,MATCH($I116,$B$31:$B$38,0),MATCH(L$112,$C$30:$AF$30,0)),0)</f>
        <v>0</v>
      </c>
      <c r="M116" s="296">
        <f t="array" ref="M116">IFERROR(INDEX($C$31:$AF$38,MATCH($I116,$B$31:$B$38,0),MATCH(M$112,$C$30:$AF$30,0)),0)</f>
        <v>0</v>
      </c>
      <c r="N116" s="296">
        <f t="array" ref="N116">IFERROR(INDEX($C$31:$AF$38,MATCH($I116,$B$31:$B$38,0),MATCH(N$112,$C$30:$AF$30,0)),0)</f>
        <v>0</v>
      </c>
      <c r="O116" s="83">
        <f t="array" ref="O116">IFERROR(INDEX($C$31:$AL$38,MATCH($I116,$B$31:$B$38,0),MATCH(O$112,$C$30:$AL$30,0)),0)</f>
        <v>0</v>
      </c>
      <c r="Q116" s="372" t="s">
        <v>59</v>
      </c>
      <c r="R116" s="79">
        <f t="array" ref="R116">SUMPRODUCT($G$124:$G$130,J$114:J$120)</f>
        <v>0</v>
      </c>
      <c r="S116" s="133">
        <f t="array" ref="S116">SUMPRODUCT($G$124:$G$130,K$114:K$120)</f>
        <v>0</v>
      </c>
      <c r="T116" s="227">
        <f t="array" ref="T116">SUMPRODUCT($G$124:$G$130,L$114:L$120)</f>
        <v>0</v>
      </c>
      <c r="U116" s="227">
        <f t="array" ref="U116">SUMPRODUCT($G$124:$G$130,M$114:M$120)</f>
        <v>0</v>
      </c>
      <c r="V116" s="227">
        <f t="array" ref="V116">SUMPRODUCT($G$124:$G$130,N$114:N$120)</f>
        <v>0</v>
      </c>
      <c r="W116" s="274">
        <f t="array" ref="W116">SUMPRODUCT($G$124:$G$130,O$114:O$120)</f>
        <v>0</v>
      </c>
      <c r="Y116" s="328" t="s">
        <v>59</v>
      </c>
      <c r="Z116" s="319" t="e">
        <f t="shared" si="24"/>
        <v>#DIV/0!</v>
      </c>
      <c r="AA116" s="396" t="e">
        <f t="shared" si="24"/>
        <v>#DIV/0!</v>
      </c>
      <c r="AB116" s="253" t="e">
        <f t="shared" si="24"/>
        <v>#DIV/0!</v>
      </c>
      <c r="AC116" s="253" t="e">
        <f t="shared" si="24"/>
        <v>#DIV/0!</v>
      </c>
      <c r="AD116" s="253" t="e">
        <f t="shared" si="24"/>
        <v>#DIV/0!</v>
      </c>
      <c r="AE116" s="30" t="e">
        <f t="shared" si="24"/>
        <v>#DIV/0!</v>
      </c>
    </row>
    <row r="117" spans="2:31" ht="20.100000000000001" customHeight="1" x14ac:dyDescent="0.2">
      <c r="B117" s="332" t="s">
        <v>2</v>
      </c>
      <c r="C117" s="391">
        <v>42665.519860149994</v>
      </c>
      <c r="D117" s="146">
        <v>24111.997864049998</v>
      </c>
      <c r="E117" s="146">
        <v>7962.4450920499994</v>
      </c>
      <c r="F117" s="146">
        <v>5721.3380153100006</v>
      </c>
      <c r="G117" s="204">
        <v>4869.7388887400002</v>
      </c>
      <c r="I117" s="332" t="s">
        <v>63</v>
      </c>
      <c r="J117" s="105">
        <f t="array" ref="J117">IFERROR(INDEX($C$31:$AF$38,MATCH($I117,$B$31:$B$38,0),MATCH(J$112,$C$30:$AF$30,0)),0)</f>
        <v>0</v>
      </c>
      <c r="K117" s="146">
        <f t="array" ref="K117">IFERROR(INDEX($C$31:$AF$38,MATCH($I117,$B$31:$B$38,0),MATCH(K$112,$C$30:$AF$30,0)),0)</f>
        <v>0</v>
      </c>
      <c r="L117" s="146">
        <f t="array" ref="L117">IFERROR(INDEX($C$31:$AF$38,MATCH($I117,$B$31:$B$38,0),MATCH(L$112,$C$30:$AF$30,0)),0)</f>
        <v>0</v>
      </c>
      <c r="M117" s="146">
        <f t="array" ref="M117">IFERROR(INDEX($C$31:$AF$38,MATCH($I117,$B$31:$B$38,0),MATCH(M$112,$C$30:$AF$30,0)),0)</f>
        <v>0</v>
      </c>
      <c r="N117" s="146">
        <f t="array" ref="N117">IFERROR(INDEX($C$31:$AF$38,MATCH($I117,$B$31:$B$38,0),MATCH(N$112,$C$30:$AF$30,0)),0)</f>
        <v>0</v>
      </c>
      <c r="O117" s="204">
        <f t="array" ref="O117">IFERROR(INDEX($C$31:$AL$38,MATCH($I117,$B$31:$B$38,0),MATCH(O$112,$C$30:$AL$30,0)),0)</f>
        <v>0</v>
      </c>
    </row>
    <row r="118" spans="2:31" ht="20.100000000000001" customHeight="1" x14ac:dyDescent="0.2">
      <c r="B118" s="180" t="s">
        <v>3</v>
      </c>
      <c r="C118" s="209">
        <v>76555.145742800014</v>
      </c>
      <c r="D118" s="296">
        <v>59926.878673520005</v>
      </c>
      <c r="E118" s="296">
        <v>11591.784527104999</v>
      </c>
      <c r="F118" s="296">
        <v>3536.6123713850002</v>
      </c>
      <c r="G118" s="83">
        <v>1462.8509133299999</v>
      </c>
      <c r="I118" s="180" t="s">
        <v>64</v>
      </c>
      <c r="J118" s="153">
        <f t="array" ref="J118">IFERROR(INDEX($C$31:$AF$38,MATCH($I118,$B$31:$B$38,0),MATCH(J$112,$C$30:$AF$30,0)),0)</f>
        <v>0</v>
      </c>
      <c r="K118" s="296">
        <f t="array" ref="K118">IFERROR(INDEX($C$31:$AF$38,MATCH($I118,$B$31:$B$38,0),MATCH(K$112,$C$30:$AF$30,0)),0)</f>
        <v>0</v>
      </c>
      <c r="L118" s="296">
        <f t="array" ref="L118">IFERROR(INDEX($C$31:$AF$38,MATCH($I118,$B$31:$B$38,0),MATCH(L$112,$C$30:$AF$30,0)),0)</f>
        <v>0</v>
      </c>
      <c r="M118" s="296">
        <f t="array" ref="M118">IFERROR(INDEX($C$31:$AF$38,MATCH($I118,$B$31:$B$38,0),MATCH(M$112,$C$30:$AF$30,0)),0)</f>
        <v>0</v>
      </c>
      <c r="N118" s="296">
        <f t="array" ref="N118">IFERROR(INDEX($C$31:$AF$38,MATCH($I118,$B$31:$B$38,0),MATCH(N$112,$C$30:$AF$30,0)),0)</f>
        <v>0</v>
      </c>
      <c r="O118" s="83">
        <f t="array" ref="O118">IFERROR(INDEX($C$31:$AL$38,MATCH($I118,$B$31:$B$38,0),MATCH(O$112,$C$30:$AL$30,0)),0)</f>
        <v>0</v>
      </c>
    </row>
    <row r="119" spans="2:31" ht="20.100000000000001" customHeight="1" x14ac:dyDescent="0.2">
      <c r="B119" s="332" t="s">
        <v>4</v>
      </c>
      <c r="C119" s="391">
        <v>57591.806001789999</v>
      </c>
      <c r="D119" s="146">
        <v>48722.067256109993</v>
      </c>
      <c r="E119" s="146">
        <v>6999.4619655749993</v>
      </c>
      <c r="F119" s="146">
        <v>1314.6906777449999</v>
      </c>
      <c r="G119" s="204">
        <v>518.52301589000001</v>
      </c>
      <c r="I119" s="332" t="s">
        <v>65</v>
      </c>
      <c r="J119" s="105">
        <f t="array" ref="J119">IFERROR(INDEX($C$31:$AF$38,MATCH($I119,$B$31:$B$38,0),MATCH(J$112,$C$30:$AF$30,0)),0)</f>
        <v>0</v>
      </c>
      <c r="K119" s="146">
        <f t="array" ref="K119">IFERROR(INDEX($C$31:$AF$38,MATCH($I119,$B$31:$B$38,0),MATCH(K$112,$C$30:$AF$30,0)),0)</f>
        <v>0</v>
      </c>
      <c r="L119" s="146">
        <f t="array" ref="L119">IFERROR(INDEX($C$31:$AF$38,MATCH($I119,$B$31:$B$38,0),MATCH(L$112,$C$30:$AF$30,0)),0)</f>
        <v>0</v>
      </c>
      <c r="M119" s="146">
        <f t="array" ref="M119">IFERROR(INDEX($C$31:$AF$38,MATCH($I119,$B$31:$B$38,0),MATCH(M$112,$C$30:$AF$30,0)),0)</f>
        <v>0</v>
      </c>
      <c r="N119" s="146">
        <f t="array" ref="N119">IFERROR(INDEX($C$31:$AF$38,MATCH($I119,$B$31:$B$38,0),MATCH(N$112,$C$30:$AF$30,0)),0)</f>
        <v>0</v>
      </c>
      <c r="O119" s="204">
        <f t="array" ref="O119">IFERROR(INDEX($C$31:$AL$38,MATCH($I119,$B$31:$B$38,0),MATCH(O$112,$C$30:$AL$30,0)),0)</f>
        <v>0</v>
      </c>
    </row>
    <row r="120" spans="2:31" ht="20.100000000000001" customHeight="1" x14ac:dyDescent="0.2">
      <c r="B120" s="372" t="s">
        <v>11</v>
      </c>
      <c r="C120" s="79">
        <v>47590.570388730004</v>
      </c>
      <c r="D120" s="227">
        <v>41998.287597029994</v>
      </c>
      <c r="E120" s="227">
        <v>4259.0162808749992</v>
      </c>
      <c r="F120" s="227">
        <v>1129.5534236250001</v>
      </c>
      <c r="G120" s="274">
        <v>203.71308720000002</v>
      </c>
      <c r="I120" s="372" t="s">
        <v>11</v>
      </c>
      <c r="J120" s="167">
        <f t="array" ref="J120">IFERROR(INDEX($C$39:$AL$39,0,MATCH(J$112,$C$30:$AL$30,0))+INDEX($C$38:$AL$38,0,MATCH(J$112,$C$30:$AL$30,0)),0)</f>
        <v>0</v>
      </c>
      <c r="K120" s="227">
        <f t="array" ref="K120">IFERROR(INDEX($C$39:$AL$39,0,MATCH(K$112,$C$30:$AL$30,0))+INDEX($C$38:$AL$38,0,MATCH(K$112,$C$30:$AL$30,0)),0)</f>
        <v>0</v>
      </c>
      <c r="L120" s="227">
        <f t="array" ref="L120">IFERROR(INDEX($C$39:$AL$39,0,MATCH(L$112,$C$30:$AL$30,0))+INDEX($C$38:$AL$38,0,MATCH(L$112,$C$30:$AL$30,0)),0)</f>
        <v>0</v>
      </c>
      <c r="M120" s="227">
        <f t="array" ref="M120">IFERROR(INDEX($C$39:$AL$39,0,MATCH(M$112,$C$30:$AL$30,0))+INDEX($C$38:$AL$38,0,MATCH(M$112,$C$30:$AL$30,0)),0)</f>
        <v>0</v>
      </c>
      <c r="N120" s="227">
        <f t="array" ref="N120">IFERROR(INDEX($C$39:$AL$39,0,MATCH(N$112,$C$30:$AL$30,0))+INDEX($C$38:$AL$38,0,MATCH(N$112,$C$30:$AL$30,0)),0)</f>
        <v>0</v>
      </c>
      <c r="O120" s="274">
        <f t="array" ref="O120">IFERROR(INDEX($C$39:$AL$39,0,MATCH(O$112,$C$30:$AL$30,0))+INDEX($C$38:$AL$38,0,MATCH(O$112,$C$30:$AL$30,0)),0)</f>
        <v>0</v>
      </c>
    </row>
    <row r="122" spans="2:31" ht="20.100000000000001" customHeight="1" x14ac:dyDescent="0.2">
      <c r="B122" s="156"/>
      <c r="C122" s="224" t="s">
        <v>6</v>
      </c>
      <c r="D122" s="385" t="s">
        <v>56</v>
      </c>
      <c r="E122" s="385" t="s">
        <v>57</v>
      </c>
      <c r="F122" s="385" t="s">
        <v>58</v>
      </c>
      <c r="G122" s="415" t="s">
        <v>59</v>
      </c>
    </row>
    <row r="123" spans="2:31" ht="20.100000000000001" customHeight="1" x14ac:dyDescent="0.2">
      <c r="B123" s="247" t="s">
        <v>6</v>
      </c>
      <c r="C123" s="363">
        <f>C113</f>
        <v>303917.93938424997</v>
      </c>
      <c r="D123" s="106">
        <f>D113</f>
        <v>209184.68868831499</v>
      </c>
      <c r="E123" s="106">
        <f>E113</f>
        <v>45570.73620124501</v>
      </c>
      <c r="F123" s="106">
        <f>F113</f>
        <v>26627.550149680003</v>
      </c>
      <c r="G123" s="190">
        <f>G113</f>
        <v>22349.7419391</v>
      </c>
    </row>
    <row r="124" spans="2:31" ht="20.100000000000001" customHeight="1" x14ac:dyDescent="0.2">
      <c r="B124" s="180" t="s">
        <v>10</v>
      </c>
      <c r="C124" s="209">
        <f t="shared" ref="C124:C130" si="25">C114</f>
        <v>10036.323810309999</v>
      </c>
      <c r="D124" s="161">
        <f t="shared" ref="D124:G130" si="26">D114/$C114</f>
        <v>0.5036910690388392</v>
      </c>
      <c r="E124" s="161">
        <f t="shared" si="26"/>
        <v>0.27489046955677926</v>
      </c>
      <c r="F124" s="161">
        <f t="shared" si="26"/>
        <v>0.14207316293743188</v>
      </c>
      <c r="G124" s="257">
        <f t="shared" si="26"/>
        <v>7.1964844388344912E-2</v>
      </c>
    </row>
    <row r="125" spans="2:31" ht="20.100000000000001" customHeight="1" x14ac:dyDescent="0.2">
      <c r="B125" s="332" t="s">
        <v>0</v>
      </c>
      <c r="C125" s="391">
        <f t="shared" si="25"/>
        <v>31517.222613990001</v>
      </c>
      <c r="D125" s="398">
        <f t="shared" si="26"/>
        <v>0.42774869675765131</v>
      </c>
      <c r="E125" s="398">
        <f t="shared" si="26"/>
        <v>0.1932932979043917</v>
      </c>
      <c r="F125" s="398">
        <f t="shared" si="26"/>
        <v>0.18448973108766215</v>
      </c>
      <c r="G125" s="343">
        <f t="shared" si="26"/>
        <v>0.19446827425029478</v>
      </c>
    </row>
    <row r="126" spans="2:31" ht="20.100000000000001" customHeight="1" x14ac:dyDescent="0.2">
      <c r="B126" s="180" t="s">
        <v>1</v>
      </c>
      <c r="C126" s="209">
        <f t="shared" si="25"/>
        <v>37961.35096648</v>
      </c>
      <c r="D126" s="161">
        <f t="shared" si="26"/>
        <v>0.41855200948577576</v>
      </c>
      <c r="E126" s="161">
        <f t="shared" si="26"/>
        <v>0.15560749342590477</v>
      </c>
      <c r="F126" s="161">
        <f t="shared" si="26"/>
        <v>0.20243904058421835</v>
      </c>
      <c r="G126" s="257">
        <f t="shared" si="26"/>
        <v>0.22242500455926045</v>
      </c>
    </row>
    <row r="127" spans="2:31" ht="20.100000000000001" customHeight="1" x14ac:dyDescent="0.2">
      <c r="B127" s="332" t="s">
        <v>2</v>
      </c>
      <c r="C127" s="391">
        <f t="shared" si="25"/>
        <v>42665.519860149994</v>
      </c>
      <c r="D127" s="398">
        <f t="shared" si="26"/>
        <v>0.56514013993231182</v>
      </c>
      <c r="E127" s="398">
        <f t="shared" si="26"/>
        <v>0.18662482299874658</v>
      </c>
      <c r="F127" s="398">
        <f t="shared" si="26"/>
        <v>0.13409746404271017</v>
      </c>
      <c r="G127" s="343">
        <f t="shared" si="26"/>
        <v>0.1141375730262315</v>
      </c>
    </row>
    <row r="128" spans="2:31" ht="20.100000000000001" customHeight="1" x14ac:dyDescent="0.2">
      <c r="B128" s="180" t="s">
        <v>3</v>
      </c>
      <c r="C128" s="209">
        <f t="shared" si="25"/>
        <v>76555.145742800014</v>
      </c>
      <c r="D128" s="161">
        <f t="shared" si="26"/>
        <v>0.78279360704053136</v>
      </c>
      <c r="E128" s="161">
        <f t="shared" si="26"/>
        <v>0.15141744443998009</v>
      </c>
      <c r="F128" s="161">
        <f t="shared" si="26"/>
        <v>4.6196925589650745E-2</v>
      </c>
      <c r="G128" s="257">
        <f t="shared" si="26"/>
        <v>1.9108459648743865E-2</v>
      </c>
    </row>
    <row r="129" spans="1:34" ht="20.100000000000001" customHeight="1" x14ac:dyDescent="0.2">
      <c r="B129" s="332" t="s">
        <v>4</v>
      </c>
      <c r="C129" s="391">
        <f t="shared" si="25"/>
        <v>57591.806001789999</v>
      </c>
      <c r="D129" s="398">
        <f t="shared" si="26"/>
        <v>0.84598957106147488</v>
      </c>
      <c r="E129" s="398">
        <f t="shared" si="26"/>
        <v>0.12153572619961685</v>
      </c>
      <c r="F129" s="398">
        <f t="shared" si="26"/>
        <v>2.2827738336667864E-2</v>
      </c>
      <c r="G129" s="343">
        <f t="shared" si="26"/>
        <v>9.0034164907744664E-3</v>
      </c>
    </row>
    <row r="130" spans="1:34" ht="20.100000000000001" customHeight="1" x14ac:dyDescent="0.2">
      <c r="B130" s="372" t="s">
        <v>11</v>
      </c>
      <c r="C130" s="79">
        <f t="shared" si="25"/>
        <v>47590.570388730004</v>
      </c>
      <c r="D130" s="168">
        <f t="shared" si="26"/>
        <v>0.88249178889807278</v>
      </c>
      <c r="E130" s="168">
        <f t="shared" si="26"/>
        <v>8.9492860583229805E-2</v>
      </c>
      <c r="F130" s="168">
        <f t="shared" si="26"/>
        <v>2.3734815834283243E-2</v>
      </c>
      <c r="G130" s="88">
        <f t="shared" si="26"/>
        <v>4.2805346844139031E-3</v>
      </c>
    </row>
    <row r="136" spans="1:34" ht="30" customHeight="1" x14ac:dyDescent="0.2">
      <c r="B136" s="175" t="s">
        <v>456</v>
      </c>
      <c r="C136" s="310"/>
      <c r="D136" s="310"/>
      <c r="E136" s="310"/>
      <c r="F136" s="310"/>
      <c r="G136" s="310"/>
      <c r="H136" s="310"/>
      <c r="I136" s="310"/>
      <c r="J136" s="310"/>
      <c r="K136" s="310"/>
      <c r="L136" s="310"/>
      <c r="M136" s="310"/>
      <c r="N136" s="310"/>
      <c r="O136" s="310"/>
      <c r="P136" s="310"/>
      <c r="Q136" s="310"/>
      <c r="R136" s="310"/>
      <c r="S136" s="310"/>
      <c r="T136" s="310"/>
      <c r="U136" s="310"/>
      <c r="V136" s="310"/>
      <c r="W136" s="310"/>
      <c r="X136" s="310"/>
      <c r="Y136" s="310"/>
      <c r="Z136" s="310"/>
      <c r="AA136" s="310"/>
      <c r="AB136" s="310"/>
      <c r="AC136" s="310"/>
      <c r="AD136" s="310"/>
      <c r="AE136" s="310"/>
      <c r="AF136" s="310"/>
      <c r="AG136" s="310"/>
      <c r="AH136" s="310"/>
    </row>
    <row r="137" spans="1:34" ht="20.100000000000001" customHeight="1" x14ac:dyDescent="0.2">
      <c r="C137" s="371" t="s">
        <v>44</v>
      </c>
      <c r="D137" s="371" t="s">
        <v>45</v>
      </c>
      <c r="E137" s="371" t="s">
        <v>46</v>
      </c>
      <c r="F137" s="371" t="s">
        <v>47</v>
      </c>
      <c r="G137" s="371" t="s">
        <v>48</v>
      </c>
      <c r="H137" s="371" t="s">
        <v>49</v>
      </c>
      <c r="I137" s="371" t="s">
        <v>50</v>
      </c>
    </row>
    <row r="138" spans="1:34" ht="20.100000000000001" customHeight="1" x14ac:dyDescent="0.2">
      <c r="B138" s="203" t="s">
        <v>902</v>
      </c>
      <c r="C138" s="194"/>
      <c r="D138" s="194"/>
      <c r="E138" s="194"/>
      <c r="F138" s="194"/>
      <c r="G138" s="194"/>
      <c r="H138" s="194"/>
      <c r="I138" s="250"/>
      <c r="K138" s="203" t="s">
        <v>448</v>
      </c>
      <c r="L138" s="194"/>
      <c r="M138" s="194"/>
      <c r="N138" s="194"/>
      <c r="O138" s="194"/>
      <c r="P138" s="194"/>
      <c r="Q138" s="250"/>
      <c r="S138" s="203" t="s">
        <v>463</v>
      </c>
      <c r="T138" s="194"/>
      <c r="U138" s="194"/>
      <c r="V138" s="194"/>
      <c r="W138" s="194"/>
      <c r="X138" s="194"/>
      <c r="Y138" s="194"/>
      <c r="Z138" s="250"/>
      <c r="AB138" s="203" t="s">
        <v>465</v>
      </c>
      <c r="AC138" s="194"/>
      <c r="AD138" s="194"/>
      <c r="AE138" s="194"/>
      <c r="AF138" s="194"/>
      <c r="AG138" s="194"/>
      <c r="AH138" s="250"/>
    </row>
    <row r="139" spans="1:34" ht="20.100000000000001" customHeight="1" x14ac:dyDescent="0.2">
      <c r="A139" s="147"/>
      <c r="B139" s="143">
        <v>2016</v>
      </c>
      <c r="C139" s="53" t="s">
        <v>60</v>
      </c>
      <c r="D139" s="385" t="s">
        <v>61</v>
      </c>
      <c r="E139" s="385" t="s">
        <v>62</v>
      </c>
      <c r="F139" s="385" t="s">
        <v>63</v>
      </c>
      <c r="G139" s="385" t="s">
        <v>64</v>
      </c>
      <c r="H139" s="385" t="s">
        <v>65</v>
      </c>
      <c r="I139" s="415" t="s">
        <v>11</v>
      </c>
      <c r="K139" s="330"/>
      <c r="L139" s="215">
        <f t="array" ref="L139:Q139">J112:O112</f>
        <v>2021</v>
      </c>
      <c r="M139" s="213">
        <v>2025</v>
      </c>
      <c r="N139" s="213">
        <v>2030</v>
      </c>
      <c r="O139" s="213">
        <v>2035</v>
      </c>
      <c r="P139" s="213">
        <v>2040</v>
      </c>
      <c r="Q139" s="183">
        <v>2045</v>
      </c>
      <c r="S139" s="143">
        <f>B139</f>
        <v>2016</v>
      </c>
      <c r="T139" s="53" t="s">
        <v>60</v>
      </c>
      <c r="U139" s="385" t="s">
        <v>61</v>
      </c>
      <c r="V139" s="385" t="s">
        <v>62</v>
      </c>
      <c r="W139" s="385" t="s">
        <v>63</v>
      </c>
      <c r="X139" s="385" t="s">
        <v>64</v>
      </c>
      <c r="Y139" s="385" t="s">
        <v>65</v>
      </c>
      <c r="Z139" s="415" t="s">
        <v>11</v>
      </c>
      <c r="AB139" s="330" t="s">
        <v>74</v>
      </c>
      <c r="AC139" s="276">
        <f t="shared" ref="AC139:AH139" si="27">L149</f>
        <v>2021</v>
      </c>
      <c r="AD139" s="340">
        <f t="shared" si="27"/>
        <v>2025</v>
      </c>
      <c r="AE139" s="340">
        <f t="shared" si="27"/>
        <v>2030</v>
      </c>
      <c r="AF139" s="340">
        <f t="shared" si="27"/>
        <v>2035</v>
      </c>
      <c r="AG139" s="340">
        <f t="shared" si="27"/>
        <v>2040</v>
      </c>
      <c r="AH139" s="289">
        <f t="shared" si="27"/>
        <v>2045</v>
      </c>
    </row>
    <row r="140" spans="1:34" ht="20.100000000000001" customHeight="1" x14ac:dyDescent="0.2">
      <c r="A140" s="115">
        <v>0</v>
      </c>
      <c r="B140" s="211" t="s">
        <v>66</v>
      </c>
      <c r="C140" s="279">
        <f t="array" ref="C140">SUMPRODUCT(dem!$D$2:$J$1000 * ("bedrm" = dem!$K$2:$K$1000) * ($A140 = dem!$A$2:$A$1000) * ($B$139 = dem!$C$2:$C$1000) * (dem!$D$1:$J$1 = projection!C$137))</f>
        <v>301.34738607223801</v>
      </c>
      <c r="D140" s="44">
        <f t="array" ref="D140">SUMPRODUCT(dem!$D$2:$J$1000 * ("bedrm" = dem!$K$2:$K$1000) * ($A140 = dem!$A$2:$A$1000) * ($B$139 = dem!$C$2:$C$1000) * (dem!$D$1:$J$1 = projection!D$137))</f>
        <v>200.55044111858501</v>
      </c>
      <c r="E140" s="44">
        <f t="array" ref="E140">SUMPRODUCT(dem!$D$2:$J$1000 * ("bedrm" = dem!$K$2:$K$1000) * ($A140 = dem!$A$2:$A$1000) * ($B$139 = dem!$C$2:$C$1000) * (dem!$D$1:$J$1 = projection!E$137))</f>
        <v>301.11001129892799</v>
      </c>
      <c r="F140" s="44">
        <f t="array" ref="F140">SUMPRODUCT(dem!$D$2:$J$1000 * ("bedrm" = dem!$K$2:$K$1000) * ($A140 = dem!$A$2:$A$1000) * ($B$139 = dem!$C$2:$C$1000) * (dem!$D$1:$J$1 = projection!F$137))</f>
        <v>602.21833445197797</v>
      </c>
      <c r="G140" s="44">
        <f t="array" ref="G140">SUMPRODUCT(dem!$D$2:$J$1000 * ("bedrm" = dem!$K$2:$K$1000) * ($A140 = dem!$A$2:$A$1000) * ($B$139 = dem!$C$2:$C$1000) * (dem!$D$1:$J$1 = projection!G$137))</f>
        <v>0</v>
      </c>
      <c r="H140" s="44">
        <f t="array" ref="H140">SUMPRODUCT(dem!$D$2:$J$1000 * ("bedrm" = dem!$K$2:$K$1000) * ($A140 = dem!$A$2:$A$1000) * ($B$139 = dem!$C$2:$C$1000) * (dem!$D$1:$J$1 = projection!H$137))</f>
        <v>100.94369864126899</v>
      </c>
      <c r="I140" s="93">
        <f t="array" ref="I140">SUMPRODUCT(dem!$D$2:$J$1000 * ("bedrm" = dem!$K$2:$K$1000) * ($A140 = dem!$A$2:$A$1000) * ($B$139 = dem!$C$2:$C$1000) * (dem!$D$1:$J$1 = projection!I$137))</f>
        <v>0</v>
      </c>
      <c r="K140" s="211" t="s">
        <v>60</v>
      </c>
      <c r="L140" s="339">
        <f t="array" ref="L140:Q146">J114:O120</f>
        <v>0</v>
      </c>
      <c r="M140" s="327">
        <v>0</v>
      </c>
      <c r="N140" s="327">
        <v>0</v>
      </c>
      <c r="O140" s="327">
        <v>0</v>
      </c>
      <c r="P140" s="327">
        <v>0</v>
      </c>
      <c r="Q140" s="46">
        <v>0</v>
      </c>
      <c r="S140" s="211" t="s">
        <v>66</v>
      </c>
      <c r="T140" s="279">
        <f t="array" ref="T140">IFERROR(INDEX(dem!$D$2:$J$1000, MATCH(1, ($S$139 = dem!$C$2:$C$1000) * (1 = dem!$B$2:$B$1000) * ($A140 = dem!$A$2:$A$1000) * (dem!$K$2:$K$1000 = "bedrm"), 0), MATCH(C$137, dem!$D$1:$J$1,0)),0)</f>
        <v>0</v>
      </c>
      <c r="U140" s="44">
        <f t="array" ref="U140">IFERROR(INDEX(dem!$D$2:$J$1000, MATCH(1, ($S$139 = dem!$C$2:$C$1000) * (1 = dem!$B$2:$B$1000) * ($A140 = dem!$A$2:$A$1000) * (dem!$K$2:$K$1000 = "bedrm"), 0), MATCH(D$137, dem!$D$1:$J$1,0)),0)</f>
        <v>0</v>
      </c>
      <c r="V140" s="44">
        <f t="array" ref="V140">IFERROR(INDEX(dem!$D$2:$J$1000, MATCH(1, ($S$139 = dem!$C$2:$C$1000) * (1 = dem!$B$2:$B$1000) * ($A140 = dem!$A$2:$A$1000) * (dem!$K$2:$K$1000 = "bedrm"), 0), MATCH(E$137, dem!$D$1:$J$1,0)),0)</f>
        <v>0</v>
      </c>
      <c r="W140" s="44">
        <f t="array" ref="W140">IFERROR(INDEX(dem!$D$2:$J$1000, MATCH(1, ($S$139 = dem!$C$2:$C$1000) * (1 = dem!$B$2:$B$1000) * ($A140 = dem!$A$2:$A$1000) * (dem!$K$2:$K$1000 = "bedrm"), 0), MATCH(F$137, dem!$D$1:$J$1,0)),0)</f>
        <v>0</v>
      </c>
      <c r="X140" s="44">
        <f t="array" ref="X140">IFERROR(INDEX(dem!$D$2:$J$1000, MATCH(1, ($S$139 = dem!$C$2:$C$1000) * (1 = dem!$B$2:$B$1000) * ($A140 = dem!$A$2:$A$1000) * (dem!$K$2:$K$1000 = "bedrm"), 0), MATCH(G$137, dem!$D$1:$J$1,0)),0)</f>
        <v>0</v>
      </c>
      <c r="Y140" s="44">
        <f t="array" ref="Y140">IFERROR(INDEX(dem!$D$2:$J$1000, MATCH(1, ($S$139 = dem!$C$2:$C$1000) * (1 = dem!$B$2:$B$1000) * ($A140 = dem!$A$2:$A$1000) * (dem!$K$2:$K$1000 = "bedrm"), 0), MATCH(H$137, dem!$D$1:$J$1,0)),0)</f>
        <v>0</v>
      </c>
      <c r="Z140" s="93">
        <f t="array" ref="Z140">IFERROR(INDEX(dem!$D$2:$J$1000, MATCH(1, ($S$139 = dem!$C$2:$C$1000) * (1 = dem!$B$2:$B$1000) * ($A140 = dem!$A$2:$A$1000) * (dem!$K$2:$K$1000 = "bedrm"), 0), MATCH(I$137, dem!$D$1:$J$1,0)),0)</f>
        <v>0</v>
      </c>
      <c r="AB140" s="211" t="s">
        <v>66</v>
      </c>
      <c r="AC140" s="339">
        <f t="array" ref="AC140">IF(L150 = 0, 0, SUMPRODUCT($C149:$I149,TRANSPOSE(L$140:L$146), ($T149:$Z149)))</f>
        <v>0</v>
      </c>
      <c r="AD140" s="327">
        <f t="array" ref="AD140">IF(M150 = 0, 0, SUMPRODUCT($C149:$I149,TRANSPOSE(M$140:M$146), ($T149:$Z149)))</f>
        <v>0</v>
      </c>
      <c r="AE140" s="327">
        <f t="array" ref="AE140">IF(N150 = 0, 0, SUMPRODUCT($C149:$I149,TRANSPOSE(N$140:N$146), ($T149:$Z149)))</f>
        <v>0</v>
      </c>
      <c r="AF140" s="327">
        <f t="array" ref="AF140">IF(O150 = 0, 0, SUMPRODUCT($C149:$I149,TRANSPOSE(O$140:O$146), ($T149:$Z149)))</f>
        <v>0</v>
      </c>
      <c r="AG140" s="327">
        <f t="array" ref="AG140">IF(P150 = 0, 0, SUMPRODUCT($C149:$I149,TRANSPOSE(P$140:P$146), ($T149:$Z149)))</f>
        <v>0</v>
      </c>
      <c r="AH140" s="46">
        <f t="array" ref="AH140">IF(Q150 = 0, 0, SUMPRODUCT($C149:$I149,TRANSPOSE(Q$140:Q$146), ($T149:$Z149)))</f>
        <v>0</v>
      </c>
    </row>
    <row r="141" spans="1:34" ht="20.100000000000001" customHeight="1" x14ac:dyDescent="0.2">
      <c r="A141" s="115">
        <v>1</v>
      </c>
      <c r="B141" s="305" t="s">
        <v>67</v>
      </c>
      <c r="C141" s="410">
        <f t="array" ref="C141">SUMPRODUCT(dem!$D$2:$J$1000 * ("bedrm" = dem!$K$2:$K$1000) * ($A141 = dem!$A$2:$A$1000) * ($B$139 = dem!$C$2:$C$1000) * (dem!$D$1:$J$1 = projection!C$137))</f>
        <v>4923.0444219257752</v>
      </c>
      <c r="D141" s="81">
        <f t="array" ref="D141">SUMPRODUCT(dem!$D$2:$J$1000 * ("bedrm" = dem!$K$2:$K$1000) * ($A141 = dem!$A$2:$A$1000) * ($B$139 = dem!$C$2:$C$1000) * (dem!$D$1:$J$1 = projection!D$137))</f>
        <v>5022.5582823329869</v>
      </c>
      <c r="E141" s="81">
        <f t="array" ref="E141">SUMPRODUCT(dem!$D$2:$J$1000 * ("bedrm" = dem!$K$2:$K$1000) * ($A141 = dem!$A$2:$A$1000) * ($B$139 = dem!$C$2:$C$1000) * (dem!$D$1:$J$1 = projection!E$137))</f>
        <v>4219.9999528797798</v>
      </c>
      <c r="F141" s="81">
        <f t="array" ref="F141">SUMPRODUCT(dem!$D$2:$J$1000 * ("bedrm" = dem!$K$2:$K$1000) * ($A141 = dem!$A$2:$A$1000) * ($B$139 = dem!$C$2:$C$1000) * (dem!$D$1:$J$1 = projection!F$137))</f>
        <v>6024.3747755887107</v>
      </c>
      <c r="G141" s="81">
        <f t="array" ref="G141">SUMPRODUCT(dem!$D$2:$J$1000 * ("bedrm" = dem!$K$2:$K$1000) * ($A141 = dem!$A$2:$A$1000) * ($B$139 = dem!$C$2:$C$1000) * (dem!$D$1:$J$1 = projection!G$137))</f>
        <v>6027.6798095620561</v>
      </c>
      <c r="H141" s="81">
        <f t="array" ref="H141">SUMPRODUCT(dem!$D$2:$J$1000 * ("bedrm" = dem!$K$2:$K$1000) * ($A141 = dem!$A$2:$A$1000) * ($B$139 = dem!$C$2:$C$1000) * (dem!$D$1:$J$1 = projection!H$137))</f>
        <v>2310.9245154117993</v>
      </c>
      <c r="I141" s="342">
        <f t="array" ref="I141">SUMPRODUCT(dem!$D$2:$J$1000 * ("bedrm" = dem!$K$2:$K$1000) * ($A141 = dem!$A$2:$A$1000) * ($B$139 = dem!$C$2:$C$1000) * (dem!$D$1:$J$1 = projection!I$137))</f>
        <v>1306.2774119636699</v>
      </c>
      <c r="K141" s="305" t="s">
        <v>61</v>
      </c>
      <c r="L141" s="333">
        <v>0</v>
      </c>
      <c r="M141" s="364">
        <v>0</v>
      </c>
      <c r="N141" s="364">
        <v>0</v>
      </c>
      <c r="O141" s="364">
        <v>0</v>
      </c>
      <c r="P141" s="364">
        <v>0</v>
      </c>
      <c r="Q141" s="151">
        <v>0</v>
      </c>
      <c r="S141" s="305" t="s">
        <v>67</v>
      </c>
      <c r="T141" s="410">
        <f t="array" ref="T141">IFERROR(INDEX(dem!$D$2:$J$1000, MATCH(1, ($S$139 = dem!$C$2:$C$1000) * (1 = dem!$B$2:$B$1000) * ($A141 = dem!$A$2:$A$1000) * (dem!$K$2:$K$1000 = "bedrm"), 0), MATCH(C$137, dem!$D$1:$J$1,0)),0)</f>
        <v>100.19688545621599</v>
      </c>
      <c r="U141" s="81">
        <f t="array" ref="U141">IFERROR(INDEX(dem!$D$2:$J$1000, MATCH(1, ($S$139 = dem!$C$2:$C$1000) * (1 = dem!$B$2:$B$1000) * ($A141 = dem!$A$2:$A$1000) * (dem!$K$2:$K$1000 = "bedrm"), 0), MATCH(D$137, dem!$D$1:$J$1,0)),0)</f>
        <v>502.78316752425701</v>
      </c>
      <c r="V141" s="81">
        <f t="array" ref="V141">IFERROR(INDEX(dem!$D$2:$J$1000, MATCH(1, ($S$139 = dem!$C$2:$C$1000) * (1 = dem!$B$2:$B$1000) * ($A141 = dem!$A$2:$A$1000) * (dem!$K$2:$K$1000 = "bedrm"), 0), MATCH(E$137, dem!$D$1:$J$1,0)),0)</f>
        <v>300.96495580447998</v>
      </c>
      <c r="W141" s="81">
        <f t="array" ref="W141">IFERROR(INDEX(dem!$D$2:$J$1000, MATCH(1, ($S$139 = dem!$C$2:$C$1000) * (1 = dem!$B$2:$B$1000) * ($A141 = dem!$A$2:$A$1000) * (dem!$K$2:$K$1000 = "bedrm"), 0), MATCH(F$137, dem!$D$1:$J$1,0)),0)</f>
        <v>400.96404506809102</v>
      </c>
      <c r="X141" s="81">
        <f t="array" ref="X141">IFERROR(INDEX(dem!$D$2:$J$1000, MATCH(1, ($S$139 = dem!$C$2:$C$1000) * (1 = dem!$B$2:$B$1000) * ($A141 = dem!$A$2:$A$1000) * (dem!$K$2:$K$1000 = "bedrm"), 0), MATCH(G$137, dem!$D$1:$J$1,0)),0)</f>
        <v>803.03197734343598</v>
      </c>
      <c r="Y141" s="81">
        <f t="array" ref="Y141">IFERROR(INDEX(dem!$D$2:$J$1000, MATCH(1, ($S$139 = dem!$C$2:$C$1000) * (1 = dem!$B$2:$B$1000) * ($A141 = dem!$A$2:$A$1000) * (dem!$K$2:$K$1000 = "bedrm"), 0), MATCH(H$137, dem!$D$1:$J$1,0)),0)</f>
        <v>99.704496788009195</v>
      </c>
      <c r="Z141" s="342">
        <f t="array" ref="Z141">IFERROR(INDEX(dem!$D$2:$J$1000, MATCH(1, ($S$139 = dem!$C$2:$C$1000) * (1 = dem!$B$2:$B$1000) * ($A141 = dem!$A$2:$A$1000) * (dem!$K$2:$K$1000 = "bedrm"), 0), MATCH(I$137, dem!$D$1:$J$1,0)),0)</f>
        <v>0</v>
      </c>
      <c r="AB141" s="305" t="s">
        <v>67</v>
      </c>
      <c r="AC141" s="333">
        <f t="array" ref="AC141">IF(L151 = 0, 0, SUMPRODUCT($C150:$I150,TRANSPOSE(L$140:L$146), ($T150:$Z150)))</f>
        <v>0</v>
      </c>
      <c r="AD141" s="364">
        <f t="array" ref="AD141">IF(M151 = 0, 0, SUMPRODUCT($C150:$I150,TRANSPOSE(M$140:M$146), ($T150:$Z150)))</f>
        <v>0</v>
      </c>
      <c r="AE141" s="364">
        <f t="array" ref="AE141">IF(N151 = 0, 0, SUMPRODUCT($C150:$I150,TRANSPOSE(N$140:N$146), ($T150:$Z150)))</f>
        <v>0</v>
      </c>
      <c r="AF141" s="364">
        <f t="array" ref="AF141">IF(O151 = 0, 0, SUMPRODUCT($C150:$I150,TRANSPOSE(O$140:O$146), ($T150:$Z150)))</f>
        <v>0</v>
      </c>
      <c r="AG141" s="364">
        <f t="array" ref="AG141">IF(P151 = 0, 0, SUMPRODUCT($C150:$I150,TRANSPOSE(P$140:P$146), ($T150:$Z150)))</f>
        <v>0</v>
      </c>
      <c r="AH141" s="151">
        <f t="array" ref="AH141">IF(Q151 = 0, 0, SUMPRODUCT($C150:$I150,TRANSPOSE(Q$140:Q$146), ($T150:$Z150)))</f>
        <v>0</v>
      </c>
    </row>
    <row r="142" spans="1:34" ht="20.100000000000001" customHeight="1" x14ac:dyDescent="0.2">
      <c r="A142" s="115">
        <v>2</v>
      </c>
      <c r="B142" s="109" t="s">
        <v>68</v>
      </c>
      <c r="C142" s="245">
        <f t="array" ref="C142">SUMPRODUCT(dem!$D$2:$J$1000 * ("bedrm" = dem!$K$2:$K$1000) * ($A142 = dem!$A$2:$A$1000) * ($B$139 = dem!$C$2:$C$1000) * (dem!$D$1:$J$1 = projection!C$137))</f>
        <v>7430.1273439124443</v>
      </c>
      <c r="D142" s="116">
        <f t="array" ref="D142">SUMPRODUCT(dem!$D$2:$J$1000 * ("bedrm" = dem!$K$2:$K$1000) * ($A142 = dem!$A$2:$A$1000) * ($B$139 = dem!$C$2:$C$1000) * (dem!$D$1:$J$1 = projection!D$137))</f>
        <v>15064.621293753462</v>
      </c>
      <c r="E142" s="116">
        <f t="array" ref="E142">SUMPRODUCT(dem!$D$2:$J$1000 * ("bedrm" = dem!$K$2:$K$1000) * ($A142 = dem!$A$2:$A$1000) * ($B$139 = dem!$C$2:$C$1000) * (dem!$D$1:$J$1 = projection!E$137))</f>
        <v>8136.2754650199204</v>
      </c>
      <c r="F142" s="116">
        <f t="array" ref="F142">SUMPRODUCT(dem!$D$2:$J$1000 * ("bedrm" = dem!$K$2:$K$1000) * ($A142 = dem!$A$2:$A$1000) * ($B$139 = dem!$C$2:$C$1000) * (dem!$D$1:$J$1 = projection!F$137))</f>
        <v>8939.9646099747697</v>
      </c>
      <c r="G142" s="116">
        <f t="array" ref="G142">SUMPRODUCT(dem!$D$2:$J$1000 * ("bedrm" = dem!$K$2:$K$1000) * ($A142 = dem!$A$2:$A$1000) * ($B$139 = dem!$C$2:$C$1000) * (dem!$D$1:$J$1 = projection!G$137))</f>
        <v>5523.5028698773303</v>
      </c>
      <c r="H142" s="116">
        <f t="array" ref="H142">SUMPRODUCT(dem!$D$2:$J$1000 * ("bedrm" = dem!$K$2:$K$1000) * ($A142 = dem!$A$2:$A$1000) * ($B$139 = dem!$C$2:$C$1000) * (dem!$D$1:$J$1 = projection!H$137))</f>
        <v>3111.29838478294</v>
      </c>
      <c r="I142" s="370">
        <f t="array" ref="I142">SUMPRODUCT(dem!$D$2:$J$1000 * ("bedrm" = dem!$K$2:$K$1000) * ($A142 = dem!$A$2:$A$1000) * ($B$139 = dem!$C$2:$C$1000) * (dem!$D$1:$J$1 = projection!I$137))</f>
        <v>1206.0828520858058</v>
      </c>
      <c r="K142" s="109" t="s">
        <v>62</v>
      </c>
      <c r="L142" s="242">
        <v>0</v>
      </c>
      <c r="M142" s="345">
        <v>0</v>
      </c>
      <c r="N142" s="345">
        <v>0</v>
      </c>
      <c r="O142" s="345">
        <v>0</v>
      </c>
      <c r="P142" s="345">
        <v>0</v>
      </c>
      <c r="Q142" s="322">
        <v>0</v>
      </c>
      <c r="S142" s="109" t="s">
        <v>68</v>
      </c>
      <c r="T142" s="245">
        <f t="array" ref="T142">IFERROR(INDEX(dem!$D$2:$J$1000, MATCH(1, ($S$139 = dem!$C$2:$C$1000) * (1 = dem!$B$2:$B$1000) * ($A142 = dem!$A$2:$A$1000) * (dem!$K$2:$K$1000 = "bedrm"), 0), MATCH(C$137, dem!$D$1:$J$1,0)),0)</f>
        <v>602.92314633471403</v>
      </c>
      <c r="U142" s="116">
        <f t="array" ref="U142">IFERROR(INDEX(dem!$D$2:$J$1000, MATCH(1, ($S$139 = dem!$C$2:$C$1000) * (1 = dem!$B$2:$B$1000) * ($A142 = dem!$A$2:$A$1000) * (dem!$K$2:$K$1000 = "bedrm"), 0), MATCH(D$137, dem!$D$1:$J$1,0)),0)</f>
        <v>2410.4690582221601</v>
      </c>
      <c r="V142" s="116">
        <f t="array" ref="V142">IFERROR(INDEX(dem!$D$2:$J$1000, MATCH(1, ($S$139 = dem!$C$2:$C$1000) * (1 = dem!$B$2:$B$1000) * ($A142 = dem!$A$2:$A$1000) * (dem!$K$2:$K$1000 = "bedrm"), 0), MATCH(E$137, dem!$D$1:$J$1,0)),0)</f>
        <v>2209.71937615665</v>
      </c>
      <c r="W142" s="116">
        <f t="array" ref="W142">IFERROR(INDEX(dem!$D$2:$J$1000, MATCH(1, ($S$139 = dem!$C$2:$C$1000) * (1 = dem!$B$2:$B$1000) * ($A142 = dem!$A$2:$A$1000) * (dem!$K$2:$K$1000 = "bedrm"), 0), MATCH(F$137, dem!$D$1:$J$1,0)),0)</f>
        <v>2108.7133821874399</v>
      </c>
      <c r="X142" s="116">
        <f t="array" ref="X142">IFERROR(INDEX(dem!$D$2:$J$1000, MATCH(1, ($S$139 = dem!$C$2:$C$1000) * (1 = dem!$B$2:$B$1000) * ($A142 = dem!$A$2:$A$1000) * (dem!$K$2:$K$1000 = "bedrm"), 0), MATCH(G$137, dem!$D$1:$J$1,0)),0)</f>
        <v>1506.2746718630599</v>
      </c>
      <c r="Y142" s="116">
        <f t="array" ref="Y142">IFERROR(INDEX(dem!$D$2:$J$1000, MATCH(1, ($S$139 = dem!$C$2:$C$1000) * (1 = dem!$B$2:$B$1000) * ($A142 = dem!$A$2:$A$1000) * (dem!$K$2:$K$1000 = "bedrm"), 0), MATCH(H$137, dem!$D$1:$J$1,0)),0)</f>
        <v>1003.13396172168</v>
      </c>
      <c r="Z142" s="370">
        <f t="array" ref="Z142">IFERROR(INDEX(dem!$D$2:$J$1000, MATCH(1, ($S$139 = dem!$C$2:$C$1000) * (1 = dem!$B$2:$B$1000) * ($A142 = dem!$A$2:$A$1000) * (dem!$K$2:$K$1000 = "bedrm"), 0), MATCH(I$137, dem!$D$1:$J$1,0)),0)</f>
        <v>200.72120608325599</v>
      </c>
      <c r="AB142" s="109" t="s">
        <v>68</v>
      </c>
      <c r="AC142" s="242">
        <f t="array" ref="AC142">IF(L152 = 0, 0, SUMPRODUCT($C151:$I151,TRANSPOSE(L$140:L$146), ($T151:$Z151)))</f>
        <v>0</v>
      </c>
      <c r="AD142" s="345">
        <f t="array" ref="AD142">IF(M152 = 0, 0, SUMPRODUCT($C151:$I151,TRANSPOSE(M$140:M$146), ($T151:$Z151)))</f>
        <v>0</v>
      </c>
      <c r="AE142" s="345">
        <f t="array" ref="AE142">IF(N152 = 0, 0, SUMPRODUCT($C151:$I151,TRANSPOSE(N$140:N$146), ($T151:$Z151)))</f>
        <v>0</v>
      </c>
      <c r="AF142" s="345">
        <f t="array" ref="AF142">IF(O152 = 0, 0, SUMPRODUCT($C151:$I151,TRANSPOSE(O$140:O$146), ($T151:$Z151)))</f>
        <v>0</v>
      </c>
      <c r="AG142" s="345">
        <f t="array" ref="AG142">IF(P152 = 0, 0, SUMPRODUCT($C151:$I151,TRANSPOSE(P$140:P$146), ($T151:$Z151)))</f>
        <v>0</v>
      </c>
      <c r="AH142" s="322">
        <f t="array" ref="AH142">IF(Q152 = 0, 0, SUMPRODUCT($C151:$I151,TRANSPOSE(Q$140:Q$146), ($T151:$Z151)))</f>
        <v>0</v>
      </c>
    </row>
    <row r="143" spans="1:34" ht="20.100000000000001" customHeight="1" x14ac:dyDescent="0.2">
      <c r="A143" s="115">
        <v>3</v>
      </c>
      <c r="B143" s="271" t="s">
        <v>69</v>
      </c>
      <c r="C143" s="410">
        <f t="array" ref="C143">SUMPRODUCT(dem!$D$2:$J$1000 * ("bedrm" = dem!$K$2:$K$1000) * ($A143 = dem!$A$2:$A$1000) * ($B$139 = dem!$C$2:$C$1000) * (dem!$D$1:$J$1 = projection!C$137))</f>
        <v>4418.8739616169532</v>
      </c>
      <c r="D143" s="81">
        <f t="array" ref="D143">SUMPRODUCT(dem!$D$2:$J$1000 * ("bedrm" = dem!$K$2:$K$1000) * ($A143 = dem!$A$2:$A$1000) * ($B$139 = dem!$C$2:$C$1000) * (dem!$D$1:$J$1 = projection!D$137))</f>
        <v>15065.73046441426</v>
      </c>
      <c r="E143" s="81">
        <f t="array" ref="E143">SUMPRODUCT(dem!$D$2:$J$1000 * ("bedrm" = dem!$K$2:$K$1000) * ($A143 = dem!$A$2:$A$1000) * ($B$139 = dem!$C$2:$C$1000) * (dem!$D$1:$J$1 = projection!E$137))</f>
        <v>11652.872126472819</v>
      </c>
      <c r="F143" s="81">
        <f t="array" ref="F143">SUMPRODUCT(dem!$D$2:$J$1000 * ("bedrm" = dem!$K$2:$K$1000) * ($A143 = dem!$A$2:$A$1000) * ($B$139 = dem!$C$2:$C$1000) * (dem!$D$1:$J$1 = projection!F$137))</f>
        <v>8538.0398730017496</v>
      </c>
      <c r="G143" s="81">
        <f t="array" ref="G143">SUMPRODUCT(dem!$D$2:$J$1000 * ("bedrm" = dem!$K$2:$K$1000) * ($A143 = dem!$A$2:$A$1000) * ($B$139 = dem!$C$2:$C$1000) * (dem!$D$1:$J$1 = projection!G$137))</f>
        <v>4214.5999740122297</v>
      </c>
      <c r="H143" s="81">
        <f t="array" ref="H143">SUMPRODUCT(dem!$D$2:$J$1000 * ("bedrm" = dem!$K$2:$K$1000) * ($A143 = dem!$A$2:$A$1000) * ($B$139 = dem!$C$2:$C$1000) * (dem!$D$1:$J$1 = projection!H$137))</f>
        <v>1405.850181771438</v>
      </c>
      <c r="I143" s="342">
        <f t="array" ref="I143">SUMPRODUCT(dem!$D$2:$J$1000 * ("bedrm" = dem!$K$2:$K$1000) * ($A143 = dem!$A$2:$A$1000) * ($B$139 = dem!$C$2:$C$1000) * (dem!$D$1:$J$1 = projection!I$137))</f>
        <v>703.54998759040791</v>
      </c>
      <c r="K143" s="271" t="s">
        <v>63</v>
      </c>
      <c r="L143" s="333">
        <v>0</v>
      </c>
      <c r="M143" s="364">
        <v>0</v>
      </c>
      <c r="N143" s="364">
        <v>0</v>
      </c>
      <c r="O143" s="364">
        <v>0</v>
      </c>
      <c r="P143" s="364">
        <v>0</v>
      </c>
      <c r="Q143" s="151">
        <v>0</v>
      </c>
      <c r="S143" s="271" t="s">
        <v>69</v>
      </c>
      <c r="T143" s="410">
        <f t="array" ref="T143">IFERROR(INDEX(dem!$D$2:$J$1000, MATCH(1, ($S$139 = dem!$C$2:$C$1000) * (1 = dem!$B$2:$B$1000) * ($A143 = dem!$A$2:$A$1000) * (dem!$K$2:$K$1000 = "bedrm"), 0), MATCH(C$137, dem!$D$1:$J$1,0)),0)</f>
        <v>703.43788107657303</v>
      </c>
      <c r="U143" s="81">
        <f t="array" ref="U143">IFERROR(INDEX(dem!$D$2:$J$1000, MATCH(1, ($S$139 = dem!$C$2:$C$1000) * (1 = dem!$B$2:$B$1000) * ($A143 = dem!$A$2:$A$1000) * (dem!$K$2:$K$1000 = "bedrm"), 0), MATCH(D$137, dem!$D$1:$J$1,0)),0)</f>
        <v>5926.3443321545601</v>
      </c>
      <c r="V143" s="81">
        <f t="array" ref="V143">IFERROR(INDEX(dem!$D$2:$J$1000, MATCH(1, ($S$139 = dem!$C$2:$C$1000) * (1 = dem!$B$2:$B$1000) * ($A143 = dem!$A$2:$A$1000) * (dem!$K$2:$K$1000 = "bedrm"), 0), MATCH(E$137, dem!$D$1:$J$1,0)),0)</f>
        <v>4520.2724098517001</v>
      </c>
      <c r="W143" s="81">
        <f t="array" ref="W143">IFERROR(INDEX(dem!$D$2:$J$1000, MATCH(1, ($S$139 = dem!$C$2:$C$1000) * (1 = dem!$B$2:$B$1000) * ($A143 = dem!$A$2:$A$1000) * (dem!$K$2:$K$1000 = "bedrm"), 0), MATCH(F$137, dem!$D$1:$J$1,0)),0)</f>
        <v>4719.6845575903399</v>
      </c>
      <c r="X143" s="81">
        <f t="array" ref="X143">IFERROR(INDEX(dem!$D$2:$J$1000, MATCH(1, ($S$139 = dem!$C$2:$C$1000) * (1 = dem!$B$2:$B$1000) * ($A143 = dem!$A$2:$A$1000) * (dem!$K$2:$K$1000 = "bedrm"), 0), MATCH(G$137, dem!$D$1:$J$1,0)),0)</f>
        <v>2409.19826395579</v>
      </c>
      <c r="Y143" s="81">
        <f t="array" ref="Y143">IFERROR(INDEX(dem!$D$2:$J$1000, MATCH(1, ($S$139 = dem!$C$2:$C$1000) * (1 = dem!$B$2:$B$1000) * ($A143 = dem!$A$2:$A$1000) * (dem!$K$2:$K$1000 = "bedrm"), 0), MATCH(H$137, dem!$D$1:$J$1,0)),0)</f>
        <v>602.20176017732001</v>
      </c>
      <c r="Z143" s="342">
        <f t="array" ref="Z143">IFERROR(INDEX(dem!$D$2:$J$1000, MATCH(1, ($S$139 = dem!$C$2:$C$1000) * (1 = dem!$B$2:$B$1000) * ($A143 = dem!$A$2:$A$1000) * (dem!$K$2:$K$1000 = "bedrm"), 0), MATCH(I$137, dem!$D$1:$J$1,0)),0)</f>
        <v>301.84213792390398</v>
      </c>
      <c r="AB143" s="271" t="s">
        <v>69</v>
      </c>
      <c r="AC143" s="333">
        <f t="array" ref="AC143">IF(L153 = 0, 0, SUMPRODUCT($C152:$I152,TRANSPOSE(L$140:L$146), ($T152:$Z152)))</f>
        <v>0</v>
      </c>
      <c r="AD143" s="364">
        <f t="array" ref="AD143">IF(M153 = 0, 0, SUMPRODUCT($C152:$I152,TRANSPOSE(M$140:M$146), ($T152:$Z152)))</f>
        <v>0</v>
      </c>
      <c r="AE143" s="364">
        <f t="array" ref="AE143">IF(N153 = 0, 0, SUMPRODUCT($C152:$I152,TRANSPOSE(N$140:N$146), ($T152:$Z152)))</f>
        <v>0</v>
      </c>
      <c r="AF143" s="364">
        <f t="array" ref="AF143">IF(O153 = 0, 0, SUMPRODUCT($C152:$I152,TRANSPOSE(O$140:O$146), ($T152:$Z152)))</f>
        <v>0</v>
      </c>
      <c r="AG143" s="364">
        <f t="array" ref="AG143">IF(P153 = 0, 0, SUMPRODUCT($C152:$I152,TRANSPOSE(P$140:P$146), ($T152:$Z152)))</f>
        <v>0</v>
      </c>
      <c r="AH143" s="151">
        <f t="array" ref="AH143">IF(Q153 = 0, 0, SUMPRODUCT($C152:$I152,TRANSPOSE(Q$140:Q$146), ($T152:$Z152)))</f>
        <v>0</v>
      </c>
    </row>
    <row r="144" spans="1:34" ht="20.100000000000001" customHeight="1" x14ac:dyDescent="0.2">
      <c r="A144" s="115">
        <v>4</v>
      </c>
      <c r="B144" s="109" t="s">
        <v>70</v>
      </c>
      <c r="C144" s="245">
        <f t="array" ref="C144">SUMPRODUCT(dem!$D$2:$J$1000 * ("bedrm" = dem!$K$2:$K$1000) * ($A144 = dem!$A$2:$A$1000) * ($B$139 = dem!$C$2:$C$1000) * (dem!$D$1:$J$1 = projection!C$137))</f>
        <v>1205.4169981366661</v>
      </c>
      <c r="D144" s="116">
        <f t="array" ref="D144">SUMPRODUCT(dem!$D$2:$J$1000 * ("bedrm" = dem!$K$2:$K$1000) * ($A144 = dem!$A$2:$A$1000) * ($B$139 = dem!$C$2:$C$1000) * (dem!$D$1:$J$1 = projection!D$137))</f>
        <v>5323.3977761002807</v>
      </c>
      <c r="E144" s="116">
        <f t="array" ref="E144">SUMPRODUCT(dem!$D$2:$J$1000 * ("bedrm" = dem!$K$2:$K$1000) * ($A144 = dem!$A$2:$A$1000) * ($B$139 = dem!$C$2:$C$1000) * (dem!$D$1:$J$1 = projection!E$137))</f>
        <v>5323.2014314888702</v>
      </c>
      <c r="F144" s="116">
        <f t="array" ref="F144">SUMPRODUCT(dem!$D$2:$J$1000 * ("bedrm" = dem!$K$2:$K$1000) * ($A144 = dem!$A$2:$A$1000) * ($B$139 = dem!$C$2:$C$1000) * (dem!$D$1:$J$1 = projection!F$137))</f>
        <v>3012.1788949668344</v>
      </c>
      <c r="G144" s="116">
        <f t="array" ref="G144">SUMPRODUCT(dem!$D$2:$J$1000 * ("bedrm" = dem!$K$2:$K$1000) * ($A144 = dem!$A$2:$A$1000) * ($B$139 = dem!$C$2:$C$1000) * (dem!$D$1:$J$1 = projection!G$137))</f>
        <v>904.56639102819793</v>
      </c>
      <c r="H144" s="116">
        <f t="array" ref="H144">SUMPRODUCT(dem!$D$2:$J$1000 * ("bedrm" = dem!$K$2:$K$1000) * ($A144 = dem!$A$2:$A$1000) * ($B$139 = dem!$C$2:$C$1000) * (dem!$D$1:$J$1 = projection!H$137))</f>
        <v>502.44099034143198</v>
      </c>
      <c r="I144" s="370">
        <f t="array" ref="I144">SUMPRODUCT(dem!$D$2:$J$1000 * ("bedrm" = dem!$K$2:$K$1000) * ($A144 = dem!$A$2:$A$1000) * ($B$139 = dem!$C$2:$C$1000) * (dem!$D$1:$J$1 = projection!I$137))</f>
        <v>0</v>
      </c>
      <c r="K144" s="109" t="s">
        <v>64</v>
      </c>
      <c r="L144" s="242">
        <v>0</v>
      </c>
      <c r="M144" s="345">
        <v>0</v>
      </c>
      <c r="N144" s="345">
        <v>0</v>
      </c>
      <c r="O144" s="345">
        <v>0</v>
      </c>
      <c r="P144" s="345">
        <v>0</v>
      </c>
      <c r="Q144" s="322">
        <v>0</v>
      </c>
      <c r="S144" s="109" t="s">
        <v>70</v>
      </c>
      <c r="T144" s="245">
        <f t="array" ref="T144">IFERROR(INDEX(dem!$D$2:$J$1000, MATCH(1, ($S$139 = dem!$C$2:$C$1000) * (1 = dem!$B$2:$B$1000) * ($A144 = dem!$A$2:$A$1000) * (dem!$K$2:$K$1000 = "bedrm"), 0), MATCH(C$137, dem!$D$1:$J$1,0)),0)</f>
        <v>201.45777211641601</v>
      </c>
      <c r="U144" s="116">
        <f t="array" ref="U144">IFERROR(INDEX(dem!$D$2:$J$1000, MATCH(1, ($S$139 = dem!$C$2:$C$1000) * (1 = dem!$B$2:$B$1000) * ($A144 = dem!$A$2:$A$1000) * (dem!$K$2:$K$1000 = "bedrm"), 0), MATCH(D$137, dem!$D$1:$J$1,0)),0)</f>
        <v>2911.7522966101001</v>
      </c>
      <c r="V144" s="116">
        <f t="array" ref="V144">IFERROR(INDEX(dem!$D$2:$J$1000, MATCH(1, ($S$139 = dem!$C$2:$C$1000) * (1 = dem!$B$2:$B$1000) * ($A144 = dem!$A$2:$A$1000) * (dem!$K$2:$K$1000 = "bedrm"), 0), MATCH(E$137, dem!$D$1:$J$1,0)),0)</f>
        <v>3514.7159404883701</v>
      </c>
      <c r="W144" s="116">
        <f t="array" ref="W144">IFERROR(INDEX(dem!$D$2:$J$1000, MATCH(1, ($S$139 = dem!$C$2:$C$1000) * (1 = dem!$B$2:$B$1000) * ($A144 = dem!$A$2:$A$1000) * (dem!$K$2:$K$1000 = "bedrm"), 0), MATCH(F$137, dem!$D$1:$J$1,0)),0)</f>
        <v>2107.8321647734001</v>
      </c>
      <c r="X144" s="116">
        <f t="array" ref="X144">IFERROR(INDEX(dem!$D$2:$J$1000, MATCH(1, ($S$139 = dem!$C$2:$C$1000) * (1 = dem!$B$2:$B$1000) * ($A144 = dem!$A$2:$A$1000) * (dem!$K$2:$K$1000 = "bedrm"), 0), MATCH(G$137, dem!$D$1:$J$1,0)),0)</f>
        <v>603.48472135067595</v>
      </c>
      <c r="Y144" s="116">
        <f t="array" ref="Y144">IFERROR(INDEX(dem!$D$2:$J$1000, MATCH(1, ($S$139 = dem!$C$2:$C$1000) * (1 = dem!$B$2:$B$1000) * ($A144 = dem!$A$2:$A$1000) * (dem!$K$2:$K$1000 = "bedrm"), 0), MATCH(H$137, dem!$D$1:$J$1,0)),0)</f>
        <v>200.89810864927901</v>
      </c>
      <c r="Z144" s="370">
        <f t="array" ref="Z144">IFERROR(INDEX(dem!$D$2:$J$1000, MATCH(1, ($S$139 = dem!$C$2:$C$1000) * (1 = dem!$B$2:$B$1000) * ($A144 = dem!$A$2:$A$1000) * (dem!$K$2:$K$1000 = "bedrm"), 0), MATCH(I$137, dem!$D$1:$J$1,0)),0)</f>
        <v>0</v>
      </c>
      <c r="AB144" s="109" t="s">
        <v>70</v>
      </c>
      <c r="AC144" s="242">
        <f t="array" ref="AC144">IF(L154 = 0, 0, SUMPRODUCT($C153:$I153,TRANSPOSE(L$140:L$146), ($T153:$Z153)))</f>
        <v>0</v>
      </c>
      <c r="AD144" s="345">
        <f t="array" ref="AD144">IF(M154 = 0, 0, SUMPRODUCT($C153:$I153,TRANSPOSE(M$140:M$146), ($T153:$Z153)))</f>
        <v>0</v>
      </c>
      <c r="AE144" s="345">
        <f t="array" ref="AE144">IF(N154 = 0, 0, SUMPRODUCT($C153:$I153,TRANSPOSE(N$140:N$146), ($T153:$Z153)))</f>
        <v>0</v>
      </c>
      <c r="AF144" s="345">
        <f t="array" ref="AF144">IF(O154 = 0, 0, SUMPRODUCT($C153:$I153,TRANSPOSE(O$140:O$146), ($T153:$Z153)))</f>
        <v>0</v>
      </c>
      <c r="AG144" s="345">
        <f t="array" ref="AG144">IF(P154 = 0, 0, SUMPRODUCT($C153:$I153,TRANSPOSE(P$140:P$146), ($T153:$Z153)))</f>
        <v>0</v>
      </c>
      <c r="AH144" s="322">
        <f t="array" ref="AH144">IF(Q154 = 0, 0, SUMPRODUCT($C153:$I153,TRANSPOSE(Q$140:Q$146), ($T153:$Z153)))</f>
        <v>0</v>
      </c>
    </row>
    <row r="145" spans="1:34" ht="20.100000000000001" customHeight="1" x14ac:dyDescent="0.2">
      <c r="A145" s="115">
        <v>5</v>
      </c>
      <c r="B145" s="124" t="s">
        <v>71</v>
      </c>
      <c r="C145" s="126">
        <f t="array" ref="C145">SUMPRODUCT(dem!$D$2:$J$1000 * ("bedrm" = dem!$K$2:$K$1000) * ($A145 = dem!$A$2:$A$1000) * ($B$139 = dem!$C$2:$C$1000) * (dem!$D$1:$J$1 = projection!C$137))</f>
        <v>501.97977832680101</v>
      </c>
      <c r="D145" s="255">
        <f t="array" ref="D145">SUMPRODUCT(dem!$D$2:$J$1000 * ("bedrm" = dem!$K$2:$K$1000) * ($A145 = dem!$A$2:$A$1000) * ($B$139 = dem!$C$2:$C$1000) * (dem!$D$1:$J$1 = projection!D$137))</f>
        <v>1807.9944776916291</v>
      </c>
      <c r="E145" s="255">
        <f t="array" ref="E145">SUMPRODUCT(dem!$D$2:$J$1000 * ("bedrm" = dem!$K$2:$K$1000) * ($A145 = dem!$A$2:$A$1000) * ($B$139 = dem!$C$2:$C$1000) * (dem!$D$1:$J$1 = projection!E$137))</f>
        <v>2812.3311495339999</v>
      </c>
      <c r="F145" s="255">
        <f t="array" ref="F145">SUMPRODUCT(dem!$D$2:$J$1000 * ("bedrm" = dem!$K$2:$K$1000) * ($A145 = dem!$A$2:$A$1000) * ($B$139 = dem!$C$2:$C$1000) * (dem!$D$1:$J$1 = projection!F$137))</f>
        <v>804.22667811514702</v>
      </c>
      <c r="G145" s="255">
        <f t="array" ref="G145">SUMPRODUCT(dem!$D$2:$J$1000 * ("bedrm" = dem!$K$2:$K$1000) * ($A145 = dem!$A$2:$A$1000) * ($B$139 = dem!$C$2:$C$1000) * (dem!$D$1:$J$1 = projection!G$137))</f>
        <v>300.877364875816</v>
      </c>
      <c r="H145" s="255">
        <f t="array" ref="H145">SUMPRODUCT(dem!$D$2:$J$1000 * ("bedrm" = dem!$K$2:$K$1000) * ($A145 = dem!$A$2:$A$1000) * ($B$139 = dem!$C$2:$C$1000) * (dem!$D$1:$J$1 = projection!H$137))</f>
        <v>300.57700130731899</v>
      </c>
      <c r="I145" s="55">
        <f t="array" ref="I145">SUMPRODUCT(dem!$D$2:$J$1000 * ("bedrm" = dem!$K$2:$K$1000) * ($A145 = dem!$A$2:$A$1000) * ($B$139 = dem!$C$2:$C$1000) * (dem!$D$1:$J$1 = projection!I$137))</f>
        <v>0</v>
      </c>
      <c r="K145" s="271" t="s">
        <v>65</v>
      </c>
      <c r="L145" s="333">
        <v>0</v>
      </c>
      <c r="M145" s="364">
        <v>0</v>
      </c>
      <c r="N145" s="364">
        <v>0</v>
      </c>
      <c r="O145" s="364">
        <v>0</v>
      </c>
      <c r="P145" s="364">
        <v>0</v>
      </c>
      <c r="Q145" s="151">
        <v>0</v>
      </c>
      <c r="S145" s="124" t="s">
        <v>71</v>
      </c>
      <c r="T145" s="126">
        <f t="array" ref="T145">IFERROR(INDEX(dem!$D$2:$J$1000, MATCH(1, ($S$139 = dem!$C$2:$C$1000) * (1 = dem!$B$2:$B$1000) * ($A145 = dem!$A$2:$A$1000) * (dem!$K$2:$K$1000 = "bedrm"), 0), MATCH(C$137, dem!$D$1:$J$1,0)),0)</f>
        <v>501.97977832680101</v>
      </c>
      <c r="U145" s="255">
        <f t="array" ref="U145">IFERROR(INDEX(dem!$D$2:$J$1000, MATCH(1, ($S$139 = dem!$C$2:$C$1000) * (1 = dem!$B$2:$B$1000) * ($A145 = dem!$A$2:$A$1000) * (dem!$K$2:$K$1000 = "bedrm"), 0), MATCH(D$137, dem!$D$1:$J$1,0)),0)</f>
        <v>1406.08582324588</v>
      </c>
      <c r="V145" s="255">
        <f t="array" ref="V145">IFERROR(INDEX(dem!$D$2:$J$1000, MATCH(1, ($S$139 = dem!$C$2:$C$1000) * (1 = dem!$B$2:$B$1000) * ($A145 = dem!$A$2:$A$1000) * (dem!$K$2:$K$1000 = "bedrm"), 0), MATCH(E$137, dem!$D$1:$J$1,0)),0)</f>
        <v>2310.4817401415698</v>
      </c>
      <c r="W145" s="255">
        <f t="array" ref="W145">IFERROR(INDEX(dem!$D$2:$J$1000, MATCH(1, ($S$139 = dem!$C$2:$C$1000) * (1 = dem!$B$2:$B$1000) * ($A145 = dem!$A$2:$A$1000) * (dem!$K$2:$K$1000 = "bedrm"), 0), MATCH(F$137, dem!$D$1:$J$1,0)),0)</f>
        <v>502.25450189022803</v>
      </c>
      <c r="X145" s="255">
        <f t="array" ref="X145">IFERROR(INDEX(dem!$D$2:$J$1000, MATCH(1, ($S$139 = dem!$C$2:$C$1000) * (1 = dem!$B$2:$B$1000) * ($A145 = dem!$A$2:$A$1000) * (dem!$K$2:$K$1000 = "bedrm"), 0), MATCH(G$137, dem!$D$1:$J$1,0)),0)</f>
        <v>300.877364875816</v>
      </c>
      <c r="Y145" s="255">
        <f t="array" ref="Y145">IFERROR(INDEX(dem!$D$2:$J$1000, MATCH(1, ($S$139 = dem!$C$2:$C$1000) * (1 = dem!$B$2:$B$1000) * ($A145 = dem!$A$2:$A$1000) * (dem!$K$2:$K$1000 = "bedrm"), 0), MATCH(H$137, dem!$D$1:$J$1,0)),0)</f>
        <v>100.183230394887</v>
      </c>
      <c r="Z145" s="55">
        <f t="array" ref="Z145">IFERROR(INDEX(dem!$D$2:$J$1000, MATCH(1, ($S$139 = dem!$C$2:$C$1000) * (1 = dem!$B$2:$B$1000) * ($A145 = dem!$A$2:$A$1000) * (dem!$K$2:$K$1000 = "bedrm"), 0), MATCH(I$137, dem!$D$1:$J$1,0)),0)</f>
        <v>0</v>
      </c>
      <c r="AB145" s="124" t="s">
        <v>71</v>
      </c>
      <c r="AC145" s="307">
        <f t="array" ref="AC145">IF(L155 = 0, 0, SUMPRODUCT($C154:$I154,TRANSPOSE(L$140:L$146), ($T154:$Z154)))</f>
        <v>0</v>
      </c>
      <c r="AD145" s="375">
        <f t="array" ref="AD145">IF(M155 = 0, 0, SUMPRODUCT($C154:$I154,TRANSPOSE(M$140:M$146), ($T154:$Z154)))</f>
        <v>0</v>
      </c>
      <c r="AE145" s="375">
        <f t="array" ref="AE145">IF(N155 = 0, 0, SUMPRODUCT($C154:$I154,TRANSPOSE(N$140:N$146), ($T154:$Z154)))</f>
        <v>0</v>
      </c>
      <c r="AF145" s="375">
        <f t="array" ref="AF145">IF(O155 = 0, 0, SUMPRODUCT($C154:$I154,TRANSPOSE(O$140:O$146), ($T154:$Z154)))</f>
        <v>0</v>
      </c>
      <c r="AG145" s="375">
        <f t="array" ref="AG145">IF(P155 = 0, 0, SUMPRODUCT($C154:$I154,TRANSPOSE(P$140:P$146), ($T154:$Z154)))</f>
        <v>0</v>
      </c>
      <c r="AH145" s="414">
        <f t="array" ref="AH145">IF(Q155 = 0, 0, SUMPRODUCT($C154:$I154,TRANSPOSE(Q$140:Q$146), ($T154:$Z154)))</f>
        <v>0</v>
      </c>
    </row>
    <row r="146" spans="1:34" ht="20.100000000000001" customHeight="1" x14ac:dyDescent="0.2">
      <c r="A146" s="147"/>
      <c r="K146" s="287" t="s">
        <v>11</v>
      </c>
      <c r="L146" s="202">
        <v>0</v>
      </c>
      <c r="M146" s="358">
        <v>0</v>
      </c>
      <c r="N146" s="358">
        <v>0</v>
      </c>
      <c r="O146" s="358">
        <v>0</v>
      </c>
      <c r="P146" s="358">
        <v>0</v>
      </c>
      <c r="Q146" s="286">
        <v>0</v>
      </c>
      <c r="AC146" s="239"/>
      <c r="AD146" s="239"/>
      <c r="AE146" s="239"/>
      <c r="AF146" s="239"/>
      <c r="AG146" s="239"/>
      <c r="AH146" s="239"/>
    </row>
    <row r="147" spans="1:34" ht="20.100000000000001" customHeight="1" x14ac:dyDescent="0.2">
      <c r="B147" s="203" t="s">
        <v>903</v>
      </c>
      <c r="C147" s="194"/>
      <c r="D147" s="194"/>
      <c r="E147" s="194"/>
      <c r="F147" s="194"/>
      <c r="G147" s="194"/>
      <c r="H147" s="194"/>
      <c r="I147" s="250"/>
      <c r="S147" s="203" t="s">
        <v>464</v>
      </c>
      <c r="T147" s="194"/>
      <c r="U147" s="194"/>
      <c r="V147" s="194"/>
      <c r="W147" s="194"/>
      <c r="X147" s="194"/>
      <c r="Y147" s="194"/>
      <c r="Z147" s="250"/>
      <c r="AB147" s="330" t="s">
        <v>75</v>
      </c>
      <c r="AC147" s="276">
        <f t="shared" ref="AC147:AH147" si="28">AC139</f>
        <v>2021</v>
      </c>
      <c r="AD147" s="340">
        <f t="shared" si="28"/>
        <v>2025</v>
      </c>
      <c r="AE147" s="340">
        <f t="shared" si="28"/>
        <v>2030</v>
      </c>
      <c r="AF147" s="340">
        <f t="shared" si="28"/>
        <v>2035</v>
      </c>
      <c r="AG147" s="340">
        <f t="shared" si="28"/>
        <v>2040</v>
      </c>
      <c r="AH147" s="289">
        <f t="shared" si="28"/>
        <v>2045</v>
      </c>
    </row>
    <row r="148" spans="1:34" ht="20.100000000000001" customHeight="1" x14ac:dyDescent="0.2">
      <c r="B148" s="143">
        <f>B139</f>
        <v>2016</v>
      </c>
      <c r="C148" s="53" t="s">
        <v>60</v>
      </c>
      <c r="D148" s="385" t="s">
        <v>61</v>
      </c>
      <c r="E148" s="385" t="s">
        <v>62</v>
      </c>
      <c r="F148" s="385" t="s">
        <v>63</v>
      </c>
      <c r="G148" s="385" t="s">
        <v>64</v>
      </c>
      <c r="H148" s="385" t="s">
        <v>65</v>
      </c>
      <c r="I148" s="415" t="s">
        <v>11</v>
      </c>
      <c r="K148" s="203" t="s">
        <v>460</v>
      </c>
      <c r="L148" s="194"/>
      <c r="M148" s="194"/>
      <c r="N148" s="194"/>
      <c r="O148" s="194"/>
      <c r="P148" s="194"/>
      <c r="Q148" s="250"/>
      <c r="S148" s="143" t="s">
        <v>95</v>
      </c>
      <c r="T148" s="53" t="s">
        <v>60</v>
      </c>
      <c r="U148" s="385" t="s">
        <v>61</v>
      </c>
      <c r="V148" s="385" t="s">
        <v>62</v>
      </c>
      <c r="W148" s="385" t="s">
        <v>63</v>
      </c>
      <c r="X148" s="385" t="s">
        <v>64</v>
      </c>
      <c r="Y148" s="385" t="s">
        <v>65</v>
      </c>
      <c r="Z148" s="415" t="s">
        <v>11</v>
      </c>
      <c r="AB148" s="211" t="s">
        <v>66</v>
      </c>
      <c r="AC148" s="339">
        <f t="array" ref="AC148:AH153">L150:Q155-AC140:AH145</f>
        <v>0</v>
      </c>
      <c r="AD148" s="327">
        <v>0</v>
      </c>
      <c r="AE148" s="327">
        <v>0</v>
      </c>
      <c r="AF148" s="327">
        <v>0</v>
      </c>
      <c r="AG148" s="327">
        <v>0</v>
      </c>
      <c r="AH148" s="46">
        <v>0</v>
      </c>
    </row>
    <row r="149" spans="1:34" ht="20.100000000000001" customHeight="1" x14ac:dyDescent="0.2">
      <c r="B149" s="211" t="s">
        <v>66</v>
      </c>
      <c r="C149" s="261">
        <f t="shared" ref="C149:I154" si="29">C140/SUM(C$140:C$145)</f>
        <v>1.6045511814859265E-2</v>
      </c>
      <c r="D149" s="32">
        <f t="shared" si="29"/>
        <v>4.7205163300807641E-3</v>
      </c>
      <c r="E149" s="32">
        <f t="shared" si="29"/>
        <v>9.2804030979165442E-3</v>
      </c>
      <c r="F149" s="32">
        <f t="shared" si="29"/>
        <v>2.1568649624422259E-2</v>
      </c>
      <c r="G149" s="32">
        <f t="shared" si="29"/>
        <v>0</v>
      </c>
      <c r="H149" s="32">
        <f t="shared" si="29"/>
        <v>1.3055256683980712E-2</v>
      </c>
      <c r="I149" s="112">
        <f t="shared" si="29"/>
        <v>0</v>
      </c>
      <c r="K149" s="330"/>
      <c r="L149" s="215">
        <f t="shared" ref="L149:Q149" si="30">L139</f>
        <v>2021</v>
      </c>
      <c r="M149" s="213">
        <f t="shared" si="30"/>
        <v>2025</v>
      </c>
      <c r="N149" s="213">
        <f t="shared" si="30"/>
        <v>2030</v>
      </c>
      <c r="O149" s="213">
        <f t="shared" si="30"/>
        <v>2035</v>
      </c>
      <c r="P149" s="213">
        <f t="shared" si="30"/>
        <v>2040</v>
      </c>
      <c r="Q149" s="183">
        <f t="shared" si="30"/>
        <v>2045</v>
      </c>
      <c r="S149" s="211" t="s">
        <v>66</v>
      </c>
      <c r="T149" s="261">
        <f t="shared" ref="T149:Z154" si="31">IFERROR(T140/C140,0)</f>
        <v>0</v>
      </c>
      <c r="U149" s="32">
        <f t="shared" si="31"/>
        <v>0</v>
      </c>
      <c r="V149" s="32">
        <f t="shared" si="31"/>
        <v>0</v>
      </c>
      <c r="W149" s="32">
        <f t="shared" si="31"/>
        <v>0</v>
      </c>
      <c r="X149" s="32">
        <f t="shared" si="31"/>
        <v>0</v>
      </c>
      <c r="Y149" s="32">
        <f t="shared" si="31"/>
        <v>0</v>
      </c>
      <c r="Z149" s="112">
        <f t="shared" si="31"/>
        <v>0</v>
      </c>
      <c r="AB149" s="305" t="s">
        <v>67</v>
      </c>
      <c r="AC149" s="333">
        <v>0</v>
      </c>
      <c r="AD149" s="364">
        <v>0</v>
      </c>
      <c r="AE149" s="364">
        <v>0</v>
      </c>
      <c r="AF149" s="364">
        <v>0</v>
      </c>
      <c r="AG149" s="364">
        <v>0</v>
      </c>
      <c r="AH149" s="151">
        <v>0</v>
      </c>
    </row>
    <row r="150" spans="1:34" ht="20.100000000000001" customHeight="1" x14ac:dyDescent="0.2">
      <c r="B150" s="305" t="s">
        <v>67</v>
      </c>
      <c r="C150" s="45">
        <f t="shared" si="29"/>
        <v>0.26213191515174161</v>
      </c>
      <c r="D150" s="176">
        <f t="shared" si="29"/>
        <v>0.11821997627278286</v>
      </c>
      <c r="E150" s="176">
        <f t="shared" si="29"/>
        <v>0.13006309709521308</v>
      </c>
      <c r="F150" s="176">
        <f t="shared" si="29"/>
        <v>0.21576498307565534</v>
      </c>
      <c r="G150" s="176">
        <f t="shared" si="29"/>
        <v>0.35517054950367133</v>
      </c>
      <c r="H150" s="176">
        <f t="shared" si="29"/>
        <v>0.29887663253970015</v>
      </c>
      <c r="I150" s="142">
        <f t="shared" si="29"/>
        <v>0.40619212283600331</v>
      </c>
      <c r="K150" s="211" t="s">
        <v>66</v>
      </c>
      <c r="L150" s="339">
        <f t="array" ref="L150">SUMPRODUCT($C149:$I149+$AA140:$AA140*(L$149-$L$149),TRANSPOSE(L$140:L$146))</f>
        <v>0</v>
      </c>
      <c r="M150" s="327">
        <f t="array" ref="M150">IF(SUMPRODUCT($C149:$I149+$AA140:$AA140*(M$149-$L$149),TRANSPOSE(M$140:M$146)) &lt; 0, 0, SUMPRODUCT($C149:$I149+$AA140:$AA140*(M$149-$L$149),TRANSPOSE(M$140:M$146)))</f>
        <v>0</v>
      </c>
      <c r="N150" s="327">
        <f t="array" ref="N150">IF(SUMPRODUCT($C149:$I149+$AA140:$AA140*(N$149-$L$149),TRANSPOSE(N$140:N$146)) &lt; 0, 0, SUMPRODUCT($C149:$I149+$AA140:$AA140*(N$149-$L$149),TRANSPOSE(N$140:N$146)))</f>
        <v>0</v>
      </c>
      <c r="O150" s="327">
        <f t="array" ref="O150">IF(SUMPRODUCT($C149:$I149+$AA140:$AA140*(O$149-$L$149),TRANSPOSE(O$140:O$146)) &lt; 0, 0, SUMPRODUCT($C149:$I149+$AA140:$AA140*(O$149-$L$149),TRANSPOSE(O$140:O$146)))</f>
        <v>0</v>
      </c>
      <c r="P150" s="327">
        <f t="array" ref="P150">IF(SUMPRODUCT($C149:$I149+$AA140:$AA140*(P$149-$L$149),TRANSPOSE(P$140:P$146)) &lt; 0, 0, SUMPRODUCT($C149:$I149+$AA140:$AA140*(P$149-$L$149),TRANSPOSE(P$140:P$146)))</f>
        <v>0</v>
      </c>
      <c r="Q150" s="46">
        <f t="array" ref="Q150">IF(SUMPRODUCT($C149:$I149+$AA140:$AA140*(Q$149-$L$149),TRANSPOSE(Q$140:Q$146)) &lt; 0, 0, SUMPRODUCT($C149:$I149+$AA140:$AA140*(Q$149-$L$149),TRANSPOSE(Q$140:Q$146)))</f>
        <v>0</v>
      </c>
      <c r="S150" s="305" t="s">
        <v>67</v>
      </c>
      <c r="T150" s="45">
        <f t="shared" si="31"/>
        <v>2.0352626722190213E-2</v>
      </c>
      <c r="U150" s="176">
        <f t="shared" si="31"/>
        <v>0.100104994160608</v>
      </c>
      <c r="V150" s="176">
        <f t="shared" si="31"/>
        <v>7.1318710702614529E-2</v>
      </c>
      <c r="W150" s="176">
        <f t="shared" si="31"/>
        <v>6.6556955701499873E-2</v>
      </c>
      <c r="X150" s="176">
        <f t="shared" si="31"/>
        <v>0.13322406012169724</v>
      </c>
      <c r="Y150" s="176">
        <f t="shared" si="31"/>
        <v>4.3144852254181992E-2</v>
      </c>
      <c r="Z150" s="142">
        <f t="shared" si="31"/>
        <v>0</v>
      </c>
      <c r="AB150" s="109" t="s">
        <v>68</v>
      </c>
      <c r="AC150" s="242">
        <v>0</v>
      </c>
      <c r="AD150" s="345">
        <v>0</v>
      </c>
      <c r="AE150" s="345">
        <v>0</v>
      </c>
      <c r="AF150" s="345">
        <v>0</v>
      </c>
      <c r="AG150" s="345">
        <v>0</v>
      </c>
      <c r="AH150" s="322">
        <v>0</v>
      </c>
    </row>
    <row r="151" spans="1:34" ht="20.100000000000001" customHeight="1" x14ac:dyDescent="0.2">
      <c r="B151" s="109" t="s">
        <v>68</v>
      </c>
      <c r="C151" s="150">
        <f t="shared" si="29"/>
        <v>0.3956237936441796</v>
      </c>
      <c r="D151" s="241">
        <f t="shared" si="29"/>
        <v>0.35458805489037437</v>
      </c>
      <c r="E151" s="241">
        <f t="shared" si="29"/>
        <v>0.25076521270530755</v>
      </c>
      <c r="F151" s="241">
        <f t="shared" si="29"/>
        <v>0.32018780116143519</v>
      </c>
      <c r="G151" s="241">
        <f t="shared" si="29"/>
        <v>0.32546280019176588</v>
      </c>
      <c r="H151" s="241">
        <f t="shared" si="29"/>
        <v>0.40239063537929071</v>
      </c>
      <c r="I151" s="379">
        <f t="shared" si="29"/>
        <v>0.37503622853616331</v>
      </c>
      <c r="K151" s="305" t="s">
        <v>67</v>
      </c>
      <c r="L151" s="333">
        <f t="array" ref="L151">SUMPRODUCT($C150:$I150+$AA141:$AA141*(L$149-$L$149),TRANSPOSE(L$140:L$146))</f>
        <v>0</v>
      </c>
      <c r="M151" s="364">
        <f t="array" ref="M151">SUMPRODUCT($C150:$I150+$AA141:$AA141*(M$149-$L$149),TRANSPOSE(M$140:M$146))</f>
        <v>0</v>
      </c>
      <c r="N151" s="364">
        <f t="array" ref="N151">SUMPRODUCT($C150:$I150+$AA141:$AA141*(N$149-$L$149),TRANSPOSE(N$140:N$146))</f>
        <v>0</v>
      </c>
      <c r="O151" s="364">
        <f t="array" ref="O151">SUMPRODUCT($C150:$I150+$AA141:$AA141*(O$149-$L$149),TRANSPOSE(O$140:O$146))</f>
        <v>0</v>
      </c>
      <c r="P151" s="364">
        <f t="array" ref="P151">SUMPRODUCT($C150:$I150+$AA141:$AA141*(P$149-$L$149),TRANSPOSE(P$140:P$146))</f>
        <v>0</v>
      </c>
      <c r="Q151" s="151">
        <f t="array" ref="Q151">SUMPRODUCT($C150:$I150+$AA141:$AA141*(Q$149-$L$149),TRANSPOSE(Q$140:Q$146))</f>
        <v>0</v>
      </c>
      <c r="S151" s="109" t="s">
        <v>68</v>
      </c>
      <c r="T151" s="150">
        <f t="shared" si="31"/>
        <v>8.1145735251589357E-2</v>
      </c>
      <c r="U151" s="241">
        <f t="shared" si="31"/>
        <v>0.16000860633792766</v>
      </c>
      <c r="V151" s="241">
        <f t="shared" si="31"/>
        <v>0.27158856477473503</v>
      </c>
      <c r="W151" s="241">
        <f t="shared" si="31"/>
        <v>0.23587491384861212</v>
      </c>
      <c r="X151" s="241">
        <f t="shared" si="31"/>
        <v>0.27270279519136237</v>
      </c>
      <c r="Y151" s="241">
        <f t="shared" si="31"/>
        <v>0.32241650837088187</v>
      </c>
      <c r="Z151" s="379">
        <f t="shared" si="31"/>
        <v>0.16642406094749437</v>
      </c>
      <c r="AB151" s="271" t="s">
        <v>69</v>
      </c>
      <c r="AC151" s="333">
        <v>0</v>
      </c>
      <c r="AD151" s="364">
        <v>0</v>
      </c>
      <c r="AE151" s="364">
        <v>0</v>
      </c>
      <c r="AF151" s="364">
        <v>0</v>
      </c>
      <c r="AG151" s="364">
        <v>0</v>
      </c>
      <c r="AH151" s="151">
        <v>0</v>
      </c>
    </row>
    <row r="152" spans="1:34" ht="20.100000000000001" customHeight="1" x14ac:dyDescent="0.2">
      <c r="B152" s="271" t="s">
        <v>69</v>
      </c>
      <c r="C152" s="45">
        <f t="shared" si="29"/>
        <v>0.23528690686071566</v>
      </c>
      <c r="D152" s="176">
        <f t="shared" si="29"/>
        <v>0.35461416232842308</v>
      </c>
      <c r="E152" s="176">
        <f t="shared" si="29"/>
        <v>0.35914897055609363</v>
      </c>
      <c r="F152" s="176">
        <f t="shared" si="29"/>
        <v>0.30579273324134615</v>
      </c>
      <c r="G152" s="176">
        <f t="shared" si="29"/>
        <v>0.24833797348250994</v>
      </c>
      <c r="H152" s="176">
        <f t="shared" si="29"/>
        <v>0.18182150277128317</v>
      </c>
      <c r="I152" s="142">
        <f t="shared" si="29"/>
        <v>0.21877164862783341</v>
      </c>
      <c r="K152" s="109" t="s">
        <v>68</v>
      </c>
      <c r="L152" s="242">
        <f t="array" ref="L152">SUMPRODUCT($C151:$I151+$AA142:$AA142*(L$149-$L$149),TRANSPOSE(L$140:L$146))</f>
        <v>0</v>
      </c>
      <c r="M152" s="345">
        <f t="array" ref="M152">SUMPRODUCT($C151:$I151+$AA142:$AA142*(M$149-$L$149),TRANSPOSE(M$140:M$146))</f>
        <v>0</v>
      </c>
      <c r="N152" s="345">
        <f t="array" ref="N152">SUMPRODUCT($C151:$I151+$AA142:$AA142*(N$149-$L$149),TRANSPOSE(N$140:N$146))</f>
        <v>0</v>
      </c>
      <c r="O152" s="345">
        <f t="array" ref="O152">SUMPRODUCT($C151:$I151+$AA142:$AA142*(O$149-$L$149),TRANSPOSE(O$140:O$146))</f>
        <v>0</v>
      </c>
      <c r="P152" s="345">
        <f t="array" ref="P152">SUMPRODUCT($C151:$I151+$AA142:$AA142*(P$149-$L$149),TRANSPOSE(P$140:P$146))</f>
        <v>0</v>
      </c>
      <c r="Q152" s="322">
        <f t="array" ref="Q152">SUMPRODUCT($C151:$I151+$AA142:$AA142*(Q$149-$L$149),TRANSPOSE(Q$140:Q$146))</f>
        <v>0</v>
      </c>
      <c r="S152" s="271" t="s">
        <v>69</v>
      </c>
      <c r="T152" s="45">
        <f t="shared" si="31"/>
        <v>0.15918939693386758</v>
      </c>
      <c r="U152" s="176">
        <f t="shared" si="31"/>
        <v>0.39336588067553552</v>
      </c>
      <c r="V152" s="176">
        <f t="shared" si="31"/>
        <v>0.38791058211156487</v>
      </c>
      <c r="W152" s="176">
        <f t="shared" si="31"/>
        <v>0.55278314786447857</v>
      </c>
      <c r="X152" s="176">
        <f t="shared" si="31"/>
        <v>0.57163153770493502</v>
      </c>
      <c r="Y152" s="176">
        <f t="shared" si="31"/>
        <v>0.42835415038216745</v>
      </c>
      <c r="Z152" s="142">
        <f t="shared" si="31"/>
        <v>0.42902728057417033</v>
      </c>
      <c r="AB152" s="109" t="s">
        <v>70</v>
      </c>
      <c r="AC152" s="242">
        <v>0</v>
      </c>
      <c r="AD152" s="345">
        <v>0</v>
      </c>
      <c r="AE152" s="345">
        <v>0</v>
      </c>
      <c r="AF152" s="345">
        <v>0</v>
      </c>
      <c r="AG152" s="345">
        <v>0</v>
      </c>
      <c r="AH152" s="322">
        <v>0</v>
      </c>
    </row>
    <row r="153" spans="1:34" ht="20.100000000000001" customHeight="1" x14ac:dyDescent="0.2">
      <c r="B153" s="109" t="s">
        <v>70</v>
      </c>
      <c r="C153" s="150">
        <f t="shared" si="29"/>
        <v>6.4183509064178745E-2</v>
      </c>
      <c r="D153" s="241">
        <f t="shared" si="29"/>
        <v>0.12530107634486909</v>
      </c>
      <c r="E153" s="241">
        <f t="shared" si="29"/>
        <v>0.16406447212603514</v>
      </c>
      <c r="F153" s="241">
        <f t="shared" si="29"/>
        <v>0.10788218736438983</v>
      </c>
      <c r="G153" s="241">
        <f t="shared" si="29"/>
        <v>5.3300001379366614E-2</v>
      </c>
      <c r="H153" s="241">
        <f t="shared" si="29"/>
        <v>6.4981729278335926E-2</v>
      </c>
      <c r="I153" s="379">
        <f t="shared" si="29"/>
        <v>0</v>
      </c>
      <c r="K153" s="271" t="s">
        <v>69</v>
      </c>
      <c r="L153" s="333">
        <f t="array" ref="L153">SUMPRODUCT($C152:$I152+$AA143:$AA143*(L$149-$L$149),TRANSPOSE(L$140:L$146))</f>
        <v>0</v>
      </c>
      <c r="M153" s="364">
        <f t="array" ref="M153">SUMPRODUCT($C152:$I152+$AA143:$AA143*(M$149-$L$149),TRANSPOSE(M$140:M$146))</f>
        <v>0</v>
      </c>
      <c r="N153" s="364">
        <f t="array" ref="N153">SUMPRODUCT($C152:$I152+$AA143:$AA143*(N$149-$L$149),TRANSPOSE(N$140:N$146))</f>
        <v>0</v>
      </c>
      <c r="O153" s="364">
        <f t="array" ref="O153">SUMPRODUCT($C152:$I152+$AA143:$AA143*(O$149-$L$149),TRANSPOSE(O$140:O$146))</f>
        <v>0</v>
      </c>
      <c r="P153" s="364">
        <f t="array" ref="P153">SUMPRODUCT($C152:$I152+$AA143:$AA143*(P$149-$L$149),TRANSPOSE(P$140:P$146))</f>
        <v>0</v>
      </c>
      <c r="Q153" s="151">
        <f t="array" ref="Q153">SUMPRODUCT($C152:$I152+$AA143:$AA143*(Q$149-$L$149),TRANSPOSE(Q$140:Q$146))</f>
        <v>0</v>
      </c>
      <c r="S153" s="109" t="s">
        <v>70</v>
      </c>
      <c r="T153" s="150">
        <f t="shared" si="31"/>
        <v>0.16712703772041501</v>
      </c>
      <c r="U153" s="241">
        <f t="shared" si="31"/>
        <v>0.54697252001016905</v>
      </c>
      <c r="V153" s="241">
        <f t="shared" si="31"/>
        <v>0.6602635623926264</v>
      </c>
      <c r="W153" s="241">
        <f t="shared" si="31"/>
        <v>0.69976991349864981</v>
      </c>
      <c r="X153" s="241">
        <f t="shared" si="31"/>
        <v>0.66715359683517539</v>
      </c>
      <c r="Y153" s="241">
        <f t="shared" si="31"/>
        <v>0.39984418570777719</v>
      </c>
      <c r="Z153" s="379">
        <f t="shared" si="31"/>
        <v>0</v>
      </c>
      <c r="AB153" s="124" t="s">
        <v>71</v>
      </c>
      <c r="AC153" s="307">
        <v>0</v>
      </c>
      <c r="AD153" s="375">
        <v>0</v>
      </c>
      <c r="AE153" s="375">
        <v>0</v>
      </c>
      <c r="AF153" s="375">
        <v>0</v>
      </c>
      <c r="AG153" s="375">
        <v>0</v>
      </c>
      <c r="AH153" s="414">
        <v>0</v>
      </c>
    </row>
    <row r="154" spans="1:34" ht="20.100000000000001" customHeight="1" x14ac:dyDescent="0.2">
      <c r="A154" s="147"/>
      <c r="B154" s="124" t="s">
        <v>71</v>
      </c>
      <c r="C154" s="41">
        <f t="shared" si="29"/>
        <v>2.6728363464325243E-2</v>
      </c>
      <c r="D154" s="253">
        <f t="shared" si="29"/>
        <v>4.2556213833469692E-2</v>
      </c>
      <c r="E154" s="253">
        <f t="shared" si="29"/>
        <v>8.6677844419434116E-2</v>
      </c>
      <c r="F154" s="253">
        <f t="shared" si="29"/>
        <v>2.8803645532751273E-2</v>
      </c>
      <c r="G154" s="253">
        <f t="shared" si="29"/>
        <v>1.7728675442686519E-2</v>
      </c>
      <c r="H154" s="253">
        <f t="shared" si="29"/>
        <v>3.8874243347409451E-2</v>
      </c>
      <c r="I154" s="30">
        <f t="shared" si="29"/>
        <v>0</v>
      </c>
      <c r="K154" s="109" t="s">
        <v>70</v>
      </c>
      <c r="L154" s="242">
        <f t="array" ref="L154">SUMPRODUCT($C153:$I153+$AA144:$AA144*(L$149-$L$149),TRANSPOSE(L$140:L$146))</f>
        <v>0</v>
      </c>
      <c r="M154" s="345">
        <f t="array" ref="M154">SUMPRODUCT($C153:$I153+$AA144:$AA144*(M$149-$L$149),TRANSPOSE(M$140:M$146))</f>
        <v>0</v>
      </c>
      <c r="N154" s="345">
        <f t="array" ref="N154">SUMPRODUCT($C153:$I153+$AA144:$AA144*(N$149-$L$149),TRANSPOSE(N$140:N$146))</f>
        <v>0</v>
      </c>
      <c r="O154" s="345">
        <f t="array" ref="O154">SUMPRODUCT($C153:$I153+$AA144:$AA144*(O$149-$L$149),TRANSPOSE(O$140:O$146))</f>
        <v>0</v>
      </c>
      <c r="P154" s="345">
        <f t="array" ref="P154">SUMPRODUCT($C153:$I153+$AA144:$AA144*(P$149-$L$149),TRANSPOSE(P$140:P$146))</f>
        <v>0</v>
      </c>
      <c r="Q154" s="322">
        <f t="array" ref="Q154">SUMPRODUCT($C153:$I153+$AA144:$AA144*(Q$149-$L$149),TRANSPOSE(Q$140:Q$146))</f>
        <v>0</v>
      </c>
      <c r="S154" s="124" t="s">
        <v>71</v>
      </c>
      <c r="T154" s="41">
        <f t="shared" si="31"/>
        <v>1</v>
      </c>
      <c r="U154" s="253">
        <f t="shared" si="31"/>
        <v>0.77770471126721075</v>
      </c>
      <c r="V154" s="253">
        <f t="shared" si="31"/>
        <v>0.82155394130040982</v>
      </c>
      <c r="W154" s="253">
        <f t="shared" si="31"/>
        <v>0.6245185786019356</v>
      </c>
      <c r="X154" s="253">
        <f t="shared" si="31"/>
        <v>1</v>
      </c>
      <c r="Y154" s="253">
        <f t="shared" si="31"/>
        <v>0.33330304700344204</v>
      </c>
      <c r="Z154" s="30">
        <f t="shared" si="31"/>
        <v>0</v>
      </c>
    </row>
    <row r="155" spans="1:34" ht="20.100000000000001" customHeight="1" x14ac:dyDescent="0.2">
      <c r="A155" s="147"/>
      <c r="K155" s="124" t="s">
        <v>71</v>
      </c>
      <c r="L155" s="307">
        <f t="array" ref="L155">SUMPRODUCT($C154:$I154+$AA145:$AA145*(L$149-$L$149),TRANSPOSE(L$140:L$146))</f>
        <v>0</v>
      </c>
      <c r="M155" s="375">
        <f t="array" ref="M155">SUMPRODUCT($C154:$I154+$AA145:$AA145*(M$149-$L$149),TRANSPOSE(M$140:M$146))</f>
        <v>0</v>
      </c>
      <c r="N155" s="375">
        <f t="array" ref="N155">SUMPRODUCT($C154:$I154+$AA145:$AA145*(N$149-$L$149),TRANSPOSE(N$140:N$146))</f>
        <v>0</v>
      </c>
      <c r="O155" s="375">
        <f t="array" ref="O155">SUMPRODUCT($C154:$I154+$AA145:$AA145*(O$149-$L$149),TRANSPOSE(O$140:O$146))</f>
        <v>0</v>
      </c>
      <c r="P155" s="375">
        <f t="array" ref="P155">SUMPRODUCT($C154:$I154+$AA145:$AA145*(P$149-$L$149),TRANSPOSE(P$140:P$146))</f>
        <v>0</v>
      </c>
      <c r="Q155" s="414">
        <f t="array" ref="Q155">SUMPRODUCT($C154:$I154+$AA145:$AA145*(Q$149-$L$149),TRANSPOSE(Q$140:Q$146))</f>
        <v>0</v>
      </c>
      <c r="AB155" s="203" t="s">
        <v>466</v>
      </c>
      <c r="AC155" s="194"/>
      <c r="AD155" s="194"/>
      <c r="AE155" s="194"/>
      <c r="AF155" s="194"/>
      <c r="AG155" s="194"/>
      <c r="AH155" s="250"/>
    </row>
    <row r="156" spans="1:34" ht="20.100000000000001" customHeight="1" x14ac:dyDescent="0.2">
      <c r="S156" s="143" t="s">
        <v>96</v>
      </c>
      <c r="T156" s="53" t="s">
        <v>60</v>
      </c>
      <c r="U156" s="385" t="s">
        <v>61</v>
      </c>
      <c r="V156" s="385" t="s">
        <v>62</v>
      </c>
      <c r="W156" s="385" t="s">
        <v>63</v>
      </c>
      <c r="X156" s="385" t="s">
        <v>64</v>
      </c>
      <c r="Y156" s="385" t="s">
        <v>65</v>
      </c>
      <c r="Z156" s="415" t="s">
        <v>11</v>
      </c>
      <c r="AB156" s="330"/>
      <c r="AC156" s="276">
        <f t="shared" ref="AC156:AH156" si="32">AC139</f>
        <v>2021</v>
      </c>
      <c r="AD156" s="340">
        <f t="shared" si="32"/>
        <v>2025</v>
      </c>
      <c r="AE156" s="340">
        <f t="shared" si="32"/>
        <v>2030</v>
      </c>
      <c r="AF156" s="340">
        <f t="shared" si="32"/>
        <v>2035</v>
      </c>
      <c r="AG156" s="340">
        <f t="shared" si="32"/>
        <v>2040</v>
      </c>
      <c r="AH156" s="289">
        <f t="shared" si="32"/>
        <v>2045</v>
      </c>
    </row>
    <row r="157" spans="1:34" ht="20.100000000000001" customHeight="1" x14ac:dyDescent="0.2">
      <c r="K157" s="203" t="s">
        <v>461</v>
      </c>
      <c r="L157" s="194"/>
      <c r="M157" s="194"/>
      <c r="N157" s="194"/>
      <c r="O157" s="194"/>
      <c r="P157" s="194"/>
      <c r="Q157" s="250"/>
      <c r="S157" s="211" t="s">
        <v>66</v>
      </c>
      <c r="T157" s="261">
        <f t="shared" ref="T157:Z162" si="33">1-T149</f>
        <v>1</v>
      </c>
      <c r="U157" s="32">
        <f t="shared" si="33"/>
        <v>1</v>
      </c>
      <c r="V157" s="32">
        <f t="shared" si="33"/>
        <v>1</v>
      </c>
      <c r="W157" s="32">
        <f t="shared" si="33"/>
        <v>1</v>
      </c>
      <c r="X157" s="32">
        <f t="shared" si="33"/>
        <v>1</v>
      </c>
      <c r="Y157" s="32">
        <f t="shared" si="33"/>
        <v>1</v>
      </c>
      <c r="Z157" s="112">
        <f t="shared" si="33"/>
        <v>1</v>
      </c>
      <c r="AB157" s="211" t="s">
        <v>95</v>
      </c>
      <c r="AC157" s="261" t="e">
        <f t="shared" ref="AC157:AH157" si="34">SUM(AC140:AC145)/SUM(AC140:AC145,AC148:AC153)</f>
        <v>#DIV/0!</v>
      </c>
      <c r="AD157" s="32" t="e">
        <f t="shared" si="34"/>
        <v>#DIV/0!</v>
      </c>
      <c r="AE157" s="32" t="e">
        <f t="shared" si="34"/>
        <v>#DIV/0!</v>
      </c>
      <c r="AF157" s="32" t="e">
        <f t="shared" si="34"/>
        <v>#DIV/0!</v>
      </c>
      <c r="AG157" s="32" t="e">
        <f t="shared" si="34"/>
        <v>#DIV/0!</v>
      </c>
      <c r="AH157" s="112" t="e">
        <f t="shared" si="34"/>
        <v>#DIV/0!</v>
      </c>
    </row>
    <row r="158" spans="1:34" ht="20.100000000000001" customHeight="1" x14ac:dyDescent="0.2">
      <c r="K158" s="354"/>
      <c r="L158" s="340">
        <f t="shared" ref="L158:Q158" si="35">L149</f>
        <v>2021</v>
      </c>
      <c r="M158" s="340">
        <f t="shared" si="35"/>
        <v>2025</v>
      </c>
      <c r="N158" s="340">
        <f t="shared" si="35"/>
        <v>2030</v>
      </c>
      <c r="O158" s="340">
        <f t="shared" si="35"/>
        <v>2035</v>
      </c>
      <c r="P158" s="340">
        <f t="shared" si="35"/>
        <v>2040</v>
      </c>
      <c r="Q158" s="289">
        <f t="shared" si="35"/>
        <v>2045</v>
      </c>
      <c r="S158" s="305" t="s">
        <v>67</v>
      </c>
      <c r="T158" s="45">
        <f t="shared" si="33"/>
        <v>0.97964737327780982</v>
      </c>
      <c r="U158" s="176">
        <f t="shared" si="33"/>
        <v>0.89989500583939197</v>
      </c>
      <c r="V158" s="176">
        <f t="shared" si="33"/>
        <v>0.92868128929738547</v>
      </c>
      <c r="W158" s="176">
        <f t="shared" si="33"/>
        <v>0.93344304429850011</v>
      </c>
      <c r="X158" s="176">
        <f t="shared" si="33"/>
        <v>0.86677593987830281</v>
      </c>
      <c r="Y158" s="176">
        <f t="shared" si="33"/>
        <v>0.95685514774581804</v>
      </c>
      <c r="Z158" s="142">
        <f t="shared" si="33"/>
        <v>1</v>
      </c>
      <c r="AB158" s="265" t="s">
        <v>96</v>
      </c>
      <c r="AC158" s="41" t="e">
        <f t="shared" ref="AC158:AH158" si="36">1-AC157</f>
        <v>#DIV/0!</v>
      </c>
      <c r="AD158" s="253" t="e">
        <f t="shared" si="36"/>
        <v>#DIV/0!</v>
      </c>
      <c r="AE158" s="253" t="e">
        <f t="shared" si="36"/>
        <v>#DIV/0!</v>
      </c>
      <c r="AF158" s="253" t="e">
        <f t="shared" si="36"/>
        <v>#DIV/0!</v>
      </c>
      <c r="AG158" s="253" t="e">
        <f t="shared" si="36"/>
        <v>#DIV/0!</v>
      </c>
      <c r="AH158" s="30" t="e">
        <f t="shared" si="36"/>
        <v>#DIV/0!</v>
      </c>
    </row>
    <row r="159" spans="1:34" ht="20.100000000000001" customHeight="1" x14ac:dyDescent="0.2">
      <c r="K159" s="211" t="s">
        <v>73</v>
      </c>
      <c r="L159" s="261" t="e">
        <f t="shared" ref="L159:Q159" si="37">SUM(L150:L151)/SUM(L$150:L$155)</f>
        <v>#DIV/0!</v>
      </c>
      <c r="M159" s="32" t="e">
        <f t="shared" si="37"/>
        <v>#DIV/0!</v>
      </c>
      <c r="N159" s="32" t="e">
        <f t="shared" si="37"/>
        <v>#DIV/0!</v>
      </c>
      <c r="O159" s="32" t="e">
        <f t="shared" si="37"/>
        <v>#DIV/0!</v>
      </c>
      <c r="P159" s="32" t="e">
        <f t="shared" si="37"/>
        <v>#DIV/0!</v>
      </c>
      <c r="Q159" s="112" t="e">
        <f t="shared" si="37"/>
        <v>#DIV/0!</v>
      </c>
      <c r="S159" s="109" t="s">
        <v>68</v>
      </c>
      <c r="T159" s="150">
        <f t="shared" si="33"/>
        <v>0.91885426474841059</v>
      </c>
      <c r="U159" s="241">
        <f t="shared" si="33"/>
        <v>0.83999139366207232</v>
      </c>
      <c r="V159" s="241">
        <f t="shared" si="33"/>
        <v>0.72841143522526497</v>
      </c>
      <c r="W159" s="241">
        <f t="shared" si="33"/>
        <v>0.76412508615138786</v>
      </c>
      <c r="X159" s="241">
        <f t="shared" si="33"/>
        <v>0.72729720480863769</v>
      </c>
      <c r="Y159" s="241">
        <f t="shared" si="33"/>
        <v>0.67758349162911813</v>
      </c>
      <c r="Z159" s="379">
        <f t="shared" si="33"/>
        <v>0.8335759390525056</v>
      </c>
    </row>
    <row r="160" spans="1:34" ht="20.100000000000001" customHeight="1" x14ac:dyDescent="0.2">
      <c r="K160" s="305" t="s">
        <v>68</v>
      </c>
      <c r="L160" s="45" t="e">
        <f t="shared" ref="L160:Q161" si="38">SUM(L152)/SUM(L$150:L$155)</f>
        <v>#DIV/0!</v>
      </c>
      <c r="M160" s="176" t="e">
        <f t="shared" si="38"/>
        <v>#DIV/0!</v>
      </c>
      <c r="N160" s="176" t="e">
        <f t="shared" si="38"/>
        <v>#DIV/0!</v>
      </c>
      <c r="O160" s="176" t="e">
        <f t="shared" si="38"/>
        <v>#DIV/0!</v>
      </c>
      <c r="P160" s="176" t="e">
        <f t="shared" si="38"/>
        <v>#DIV/0!</v>
      </c>
      <c r="Q160" s="142" t="e">
        <f t="shared" si="38"/>
        <v>#DIV/0!</v>
      </c>
      <c r="S160" s="271" t="s">
        <v>69</v>
      </c>
      <c r="T160" s="45">
        <f t="shared" si="33"/>
        <v>0.84081060306613242</v>
      </c>
      <c r="U160" s="176">
        <f t="shared" si="33"/>
        <v>0.60663411932446443</v>
      </c>
      <c r="V160" s="176">
        <f t="shared" si="33"/>
        <v>0.61208941788843507</v>
      </c>
      <c r="W160" s="176">
        <f t="shared" si="33"/>
        <v>0.44721685213552143</v>
      </c>
      <c r="X160" s="176">
        <f t="shared" si="33"/>
        <v>0.42836846229506498</v>
      </c>
      <c r="Y160" s="176">
        <f t="shared" si="33"/>
        <v>0.57164584961783249</v>
      </c>
      <c r="Z160" s="142">
        <f t="shared" si="33"/>
        <v>0.57097271942582961</v>
      </c>
    </row>
    <row r="161" spans="1:34" ht="20.100000000000001" customHeight="1" x14ac:dyDescent="0.2">
      <c r="K161" s="109" t="s">
        <v>69</v>
      </c>
      <c r="L161" s="150" t="e">
        <f t="shared" si="38"/>
        <v>#DIV/0!</v>
      </c>
      <c r="M161" s="241" t="e">
        <f t="shared" si="38"/>
        <v>#DIV/0!</v>
      </c>
      <c r="N161" s="241" t="e">
        <f t="shared" si="38"/>
        <v>#DIV/0!</v>
      </c>
      <c r="O161" s="241" t="e">
        <f t="shared" si="38"/>
        <v>#DIV/0!</v>
      </c>
      <c r="P161" s="241" t="e">
        <f t="shared" si="38"/>
        <v>#DIV/0!</v>
      </c>
      <c r="Q161" s="379" t="e">
        <f t="shared" si="38"/>
        <v>#DIV/0!</v>
      </c>
      <c r="S161" s="109" t="s">
        <v>70</v>
      </c>
      <c r="T161" s="150">
        <f t="shared" si="33"/>
        <v>0.83287296227958496</v>
      </c>
      <c r="U161" s="241">
        <f t="shared" si="33"/>
        <v>0.45302747998983095</v>
      </c>
      <c r="V161" s="241">
        <f t="shared" si="33"/>
        <v>0.3397364376073736</v>
      </c>
      <c r="W161" s="241">
        <f t="shared" si="33"/>
        <v>0.30023008650135019</v>
      </c>
      <c r="X161" s="241">
        <f t="shared" si="33"/>
        <v>0.33284640316482461</v>
      </c>
      <c r="Y161" s="241">
        <f t="shared" si="33"/>
        <v>0.60015581429222276</v>
      </c>
      <c r="Z161" s="379">
        <f t="shared" si="33"/>
        <v>1</v>
      </c>
    </row>
    <row r="162" spans="1:34" ht="20.100000000000001" customHeight="1" x14ac:dyDescent="0.2">
      <c r="K162" s="328" t="s">
        <v>59</v>
      </c>
      <c r="L162" s="41" t="e">
        <f t="shared" ref="L162:Q162" si="39">SUM(L154:L155)/SUM(L$150:L$155)</f>
        <v>#DIV/0!</v>
      </c>
      <c r="M162" s="253" t="e">
        <f t="shared" si="39"/>
        <v>#DIV/0!</v>
      </c>
      <c r="N162" s="253" t="e">
        <f t="shared" si="39"/>
        <v>#DIV/0!</v>
      </c>
      <c r="O162" s="253" t="e">
        <f t="shared" si="39"/>
        <v>#DIV/0!</v>
      </c>
      <c r="P162" s="253" t="e">
        <f t="shared" si="39"/>
        <v>#DIV/0!</v>
      </c>
      <c r="Q162" s="30" t="e">
        <f t="shared" si="39"/>
        <v>#DIV/0!</v>
      </c>
      <c r="S162" s="124" t="s">
        <v>71</v>
      </c>
      <c r="T162" s="41">
        <f t="shared" si="33"/>
        <v>0</v>
      </c>
      <c r="U162" s="253">
        <f t="shared" si="33"/>
        <v>0.22229528873278925</v>
      </c>
      <c r="V162" s="253">
        <f t="shared" si="33"/>
        <v>0.17844605869959018</v>
      </c>
      <c r="W162" s="253">
        <f t="shared" si="33"/>
        <v>0.3754814213980644</v>
      </c>
      <c r="X162" s="253">
        <f t="shared" si="33"/>
        <v>0</v>
      </c>
      <c r="Y162" s="253">
        <f t="shared" si="33"/>
        <v>0.66669695299655796</v>
      </c>
      <c r="Z162" s="30">
        <f t="shared" si="33"/>
        <v>1</v>
      </c>
    </row>
    <row r="164" spans="1:34" ht="20.100000000000001" customHeight="1" x14ac:dyDescent="0.2">
      <c r="K164" s="203" t="s">
        <v>462</v>
      </c>
      <c r="L164" s="194"/>
      <c r="M164" s="194"/>
      <c r="N164" s="194"/>
      <c r="O164" s="194"/>
      <c r="P164" s="194"/>
      <c r="Q164" s="250"/>
    </row>
    <row r="165" spans="1:34" ht="20.100000000000001" customHeight="1" x14ac:dyDescent="0.2">
      <c r="K165" s="354"/>
      <c r="L165" s="340">
        <f t="array" ref="L165:Q165">L158:Q158</f>
        <v>2021</v>
      </c>
      <c r="M165" s="340">
        <v>2025</v>
      </c>
      <c r="N165" s="340">
        <v>2030</v>
      </c>
      <c r="O165" s="340">
        <v>2035</v>
      </c>
      <c r="P165" s="340">
        <v>2040</v>
      </c>
      <c r="Q165" s="289">
        <v>2045</v>
      </c>
    </row>
    <row r="166" spans="1:34" ht="20.100000000000001" customHeight="1" x14ac:dyDescent="0.2">
      <c r="K166" s="211" t="s">
        <v>73</v>
      </c>
      <c r="L166" s="261" t="e">
        <f>1-SUM(L167:L169)</f>
        <v>#N/A</v>
      </c>
      <c r="M166" s="32" t="e">
        <f t="shared" ref="M166:Q169" si="40">L166*M159/L159</f>
        <v>#N/A</v>
      </c>
      <c r="N166" s="32" t="e">
        <f t="shared" si="40"/>
        <v>#N/A</v>
      </c>
      <c r="O166" s="32" t="e">
        <f t="shared" si="40"/>
        <v>#N/A</v>
      </c>
      <c r="P166" s="32" t="e">
        <f t="shared" si="40"/>
        <v>#N/A</v>
      </c>
      <c r="Q166" s="112" t="e">
        <f t="shared" si="40"/>
        <v>#N/A</v>
      </c>
      <c r="AA166" s="239"/>
    </row>
    <row r="167" spans="1:34" ht="20.100000000000001" customHeight="1" x14ac:dyDescent="0.2">
      <c r="K167" s="305" t="s">
        <v>68</v>
      </c>
      <c r="L167" s="45" t="e">
        <f t="array" ref="L167:L169">K267:K269/SUM(K265:K269)</f>
        <v>#N/A</v>
      </c>
      <c r="M167" s="176" t="e">
        <f t="shared" si="40"/>
        <v>#N/A</v>
      </c>
      <c r="N167" s="176" t="e">
        <f t="shared" si="40"/>
        <v>#N/A</v>
      </c>
      <c r="O167" s="176" t="e">
        <f t="shared" si="40"/>
        <v>#N/A</v>
      </c>
      <c r="P167" s="176" t="e">
        <f t="shared" si="40"/>
        <v>#N/A</v>
      </c>
      <c r="Q167" s="142" t="e">
        <f t="shared" si="40"/>
        <v>#N/A</v>
      </c>
    </row>
    <row r="168" spans="1:34" ht="20.100000000000001" customHeight="1" x14ac:dyDescent="0.2">
      <c r="K168" s="109" t="s">
        <v>69</v>
      </c>
      <c r="L168" s="150" t="e">
        <v>#N/A</v>
      </c>
      <c r="M168" s="241" t="e">
        <f t="shared" si="40"/>
        <v>#N/A</v>
      </c>
      <c r="N168" s="241" t="e">
        <f t="shared" si="40"/>
        <v>#N/A</v>
      </c>
      <c r="O168" s="241" t="e">
        <f t="shared" si="40"/>
        <v>#N/A</v>
      </c>
      <c r="P168" s="241" t="e">
        <f t="shared" si="40"/>
        <v>#N/A</v>
      </c>
      <c r="Q168" s="379" t="e">
        <f t="shared" si="40"/>
        <v>#N/A</v>
      </c>
    </row>
    <row r="169" spans="1:34" ht="20.100000000000001" customHeight="1" x14ac:dyDescent="0.2">
      <c r="K169" s="328" t="s">
        <v>59</v>
      </c>
      <c r="L169" s="41" t="e">
        <v>#N/A</v>
      </c>
      <c r="M169" s="253" t="e">
        <f t="shared" si="40"/>
        <v>#N/A</v>
      </c>
      <c r="N169" s="253" t="e">
        <f t="shared" si="40"/>
        <v>#N/A</v>
      </c>
      <c r="O169" s="253" t="e">
        <f t="shared" si="40"/>
        <v>#N/A</v>
      </c>
      <c r="P169" s="253" t="e">
        <f t="shared" si="40"/>
        <v>#N/A</v>
      </c>
      <c r="Q169" s="30" t="e">
        <f t="shared" si="40"/>
        <v>#N/A</v>
      </c>
    </row>
    <row r="171" spans="1:34" ht="20.100000000000001" customHeight="1" x14ac:dyDescent="0.2">
      <c r="C171" s="371"/>
      <c r="D171" s="371"/>
      <c r="E171" s="371"/>
      <c r="F171" s="371"/>
      <c r="G171" s="371"/>
      <c r="H171" s="371"/>
      <c r="I171" s="371"/>
    </row>
    <row r="172" spans="1:34" ht="30" customHeight="1" x14ac:dyDescent="0.2">
      <c r="B172" s="175" t="s">
        <v>451</v>
      </c>
      <c r="C172" s="310"/>
      <c r="D172" s="310"/>
      <c r="E172" s="310"/>
      <c r="F172" s="310"/>
      <c r="G172" s="310"/>
      <c r="H172" s="310"/>
      <c r="I172" s="310"/>
      <c r="J172" s="310"/>
      <c r="K172" s="310"/>
      <c r="L172" s="310"/>
      <c r="M172" s="310"/>
      <c r="N172" s="310"/>
      <c r="O172" s="310"/>
      <c r="P172" s="310"/>
      <c r="Q172" s="310"/>
      <c r="S172" s="175" t="s">
        <v>452</v>
      </c>
      <c r="T172" s="310"/>
      <c r="U172" s="310"/>
      <c r="V172" s="310"/>
      <c r="W172" s="310"/>
      <c r="X172" s="310"/>
      <c r="Y172" s="310"/>
      <c r="Z172" s="310"/>
      <c r="AA172" s="310"/>
      <c r="AB172" s="310"/>
      <c r="AC172" s="310"/>
      <c r="AD172" s="310"/>
      <c r="AE172" s="310"/>
      <c r="AF172" s="310"/>
      <c r="AG172" s="310"/>
      <c r="AH172" s="310"/>
    </row>
    <row r="173" spans="1:34" ht="20.100000000000001" customHeight="1" x14ac:dyDescent="0.2">
      <c r="C173" s="371" t="s">
        <v>44</v>
      </c>
      <c r="D173" s="371" t="s">
        <v>45</v>
      </c>
      <c r="E173" s="371" t="s">
        <v>46</v>
      </c>
      <c r="F173" s="371" t="s">
        <v>47</v>
      </c>
      <c r="G173" s="371" t="s">
        <v>48</v>
      </c>
      <c r="H173" s="371" t="s">
        <v>49</v>
      </c>
      <c r="I173" s="371" t="s">
        <v>50</v>
      </c>
      <c r="T173" s="371" t="s">
        <v>44</v>
      </c>
      <c r="U173" s="371" t="s">
        <v>45</v>
      </c>
      <c r="V173" s="371" t="s">
        <v>46</v>
      </c>
      <c r="W173" s="371" t="s">
        <v>47</v>
      </c>
      <c r="X173" s="371" t="s">
        <v>48</v>
      </c>
      <c r="Y173" s="371" t="s">
        <v>49</v>
      </c>
      <c r="Z173" s="371" t="s">
        <v>50</v>
      </c>
    </row>
    <row r="174" spans="1:34" ht="20.100000000000001" customHeight="1" x14ac:dyDescent="0.2">
      <c r="B174" s="203" t="s">
        <v>446</v>
      </c>
      <c r="C174" s="194"/>
      <c r="D174" s="194"/>
      <c r="E174" s="194"/>
      <c r="F174" s="194"/>
      <c r="G174" s="194"/>
      <c r="H174" s="194"/>
      <c r="I174" s="250"/>
      <c r="K174" s="203" t="s">
        <v>448</v>
      </c>
      <c r="L174" s="194"/>
      <c r="M174" s="194"/>
      <c r="N174" s="194"/>
      <c r="O174" s="194"/>
      <c r="P174" s="194"/>
      <c r="Q174" s="250"/>
      <c r="S174" s="203" t="s">
        <v>453</v>
      </c>
      <c r="T174" s="194"/>
      <c r="U174" s="194"/>
      <c r="V174" s="194"/>
      <c r="W174" s="194"/>
      <c r="X174" s="194"/>
      <c r="Y174" s="194"/>
      <c r="Z174" s="250"/>
      <c r="AB174" s="203" t="s">
        <v>448</v>
      </c>
      <c r="AC174" s="194"/>
      <c r="AD174" s="194"/>
      <c r="AE174" s="194"/>
      <c r="AF174" s="194"/>
      <c r="AG174" s="194"/>
      <c r="AH174" s="250"/>
    </row>
    <row r="175" spans="1:34" ht="20.100000000000001" customHeight="1" x14ac:dyDescent="0.2">
      <c r="A175" s="147"/>
      <c r="B175" s="143">
        <v>2016</v>
      </c>
      <c r="C175" s="53" t="s">
        <v>60</v>
      </c>
      <c r="D175" s="385" t="s">
        <v>61</v>
      </c>
      <c r="E175" s="385" t="s">
        <v>62</v>
      </c>
      <c r="F175" s="385" t="s">
        <v>63</v>
      </c>
      <c r="G175" s="385" t="s">
        <v>64</v>
      </c>
      <c r="H175" s="385" t="s">
        <v>65</v>
      </c>
      <c r="I175" s="415" t="s">
        <v>11</v>
      </c>
      <c r="K175" s="330"/>
      <c r="L175" s="215">
        <f t="array" ref="L175:Q182">L139:Q146</f>
        <v>2021</v>
      </c>
      <c r="M175" s="213">
        <v>2025</v>
      </c>
      <c r="N175" s="213">
        <v>2030</v>
      </c>
      <c r="O175" s="213">
        <v>2035</v>
      </c>
      <c r="P175" s="213">
        <v>2040</v>
      </c>
      <c r="Q175" s="183">
        <v>2045</v>
      </c>
      <c r="R175" s="147"/>
      <c r="S175" s="143">
        <v>2016</v>
      </c>
      <c r="T175" s="53" t="s">
        <v>60</v>
      </c>
      <c r="U175" s="385" t="s">
        <v>61</v>
      </c>
      <c r="V175" s="385" t="s">
        <v>62</v>
      </c>
      <c r="W175" s="385" t="s">
        <v>63</v>
      </c>
      <c r="X175" s="385" t="s">
        <v>64</v>
      </c>
      <c r="Y175" s="385" t="s">
        <v>65</v>
      </c>
      <c r="Z175" s="415" t="s">
        <v>11</v>
      </c>
      <c r="AB175" s="330"/>
      <c r="AC175" s="215">
        <f t="array" ref="AC175:AH182">L175:Q182</f>
        <v>2021</v>
      </c>
      <c r="AD175" s="213">
        <v>2025</v>
      </c>
      <c r="AE175" s="213">
        <v>2030</v>
      </c>
      <c r="AF175" s="213">
        <v>2035</v>
      </c>
      <c r="AG175" s="213">
        <v>2040</v>
      </c>
      <c r="AH175" s="183">
        <v>2045</v>
      </c>
    </row>
    <row r="176" spans="1:34" ht="20.100000000000001" customHeight="1" x14ac:dyDescent="0.2">
      <c r="A176" s="115">
        <v>1</v>
      </c>
      <c r="B176" s="211" t="s">
        <v>76</v>
      </c>
      <c r="C176" s="279">
        <f t="array" ref="C176">SUMPRODUCT(dem!$D$2:$J$1000 * ("dtype" = dem!$K$2:$K$1000) * ($A176 = dem!$A$2:$A$1000) * ($B$175 = dem!$C$2:$C$1000) * (dem!$D$1:$J$1 = projection!C$137))</f>
        <v>5323.7859656816599</v>
      </c>
      <c r="D176" s="44">
        <f t="array" ref="D176">SUMPRODUCT(dem!$D$2:$J$1000 * ("dtype" = dem!$K$2:$K$1000) * ($A176 = dem!$A$2:$A$1000) * ($B$175 = dem!$C$2:$C$1000) * (dem!$D$1:$J$1 = projection!D$137))</f>
        <v>19184.976043702838</v>
      </c>
      <c r="E176" s="44">
        <f t="array" ref="E176">SUMPRODUCT(dem!$D$2:$J$1000 * ("dtype" = dem!$K$2:$K$1000) * ($A176 = dem!$A$2:$A$1000) * ($B$175 = dem!$C$2:$C$1000) * (dem!$D$1:$J$1 = projection!E$137))</f>
        <v>16673.191781833029</v>
      </c>
      <c r="F176" s="44">
        <f t="array" ref="F176">SUMPRODUCT(dem!$D$2:$J$1000 * ("dtype" = dem!$K$2:$K$1000) * ($A176 = dem!$A$2:$A$1000) * ($B$175 = dem!$C$2:$C$1000) * (dem!$D$1:$J$1 = projection!F$137))</f>
        <v>12555.627188225899</v>
      </c>
      <c r="G176" s="44">
        <f t="array" ref="G176">SUMPRODUCT(dem!$D$2:$J$1000 * ("dtype" = dem!$K$2:$K$1000) * ($A176 = dem!$A$2:$A$1000) * ($B$175 = dem!$C$2:$C$1000) * (dem!$D$1:$J$1 = projection!G$137))</f>
        <v>6927.3824612137705</v>
      </c>
      <c r="H176" s="44">
        <f t="array" ref="H176">SUMPRODUCT(dem!$D$2:$J$1000 * ("dtype" = dem!$K$2:$K$1000) * ($A176 = dem!$A$2:$A$1000) * ($B$175 = dem!$C$2:$C$1000) * (dem!$D$1:$J$1 = projection!H$137))</f>
        <v>2508.8621537296603</v>
      </c>
      <c r="I176" s="93">
        <f t="array" ref="I176">SUMPRODUCT(dem!$D$2:$J$1000 * ("dtype" = dem!$K$2:$K$1000) * ($A176 = dem!$A$2:$A$1000) * ($B$175 = dem!$C$2:$C$1000) * (dem!$D$1:$J$1 = projection!I$137))</f>
        <v>704.16643184109</v>
      </c>
      <c r="K176" s="211" t="s">
        <v>60</v>
      </c>
      <c r="L176" s="339">
        <v>0</v>
      </c>
      <c r="M176" s="327">
        <v>0</v>
      </c>
      <c r="N176" s="327">
        <v>0</v>
      </c>
      <c r="O176" s="327">
        <v>0</v>
      </c>
      <c r="P176" s="327">
        <v>0</v>
      </c>
      <c r="Q176" s="46">
        <v>0</v>
      </c>
      <c r="R176" s="115">
        <v>1</v>
      </c>
      <c r="S176" s="211" t="s">
        <v>79</v>
      </c>
      <c r="T176" s="279">
        <f>SUMPRODUCT(dem!$D$2:$J$1000 * ("cfstruct" = dem!$K$2:$K$1000) * ($R176 = dem!$A$2:$A$1000) * ($S$175 = dem!$C$2:$C$1000) * (dem!$D$1:$J$1 = projection!T$173))</f>
        <v>3716.3295693132577</v>
      </c>
      <c r="U176" s="44">
        <f>SUMPRODUCT(dem!$D$2:$J$1000 * ("cfstruct" = dem!$K$2:$K$1000) * ($R176 = dem!$A$2:$A$1000) * ($S$175 = dem!$C$2:$C$1000) * (dem!$D$1:$J$1 = projection!U$173))</f>
        <v>8535.7070691838799</v>
      </c>
      <c r="V176" s="44">
        <f>SUMPRODUCT(dem!$D$2:$J$1000 * ("cfstruct" = dem!$K$2:$K$1000) * ($R176 = dem!$A$2:$A$1000) * ($S$175 = dem!$C$2:$C$1000) * (dem!$D$1:$J$1 = projection!V$173))</f>
        <v>5824.5106027970505</v>
      </c>
      <c r="W176" s="44">
        <f>SUMPRODUCT(dem!$D$2:$J$1000 * ("cfstruct" = dem!$K$2:$K$1000) * ($R176 = dem!$A$2:$A$1000) * ($S$175 = dem!$C$2:$C$1000) * (dem!$D$1:$J$1 = projection!W$173))</f>
        <v>13654.512805632061</v>
      </c>
      <c r="X176" s="44">
        <f>SUMPRODUCT(dem!$D$2:$J$1000 * ("cfstruct" = dem!$K$2:$K$1000) * ($R176 = dem!$A$2:$A$1000) * ($S$175 = dem!$C$2:$C$1000) * (dem!$D$1:$J$1 = projection!X$173))</f>
        <v>23296.180316123573</v>
      </c>
      <c r="Y176" s="44">
        <f>SUMPRODUCT(dem!$D$2:$J$1000 * ("cfstruct" = dem!$K$2:$K$1000) * ($R176 = dem!$A$2:$A$1000) * ($S$175 = dem!$C$2:$C$1000) * (dem!$D$1:$J$1 = projection!Y$173))</f>
        <v>16264.047198616619</v>
      </c>
      <c r="Z176" s="93">
        <f>SUMPRODUCT(dem!$D$2:$J$1000 * ("cfstruct" = dem!$K$2:$K$1000) * ($R176 = dem!$A$2:$A$1000) * ($S$175 = dem!$C$2:$C$1000) * (dem!$D$1:$J$1 = projection!Z$173))</f>
        <v>6426.535293620509</v>
      </c>
      <c r="AB176" s="211" t="s">
        <v>60</v>
      </c>
      <c r="AC176" s="339">
        <v>0</v>
      </c>
      <c r="AD176" s="327">
        <v>0</v>
      </c>
      <c r="AE176" s="327">
        <v>0</v>
      </c>
      <c r="AF176" s="327">
        <v>0</v>
      </c>
      <c r="AG176" s="327">
        <v>0</v>
      </c>
      <c r="AH176" s="46">
        <v>0</v>
      </c>
    </row>
    <row r="177" spans="1:34" ht="20.100000000000001" customHeight="1" x14ac:dyDescent="0.2">
      <c r="A177" s="115">
        <v>2</v>
      </c>
      <c r="B177" s="305" t="s">
        <v>77</v>
      </c>
      <c r="C177" s="410">
        <f t="array" ref="C177">SUMPRODUCT(dem!$D$2:$J$1000 * ("dtype" = dem!$K$2:$K$1000) * ($A177 = dem!$A$2:$A$1000) * ($B$175 = dem!$C$2:$C$1000) * (dem!$D$1:$J$1 = projection!C$137))</f>
        <v>10041.942870110097</v>
      </c>
      <c r="D177" s="81">
        <f t="array" ref="D177">SUMPRODUCT(dem!$D$2:$J$1000 * ("dtype" = dem!$K$2:$K$1000) * ($A177 = dem!$A$2:$A$1000) * ($B$175 = dem!$C$2:$C$1000) * (dem!$D$1:$J$1 = projection!D$137))</f>
        <v>14258.510885511894</v>
      </c>
      <c r="E177" s="81">
        <f t="array" ref="E177">SUMPRODUCT(dem!$D$2:$J$1000 * ("dtype" = dem!$K$2:$K$1000) * ($A177 = dem!$A$2:$A$1000) * ($B$175 = dem!$C$2:$C$1000) * (dem!$D$1:$J$1 = projection!E$137))</f>
        <v>8940.1010308979257</v>
      </c>
      <c r="F177" s="81">
        <f t="array" ref="F177">SUMPRODUCT(dem!$D$2:$J$1000 * ("dtype" = dem!$K$2:$K$1000) * ($A177 = dem!$A$2:$A$1000) * ($B$175 = dem!$C$2:$C$1000) * (dem!$D$1:$J$1 = projection!F$137))</f>
        <v>10143.876883507139</v>
      </c>
      <c r="G177" s="81">
        <f t="array" ref="G177">SUMPRODUCT(dem!$D$2:$J$1000 * ("dtype" = dem!$K$2:$K$1000) * ($A177 = dem!$A$2:$A$1000) * ($B$175 = dem!$C$2:$C$1000) * (dem!$D$1:$J$1 = projection!G$137))</f>
        <v>7532.6698775105106</v>
      </c>
      <c r="H177" s="81">
        <f t="array" ref="H177">SUMPRODUCT(dem!$D$2:$J$1000 * ("dtype" = dem!$K$2:$K$1000) * ($A177 = dem!$A$2:$A$1000) * ($B$175 = dem!$C$2:$C$1000) * (dem!$D$1:$J$1 = projection!H$137))</f>
        <v>4420.7671373284729</v>
      </c>
      <c r="I177" s="342">
        <f t="array" ref="I177">SUMPRODUCT(dem!$D$2:$J$1000 * ("dtype" = dem!$K$2:$K$1000) * ($A177 = dem!$A$2:$A$1000) * ($B$175 = dem!$C$2:$C$1000) * (dem!$D$1:$J$1 = projection!I$137))</f>
        <v>1808.052296473373</v>
      </c>
      <c r="K177" s="305" t="s">
        <v>61</v>
      </c>
      <c r="L177" s="333">
        <v>0</v>
      </c>
      <c r="M177" s="364">
        <v>0</v>
      </c>
      <c r="N177" s="364">
        <v>0</v>
      </c>
      <c r="O177" s="364">
        <v>0</v>
      </c>
      <c r="P177" s="364">
        <v>0</v>
      </c>
      <c r="Q177" s="151">
        <v>0</v>
      </c>
      <c r="R177" s="115">
        <v>2</v>
      </c>
      <c r="S177" s="305" t="s">
        <v>80</v>
      </c>
      <c r="T177" s="410">
        <f>SUMPRODUCT(dem!$D$2:$J$1000 * ("cfstruct" = dem!$K$2:$K$1000) * ($R177 = dem!$A$2:$A$1000) * ($S$175 = dem!$C$2:$C$1000) * (dem!$D$1:$J$1 = projection!T$173))</f>
        <v>3113.733731478017</v>
      </c>
      <c r="U177" s="81">
        <f>SUMPRODUCT(dem!$D$2:$J$1000 * ("cfstruct" = dem!$K$2:$K$1000) * ($R177 = dem!$A$2:$A$1000) * ($S$175 = dem!$C$2:$C$1000) * (dem!$D$1:$J$1 = projection!U$173))</f>
        <v>17173.01231318359</v>
      </c>
      <c r="V177" s="81">
        <f>SUMPRODUCT(dem!$D$2:$J$1000 * ("cfstruct" = dem!$K$2:$K$1000) * ($R177 = dem!$A$2:$A$1000) * ($S$175 = dem!$C$2:$C$1000) * (dem!$D$1:$J$1 = projection!V$173))</f>
        <v>27112.439666309056</v>
      </c>
      <c r="W177" s="81">
        <f>SUMPRODUCT(dem!$D$2:$J$1000 * ("cfstruct" = dem!$K$2:$K$1000) * ($R177 = dem!$A$2:$A$1000) * ($S$175 = dem!$C$2:$C$1000) * (dem!$D$1:$J$1 = projection!W$173))</f>
        <v>22599.552936699456</v>
      </c>
      <c r="X177" s="81">
        <f>SUMPRODUCT(dem!$D$2:$J$1000 * ("cfstruct" = dem!$K$2:$K$1000) * ($R177 = dem!$A$2:$A$1000) * ($S$175 = dem!$C$2:$C$1000) * (dem!$D$1:$J$1 = projection!X$173))</f>
        <v>6223.5322601840699</v>
      </c>
      <c r="Y177" s="81">
        <f>SUMPRODUCT(dem!$D$2:$J$1000 * ("cfstruct" = dem!$K$2:$K$1000) * ($R177 = dem!$A$2:$A$1000) * ($S$175 = dem!$C$2:$C$1000) * (dem!$D$1:$J$1 = projection!Y$173))</f>
        <v>2710.6544849536012</v>
      </c>
      <c r="Z177" s="342">
        <f>SUMPRODUCT(dem!$D$2:$J$1000 * ("cfstruct" = dem!$K$2:$K$1000) * ($R177 = dem!$A$2:$A$1000) * ($S$175 = dem!$C$2:$C$1000) * (dem!$D$1:$J$1 = projection!Z$173))</f>
        <v>602.50426163617396</v>
      </c>
      <c r="AB177" s="305" t="s">
        <v>61</v>
      </c>
      <c r="AC177" s="333">
        <v>0</v>
      </c>
      <c r="AD177" s="364">
        <v>0</v>
      </c>
      <c r="AE177" s="364">
        <v>0</v>
      </c>
      <c r="AF177" s="364">
        <v>0</v>
      </c>
      <c r="AG177" s="364">
        <v>0</v>
      </c>
      <c r="AH177" s="151">
        <v>0</v>
      </c>
    </row>
    <row r="178" spans="1:34" ht="20.100000000000001" customHeight="1" x14ac:dyDescent="0.2">
      <c r="A178" s="115">
        <v>3</v>
      </c>
      <c r="B178" s="287" t="s">
        <v>78</v>
      </c>
      <c r="C178" s="356">
        <f t="array" ref="C178">SUMPRODUCT(dem!$D$2:$J$1000 * ("dtype" = dem!$K$2:$K$1000) * ($A178 = dem!$A$2:$A$1000) * ($B$175 = dem!$C$2:$C$1000) * (dem!$D$1:$J$1 = projection!C$137))</f>
        <v>3414.8309835301279</v>
      </c>
      <c r="D178" s="191">
        <f t="array" ref="D178">SUMPRODUCT(dem!$D$2:$J$1000 * ("dtype" = dem!$K$2:$K$1000) * ($A178 = dem!$A$2:$A$1000) * ($B$175 = dem!$C$2:$C$1000) * (dem!$D$1:$J$1 = projection!D$137))</f>
        <v>9040.6189930114706</v>
      </c>
      <c r="E178" s="191">
        <f t="array" ref="E178">SUMPRODUCT(dem!$D$2:$J$1000 * ("dtype" = dem!$K$2:$K$1000) * ($A178 = dem!$A$2:$A$1000) * ($B$175 = dem!$C$2:$C$1000) * (dem!$D$1:$J$1 = projection!E$137))</f>
        <v>7032.77574313482</v>
      </c>
      <c r="F178" s="191">
        <f t="array" ref="F178">SUMPRODUCT(dem!$D$2:$J$1000 * ("dtype" = dem!$K$2:$K$1000) * ($A178 = dem!$A$2:$A$1000) * ($B$175 = dem!$C$2:$C$1000) * (dem!$D$1:$J$1 = projection!F$137))</f>
        <v>5121.3146136891601</v>
      </c>
      <c r="G178" s="191">
        <f t="array" ref="G178">SUMPRODUCT(dem!$D$2:$J$1000 * ("dtype" = dem!$K$2:$K$1000) * ($A178 = dem!$A$2:$A$1000) * ($B$175 = dem!$C$2:$C$1000) * (dem!$D$1:$J$1 = projection!G$137))</f>
        <v>2511.1740706313358</v>
      </c>
      <c r="H178" s="191">
        <f t="array" ref="H178">SUMPRODUCT(dem!$D$2:$J$1000 * ("dtype" = dem!$K$2:$K$1000) * ($A178 = dem!$A$2:$A$1000) * ($B$175 = dem!$C$2:$C$1000) * (dem!$D$1:$J$1 = projection!H$137))</f>
        <v>802.4054811980659</v>
      </c>
      <c r="I178" s="170">
        <f t="array" ref="I178">SUMPRODUCT(dem!$D$2:$J$1000 * ("dtype" = dem!$K$2:$K$1000) * ($A178 = dem!$A$2:$A$1000) * ($B$175 = dem!$C$2:$C$1000) * (dem!$D$1:$J$1 = projection!I$137))</f>
        <v>703.69152332542899</v>
      </c>
      <c r="K178" s="109" t="s">
        <v>62</v>
      </c>
      <c r="L178" s="242">
        <v>0</v>
      </c>
      <c r="M178" s="345">
        <v>0</v>
      </c>
      <c r="N178" s="345">
        <v>0</v>
      </c>
      <c r="O178" s="345">
        <v>0</v>
      </c>
      <c r="P178" s="345">
        <v>0</v>
      </c>
      <c r="Q178" s="322">
        <v>0</v>
      </c>
      <c r="R178" s="115">
        <v>3</v>
      </c>
      <c r="S178" s="109" t="s">
        <v>81</v>
      </c>
      <c r="T178" s="245">
        <f>SUMPRODUCT(dem!$D$2:$J$1000 * ("cfstruct" = dem!$K$2:$K$1000) * ($R178 = dem!$A$2:$A$1000) * ($S$175 = dem!$C$2:$C$1000) * (dem!$D$1:$J$1 = projection!T$173))</f>
        <v>4218.4290543332418</v>
      </c>
      <c r="U178" s="116">
        <f>SUMPRODUCT(dem!$D$2:$J$1000 * ("cfstruct" = dem!$K$2:$K$1000) * ($R178 = dem!$A$2:$A$1000) * ($S$175 = dem!$C$2:$C$1000) * (dem!$D$1:$J$1 = projection!U$173))</f>
        <v>15368.865699473459</v>
      </c>
      <c r="V178" s="116">
        <f>SUMPRODUCT(dem!$D$2:$J$1000 * ("cfstruct" = dem!$K$2:$K$1000) * ($R178 = dem!$A$2:$A$1000) * ($S$175 = dem!$C$2:$C$1000) * (dem!$D$1:$J$1 = projection!V$173))</f>
        <v>15575.93030442057</v>
      </c>
      <c r="W178" s="116">
        <f>SUMPRODUCT(dem!$D$2:$J$1000 * ("cfstruct" = dem!$K$2:$K$1000) * ($R178 = dem!$A$2:$A$1000) * ($S$175 = dem!$C$2:$C$1000) * (dem!$D$1:$J$1 = projection!W$173))</f>
        <v>13759.52300157844</v>
      </c>
      <c r="X178" s="116">
        <f>SUMPRODUCT(dem!$D$2:$J$1000 * ("cfstruct" = dem!$K$2:$K$1000) * ($R178 = dem!$A$2:$A$1000) * ($S$175 = dem!$C$2:$C$1000) * (dem!$D$1:$J$1 = projection!X$173))</f>
        <v>6025.5385159613497</v>
      </c>
      <c r="Y178" s="116">
        <f>SUMPRODUCT(dem!$D$2:$J$1000 * ("cfstruct" = dem!$K$2:$K$1000) * ($R178 = dem!$A$2:$A$1000) * ($S$175 = dem!$C$2:$C$1000) * (dem!$D$1:$J$1 = projection!Y$173))</f>
        <v>3312.8209766145901</v>
      </c>
      <c r="Z178" s="370">
        <f>SUMPRODUCT(dem!$D$2:$J$1000 * ("cfstruct" = dem!$K$2:$K$1000) * ($R178 = dem!$A$2:$A$1000) * ($S$175 = dem!$C$2:$C$1000) * (dem!$D$1:$J$1 = projection!Z$173))</f>
        <v>2007.8186977657101</v>
      </c>
      <c r="AB178" s="109" t="s">
        <v>62</v>
      </c>
      <c r="AC178" s="242">
        <v>0</v>
      </c>
      <c r="AD178" s="345">
        <v>0</v>
      </c>
      <c r="AE178" s="345">
        <v>0</v>
      </c>
      <c r="AF178" s="345">
        <v>0</v>
      </c>
      <c r="AG178" s="345">
        <v>0</v>
      </c>
      <c r="AH178" s="322">
        <v>0</v>
      </c>
    </row>
    <row r="179" spans="1:34" ht="20.100000000000001" customHeight="1" x14ac:dyDescent="0.2">
      <c r="A179" s="147"/>
      <c r="K179" s="271" t="s">
        <v>63</v>
      </c>
      <c r="L179" s="333">
        <v>0</v>
      </c>
      <c r="M179" s="364">
        <v>0</v>
      </c>
      <c r="N179" s="364">
        <v>0</v>
      </c>
      <c r="O179" s="364">
        <v>0</v>
      </c>
      <c r="P179" s="364">
        <v>0</v>
      </c>
      <c r="Q179" s="151">
        <v>0</v>
      </c>
      <c r="R179" s="115">
        <v>8</v>
      </c>
      <c r="S179" s="271" t="s">
        <v>136</v>
      </c>
      <c r="T179" s="410">
        <f>SUMPRODUCT(dem!$D$2:$J$1000 * ("cfstruct" = dem!$K$2:$K$1000) * ($R179 = dem!$A$2:$A$1000) * ($S$175 = dem!$C$2:$C$1000) * (dem!$D$1:$J$1 = projection!T$173))</f>
        <v>200.56726556901901</v>
      </c>
      <c r="U179" s="81">
        <f>SUMPRODUCT(dem!$D$2:$J$1000 * ("cfstruct" = dem!$K$2:$K$1000) * ($R179 = dem!$A$2:$A$1000) * ($S$175 = dem!$C$2:$C$1000) * (dem!$D$1:$J$1 = projection!U$173))</f>
        <v>100.514073475147</v>
      </c>
      <c r="V179" s="81">
        <f>SUMPRODUCT(dem!$D$2:$J$1000 * ("cfstruct" = dem!$K$2:$K$1000) * ($R179 = dem!$A$2:$A$1000) * ($S$175 = dem!$C$2:$C$1000) * (dem!$D$1:$J$1 = projection!V$173))</f>
        <v>502.23852125055294</v>
      </c>
      <c r="W179" s="81">
        <f>SUMPRODUCT(dem!$D$2:$J$1000 * ("cfstruct" = dem!$K$2:$K$1000) * ($R179 = dem!$A$2:$A$1000) * ($S$175 = dem!$C$2:$C$1000) * (dem!$D$1:$J$1 = projection!W$173))</f>
        <v>301.44144801417099</v>
      </c>
      <c r="X179" s="81">
        <f>SUMPRODUCT(dem!$D$2:$J$1000 * ("cfstruct" = dem!$K$2:$K$1000) * ($R179 = dem!$A$2:$A$1000) * ($S$175 = dem!$C$2:$C$1000) * (dem!$D$1:$J$1 = projection!X$173))</f>
        <v>100.38403517413199</v>
      </c>
      <c r="Y179" s="81">
        <f>SUMPRODUCT(dem!$D$2:$J$1000 * ("cfstruct" = dem!$K$2:$K$1000) * ($R179 = dem!$A$2:$A$1000) * ($S$175 = dem!$C$2:$C$1000) * (dem!$D$1:$J$1 = projection!Y$173))</f>
        <v>0</v>
      </c>
      <c r="Z179" s="342">
        <f>SUMPRODUCT(dem!$D$2:$J$1000 * ("cfstruct" = dem!$K$2:$K$1000) * ($R179 = dem!$A$2:$A$1000) * ($S$175 = dem!$C$2:$C$1000) * (dem!$D$1:$J$1 = projection!Z$173))</f>
        <v>0</v>
      </c>
      <c r="AB179" s="271" t="s">
        <v>63</v>
      </c>
      <c r="AC179" s="333">
        <v>0</v>
      </c>
      <c r="AD179" s="364">
        <v>0</v>
      </c>
      <c r="AE179" s="364">
        <v>0</v>
      </c>
      <c r="AF179" s="364">
        <v>0</v>
      </c>
      <c r="AG179" s="364">
        <v>0</v>
      </c>
      <c r="AH179" s="151">
        <v>0</v>
      </c>
    </row>
    <row r="180" spans="1:34" ht="20.100000000000001" customHeight="1" x14ac:dyDescent="0.2">
      <c r="B180" s="203" t="s">
        <v>447</v>
      </c>
      <c r="C180" s="194"/>
      <c r="D180" s="194"/>
      <c r="E180" s="194"/>
      <c r="F180" s="194"/>
      <c r="G180" s="194"/>
      <c r="H180" s="194"/>
      <c r="I180" s="250"/>
      <c r="K180" s="109" t="s">
        <v>64</v>
      </c>
      <c r="L180" s="242">
        <v>0</v>
      </c>
      <c r="M180" s="345">
        <v>0</v>
      </c>
      <c r="N180" s="345">
        <v>0</v>
      </c>
      <c r="O180" s="345">
        <v>0</v>
      </c>
      <c r="P180" s="345">
        <v>0</v>
      </c>
      <c r="Q180" s="322">
        <v>0</v>
      </c>
      <c r="R180" s="115">
        <v>9</v>
      </c>
      <c r="S180" s="287" t="s">
        <v>82</v>
      </c>
      <c r="T180" s="356">
        <f>SUMPRODUCT(dem!$D$2:$J$1000 * ("cfstruct" = dem!$K$2:$K$1000) * ($R180 = dem!$A$2:$A$1000) * ($S$175 = dem!$C$2:$C$1000) * (dem!$D$1:$J$1 = projection!T$173))</f>
        <v>10345.516531335039</v>
      </c>
      <c r="U180" s="191">
        <f>SUMPRODUCT(dem!$D$2:$J$1000 * ("cfstruct" = dem!$K$2:$K$1000) * ($R180 = dem!$A$2:$A$1000) * ($S$175 = dem!$C$2:$C$1000) * (dem!$D$1:$J$1 = projection!U$173))</f>
        <v>20389.23457362828</v>
      </c>
      <c r="V180" s="191">
        <f>SUMPRODUCT(dem!$D$2:$J$1000 * ("cfstruct" = dem!$K$2:$K$1000) * ($R180 = dem!$A$2:$A$1000) * ($S$175 = dem!$C$2:$C$1000) * (dem!$D$1:$J$1 = projection!V$173))</f>
        <v>16971.60673638092</v>
      </c>
      <c r="W180" s="191">
        <f>SUMPRODUCT(dem!$D$2:$J$1000 * ("cfstruct" = dem!$K$2:$K$1000) * ($R180 = dem!$A$2:$A$1000) * ($S$175 = dem!$C$2:$C$1000) * (dem!$D$1:$J$1 = projection!W$173))</f>
        <v>29131.524209850897</v>
      </c>
      <c r="X180" s="191">
        <f>SUMPRODUCT(dem!$D$2:$J$1000 * ("cfstruct" = dem!$K$2:$K$1000) * ($R180 = dem!$A$2:$A$1000) * ($S$175 = dem!$C$2:$C$1000) * (dem!$D$1:$J$1 = projection!X$173))</f>
        <v>30329.169324164199</v>
      </c>
      <c r="Y180" s="191">
        <f>SUMPRODUCT(dem!$D$2:$J$1000 * ("cfstruct" = dem!$K$2:$K$1000) * ($R180 = dem!$A$2:$A$1000) * ($S$175 = dem!$C$2:$C$1000) * (dem!$D$1:$J$1 = projection!Y$173))</f>
        <v>19076.423260023948</v>
      </c>
      <c r="Z180" s="170">
        <f>SUMPRODUCT(dem!$D$2:$J$1000 * ("cfstruct" = dem!$K$2:$K$1000) * ($R180 = dem!$A$2:$A$1000) * ($S$175 = dem!$C$2:$C$1000) * (dem!$D$1:$J$1 = projection!Z$173))</f>
        <v>11044.88518602857</v>
      </c>
      <c r="AB180" s="109" t="s">
        <v>64</v>
      </c>
      <c r="AC180" s="242">
        <v>0</v>
      </c>
      <c r="AD180" s="345">
        <v>0</v>
      </c>
      <c r="AE180" s="345">
        <v>0</v>
      </c>
      <c r="AF180" s="345">
        <v>0</v>
      </c>
      <c r="AG180" s="345">
        <v>0</v>
      </c>
      <c r="AH180" s="322">
        <v>0</v>
      </c>
    </row>
    <row r="181" spans="1:34" ht="20.100000000000001" customHeight="1" x14ac:dyDescent="0.2">
      <c r="B181" s="143">
        <f>B175</f>
        <v>2016</v>
      </c>
      <c r="C181" s="53" t="s">
        <v>60</v>
      </c>
      <c r="D181" s="385" t="s">
        <v>61</v>
      </c>
      <c r="E181" s="385" t="s">
        <v>62</v>
      </c>
      <c r="F181" s="385" t="s">
        <v>63</v>
      </c>
      <c r="G181" s="385" t="s">
        <v>64</v>
      </c>
      <c r="H181" s="385" t="s">
        <v>65</v>
      </c>
      <c r="I181" s="415" t="s">
        <v>11</v>
      </c>
      <c r="K181" s="271" t="s">
        <v>65</v>
      </c>
      <c r="L181" s="333">
        <v>0</v>
      </c>
      <c r="M181" s="364">
        <v>0</v>
      </c>
      <c r="N181" s="364">
        <v>0</v>
      </c>
      <c r="O181" s="364">
        <v>0</v>
      </c>
      <c r="P181" s="364">
        <v>0</v>
      </c>
      <c r="Q181" s="151">
        <v>0</v>
      </c>
      <c r="R181" s="147"/>
      <c r="AB181" s="271" t="s">
        <v>65</v>
      </c>
      <c r="AC181" s="333">
        <v>0</v>
      </c>
      <c r="AD181" s="364">
        <v>0</v>
      </c>
      <c r="AE181" s="364">
        <v>0</v>
      </c>
      <c r="AF181" s="364">
        <v>0</v>
      </c>
      <c r="AG181" s="364">
        <v>0</v>
      </c>
      <c r="AH181" s="151">
        <v>0</v>
      </c>
    </row>
    <row r="182" spans="1:34" ht="20.100000000000001" customHeight="1" x14ac:dyDescent="0.2">
      <c r="B182" s="211" t="s">
        <v>76</v>
      </c>
      <c r="C182" s="261">
        <f t="shared" ref="C182:I184" si="41">C176/SUM(C$176:C$178)</f>
        <v>0.28347323066506375</v>
      </c>
      <c r="D182" s="32">
        <f t="shared" si="41"/>
        <v>0.45158008218000245</v>
      </c>
      <c r="E182" s="32">
        <f t="shared" si="41"/>
        <v>0.51072587050722296</v>
      </c>
      <c r="F182" s="32">
        <f t="shared" si="41"/>
        <v>0.45130329664974633</v>
      </c>
      <c r="G182" s="32">
        <f t="shared" si="41"/>
        <v>0.40818396349924119</v>
      </c>
      <c r="H182" s="32">
        <f t="shared" si="41"/>
        <v>0.32447631543663857</v>
      </c>
      <c r="I182" s="112">
        <f t="shared" si="41"/>
        <v>0.21896333440338198</v>
      </c>
      <c r="K182" s="287" t="s">
        <v>11</v>
      </c>
      <c r="L182" s="202">
        <v>0</v>
      </c>
      <c r="M182" s="358">
        <v>0</v>
      </c>
      <c r="N182" s="358">
        <v>0</v>
      </c>
      <c r="O182" s="358">
        <v>0</v>
      </c>
      <c r="P182" s="358">
        <v>0</v>
      </c>
      <c r="Q182" s="286">
        <v>0</v>
      </c>
      <c r="S182" s="203" t="s">
        <v>454</v>
      </c>
      <c r="T182" s="194"/>
      <c r="U182" s="194"/>
      <c r="V182" s="194"/>
      <c r="W182" s="194"/>
      <c r="X182" s="194"/>
      <c r="Y182" s="194"/>
      <c r="Z182" s="250"/>
      <c r="AB182" s="287" t="s">
        <v>11</v>
      </c>
      <c r="AC182" s="202">
        <v>0</v>
      </c>
      <c r="AD182" s="358">
        <v>0</v>
      </c>
      <c r="AE182" s="358">
        <v>0</v>
      </c>
      <c r="AF182" s="358">
        <v>0</v>
      </c>
      <c r="AG182" s="358">
        <v>0</v>
      </c>
      <c r="AH182" s="286">
        <v>0</v>
      </c>
    </row>
    <row r="183" spans="1:34" ht="20.100000000000001" customHeight="1" x14ac:dyDescent="0.2">
      <c r="B183" s="305" t="s">
        <v>77</v>
      </c>
      <c r="C183" s="45">
        <f t="shared" si="41"/>
        <v>0.53469880380129609</v>
      </c>
      <c r="D183" s="176">
        <f t="shared" si="41"/>
        <v>0.33561988833222306</v>
      </c>
      <c r="E183" s="176">
        <f t="shared" si="41"/>
        <v>0.27384923901630376</v>
      </c>
      <c r="F183" s="176">
        <f t="shared" si="41"/>
        <v>0.36461460743505791</v>
      </c>
      <c r="G183" s="176">
        <f t="shared" si="41"/>
        <v>0.44384947179527495</v>
      </c>
      <c r="H183" s="176">
        <f t="shared" si="41"/>
        <v>0.57174692917715608</v>
      </c>
      <c r="I183" s="142">
        <f t="shared" si="41"/>
        <v>0.56222100587272028</v>
      </c>
      <c r="S183" s="143">
        <f>S175</f>
        <v>2016</v>
      </c>
      <c r="T183" s="53" t="s">
        <v>60</v>
      </c>
      <c r="U183" s="385" t="s">
        <v>61</v>
      </c>
      <c r="V183" s="385" t="s">
        <v>62</v>
      </c>
      <c r="W183" s="385" t="s">
        <v>63</v>
      </c>
      <c r="X183" s="385" t="s">
        <v>64</v>
      </c>
      <c r="Y183" s="385" t="s">
        <v>65</v>
      </c>
      <c r="Z183" s="415" t="s">
        <v>11</v>
      </c>
    </row>
    <row r="184" spans="1:34" ht="20.100000000000001" customHeight="1" x14ac:dyDescent="0.2">
      <c r="A184" s="147"/>
      <c r="B184" s="287" t="s">
        <v>78</v>
      </c>
      <c r="C184" s="283">
        <f t="shared" si="41"/>
        <v>0.18182796553364022</v>
      </c>
      <c r="D184" s="397">
        <f t="shared" si="41"/>
        <v>0.21280002948777449</v>
      </c>
      <c r="E184" s="397">
        <f t="shared" si="41"/>
        <v>0.21542489047647317</v>
      </c>
      <c r="F184" s="397">
        <f t="shared" si="41"/>
        <v>0.18408209591519578</v>
      </c>
      <c r="G184" s="397">
        <f t="shared" si="41"/>
        <v>0.14796656470548394</v>
      </c>
      <c r="H184" s="397">
        <f t="shared" si="41"/>
        <v>0.10377675538620539</v>
      </c>
      <c r="I184" s="220">
        <f t="shared" si="41"/>
        <v>0.21881565972389774</v>
      </c>
      <c r="K184" s="203" t="s">
        <v>449</v>
      </c>
      <c r="L184" s="194"/>
      <c r="M184" s="194"/>
      <c r="N184" s="194"/>
      <c r="O184" s="194"/>
      <c r="P184" s="194"/>
      <c r="Q184" s="250"/>
      <c r="S184" s="211" t="s">
        <v>79</v>
      </c>
      <c r="T184" s="261">
        <f t="shared" ref="T184:Z188" si="42">T176/SUM(T$176:T$180)</f>
        <v>0.17209550875876531</v>
      </c>
      <c r="U184" s="32">
        <f t="shared" si="42"/>
        <v>0.13864019362545546</v>
      </c>
      <c r="V184" s="32">
        <f t="shared" si="42"/>
        <v>8.8267913423987238E-2</v>
      </c>
      <c r="W184" s="32">
        <f t="shared" si="42"/>
        <v>0.17187042167466218</v>
      </c>
      <c r="X184" s="32">
        <f t="shared" si="42"/>
        <v>0.35310722797536109</v>
      </c>
      <c r="Y184" s="32">
        <f t="shared" si="42"/>
        <v>0.39319380288307215</v>
      </c>
      <c r="Z184" s="112">
        <f t="shared" si="42"/>
        <v>0.32001879284661439</v>
      </c>
      <c r="AB184" s="203" t="s">
        <v>459</v>
      </c>
      <c r="AC184" s="194"/>
      <c r="AD184" s="194"/>
      <c r="AE184" s="194"/>
      <c r="AF184" s="194"/>
      <c r="AG184" s="194"/>
      <c r="AH184" s="250"/>
    </row>
    <row r="185" spans="1:34" ht="20.100000000000001" customHeight="1" x14ac:dyDescent="0.2">
      <c r="A185" s="147"/>
      <c r="K185" s="330"/>
      <c r="L185" s="215">
        <f t="shared" ref="L185:Q185" si="43">L175</f>
        <v>2021</v>
      </c>
      <c r="M185" s="213">
        <f t="shared" si="43"/>
        <v>2025</v>
      </c>
      <c r="N185" s="213">
        <f t="shared" si="43"/>
        <v>2030</v>
      </c>
      <c r="O185" s="213">
        <f t="shared" si="43"/>
        <v>2035</v>
      </c>
      <c r="P185" s="213">
        <f t="shared" si="43"/>
        <v>2040</v>
      </c>
      <c r="Q185" s="183">
        <f t="shared" si="43"/>
        <v>2045</v>
      </c>
      <c r="S185" s="305" t="s">
        <v>80</v>
      </c>
      <c r="T185" s="45">
        <f t="shared" si="42"/>
        <v>0.1441905462536951</v>
      </c>
      <c r="U185" s="176">
        <f t="shared" si="42"/>
        <v>0.27893058336404986</v>
      </c>
      <c r="V185" s="176">
        <f t="shared" si="42"/>
        <v>0.41087717756571701</v>
      </c>
      <c r="W185" s="176">
        <f t="shared" si="42"/>
        <v>0.28446234209742555</v>
      </c>
      <c r="X185" s="176">
        <f t="shared" si="42"/>
        <v>9.4331954628968193E-2</v>
      </c>
      <c r="Y185" s="176">
        <f t="shared" si="42"/>
        <v>6.5531815803609894E-2</v>
      </c>
      <c r="Z185" s="142">
        <f t="shared" si="42"/>
        <v>3.0002587348294866E-2</v>
      </c>
      <c r="AB185" s="330"/>
      <c r="AC185" s="215">
        <f t="shared" ref="AC185:AH185" si="44">AC175</f>
        <v>2021</v>
      </c>
      <c r="AD185" s="213">
        <f t="shared" si="44"/>
        <v>2025</v>
      </c>
      <c r="AE185" s="213">
        <f t="shared" si="44"/>
        <v>2030</v>
      </c>
      <c r="AF185" s="213">
        <f t="shared" si="44"/>
        <v>2035</v>
      </c>
      <c r="AG185" s="213">
        <f t="shared" si="44"/>
        <v>2040</v>
      </c>
      <c r="AH185" s="183">
        <f t="shared" si="44"/>
        <v>2045</v>
      </c>
    </row>
    <row r="186" spans="1:34" ht="20.100000000000001" customHeight="1" x14ac:dyDescent="0.2">
      <c r="K186" s="211" t="s">
        <v>76</v>
      </c>
      <c r="L186" s="339">
        <f t="array" ref="L186">SUMPRODUCT($C182:$I182,TRANSPOSE(L$176:L$182))</f>
        <v>0</v>
      </c>
      <c r="M186" s="327">
        <f t="array" ref="M186">SUMPRODUCT($C182:$I182,TRANSPOSE(M$176:M$182))</f>
        <v>0</v>
      </c>
      <c r="N186" s="327">
        <f t="array" ref="N186">SUMPRODUCT($C182:$I182,TRANSPOSE(N$176:N$182))</f>
        <v>0</v>
      </c>
      <c r="O186" s="327">
        <f t="array" ref="O186">SUMPRODUCT($C182:$I182,TRANSPOSE(O$176:O$182))</f>
        <v>0</v>
      </c>
      <c r="P186" s="327">
        <f t="array" ref="P186">SUMPRODUCT($C182:$I182,TRANSPOSE(P$176:P$182))</f>
        <v>0</v>
      </c>
      <c r="Q186" s="46">
        <f t="array" ref="Q186">SUMPRODUCT($C182:$I182,TRANSPOSE(Q$176:Q$182))</f>
        <v>0</v>
      </c>
      <c r="S186" s="109" t="s">
        <v>81</v>
      </c>
      <c r="T186" s="150">
        <f t="shared" si="42"/>
        <v>0.19534669375471703</v>
      </c>
      <c r="U186" s="241">
        <f t="shared" si="42"/>
        <v>0.24962694936792706</v>
      </c>
      <c r="V186" s="241">
        <f t="shared" si="42"/>
        <v>0.23604641855204458</v>
      </c>
      <c r="W186" s="241">
        <f t="shared" si="42"/>
        <v>0.17319219323212109</v>
      </c>
      <c r="X186" s="241">
        <f t="shared" si="42"/>
        <v>9.1330903760102805E-2</v>
      </c>
      <c r="Y186" s="241">
        <f t="shared" si="42"/>
        <v>8.008957808341198E-2</v>
      </c>
      <c r="Z186" s="379">
        <f t="shared" si="42"/>
        <v>9.9982290076533156E-2</v>
      </c>
      <c r="AB186" s="211" t="s">
        <v>79</v>
      </c>
      <c r="AC186" s="339">
        <f t="array" ref="AC186">SUMPRODUCT($T184:$Z184,TRANSPOSE(AC$176:AC$182))</f>
        <v>0</v>
      </c>
      <c r="AD186" s="327">
        <f t="array" ref="AD186">SUMPRODUCT($T184:$Z184,TRANSPOSE(AD$176:AD$182))</f>
        <v>0</v>
      </c>
      <c r="AE186" s="327">
        <f t="array" ref="AE186">SUMPRODUCT($T184:$Z184,TRANSPOSE(AE$176:AE$182))</f>
        <v>0</v>
      </c>
      <c r="AF186" s="327">
        <f t="array" ref="AF186">SUMPRODUCT($T184:$Z184,TRANSPOSE(AF$176:AF$182))</f>
        <v>0</v>
      </c>
      <c r="AG186" s="327">
        <f t="array" ref="AG186">SUMPRODUCT($T184:$Z184,TRANSPOSE(AG$176:AG$182))</f>
        <v>0</v>
      </c>
      <c r="AH186" s="46">
        <f t="array" ref="AH186">SUMPRODUCT($T184:$Z184,TRANSPOSE(AH$176:AH$182))</f>
        <v>0</v>
      </c>
    </row>
    <row r="187" spans="1:34" ht="20.100000000000001" customHeight="1" x14ac:dyDescent="0.2">
      <c r="K187" s="305" t="s">
        <v>77</v>
      </c>
      <c r="L187" s="333">
        <f t="array" ref="L187">SUMPRODUCT($C183:$I183,TRANSPOSE(L$176:L$182))</f>
        <v>0</v>
      </c>
      <c r="M187" s="364">
        <f t="array" ref="M187">SUMPRODUCT($C183:$I183,TRANSPOSE(M$176:M$182))</f>
        <v>0</v>
      </c>
      <c r="N187" s="364">
        <f t="array" ref="N187">SUMPRODUCT($C183:$I183,TRANSPOSE(N$176:N$182))</f>
        <v>0</v>
      </c>
      <c r="O187" s="364">
        <f t="array" ref="O187">SUMPRODUCT($C183:$I183,TRANSPOSE(O$176:O$182))</f>
        <v>0</v>
      </c>
      <c r="P187" s="364">
        <f t="array" ref="P187">SUMPRODUCT($C183:$I183,TRANSPOSE(P$176:P$182))</f>
        <v>0</v>
      </c>
      <c r="Q187" s="151">
        <f t="array" ref="Q187">SUMPRODUCT($C183:$I183,TRANSPOSE(Q$176:Q$182))</f>
        <v>0</v>
      </c>
      <c r="S187" s="271" t="s">
        <v>136</v>
      </c>
      <c r="T187" s="45">
        <f t="shared" si="42"/>
        <v>9.287853772030525E-3</v>
      </c>
      <c r="U187" s="176">
        <f t="shared" si="42"/>
        <v>1.6325877277334946E-3</v>
      </c>
      <c r="V187" s="176">
        <f t="shared" si="42"/>
        <v>7.6112053587208267E-3</v>
      </c>
      <c r="W187" s="176">
        <f t="shared" si="42"/>
        <v>3.7942671055276891E-3</v>
      </c>
      <c r="X187" s="176">
        <f t="shared" si="42"/>
        <v>1.5215510831527198E-3</v>
      </c>
      <c r="Y187" s="176">
        <f t="shared" si="42"/>
        <v>0</v>
      </c>
      <c r="Z187" s="142">
        <f t="shared" si="42"/>
        <v>0</v>
      </c>
      <c r="AB187" s="305" t="s">
        <v>80</v>
      </c>
      <c r="AC187" s="333">
        <f t="array" ref="AC187">SUMPRODUCT($T185:$Z185,TRANSPOSE(AC$176:AC$182))</f>
        <v>0</v>
      </c>
      <c r="AD187" s="364">
        <f t="array" ref="AD187">SUMPRODUCT($T185:$Z185,TRANSPOSE(AD$176:AD$182))</f>
        <v>0</v>
      </c>
      <c r="AE187" s="364">
        <f t="array" ref="AE187">SUMPRODUCT($T185:$Z185,TRANSPOSE(AE$176:AE$182))</f>
        <v>0</v>
      </c>
      <c r="AF187" s="364">
        <f t="array" ref="AF187">SUMPRODUCT($T185:$Z185,TRANSPOSE(AF$176:AF$182))</f>
        <v>0</v>
      </c>
      <c r="AG187" s="364">
        <f t="array" ref="AG187">SUMPRODUCT($T185:$Z185,TRANSPOSE(AG$176:AG$182))</f>
        <v>0</v>
      </c>
      <c r="AH187" s="151">
        <f t="array" ref="AH187">SUMPRODUCT($T185:$Z185,TRANSPOSE(AH$176:AH$182))</f>
        <v>0</v>
      </c>
    </row>
    <row r="188" spans="1:34" ht="20.100000000000001" customHeight="1" x14ac:dyDescent="0.2">
      <c r="K188" s="287" t="s">
        <v>78</v>
      </c>
      <c r="L188" s="202">
        <f t="array" ref="L188">SUMPRODUCT($C184:$I184,TRANSPOSE(L$176:L$182))</f>
        <v>0</v>
      </c>
      <c r="M188" s="358">
        <f t="array" ref="M188">SUMPRODUCT($C184:$I184,TRANSPOSE(M$176:M$182))</f>
        <v>0</v>
      </c>
      <c r="N188" s="358">
        <f t="array" ref="N188">SUMPRODUCT($C184:$I184,TRANSPOSE(N$176:N$182))</f>
        <v>0</v>
      </c>
      <c r="O188" s="358">
        <f t="array" ref="O188">SUMPRODUCT($C184:$I184,TRANSPOSE(O$176:O$182))</f>
        <v>0</v>
      </c>
      <c r="P188" s="358">
        <f t="array" ref="P188">SUMPRODUCT($C184:$I184,TRANSPOSE(P$176:P$182))</f>
        <v>0</v>
      </c>
      <c r="Q188" s="286">
        <f t="array" ref="Q188">SUMPRODUCT($C184:$I184,TRANSPOSE(Q$176:Q$182))</f>
        <v>0</v>
      </c>
      <c r="R188" s="147"/>
      <c r="S188" s="287" t="s">
        <v>82</v>
      </c>
      <c r="T188" s="283">
        <f t="shared" si="42"/>
        <v>0.47907939746079209</v>
      </c>
      <c r="U188" s="397">
        <f t="shared" si="42"/>
        <v>0.3311696859148342</v>
      </c>
      <c r="V188" s="397">
        <f t="shared" si="42"/>
        <v>0.25719728509953022</v>
      </c>
      <c r="W188" s="397">
        <f t="shared" si="42"/>
        <v>0.36668077589026354</v>
      </c>
      <c r="X188" s="397">
        <f t="shared" si="42"/>
        <v>0.45970836255241532</v>
      </c>
      <c r="Y188" s="397">
        <f t="shared" si="42"/>
        <v>0.46118480322990596</v>
      </c>
      <c r="Z188" s="220">
        <f t="shared" si="42"/>
        <v>0.5499963297285575</v>
      </c>
      <c r="AB188" s="109" t="s">
        <v>81</v>
      </c>
      <c r="AC188" s="242">
        <f t="array" ref="AC188">SUMPRODUCT($T186:$Z186,TRANSPOSE(AC$176:AC$182))</f>
        <v>0</v>
      </c>
      <c r="AD188" s="345">
        <f t="array" ref="AD188">SUMPRODUCT($T186:$Z186,TRANSPOSE(AD$176:AD$182))</f>
        <v>0</v>
      </c>
      <c r="AE188" s="345">
        <f t="array" ref="AE188">SUMPRODUCT($T186:$Z186,TRANSPOSE(AE$176:AE$182))</f>
        <v>0</v>
      </c>
      <c r="AF188" s="345">
        <f t="array" ref="AF188">SUMPRODUCT($T186:$Z186,TRANSPOSE(AF$176:AF$182))</f>
        <v>0</v>
      </c>
      <c r="AG188" s="345">
        <f t="array" ref="AG188">SUMPRODUCT($T186:$Z186,TRANSPOSE(AG$176:AG$182))</f>
        <v>0</v>
      </c>
      <c r="AH188" s="322">
        <f t="array" ref="AH188">SUMPRODUCT($T186:$Z186,TRANSPOSE(AH$176:AH$182))</f>
        <v>0</v>
      </c>
    </row>
    <row r="189" spans="1:34" ht="20.100000000000001" customHeight="1" x14ac:dyDescent="0.2">
      <c r="R189" s="147"/>
      <c r="AB189" s="271" t="s">
        <v>136</v>
      </c>
      <c r="AC189" s="333">
        <f t="array" ref="AC189">SUMPRODUCT($T187:$Z187,TRANSPOSE(AC$176:AC$182))</f>
        <v>0</v>
      </c>
      <c r="AD189" s="364">
        <f t="array" ref="AD189">SUMPRODUCT($T187:$Z187,TRANSPOSE(AD$176:AD$182))</f>
        <v>0</v>
      </c>
      <c r="AE189" s="364">
        <f t="array" ref="AE189">SUMPRODUCT($T187:$Z187,TRANSPOSE(AE$176:AE$182))</f>
        <v>0</v>
      </c>
      <c r="AF189" s="364">
        <f t="array" ref="AF189">SUMPRODUCT($T187:$Z187,TRANSPOSE(AF$176:AF$182))</f>
        <v>0</v>
      </c>
      <c r="AG189" s="364">
        <f t="array" ref="AG189">SUMPRODUCT($T187:$Z187,TRANSPOSE(AG$176:AG$182))</f>
        <v>0</v>
      </c>
      <c r="AH189" s="151">
        <f t="array" ref="AH189">SUMPRODUCT($T187:$Z187,TRANSPOSE(AH$176:AH$182))</f>
        <v>0</v>
      </c>
    </row>
    <row r="190" spans="1:34" ht="20.100000000000001" customHeight="1" x14ac:dyDescent="0.2">
      <c r="K190" s="203" t="s">
        <v>450</v>
      </c>
      <c r="L190" s="194"/>
      <c r="M190" s="194"/>
      <c r="N190" s="194"/>
      <c r="O190" s="194"/>
      <c r="P190" s="194"/>
      <c r="Q190" s="250"/>
      <c r="AB190" s="287" t="s">
        <v>82</v>
      </c>
      <c r="AC190" s="202">
        <f t="array" ref="AC190">SUMPRODUCT($T188:$Z188,TRANSPOSE(AC$176:AC$182))</f>
        <v>0</v>
      </c>
      <c r="AD190" s="358">
        <f t="array" ref="AD190">SUMPRODUCT($T188:$Z188,TRANSPOSE(AD$176:AD$182))</f>
        <v>0</v>
      </c>
      <c r="AE190" s="358">
        <f t="array" ref="AE190">SUMPRODUCT($T188:$Z188,TRANSPOSE(AE$176:AE$182))</f>
        <v>0</v>
      </c>
      <c r="AF190" s="358">
        <f t="array" ref="AF190">SUMPRODUCT($T188:$Z188,TRANSPOSE(AF$176:AF$182))</f>
        <v>0</v>
      </c>
      <c r="AG190" s="358">
        <f t="array" ref="AG190">SUMPRODUCT($T188:$Z188,TRANSPOSE(AG$176:AG$182))</f>
        <v>0</v>
      </c>
      <c r="AH190" s="286">
        <f t="array" ref="AH190">SUMPRODUCT($T188:$Z188,TRANSPOSE(AH$176:AH$182))</f>
        <v>0</v>
      </c>
    </row>
    <row r="191" spans="1:34" ht="20.100000000000001" customHeight="1" x14ac:dyDescent="0.2">
      <c r="K191" s="354"/>
      <c r="L191" s="340">
        <f t="shared" ref="L191:Q191" si="45">L185</f>
        <v>2021</v>
      </c>
      <c r="M191" s="340">
        <f t="shared" si="45"/>
        <v>2025</v>
      </c>
      <c r="N191" s="340">
        <f t="shared" si="45"/>
        <v>2030</v>
      </c>
      <c r="O191" s="340">
        <f t="shared" si="45"/>
        <v>2035</v>
      </c>
      <c r="P191" s="340">
        <f t="shared" si="45"/>
        <v>2040</v>
      </c>
      <c r="Q191" s="289">
        <f t="shared" si="45"/>
        <v>2045</v>
      </c>
    </row>
    <row r="192" spans="1:34" ht="20.100000000000001" customHeight="1" x14ac:dyDescent="0.2">
      <c r="K192" s="211" t="s">
        <v>76</v>
      </c>
      <c r="L192" s="261" t="e">
        <f t="shared" ref="L192:Q194" si="46">L186/SUM(L$186:L$188)</f>
        <v>#DIV/0!</v>
      </c>
      <c r="M192" s="32" t="e">
        <f t="shared" si="46"/>
        <v>#DIV/0!</v>
      </c>
      <c r="N192" s="32" t="e">
        <f t="shared" si="46"/>
        <v>#DIV/0!</v>
      </c>
      <c r="O192" s="32" t="e">
        <f t="shared" si="46"/>
        <v>#DIV/0!</v>
      </c>
      <c r="P192" s="32" t="e">
        <f t="shared" si="46"/>
        <v>#DIV/0!</v>
      </c>
      <c r="Q192" s="112" t="e">
        <f t="shared" si="46"/>
        <v>#DIV/0!</v>
      </c>
      <c r="AB192" s="203" t="s">
        <v>455</v>
      </c>
      <c r="AC192" s="194"/>
      <c r="AD192" s="194"/>
      <c r="AE192" s="194"/>
      <c r="AF192" s="194"/>
      <c r="AG192" s="194"/>
      <c r="AH192" s="250"/>
    </row>
    <row r="193" spans="1:34" ht="20.100000000000001" customHeight="1" x14ac:dyDescent="0.2">
      <c r="K193" s="305" t="s">
        <v>77</v>
      </c>
      <c r="L193" s="45" t="e">
        <f t="shared" si="46"/>
        <v>#DIV/0!</v>
      </c>
      <c r="M193" s="176" t="e">
        <f t="shared" si="46"/>
        <v>#DIV/0!</v>
      </c>
      <c r="N193" s="176" t="e">
        <f t="shared" si="46"/>
        <v>#DIV/0!</v>
      </c>
      <c r="O193" s="176" t="e">
        <f t="shared" si="46"/>
        <v>#DIV/0!</v>
      </c>
      <c r="P193" s="176" t="e">
        <f t="shared" si="46"/>
        <v>#DIV/0!</v>
      </c>
      <c r="Q193" s="142" t="e">
        <f t="shared" si="46"/>
        <v>#DIV/0!</v>
      </c>
      <c r="AB193" s="354"/>
      <c r="AC193" s="340">
        <f t="shared" ref="AC193:AH193" si="47">AC185</f>
        <v>2021</v>
      </c>
      <c r="AD193" s="340">
        <f t="shared" si="47"/>
        <v>2025</v>
      </c>
      <c r="AE193" s="340">
        <f t="shared" si="47"/>
        <v>2030</v>
      </c>
      <c r="AF193" s="340">
        <f t="shared" si="47"/>
        <v>2035</v>
      </c>
      <c r="AG193" s="340">
        <f t="shared" si="47"/>
        <v>2040</v>
      </c>
      <c r="AH193" s="289">
        <f t="shared" si="47"/>
        <v>2045</v>
      </c>
    </row>
    <row r="194" spans="1:34" ht="20.100000000000001" customHeight="1" x14ac:dyDescent="0.2">
      <c r="K194" s="287" t="s">
        <v>78</v>
      </c>
      <c r="L194" s="283" t="e">
        <f t="shared" si="46"/>
        <v>#DIV/0!</v>
      </c>
      <c r="M194" s="397" t="e">
        <f t="shared" si="46"/>
        <v>#DIV/0!</v>
      </c>
      <c r="N194" s="397" t="e">
        <f t="shared" si="46"/>
        <v>#DIV/0!</v>
      </c>
      <c r="O194" s="397" t="e">
        <f t="shared" si="46"/>
        <v>#DIV/0!</v>
      </c>
      <c r="P194" s="397" t="e">
        <f t="shared" si="46"/>
        <v>#DIV/0!</v>
      </c>
      <c r="Q194" s="220" t="e">
        <f t="shared" si="46"/>
        <v>#DIV/0!</v>
      </c>
      <c r="AB194" s="211" t="s">
        <v>79</v>
      </c>
      <c r="AC194" s="261" t="e">
        <f t="shared" ref="AC194:AH198" si="48">SUM(AC186)/SUM(AC$186:AC$190)</f>
        <v>#DIV/0!</v>
      </c>
      <c r="AD194" s="32" t="e">
        <f t="shared" si="48"/>
        <v>#DIV/0!</v>
      </c>
      <c r="AE194" s="32" t="e">
        <f t="shared" si="48"/>
        <v>#DIV/0!</v>
      </c>
      <c r="AF194" s="32" t="e">
        <f t="shared" si="48"/>
        <v>#DIV/0!</v>
      </c>
      <c r="AG194" s="32" t="e">
        <f t="shared" si="48"/>
        <v>#DIV/0!</v>
      </c>
      <c r="AH194" s="112" t="e">
        <f t="shared" si="48"/>
        <v>#DIV/0!</v>
      </c>
    </row>
    <row r="195" spans="1:34" ht="20.100000000000001" customHeight="1" x14ac:dyDescent="0.2">
      <c r="AB195" s="305" t="s">
        <v>80</v>
      </c>
      <c r="AC195" s="45" t="e">
        <f t="shared" si="48"/>
        <v>#DIV/0!</v>
      </c>
      <c r="AD195" s="176" t="e">
        <f t="shared" si="48"/>
        <v>#DIV/0!</v>
      </c>
      <c r="AE195" s="176" t="e">
        <f t="shared" si="48"/>
        <v>#DIV/0!</v>
      </c>
      <c r="AF195" s="176" t="e">
        <f t="shared" si="48"/>
        <v>#DIV/0!</v>
      </c>
      <c r="AG195" s="176" t="e">
        <f t="shared" si="48"/>
        <v>#DIV/0!</v>
      </c>
      <c r="AH195" s="142" t="e">
        <f t="shared" si="48"/>
        <v>#DIV/0!</v>
      </c>
    </row>
    <row r="196" spans="1:34" ht="20.100000000000001" customHeight="1" x14ac:dyDescent="0.2">
      <c r="AB196" s="109" t="s">
        <v>81</v>
      </c>
      <c r="AC196" s="150" t="e">
        <f t="shared" si="48"/>
        <v>#DIV/0!</v>
      </c>
      <c r="AD196" s="241" t="e">
        <f t="shared" si="48"/>
        <v>#DIV/0!</v>
      </c>
      <c r="AE196" s="241" t="e">
        <f t="shared" si="48"/>
        <v>#DIV/0!</v>
      </c>
      <c r="AF196" s="241" t="e">
        <f t="shared" si="48"/>
        <v>#DIV/0!</v>
      </c>
      <c r="AG196" s="241" t="e">
        <f t="shared" si="48"/>
        <v>#DIV/0!</v>
      </c>
      <c r="AH196" s="379" t="e">
        <f t="shared" si="48"/>
        <v>#DIV/0!</v>
      </c>
    </row>
    <row r="197" spans="1:34" ht="20.100000000000001" customHeight="1" x14ac:dyDescent="0.2">
      <c r="AB197" s="271" t="s">
        <v>136</v>
      </c>
      <c r="AC197" s="45" t="e">
        <f t="shared" si="48"/>
        <v>#DIV/0!</v>
      </c>
      <c r="AD197" s="176" t="e">
        <f t="shared" si="48"/>
        <v>#DIV/0!</v>
      </c>
      <c r="AE197" s="176" t="e">
        <f t="shared" si="48"/>
        <v>#DIV/0!</v>
      </c>
      <c r="AF197" s="176" t="e">
        <f t="shared" si="48"/>
        <v>#DIV/0!</v>
      </c>
      <c r="AG197" s="176" t="e">
        <f t="shared" si="48"/>
        <v>#DIV/0!</v>
      </c>
      <c r="AH197" s="142" t="e">
        <f t="shared" si="48"/>
        <v>#DIV/0!</v>
      </c>
    </row>
    <row r="198" spans="1:34" ht="20.100000000000001" customHeight="1" x14ac:dyDescent="0.2">
      <c r="AB198" s="287" t="s">
        <v>82</v>
      </c>
      <c r="AC198" s="283" t="e">
        <f t="shared" si="48"/>
        <v>#DIV/0!</v>
      </c>
      <c r="AD198" s="397" t="e">
        <f t="shared" si="48"/>
        <v>#DIV/0!</v>
      </c>
      <c r="AE198" s="397" t="e">
        <f t="shared" si="48"/>
        <v>#DIV/0!</v>
      </c>
      <c r="AF198" s="397" t="e">
        <f t="shared" si="48"/>
        <v>#DIV/0!</v>
      </c>
      <c r="AG198" s="397" t="e">
        <f t="shared" si="48"/>
        <v>#DIV/0!</v>
      </c>
      <c r="AH198" s="220" t="e">
        <f t="shared" si="48"/>
        <v>#DIV/0!</v>
      </c>
    </row>
    <row r="203" spans="1:34" ht="30" customHeight="1" x14ac:dyDescent="0.2">
      <c r="B203" s="175" t="s">
        <v>494</v>
      </c>
      <c r="C203" s="310"/>
      <c r="D203" s="310"/>
      <c r="E203" s="310"/>
      <c r="F203" s="310"/>
      <c r="G203" s="310"/>
      <c r="H203" s="310"/>
      <c r="I203" s="310"/>
      <c r="J203" s="310"/>
      <c r="K203" s="310"/>
      <c r="L203" s="310"/>
      <c r="M203" s="310"/>
      <c r="N203" s="310"/>
      <c r="O203" s="310"/>
      <c r="P203" s="310"/>
      <c r="Q203" s="310"/>
      <c r="S203" s="175" t="s">
        <v>495</v>
      </c>
      <c r="T203" s="310"/>
      <c r="U203" s="310"/>
      <c r="V203" s="310"/>
      <c r="W203" s="310"/>
      <c r="X203" s="310"/>
      <c r="Y203" s="310"/>
      <c r="Z203" s="310"/>
      <c r="AA203" s="310"/>
      <c r="AB203" s="310"/>
      <c r="AC203" s="310"/>
      <c r="AD203" s="310"/>
      <c r="AE203" s="310"/>
      <c r="AF203" s="310"/>
      <c r="AG203" s="310"/>
      <c r="AH203" s="310"/>
    </row>
    <row r="204" spans="1:34" ht="20.100000000000001" customHeight="1" x14ac:dyDescent="0.2">
      <c r="C204" s="371" t="s">
        <v>44</v>
      </c>
      <c r="D204" s="371" t="s">
        <v>45</v>
      </c>
      <c r="E204" s="371" t="s">
        <v>46</v>
      </c>
      <c r="F204" s="371" t="s">
        <v>47</v>
      </c>
      <c r="G204" s="371" t="s">
        <v>48</v>
      </c>
      <c r="H204" s="371" t="s">
        <v>49</v>
      </c>
      <c r="I204" s="371" t="s">
        <v>50</v>
      </c>
      <c r="T204" s="371" t="s">
        <v>44</v>
      </c>
      <c r="U204" s="371" t="s">
        <v>45</v>
      </c>
      <c r="V204" s="371" t="s">
        <v>46</v>
      </c>
      <c r="W204" s="371" t="s">
        <v>47</v>
      </c>
      <c r="X204" s="371" t="s">
        <v>48</v>
      </c>
      <c r="Y204" s="371" t="s">
        <v>49</v>
      </c>
      <c r="Z204" s="371" t="s">
        <v>50</v>
      </c>
    </row>
    <row r="205" spans="1:34" ht="20.100000000000001" customHeight="1" x14ac:dyDescent="0.2">
      <c r="B205" s="203" t="s">
        <v>457</v>
      </c>
      <c r="C205" s="194"/>
      <c r="D205" s="194"/>
      <c r="E205" s="194"/>
      <c r="F205" s="194"/>
      <c r="G205" s="194"/>
      <c r="H205" s="194"/>
      <c r="I205" s="250"/>
      <c r="K205" s="203" t="s">
        <v>448</v>
      </c>
      <c r="L205" s="194"/>
      <c r="M205" s="194"/>
      <c r="N205" s="194"/>
      <c r="O205" s="194"/>
      <c r="P205" s="194"/>
      <c r="Q205" s="250"/>
      <c r="S205" s="203" t="s">
        <v>457</v>
      </c>
      <c r="T205" s="194"/>
      <c r="U205" s="194"/>
      <c r="V205" s="194"/>
      <c r="W205" s="194"/>
      <c r="X205" s="194"/>
      <c r="Y205" s="194"/>
      <c r="Z205" s="250"/>
      <c r="AB205" s="203" t="s">
        <v>448</v>
      </c>
      <c r="AC205" s="194"/>
      <c r="AD205" s="194"/>
      <c r="AE205" s="194"/>
      <c r="AF205" s="194"/>
      <c r="AG205" s="194"/>
      <c r="AH205" s="250"/>
    </row>
    <row r="206" spans="1:34" ht="20.100000000000001" customHeight="1" x14ac:dyDescent="0.2">
      <c r="A206" s="147"/>
      <c r="B206" s="143">
        <v>2016</v>
      </c>
      <c r="C206" s="53" t="s">
        <v>60</v>
      </c>
      <c r="D206" s="385" t="s">
        <v>61</v>
      </c>
      <c r="E206" s="385" t="s">
        <v>62</v>
      </c>
      <c r="F206" s="385" t="s">
        <v>63</v>
      </c>
      <c r="G206" s="385" t="s">
        <v>64</v>
      </c>
      <c r="H206" s="385" t="s">
        <v>65</v>
      </c>
      <c r="I206" s="415" t="s">
        <v>11</v>
      </c>
      <c r="K206" s="330"/>
      <c r="L206" s="215">
        <f t="array" ref="L206:Q213">AC175:AH182</f>
        <v>2021</v>
      </c>
      <c r="M206" s="213">
        <v>2025</v>
      </c>
      <c r="N206" s="213">
        <v>2030</v>
      </c>
      <c r="O206" s="213">
        <v>2035</v>
      </c>
      <c r="P206" s="213">
        <v>2040</v>
      </c>
      <c r="Q206" s="183">
        <v>2045</v>
      </c>
      <c r="R206" s="147"/>
      <c r="S206" s="143">
        <v>2016</v>
      </c>
      <c r="T206" s="53" t="s">
        <v>60</v>
      </c>
      <c r="U206" s="385" t="s">
        <v>61</v>
      </c>
      <c r="V206" s="385" t="s">
        <v>62</v>
      </c>
      <c r="W206" s="385" t="s">
        <v>63</v>
      </c>
      <c r="X206" s="385" t="s">
        <v>64</v>
      </c>
      <c r="Y206" s="385" t="s">
        <v>65</v>
      </c>
      <c r="Z206" s="415" t="s">
        <v>11</v>
      </c>
      <c r="AB206" s="330"/>
      <c r="AC206" s="215">
        <f t="array" ref="AC206:AH213">L206:Q213</f>
        <v>2021</v>
      </c>
      <c r="AD206" s="213">
        <v>2025</v>
      </c>
      <c r="AE206" s="213">
        <v>2030</v>
      </c>
      <c r="AF206" s="213">
        <v>2035</v>
      </c>
      <c r="AG206" s="213">
        <v>2040</v>
      </c>
      <c r="AH206" s="183">
        <v>2045</v>
      </c>
    </row>
    <row r="207" spans="1:34" ht="20.100000000000001" customHeight="1" x14ac:dyDescent="0.2">
      <c r="A207" s="115">
        <v>1</v>
      </c>
      <c r="B207" s="211" t="s">
        <v>98</v>
      </c>
      <c r="C207" s="279">
        <f t="array" ref="C207">SUMPRODUCT(dem!$D$2:$J$1000 * ("inccat" = dem!$K$2:$K$1000) * ($A207 = dem!$A$2:$A$1000) * ($B$206 = dem!$C$2:$C$1000) * (dem!$D$1:$J$1 = projection!C$204))</f>
        <v>4520.4106360287506</v>
      </c>
      <c r="D207" s="44">
        <f t="array" ref="D207">SUMPRODUCT(dem!$D$2:$J$1000 * ("inccat" = dem!$K$2:$K$1000) * ($A207 = dem!$A$2:$A$1000) * ($B$206 = dem!$C$2:$C$1000) * (dem!$D$1:$J$1 = projection!D$204))</f>
        <v>6430.4233491372379</v>
      </c>
      <c r="E207" s="44">
        <f t="array" ref="E207">SUMPRODUCT(dem!$D$2:$J$1000 * ("inccat" = dem!$K$2:$K$1000) * ($A207 = dem!$A$2:$A$1000) * ($B$206 = dem!$C$2:$C$1000) * (dem!$D$1:$J$1 = projection!E$204))</f>
        <v>7532.5285053676798</v>
      </c>
      <c r="F207" s="44">
        <f t="array" ref="F207">SUMPRODUCT(dem!$D$2:$J$1000 * ("inccat" = dem!$K$2:$K$1000) * ($A207 = dem!$A$2:$A$1000) * ($B$206 = dem!$C$2:$C$1000) * (dem!$D$1:$J$1 = projection!F$204))</f>
        <v>12455.48210317848</v>
      </c>
      <c r="G207" s="44">
        <f t="array" ref="G207">SUMPRODUCT(dem!$D$2:$J$1000 * ("inccat" = dem!$K$2:$K$1000) * ($A207 = dem!$A$2:$A$1000) * ($B$206 = dem!$C$2:$C$1000) * (dem!$D$1:$J$1 = projection!G$204))</f>
        <v>11851.181738071909</v>
      </c>
      <c r="H207" s="44">
        <f t="array" ref="H207">SUMPRODUCT(dem!$D$2:$J$1000 * ("inccat" = dem!$K$2:$K$1000) * ($A207 = dem!$A$2:$A$1000) * ($B$206 = dem!$C$2:$C$1000) * (dem!$D$1:$J$1 = projection!H$204))</f>
        <v>802.56352676355209</v>
      </c>
      <c r="I207" s="93">
        <f t="array" ref="I207">SUMPRODUCT(dem!$D$2:$J$1000 * ("inccat" = dem!$K$2:$K$1000) * ($A207 = dem!$A$2:$A$1000) * ($B$206 = dem!$C$2:$C$1000) * (dem!$D$1:$J$1 = projection!I$204))</f>
        <v>200.580920630348</v>
      </c>
      <c r="K207" s="211" t="s">
        <v>60</v>
      </c>
      <c r="L207" s="339">
        <v>0</v>
      </c>
      <c r="M207" s="327">
        <v>0</v>
      </c>
      <c r="N207" s="327">
        <v>0</v>
      </c>
      <c r="O207" s="327">
        <v>0</v>
      </c>
      <c r="P207" s="327">
        <v>0</v>
      </c>
      <c r="Q207" s="46">
        <v>0</v>
      </c>
      <c r="R207" s="115">
        <v>1</v>
      </c>
      <c r="S207" s="211" t="s">
        <v>83</v>
      </c>
      <c r="T207" s="279">
        <f t="array" ref="T207">SUMPRODUCT(dem!$D$2:$J$1000 * ("hhsize" = dem!$K$2:$K$1000) * ($R207 = dem!$A$2:$A$1000) * ($S$206 = dem!$C$2:$C$1000) * (dem!$D$1:$J$1 = projection!T$204))</f>
        <v>3296.3320016724228</v>
      </c>
      <c r="U207" s="44">
        <f t="array" ref="U207">SUMPRODUCT(dem!$D$2:$J$1000 * ("hhsize" = dem!$K$2:$K$1000) * ($R207 = dem!$A$2:$A$1000) * ($S$206 = dem!$C$2:$C$1000) * (dem!$D$1:$J$1 = projection!U$204))</f>
        <v>9148.1373612687312</v>
      </c>
      <c r="V207" s="44">
        <f t="array" ref="V207">SUMPRODUCT(dem!$D$2:$J$1000 * ("hhsize" = dem!$K$2:$K$1000) * ($R207 = dem!$A$2:$A$1000) * ($S$206 = dem!$C$2:$C$1000) * (dem!$D$1:$J$1 = projection!V$204))</f>
        <v>8814.6614962061594</v>
      </c>
      <c r="W207" s="44">
        <f t="array" ref="W207">SUMPRODUCT(dem!$D$2:$J$1000 * ("hhsize" = dem!$K$2:$K$1000) * ($R207 = dem!$A$2:$A$1000) * ($S$206 = dem!$C$2:$C$1000) * (dem!$D$1:$J$1 = projection!W$204))</f>
        <v>17111.261098043135</v>
      </c>
      <c r="X207" s="44">
        <f t="array" ref="X207">SUMPRODUCT(dem!$D$2:$J$1000 * ("hhsize" = dem!$K$2:$K$1000) * ($R207 = dem!$A$2:$A$1000) * ($S$206 = dem!$C$2:$C$1000) * (dem!$D$1:$J$1 = projection!X$204))</f>
        <v>19296.314584730586</v>
      </c>
      <c r="Y207" s="44">
        <f t="array" ref="Y207">SUMPRODUCT(dem!$D$2:$J$1000 * ("hhsize" = dem!$K$2:$K$1000) * ($R207 = dem!$A$2:$A$1000) * ($S$206 = dem!$C$2:$C$1000) * (dem!$D$1:$J$1 = projection!Y$204))</f>
        <v>12481.435263040881</v>
      </c>
      <c r="Z207" s="93">
        <f t="array" ref="Z207">SUMPRODUCT(dem!$D$2:$J$1000 * ("hhsize" = dem!$K$2:$K$1000) * ($R207 = dem!$A$2:$A$1000) * ($S$206 = dem!$C$2:$C$1000) * (dem!$D$1:$J$1 = projection!Z$204))</f>
        <v>6481.6217793630094</v>
      </c>
      <c r="AB207" s="211" t="s">
        <v>60</v>
      </c>
      <c r="AC207" s="339">
        <v>0</v>
      </c>
      <c r="AD207" s="327">
        <v>0</v>
      </c>
      <c r="AE207" s="327">
        <v>0</v>
      </c>
      <c r="AF207" s="327">
        <v>0</v>
      </c>
      <c r="AG207" s="327">
        <v>0</v>
      </c>
      <c r="AH207" s="46">
        <v>0</v>
      </c>
    </row>
    <row r="208" spans="1:34" ht="20.100000000000001" customHeight="1" x14ac:dyDescent="0.2">
      <c r="A208" s="115">
        <v>2</v>
      </c>
      <c r="B208" s="305" t="s">
        <v>8</v>
      </c>
      <c r="C208" s="410">
        <f t="array" ref="C208">SUMPRODUCT(dem!$D$2:$J$1000 * ("inccat" = dem!$K$2:$K$1000) * ($A208 = dem!$A$2:$A$1000) * ($B$206 = dem!$C$2:$C$1000) * (dem!$D$1:$J$1 = projection!C$204))</f>
        <v>8635.9577150706245</v>
      </c>
      <c r="D208" s="81">
        <f t="array" ref="D208">SUMPRODUCT(dem!$D$2:$J$1000 * ("inccat" = dem!$K$2:$K$1000) * ($A208 = dem!$A$2:$A$1000) * ($B$206 = dem!$C$2:$C$1000) * (dem!$D$1:$J$1 = projection!D$204))</f>
        <v>14461.956131844419</v>
      </c>
      <c r="E208" s="81">
        <f t="array" ref="E208">SUMPRODUCT(dem!$D$2:$J$1000 * ("inccat" = dem!$K$2:$K$1000) * ($A208 = dem!$A$2:$A$1000) * ($B$206 = dem!$C$2:$C$1000) * (dem!$D$1:$J$1 = projection!E$204))</f>
        <v>9843.4021548219971</v>
      </c>
      <c r="F208" s="81">
        <f t="array" ref="F208">SUMPRODUCT(dem!$D$2:$J$1000 * ("inccat" = dem!$K$2:$K$1000) * ($A208 = dem!$A$2:$A$1000) * ($B$206 = dem!$C$2:$C$1000) * (dem!$D$1:$J$1 = projection!F$204))</f>
        <v>14866.698249530418</v>
      </c>
      <c r="G208" s="81">
        <f t="array" ref="G208">SUMPRODUCT(dem!$D$2:$J$1000 * ("inccat" = dem!$K$2:$K$1000) * ($A208 = dem!$A$2:$A$1000) * ($B$206 = dem!$C$2:$C$1000) * (dem!$D$1:$J$1 = projection!G$204))</f>
        <v>13252.75755082208</v>
      </c>
      <c r="H208" s="81">
        <f t="array" ref="H208">SUMPRODUCT(dem!$D$2:$J$1000 * ("inccat" = dem!$K$2:$K$1000) * ($A208 = dem!$A$2:$A$1000) * ($B$206 = dem!$C$2:$C$1000) * (dem!$D$1:$J$1 = projection!H$204))</f>
        <v>16665.89629079236</v>
      </c>
      <c r="I208" s="342">
        <f t="array" ref="I208">SUMPRODUCT(dem!$D$2:$J$1000 * ("inccat" = dem!$K$2:$K$1000) * ($A208 = dem!$A$2:$A$1000) * ($B$206 = dem!$C$2:$C$1000) * (dem!$D$1:$J$1 = projection!I$204))</f>
        <v>10842.949043788201</v>
      </c>
      <c r="K208" s="305" t="s">
        <v>61</v>
      </c>
      <c r="L208" s="333">
        <v>0</v>
      </c>
      <c r="M208" s="364">
        <v>0</v>
      </c>
      <c r="N208" s="364">
        <v>0</v>
      </c>
      <c r="O208" s="364">
        <v>0</v>
      </c>
      <c r="P208" s="364">
        <v>0</v>
      </c>
      <c r="Q208" s="151">
        <v>0</v>
      </c>
      <c r="R208" s="115">
        <v>2</v>
      </c>
      <c r="S208" s="305" t="s">
        <v>84</v>
      </c>
      <c r="T208" s="410">
        <f t="array" ref="T208">SUMPRODUCT(dem!$D$2:$J$1000 * ("hhsize" = dem!$K$2:$K$1000) * ($R208 = dem!$A$2:$A$1000) * ($S$206 = dem!$C$2:$C$1000) * (dem!$D$1:$J$1 = projection!T$204))</f>
        <v>6074.1561498663514</v>
      </c>
      <c r="U208" s="81">
        <f t="array" ref="U208">SUMPRODUCT(dem!$D$2:$J$1000 * ("hhsize" = dem!$K$2:$K$1000) * ($R208 = dem!$A$2:$A$1000) * ($S$206 = dem!$C$2:$C$1000) * (dem!$D$1:$J$1 = projection!U$204))</f>
        <v>12110.43938817134</v>
      </c>
      <c r="V208" s="81">
        <f t="array" ref="V208">SUMPRODUCT(dem!$D$2:$J$1000 * ("hhsize" = dem!$K$2:$K$1000) * ($R208 = dem!$A$2:$A$1000) * ($S$206 = dem!$C$2:$C$1000) * (dem!$D$1:$J$1 = projection!V$204))</f>
        <v>10666.121115068272</v>
      </c>
      <c r="W208" s="81">
        <f t="array" ref="W208">SUMPRODUCT(dem!$D$2:$J$1000 * ("hhsize" = dem!$K$2:$K$1000) * ($R208 = dem!$A$2:$A$1000) * ($S$206 = dem!$C$2:$C$1000) * (dem!$D$1:$J$1 = projection!W$204))</f>
        <v>19258.527867209435</v>
      </c>
      <c r="X208" s="81">
        <f t="array" ref="X208">SUMPRODUCT(dem!$D$2:$J$1000 * ("hhsize" = dem!$K$2:$K$1000) * ($R208 = dem!$A$2:$A$1000) * ($S$206 = dem!$C$2:$C$1000) * (dem!$D$1:$J$1 = projection!X$204))</f>
        <v>24148.491562179246</v>
      </c>
      <c r="Y208" s="81">
        <f t="array" ref="Y208">SUMPRODUCT(dem!$D$2:$J$1000 * ("hhsize" = dem!$K$2:$K$1000) * ($R208 = dem!$A$2:$A$1000) * ($S$206 = dem!$C$2:$C$1000) * (dem!$D$1:$J$1 = projection!Y$204))</f>
        <v>14407.578902011921</v>
      </c>
      <c r="Z208" s="342">
        <f t="array" ref="Z208">SUMPRODUCT(dem!$D$2:$J$1000 * ("hhsize" = dem!$K$2:$K$1000) * ($R208 = dem!$A$2:$A$1000) * ($S$206 = dem!$C$2:$C$1000) * (dem!$D$1:$J$1 = projection!Z$204))</f>
        <v>5629.6392532552527</v>
      </c>
      <c r="AB208" s="305" t="s">
        <v>61</v>
      </c>
      <c r="AC208" s="333">
        <v>0</v>
      </c>
      <c r="AD208" s="364">
        <v>0</v>
      </c>
      <c r="AE208" s="364">
        <v>0</v>
      </c>
      <c r="AF208" s="364">
        <v>0</v>
      </c>
      <c r="AG208" s="364">
        <v>0</v>
      </c>
      <c r="AH208" s="151">
        <v>0</v>
      </c>
    </row>
    <row r="209" spans="1:37" ht="20.100000000000001" customHeight="1" x14ac:dyDescent="0.2">
      <c r="A209" s="115">
        <v>3</v>
      </c>
      <c r="B209" s="109" t="s">
        <v>99</v>
      </c>
      <c r="C209" s="245">
        <f t="array" ref="C209">SUMPRODUCT(dem!$D$2:$J$1000 * ("inccat" = dem!$K$2:$K$1000) * ($A209 = dem!$A$2:$A$1000) * ($B$206 = dem!$C$2:$C$1000) * (dem!$D$1:$J$1 = projection!C$204))</f>
        <v>4319.5082450993077</v>
      </c>
      <c r="D209" s="116">
        <f t="array" ref="D209">SUMPRODUCT(dem!$D$2:$J$1000 * ("inccat" = dem!$K$2:$K$1000) * ($A209 = dem!$A$2:$A$1000) * ($B$206 = dem!$C$2:$C$1000) * (dem!$D$1:$J$1 = projection!D$204))</f>
        <v>13358.403554557901</v>
      </c>
      <c r="E209" s="116">
        <f t="array" ref="E209">SUMPRODUCT(dem!$D$2:$J$1000 * ("inccat" = dem!$K$2:$K$1000) * ($A209 = dem!$A$2:$A$1000) * ($B$206 = dem!$C$2:$C$1000) * (dem!$D$1:$J$1 = projection!E$204))</f>
        <v>10951.35656717607</v>
      </c>
      <c r="F209" s="116">
        <f t="array" ref="F209">SUMPRODUCT(dem!$D$2:$J$1000 * ("inccat" = dem!$K$2:$K$1000) * ($A209 = dem!$A$2:$A$1000) * ($B$206 = dem!$C$2:$C$1000) * (dem!$D$1:$J$1 = projection!F$204))</f>
        <v>12551.13679132461</v>
      </c>
      <c r="G209" s="116">
        <f t="array" ref="G209">SUMPRODUCT(dem!$D$2:$J$1000 * ("inccat" = dem!$K$2:$K$1000) * ($A209 = dem!$A$2:$A$1000) * ($B$206 = dem!$C$2:$C$1000) * (dem!$D$1:$J$1 = projection!G$204))</f>
        <v>11243.47360951768</v>
      </c>
      <c r="H209" s="116">
        <f t="array" ref="H209">SUMPRODUCT(dem!$D$2:$J$1000 * ("inccat" = dem!$K$2:$K$1000) * ($A209 = dem!$A$2:$A$1000) * ($B$206 = dem!$C$2:$C$1000) * (dem!$D$1:$J$1 = projection!H$204))</f>
        <v>11144.259647697099</v>
      </c>
      <c r="I209" s="370">
        <f t="array" ref="I209">SUMPRODUCT(dem!$D$2:$J$1000 * ("inccat" = dem!$K$2:$K$1000) * ($A209 = dem!$A$2:$A$1000) * ($B$206 = dem!$C$2:$C$1000) * (dem!$D$1:$J$1 = projection!I$204))</f>
        <v>4721.62072414461</v>
      </c>
      <c r="K209" s="109" t="s">
        <v>62</v>
      </c>
      <c r="L209" s="242">
        <v>0</v>
      </c>
      <c r="M209" s="345">
        <v>0</v>
      </c>
      <c r="N209" s="345">
        <v>0</v>
      </c>
      <c r="O209" s="345">
        <v>0</v>
      </c>
      <c r="P209" s="345">
        <v>0</v>
      </c>
      <c r="Q209" s="322">
        <v>0</v>
      </c>
      <c r="R209" s="115">
        <v>3</v>
      </c>
      <c r="S209" s="109" t="s">
        <v>85</v>
      </c>
      <c r="T209" s="245">
        <f t="array" ref="T209">SUMPRODUCT(dem!$D$2:$J$1000 * ("hhsize" = dem!$K$2:$K$1000) * ($R209 = dem!$A$2:$A$1000) * ($S$206 = dem!$C$2:$C$1000) * (dem!$D$1:$J$1 = projection!T$204))</f>
        <v>3444.2112979225703</v>
      </c>
      <c r="U209" s="116">
        <f t="array" ref="U209">SUMPRODUCT(dem!$D$2:$J$1000 * ("hhsize" = dem!$K$2:$K$1000) * ($R209 = dem!$A$2:$A$1000) * ($S$206 = dem!$C$2:$C$1000) * (dem!$D$1:$J$1 = projection!U$204))</f>
        <v>12481.105164621269</v>
      </c>
      <c r="V209" s="116">
        <f t="array" ref="V209">SUMPRODUCT(dem!$D$2:$J$1000 * ("hhsize" = dem!$K$2:$K$1000) * ($R209 = dem!$A$2:$A$1000) * ($S$206 = dem!$C$2:$C$1000) * (dem!$D$1:$J$1 = projection!V$204))</f>
        <v>11703.367075049868</v>
      </c>
      <c r="W209" s="116">
        <f t="array" ref="W209">SUMPRODUCT(dem!$D$2:$J$1000 * ("hhsize" = dem!$K$2:$K$1000) * ($R209 = dem!$A$2:$A$1000) * ($S$206 = dem!$C$2:$C$1000) * (dem!$D$1:$J$1 = projection!W$204))</f>
        <v>13332.993006051698</v>
      </c>
      <c r="X209" s="116">
        <f t="array" ref="X209">SUMPRODUCT(dem!$D$2:$J$1000 * ("hhsize" = dem!$K$2:$K$1000) * ($R209 = dem!$A$2:$A$1000) * ($S$206 = dem!$C$2:$C$1000) * (dem!$D$1:$J$1 = projection!X$204))</f>
        <v>8481.3675181097806</v>
      </c>
      <c r="Y209" s="116">
        <f t="array" ref="Y209">SUMPRODUCT(dem!$D$2:$J$1000 * ("hhsize" = dem!$K$2:$K$1000) * ($R209 = dem!$A$2:$A$1000) * ($S$206 = dem!$C$2:$C$1000) * (dem!$D$1:$J$1 = projection!Y$204))</f>
        <v>3666.6165392063067</v>
      </c>
      <c r="Z209" s="370">
        <f t="array" ref="Z209">SUMPRODUCT(dem!$D$2:$J$1000 * ("hhsize" = dem!$K$2:$K$1000) * ($R209 = dem!$A$2:$A$1000) * ($S$206 = dem!$C$2:$C$1000) * (dem!$D$1:$J$1 = projection!Z$204))</f>
        <v>1703.7696220140263</v>
      </c>
      <c r="AB209" s="109" t="s">
        <v>62</v>
      </c>
      <c r="AC209" s="242">
        <v>0</v>
      </c>
      <c r="AD209" s="345">
        <v>0</v>
      </c>
      <c r="AE209" s="345">
        <v>0</v>
      </c>
      <c r="AF209" s="345">
        <v>0</v>
      </c>
      <c r="AG209" s="345">
        <v>0</v>
      </c>
      <c r="AH209" s="322">
        <v>0</v>
      </c>
    </row>
    <row r="210" spans="1:37" ht="20.100000000000001" customHeight="1" x14ac:dyDescent="0.2">
      <c r="A210" s="115">
        <v>4</v>
      </c>
      <c r="B210" s="271" t="s">
        <v>100</v>
      </c>
      <c r="C210" s="410">
        <f t="array" ref="C210">SUMPRODUCT(dem!$D$2:$J$1000 * ("inccat" = dem!$K$2:$K$1000) * ($A210 = dem!$A$2:$A$1000) * ($B$206 = dem!$C$2:$C$1000) * (dem!$D$1:$J$1 = projection!C$204))</f>
        <v>2409.6410641050761</v>
      </c>
      <c r="D210" s="81">
        <f t="array" ref="D210">SUMPRODUCT(dem!$D$2:$J$1000 * ("inccat" = dem!$K$2:$K$1000) * ($A210 = dem!$A$2:$A$1000) * ($B$206 = dem!$C$2:$C$1000) * (dem!$D$1:$J$1 = projection!D$204))</f>
        <v>11146.44250924605</v>
      </c>
      <c r="E210" s="81">
        <f t="array" ref="E210">SUMPRODUCT(dem!$D$2:$J$1000 * ("inccat" = dem!$K$2:$K$1000) * ($A210 = dem!$A$2:$A$1000) * ($B$206 = dem!$C$2:$C$1000) * (dem!$D$1:$J$1 = projection!E$204))</f>
        <v>12053.92573028412</v>
      </c>
      <c r="F210" s="81">
        <f t="array" ref="F210">SUMPRODUCT(dem!$D$2:$J$1000 * ("inccat" = dem!$K$2:$K$1000) * ($A210 = dem!$A$2:$A$1000) * ($B$206 = dem!$C$2:$C$1000) * (dem!$D$1:$J$1 = projection!F$204))</f>
        <v>12652.18241359797</v>
      </c>
      <c r="G210" s="81">
        <f t="array" ref="G210">SUMPRODUCT(dem!$D$2:$J$1000 * ("inccat" = dem!$K$2:$K$1000) * ($A210 = dem!$A$2:$A$1000) * ($B$206 = dem!$C$2:$C$1000) * (dem!$D$1:$J$1 = projection!G$204))</f>
        <v>10142.37367541946</v>
      </c>
      <c r="H210" s="81">
        <f t="array" ref="H210">SUMPRODUCT(dem!$D$2:$J$1000 * ("inccat" = dem!$K$2:$K$1000) * ($A210 = dem!$A$2:$A$1000) * ($B$206 = dem!$C$2:$C$1000) * (dem!$D$1:$J$1 = projection!H$204))</f>
        <v>6925.2596507227099</v>
      </c>
      <c r="I210" s="342">
        <f t="array" ref="I210">SUMPRODUCT(dem!$D$2:$J$1000 * ("inccat" = dem!$K$2:$K$1000) * ($A210 = dem!$A$2:$A$1000) * ($B$206 = dem!$C$2:$C$1000) * (dem!$D$1:$J$1 = projection!I$204))</f>
        <v>2810.5151448612041</v>
      </c>
      <c r="K210" s="271" t="s">
        <v>63</v>
      </c>
      <c r="L210" s="333">
        <v>0</v>
      </c>
      <c r="M210" s="364">
        <v>0</v>
      </c>
      <c r="N210" s="364">
        <v>0</v>
      </c>
      <c r="O210" s="364">
        <v>0</v>
      </c>
      <c r="P210" s="364">
        <v>0</v>
      </c>
      <c r="Q210" s="151">
        <v>0</v>
      </c>
      <c r="R210" s="115">
        <v>4</v>
      </c>
      <c r="S210" s="271" t="s">
        <v>86</v>
      </c>
      <c r="T210" s="410">
        <f t="array" ref="T210">SUMPRODUCT(dem!$D$2:$J$1000 * ("hhsize" = dem!$K$2:$K$1000) * ($R210 = dem!$A$2:$A$1000) * ($S$206 = dem!$C$2:$C$1000) * (dem!$D$1:$J$1 = projection!T$204))</f>
        <v>1925.8030137302649</v>
      </c>
      <c r="U210" s="81">
        <f t="array" ref="U210">SUMPRODUCT(dem!$D$2:$J$1000 * ("hhsize" = dem!$K$2:$K$1000) * ($R210 = dem!$A$2:$A$1000) * ($S$206 = dem!$C$2:$C$1000) * (dem!$D$1:$J$1 = projection!U$204))</f>
        <v>10962.6890047958</v>
      </c>
      <c r="V210" s="81">
        <f t="array" ref="V210">SUMPRODUCT(dem!$D$2:$J$1000 * ("hhsize" = dem!$K$2:$K$1000) * ($R210 = dem!$A$2:$A$1000) * ($S$206 = dem!$C$2:$C$1000) * (dem!$D$1:$J$1 = projection!V$204))</f>
        <v>14591.85223601876</v>
      </c>
      <c r="W210" s="81">
        <f t="array" ref="W210">SUMPRODUCT(dem!$D$2:$J$1000 * ("hhsize" = dem!$K$2:$K$1000) * ($R210 = dem!$A$2:$A$1000) * ($S$206 = dem!$C$2:$C$1000) * (dem!$D$1:$J$1 = projection!W$204))</f>
        <v>10036.725269475141</v>
      </c>
      <c r="X210" s="81">
        <f t="array" ref="X210">SUMPRODUCT(dem!$D$2:$J$1000 * ("hhsize" = dem!$K$2:$K$1000) * ($R210 = dem!$A$2:$A$1000) * ($S$206 = dem!$C$2:$C$1000) * (dem!$D$1:$J$1 = projection!X$204))</f>
        <v>4110.7736236465798</v>
      </c>
      <c r="Y210" s="81">
        <f t="array" ref="Y210">SUMPRODUCT(dem!$D$2:$J$1000 * ("hhsize" = dem!$K$2:$K$1000) * ($R210 = dem!$A$2:$A$1000) * ($S$206 = dem!$C$2:$C$1000) * (dem!$D$1:$J$1 = projection!Y$204))</f>
        <v>1333.229924958782</v>
      </c>
      <c r="Z210" s="342">
        <f t="array" ref="Z210">SUMPRODUCT(dem!$D$2:$J$1000 * ("hhsize" = dem!$K$2:$K$1000) * ($R210 = dem!$A$2:$A$1000) * ($S$206 = dem!$C$2:$C$1000) * (dem!$D$1:$J$1 = projection!Z$204))</f>
        <v>666.66778368687562</v>
      </c>
      <c r="AB210" s="271" t="s">
        <v>63</v>
      </c>
      <c r="AC210" s="333">
        <v>0</v>
      </c>
      <c r="AD210" s="364">
        <v>0</v>
      </c>
      <c r="AE210" s="364">
        <v>0</v>
      </c>
      <c r="AF210" s="364">
        <v>0</v>
      </c>
      <c r="AG210" s="364">
        <v>0</v>
      </c>
      <c r="AH210" s="151">
        <v>0</v>
      </c>
    </row>
    <row r="211" spans="1:37" ht="20.100000000000001" customHeight="1" x14ac:dyDescent="0.2">
      <c r="A211" s="115">
        <v>5</v>
      </c>
      <c r="B211" s="287" t="s">
        <v>9</v>
      </c>
      <c r="C211" s="356">
        <f t="array" ref="C211">SUMPRODUCT(dem!$D$2:$J$1000 * ("inccat" = dem!$K$2:$K$1000) * ($A211 = dem!$A$2:$A$1000) * ($B$206 = dem!$C$2:$C$1000) * (dem!$D$1:$J$1 = projection!C$204))</f>
        <v>1305.843360626885</v>
      </c>
      <c r="D211" s="191">
        <f t="array" ref="D211">SUMPRODUCT(dem!$D$2:$J$1000 * ("inccat" = dem!$K$2:$K$1000) * ($A211 = dem!$A$2:$A$1000) * ($B$206 = dem!$C$2:$C$1000) * (dem!$D$1:$J$1 = projection!D$204))</f>
        <v>16069.593780050302</v>
      </c>
      <c r="E211" s="191">
        <f t="array" ref="E211">SUMPRODUCT(dem!$D$2:$J$1000 * ("inccat" = dem!$K$2:$K$1000) * ($A211 = dem!$A$2:$A$1000) * ($B$206 = dem!$C$2:$C$1000) * (dem!$D$1:$J$1 = projection!E$204))</f>
        <v>25303.442245830811</v>
      </c>
      <c r="F211" s="191">
        <f t="array" ref="F211">SUMPRODUCT(dem!$D$2:$J$1000 * ("inccat" = dem!$K$2:$K$1000) * ($A211 = dem!$A$2:$A$1000) * ($B$206 = dem!$C$2:$C$1000) * (dem!$D$1:$J$1 = projection!F$204))</f>
        <v>25815.923429728555</v>
      </c>
      <c r="G211" s="191">
        <f t="array" ref="G211">SUMPRODUCT(dem!$D$2:$J$1000 * ("inccat" = dem!$K$2:$K$1000) * ($A211 = dem!$A$2:$A$1000) * ($B$206 = dem!$C$2:$C$1000) * (dem!$D$1:$J$1 = projection!G$204))</f>
        <v>18480.57068197395</v>
      </c>
      <c r="H211" s="191">
        <f t="array" ref="H211">SUMPRODUCT(dem!$D$2:$J$1000 * ("inccat" = dem!$K$2:$K$1000) * ($A211 = dem!$A$2:$A$1000) * ($B$206 = dem!$C$2:$C$1000) * (dem!$D$1:$J$1 = projection!H$204))</f>
        <v>5725.8003982885693</v>
      </c>
      <c r="I211" s="170">
        <f t="array" ref="I211">SUMPRODUCT(dem!$D$2:$J$1000 * ("inccat" = dem!$K$2:$K$1000) * ($A211 = dem!$A$2:$A$1000) * ($B$206 = dem!$C$2:$C$1000) * (dem!$D$1:$J$1 = projection!I$204))</f>
        <v>1506.0776056266052</v>
      </c>
      <c r="K211" s="109" t="s">
        <v>64</v>
      </c>
      <c r="L211" s="242">
        <v>0</v>
      </c>
      <c r="M211" s="345">
        <v>0</v>
      </c>
      <c r="N211" s="345">
        <v>0</v>
      </c>
      <c r="O211" s="345">
        <v>0</v>
      </c>
      <c r="P211" s="345">
        <v>0</v>
      </c>
      <c r="Q211" s="322">
        <v>0</v>
      </c>
      <c r="R211" s="115">
        <v>5</v>
      </c>
      <c r="S211" s="287" t="s">
        <v>87</v>
      </c>
      <c r="T211" s="356">
        <f t="array" ref="T211">SUMPRODUCT(dem!$D$2:$J$1000 * ("hhsize" = dem!$K$2:$K$1000) * ($R211 = dem!$A$2:$A$1000) * ($S$206 = dem!$C$2:$C$1000) * (dem!$D$1:$J$1 = projection!T$204))</f>
        <v>1999.665448573048</v>
      </c>
      <c r="U211" s="191">
        <f t="array" ref="U211">SUMPRODUCT(dem!$D$2:$J$1000 * ("hhsize" = dem!$K$2:$K$1000) * ($R211 = dem!$A$2:$A$1000) * ($S$206 = dem!$C$2:$C$1000) * (dem!$D$1:$J$1 = projection!U$204))</f>
        <v>11591.798437543188</v>
      </c>
      <c r="V211" s="191">
        <f t="array" ref="V211">SUMPRODUCT(dem!$D$2:$J$1000 * ("hhsize" = dem!$K$2:$K$1000) * ($R211 = dem!$A$2:$A$1000) * ($S$206 = dem!$C$2:$C$1000) * (dem!$D$1:$J$1 = projection!V$204))</f>
        <v>16999.023645387246</v>
      </c>
      <c r="W211" s="191">
        <f t="array" ref="W211">SUMPRODUCT(dem!$D$2:$J$1000 * ("hhsize" = dem!$K$2:$K$1000) * ($R211 = dem!$A$2:$A$1000) * ($S$206 = dem!$C$2:$C$1000) * (dem!$D$1:$J$1 = projection!W$204))</f>
        <v>10739.812370063162</v>
      </c>
      <c r="X211" s="191">
        <f t="array" ref="X211">SUMPRODUCT(dem!$D$2:$J$1000 * ("hhsize" = dem!$K$2:$K$1000) * ($R211 = dem!$A$2:$A$1000) * ($S$206 = dem!$C$2:$C$1000) * (dem!$D$1:$J$1 = projection!X$204))</f>
        <v>4851.3929099857587</v>
      </c>
      <c r="Y211" s="191">
        <f t="array" ref="Y211">SUMPRODUCT(dem!$D$2:$J$1000 * ("hhsize" = dem!$K$2:$K$1000) * ($R211 = dem!$A$2:$A$1000) * ($S$206 = dem!$C$2:$C$1000) * (dem!$D$1:$J$1 = projection!Y$204))</f>
        <v>1666.4129682089899</v>
      </c>
      <c r="Z211" s="170">
        <f t="array" ref="Z211">SUMPRODUCT(dem!$D$2:$J$1000 * ("hhsize" = dem!$K$2:$K$1000) * ($R211 = dem!$A$2:$A$1000) * ($S$206 = dem!$C$2:$C$1000) * (dem!$D$1:$J$1 = projection!Z$204))</f>
        <v>481.47457029498298</v>
      </c>
      <c r="AB211" s="109" t="s">
        <v>64</v>
      </c>
      <c r="AC211" s="242">
        <v>0</v>
      </c>
      <c r="AD211" s="345">
        <v>0</v>
      </c>
      <c r="AE211" s="345">
        <v>0</v>
      </c>
      <c r="AF211" s="345">
        <v>0</v>
      </c>
      <c r="AG211" s="345">
        <v>0</v>
      </c>
      <c r="AH211" s="322">
        <v>0</v>
      </c>
    </row>
    <row r="212" spans="1:37" ht="20.100000000000001" customHeight="1" x14ac:dyDescent="0.2">
      <c r="A212" s="147"/>
      <c r="K212" s="271" t="s">
        <v>65</v>
      </c>
      <c r="L212" s="333">
        <v>0</v>
      </c>
      <c r="M212" s="364">
        <v>0</v>
      </c>
      <c r="N212" s="364">
        <v>0</v>
      </c>
      <c r="O212" s="364">
        <v>0</v>
      </c>
      <c r="P212" s="364">
        <v>0</v>
      </c>
      <c r="Q212" s="151">
        <v>0</v>
      </c>
      <c r="R212" s="147"/>
      <c r="AB212" s="271" t="s">
        <v>65</v>
      </c>
      <c r="AC212" s="333">
        <v>0</v>
      </c>
      <c r="AD212" s="364">
        <v>0</v>
      </c>
      <c r="AE212" s="364">
        <v>0</v>
      </c>
      <c r="AF212" s="364">
        <v>0</v>
      </c>
      <c r="AG212" s="364">
        <v>0</v>
      </c>
      <c r="AH212" s="151">
        <v>0</v>
      </c>
    </row>
    <row r="213" spans="1:37" ht="20.100000000000001" customHeight="1" x14ac:dyDescent="0.2">
      <c r="B213" s="203" t="s">
        <v>458</v>
      </c>
      <c r="C213" s="194"/>
      <c r="D213" s="194"/>
      <c r="E213" s="194"/>
      <c r="F213" s="194"/>
      <c r="G213" s="194"/>
      <c r="H213" s="194"/>
      <c r="I213" s="250"/>
      <c r="K213" s="287" t="s">
        <v>11</v>
      </c>
      <c r="L213" s="202">
        <v>0</v>
      </c>
      <c r="M213" s="358">
        <v>0</v>
      </c>
      <c r="N213" s="358">
        <v>0</v>
      </c>
      <c r="O213" s="358">
        <v>0</v>
      </c>
      <c r="P213" s="358">
        <v>0</v>
      </c>
      <c r="Q213" s="286">
        <v>0</v>
      </c>
      <c r="S213" s="203" t="s">
        <v>458</v>
      </c>
      <c r="T213" s="194"/>
      <c r="U213" s="194"/>
      <c r="V213" s="194"/>
      <c r="W213" s="194"/>
      <c r="X213" s="194"/>
      <c r="Y213" s="194"/>
      <c r="Z213" s="250"/>
      <c r="AB213" s="287" t="s">
        <v>11</v>
      </c>
      <c r="AC213" s="202">
        <v>0</v>
      </c>
      <c r="AD213" s="358">
        <v>0</v>
      </c>
      <c r="AE213" s="358">
        <v>0</v>
      </c>
      <c r="AF213" s="358">
        <v>0</v>
      </c>
      <c r="AG213" s="358">
        <v>0</v>
      </c>
      <c r="AH213" s="286">
        <v>0</v>
      </c>
    </row>
    <row r="214" spans="1:37" ht="20.100000000000001" customHeight="1" x14ac:dyDescent="0.2">
      <c r="B214" s="143">
        <f>B206</f>
        <v>2016</v>
      </c>
      <c r="C214" s="53" t="s">
        <v>60</v>
      </c>
      <c r="D214" s="385" t="s">
        <v>61</v>
      </c>
      <c r="E214" s="385" t="s">
        <v>62</v>
      </c>
      <c r="F214" s="385" t="s">
        <v>63</v>
      </c>
      <c r="G214" s="385" t="s">
        <v>64</v>
      </c>
      <c r="H214" s="385" t="s">
        <v>65</v>
      </c>
      <c r="I214" s="415" t="s">
        <v>11</v>
      </c>
      <c r="S214" s="143">
        <f>S206</f>
        <v>2016</v>
      </c>
      <c r="T214" s="53" t="s">
        <v>60</v>
      </c>
      <c r="U214" s="385" t="s">
        <v>61</v>
      </c>
      <c r="V214" s="385" t="s">
        <v>62</v>
      </c>
      <c r="W214" s="385" t="s">
        <v>63</v>
      </c>
      <c r="X214" s="385" t="s">
        <v>64</v>
      </c>
      <c r="Y214" s="385" t="s">
        <v>65</v>
      </c>
      <c r="Z214" s="415" t="s">
        <v>11</v>
      </c>
    </row>
    <row r="215" spans="1:37" ht="20.100000000000001" customHeight="1" x14ac:dyDescent="0.2">
      <c r="B215" s="211" t="s">
        <v>98</v>
      </c>
      <c r="C215" s="261">
        <f t="shared" ref="C215:I219" si="49">C207/SUM(C$207:C$211)</f>
        <v>0.21331384197380973</v>
      </c>
      <c r="D215" s="32">
        <f t="shared" si="49"/>
        <v>0.10461617210342622</v>
      </c>
      <c r="E215" s="32">
        <f t="shared" si="49"/>
        <v>0.11467714159468596</v>
      </c>
      <c r="F215" s="32">
        <f t="shared" si="49"/>
        <v>0.15898973529224894</v>
      </c>
      <c r="G215" s="32">
        <f t="shared" si="49"/>
        <v>0.18240905912539077</v>
      </c>
      <c r="H215" s="32">
        <f t="shared" si="49"/>
        <v>1.94495883850416E-2</v>
      </c>
      <c r="I215" s="112">
        <f t="shared" si="49"/>
        <v>9.9882224488685705E-3</v>
      </c>
      <c r="K215" s="203" t="s">
        <v>460</v>
      </c>
      <c r="L215" s="194"/>
      <c r="M215" s="194"/>
      <c r="N215" s="194"/>
      <c r="O215" s="194"/>
      <c r="P215" s="194"/>
      <c r="Q215" s="250"/>
      <c r="S215" s="211" t="s">
        <v>83</v>
      </c>
      <c r="T215" s="261">
        <f t="shared" ref="T215:Z215" si="50">T207/SUM(T$207:T$211)</f>
        <v>0.19691152556216748</v>
      </c>
      <c r="U215" s="32">
        <f t="shared" si="50"/>
        <v>0.162505948055678</v>
      </c>
      <c r="V215" s="32">
        <f t="shared" si="50"/>
        <v>0.1404166930477104</v>
      </c>
      <c r="W215" s="32">
        <f t="shared" si="50"/>
        <v>0.24278414139813478</v>
      </c>
      <c r="X215" s="32">
        <f t="shared" si="50"/>
        <v>0.31691313183731362</v>
      </c>
      <c r="Y215" s="32">
        <f t="shared" si="50"/>
        <v>0.37196642807281405</v>
      </c>
      <c r="Z215" s="112">
        <f t="shared" si="50"/>
        <v>0.43317161244019609</v>
      </c>
      <c r="AB215" s="203" t="s">
        <v>460</v>
      </c>
      <c r="AC215" s="194"/>
      <c r="AD215" s="194"/>
      <c r="AE215" s="194"/>
      <c r="AF215" s="194"/>
      <c r="AG215" s="194"/>
      <c r="AH215" s="250"/>
    </row>
    <row r="216" spans="1:37" ht="20.100000000000001" customHeight="1" x14ac:dyDescent="0.2">
      <c r="B216" s="305" t="s">
        <v>8</v>
      </c>
      <c r="C216" s="45">
        <f t="shared" si="49"/>
        <v>0.40752256103517442</v>
      </c>
      <c r="D216" s="176">
        <f t="shared" si="49"/>
        <v>0.23528069762999773</v>
      </c>
      <c r="E216" s="176">
        <f t="shared" si="49"/>
        <v>0.14985847340339525</v>
      </c>
      <c r="F216" s="176">
        <f t="shared" si="49"/>
        <v>0.18976803946909515</v>
      </c>
      <c r="G216" s="176">
        <f t="shared" si="49"/>
        <v>0.20398160192720735</v>
      </c>
      <c r="H216" s="176">
        <f t="shared" si="49"/>
        <v>0.40388681034492252</v>
      </c>
      <c r="I216" s="142">
        <f t="shared" si="49"/>
        <v>0.53994062202303605</v>
      </c>
      <c r="K216" s="330"/>
      <c r="L216" s="215">
        <f t="shared" ref="L216:Q216" si="51">L206</f>
        <v>2021</v>
      </c>
      <c r="M216" s="213">
        <f t="shared" si="51"/>
        <v>2025</v>
      </c>
      <c r="N216" s="213">
        <f t="shared" si="51"/>
        <v>2030</v>
      </c>
      <c r="O216" s="213">
        <f t="shared" si="51"/>
        <v>2035</v>
      </c>
      <c r="P216" s="213">
        <f t="shared" si="51"/>
        <v>2040</v>
      </c>
      <c r="Q216" s="183">
        <f t="shared" si="51"/>
        <v>2045</v>
      </c>
      <c r="S216" s="305" t="s">
        <v>84</v>
      </c>
      <c r="T216" s="45">
        <f t="shared" ref="T216:Z216" si="52">T208/SUM(T$207:T$211)</f>
        <v>0.36284917701438074</v>
      </c>
      <c r="U216" s="176">
        <f t="shared" si="52"/>
        <v>0.21512777480558834</v>
      </c>
      <c r="V216" s="176">
        <f t="shared" si="52"/>
        <v>0.16991026317560315</v>
      </c>
      <c r="W216" s="176">
        <f t="shared" si="52"/>
        <v>0.27325076311103741</v>
      </c>
      <c r="X216" s="176">
        <f t="shared" si="52"/>
        <v>0.39660288789928105</v>
      </c>
      <c r="Y216" s="176">
        <f t="shared" si="52"/>
        <v>0.42936854203199637</v>
      </c>
      <c r="Z216" s="142">
        <f t="shared" si="52"/>
        <v>0.37623298547803513</v>
      </c>
      <c r="AB216" s="330"/>
      <c r="AC216" s="215">
        <f t="shared" ref="AC216:AH216" si="53">AC206</f>
        <v>2021</v>
      </c>
      <c r="AD216" s="213">
        <f t="shared" si="53"/>
        <v>2025</v>
      </c>
      <c r="AE216" s="213">
        <f t="shared" si="53"/>
        <v>2030</v>
      </c>
      <c r="AF216" s="213">
        <f t="shared" si="53"/>
        <v>2035</v>
      </c>
      <c r="AG216" s="213">
        <f t="shared" si="53"/>
        <v>2040</v>
      </c>
      <c r="AH216" s="183">
        <f t="shared" si="53"/>
        <v>2045</v>
      </c>
    </row>
    <row r="217" spans="1:37" ht="20.100000000000001" customHeight="1" x14ac:dyDescent="0.2">
      <c r="B217" s="109" t="s">
        <v>99</v>
      </c>
      <c r="C217" s="150">
        <f t="shared" si="49"/>
        <v>0.20383345084975629</v>
      </c>
      <c r="D217" s="241">
        <f t="shared" si="49"/>
        <v>0.21732706688404138</v>
      </c>
      <c r="E217" s="241">
        <f t="shared" si="49"/>
        <v>0.16672625491068649</v>
      </c>
      <c r="F217" s="241">
        <f t="shared" si="49"/>
        <v>0.16021073287562912</v>
      </c>
      <c r="G217" s="241">
        <f t="shared" si="49"/>
        <v>0.17305543765519435</v>
      </c>
      <c r="H217" s="241">
        <f t="shared" si="49"/>
        <v>0.27007365245940912</v>
      </c>
      <c r="I217" s="379">
        <f t="shared" si="49"/>
        <v>0.23512006009214043</v>
      </c>
      <c r="K217" s="211" t="s">
        <v>98</v>
      </c>
      <c r="L217" s="339">
        <f t="array" ref="L217">SUMPRODUCT($C215:$I215,TRANSPOSE(L$207:L$213))</f>
        <v>0</v>
      </c>
      <c r="M217" s="327">
        <f t="array" ref="M217">SUMPRODUCT($C215:$I215,TRANSPOSE(M$207:M$213))</f>
        <v>0</v>
      </c>
      <c r="N217" s="327">
        <f t="array" ref="N217">SUMPRODUCT($C215:$I215,TRANSPOSE(N$207:N$213))</f>
        <v>0</v>
      </c>
      <c r="O217" s="327">
        <f t="array" ref="O217">SUMPRODUCT($C215:$I215,TRANSPOSE(O$207:O$213))</f>
        <v>0</v>
      </c>
      <c r="P217" s="327">
        <f t="array" ref="P217">SUMPRODUCT($C215:$I215,TRANSPOSE(P$207:P$213))</f>
        <v>0</v>
      </c>
      <c r="Q217" s="46">
        <f t="array" ref="Q217">SUMPRODUCT($C215:$I215,TRANSPOSE(Q$207:Q$213))</f>
        <v>0</v>
      </c>
      <c r="S217" s="109" t="s">
        <v>85</v>
      </c>
      <c r="T217" s="150">
        <f t="shared" ref="T217:Z217" si="54">T209/SUM(T$207:T$211)</f>
        <v>0.20574532561898895</v>
      </c>
      <c r="U217" s="241">
        <f t="shared" si="54"/>
        <v>0.22171221828681695</v>
      </c>
      <c r="V217" s="241">
        <f t="shared" si="54"/>
        <v>0.18643348957974809</v>
      </c>
      <c r="W217" s="241">
        <f t="shared" si="54"/>
        <v>0.18917596083036742</v>
      </c>
      <c r="X217" s="241">
        <f t="shared" si="54"/>
        <v>0.13929378745485257</v>
      </c>
      <c r="Y217" s="241">
        <f t="shared" si="54"/>
        <v>0.10927094748789275</v>
      </c>
      <c r="Z217" s="379">
        <f t="shared" si="54"/>
        <v>0.11386419317835753</v>
      </c>
      <c r="AB217" s="211" t="s">
        <v>83</v>
      </c>
      <c r="AC217" s="339">
        <f t="array" ref="AC217">SUMPRODUCT($C215:$I215,TRANSPOSE(AC$207:AC$213))</f>
        <v>0</v>
      </c>
      <c r="AD217" s="327">
        <f t="array" ref="AD217">SUMPRODUCT($C215:$I215,TRANSPOSE(AD$207:AD$213))</f>
        <v>0</v>
      </c>
      <c r="AE217" s="327">
        <f t="array" ref="AE217">SUMPRODUCT($C215:$I215,TRANSPOSE(AE$207:AE$213))</f>
        <v>0</v>
      </c>
      <c r="AF217" s="327">
        <f t="array" ref="AF217">SUMPRODUCT($C215:$I215,TRANSPOSE(AF$207:AF$213))</f>
        <v>0</v>
      </c>
      <c r="AG217" s="327">
        <f t="array" ref="AG217">SUMPRODUCT($C215:$I215,TRANSPOSE(AG$207:AG$213))</f>
        <v>0</v>
      </c>
      <c r="AH217" s="46">
        <f t="array" ref="AH217">SUMPRODUCT($C215:$I215,TRANSPOSE(AH$207:AH$213))</f>
        <v>0</v>
      </c>
      <c r="AI217" s="299">
        <v>1</v>
      </c>
      <c r="AJ217" s="294" t="e">
        <f>SUMPRODUCT(AC217:AC221,AI217:AI221)/SUM(AC217:AC221)</f>
        <v>#DIV/0!</v>
      </c>
      <c r="AK217" s="294" t="e">
        <f>SUMPRODUCT(AF217:AF221,AI217:AI221)/SUM(AF217:AF221)</f>
        <v>#DIV/0!</v>
      </c>
    </row>
    <row r="218" spans="1:37" ht="20.100000000000001" customHeight="1" x14ac:dyDescent="0.2">
      <c r="B218" s="271" t="s">
        <v>100</v>
      </c>
      <c r="C218" s="45">
        <f t="shared" si="49"/>
        <v>0.11370865050739691</v>
      </c>
      <c r="D218" s="176">
        <f t="shared" si="49"/>
        <v>0.18134080519670367</v>
      </c>
      <c r="E218" s="176">
        <f t="shared" si="49"/>
        <v>0.18351205000533172</v>
      </c>
      <c r="F218" s="176">
        <f t="shared" si="49"/>
        <v>0.16150054378817358</v>
      </c>
      <c r="G218" s="176">
        <f t="shared" si="49"/>
        <v>0.15610770978965552</v>
      </c>
      <c r="H218" s="176">
        <f t="shared" si="49"/>
        <v>0.16782901935409839</v>
      </c>
      <c r="I218" s="142">
        <f t="shared" si="49"/>
        <v>0.13995374223315069</v>
      </c>
      <c r="K218" s="305" t="s">
        <v>8</v>
      </c>
      <c r="L218" s="333">
        <f t="array" ref="L218">SUMPRODUCT($C216:$I216,TRANSPOSE(L$207:L$213))</f>
        <v>0</v>
      </c>
      <c r="M218" s="364">
        <f t="array" ref="M218">SUMPRODUCT($C216:$I216,TRANSPOSE(M$207:M$213))</f>
        <v>0</v>
      </c>
      <c r="N218" s="364">
        <f t="array" ref="N218">SUMPRODUCT($C216:$I216,TRANSPOSE(N$207:N$213))</f>
        <v>0</v>
      </c>
      <c r="O218" s="364">
        <f t="array" ref="O218">SUMPRODUCT($C216:$I216,TRANSPOSE(O$207:O$213))</f>
        <v>0</v>
      </c>
      <c r="P218" s="364">
        <f t="array" ref="P218">SUMPRODUCT($C216:$I216,TRANSPOSE(P$207:P$213))</f>
        <v>0</v>
      </c>
      <c r="Q218" s="151">
        <f t="array" ref="Q218">SUMPRODUCT($C216:$I216,TRANSPOSE(Q$207:Q$213))</f>
        <v>0</v>
      </c>
      <c r="S218" s="271" t="s">
        <v>86</v>
      </c>
      <c r="T218" s="45">
        <f t="shared" ref="T218:Z218" si="55">T210/SUM(T$207:T$211)</f>
        <v>0.11504084211585766</v>
      </c>
      <c r="U218" s="176">
        <f t="shared" si="55"/>
        <v>0.19473933322278261</v>
      </c>
      <c r="V218" s="176">
        <f t="shared" si="55"/>
        <v>0.23244677487665966</v>
      </c>
      <c r="W218" s="176">
        <f t="shared" si="55"/>
        <v>0.14240667084889236</v>
      </c>
      <c r="X218" s="176">
        <f t="shared" si="55"/>
        <v>6.7513313883001719E-2</v>
      </c>
      <c r="Y218" s="176">
        <f t="shared" si="55"/>
        <v>3.9732351491272543E-2</v>
      </c>
      <c r="Z218" s="142">
        <f t="shared" si="55"/>
        <v>4.4553904663341248E-2</v>
      </c>
      <c r="AB218" s="305" t="s">
        <v>84</v>
      </c>
      <c r="AC218" s="333">
        <f t="array" ref="AC218">SUMPRODUCT($C216:$I216,TRANSPOSE(AC$207:AC$213))</f>
        <v>0</v>
      </c>
      <c r="AD218" s="364">
        <f t="array" ref="AD218">SUMPRODUCT($C216:$I216,TRANSPOSE(AD$207:AD$213))</f>
        <v>0</v>
      </c>
      <c r="AE218" s="364">
        <f t="array" ref="AE218">SUMPRODUCT($C216:$I216,TRANSPOSE(AE$207:AE$213))</f>
        <v>0</v>
      </c>
      <c r="AF218" s="364">
        <f t="array" ref="AF218">SUMPRODUCT($C216:$I216,TRANSPOSE(AF$207:AF$213))</f>
        <v>0</v>
      </c>
      <c r="AG218" s="364">
        <f t="array" ref="AG218">SUMPRODUCT($C216:$I216,TRANSPOSE(AG$207:AG$213))</f>
        <v>0</v>
      </c>
      <c r="AH218" s="151">
        <f t="array" ref="AH218">SUMPRODUCT($C216:$I216,TRANSPOSE(AH$207:AH$213))</f>
        <v>0</v>
      </c>
      <c r="AI218" s="299">
        <v>2</v>
      </c>
      <c r="AK218" s="294" t="e">
        <f>AK217-AJ217+hh!C61</f>
        <v>#DIV/0!</v>
      </c>
    </row>
    <row r="219" spans="1:37" ht="20.100000000000001" customHeight="1" x14ac:dyDescent="0.2">
      <c r="A219" s="115"/>
      <c r="B219" s="287" t="s">
        <v>9</v>
      </c>
      <c r="C219" s="283">
        <f t="shared" si="49"/>
        <v>6.1621495633862662E-2</v>
      </c>
      <c r="D219" s="397">
        <f t="shared" si="49"/>
        <v>0.26143525818583097</v>
      </c>
      <c r="E219" s="397">
        <f t="shared" si="49"/>
        <v>0.38522608008590054</v>
      </c>
      <c r="F219" s="397">
        <f t="shared" si="49"/>
        <v>0.3295309485748531</v>
      </c>
      <c r="G219" s="397">
        <f t="shared" si="49"/>
        <v>0.28444619150255201</v>
      </c>
      <c r="H219" s="397">
        <f t="shared" si="49"/>
        <v>0.13876092945652843</v>
      </c>
      <c r="I219" s="220">
        <f t="shared" si="49"/>
        <v>7.4997353202804401E-2</v>
      </c>
      <c r="J219" s="115"/>
      <c r="K219" s="109" t="s">
        <v>99</v>
      </c>
      <c r="L219" s="242">
        <f t="array" ref="L219">SUMPRODUCT($C217:$I217,TRANSPOSE(L$207:L$213))</f>
        <v>0</v>
      </c>
      <c r="M219" s="345">
        <f t="array" ref="M219">SUMPRODUCT($C217:$I217,TRANSPOSE(M$207:M$213))</f>
        <v>0</v>
      </c>
      <c r="N219" s="345">
        <f t="array" ref="N219">SUMPRODUCT($C217:$I217,TRANSPOSE(N$207:N$213))</f>
        <v>0</v>
      </c>
      <c r="O219" s="345">
        <f t="array" ref="O219">SUMPRODUCT($C217:$I217,TRANSPOSE(O$207:O$213))</f>
        <v>0</v>
      </c>
      <c r="P219" s="345">
        <f t="array" ref="P219">SUMPRODUCT($C217:$I217,TRANSPOSE(P$207:P$213))</f>
        <v>0</v>
      </c>
      <c r="Q219" s="322">
        <f t="array" ref="Q219">SUMPRODUCT($C217:$I217,TRANSPOSE(Q$207:Q$213))</f>
        <v>0</v>
      </c>
      <c r="R219" s="115"/>
      <c r="S219" s="287" t="s">
        <v>87</v>
      </c>
      <c r="T219" s="283">
        <f t="shared" ref="T219:Z219" si="56">T211/SUM(T$207:T$211)</f>
        <v>0.11945312968860501</v>
      </c>
      <c r="U219" s="397">
        <f t="shared" si="56"/>
        <v>0.20591472562913424</v>
      </c>
      <c r="V219" s="397">
        <f t="shared" si="56"/>
        <v>0.27079277932027868</v>
      </c>
      <c r="W219" s="397">
        <f t="shared" si="56"/>
        <v>0.15238246381156814</v>
      </c>
      <c r="X219" s="397">
        <f t="shared" si="56"/>
        <v>7.9676878925551128E-2</v>
      </c>
      <c r="Y219" s="397">
        <f t="shared" si="56"/>
        <v>4.9661730916024348E-2</v>
      </c>
      <c r="Z219" s="220">
        <f t="shared" si="56"/>
        <v>3.2177304240070141E-2</v>
      </c>
      <c r="AA219" s="115"/>
      <c r="AB219" s="109" t="s">
        <v>85</v>
      </c>
      <c r="AC219" s="242">
        <f t="array" ref="AC219">SUMPRODUCT($C217:$I217,TRANSPOSE(AC$207:AC$213))</f>
        <v>0</v>
      </c>
      <c r="AD219" s="345">
        <f t="array" ref="AD219">SUMPRODUCT($C217:$I217,TRANSPOSE(AD$207:AD$213))</f>
        <v>0</v>
      </c>
      <c r="AE219" s="345">
        <f t="array" ref="AE219">SUMPRODUCT($C217:$I217,TRANSPOSE(AE$207:AE$213))</f>
        <v>0</v>
      </c>
      <c r="AF219" s="345">
        <f t="array" ref="AF219">SUMPRODUCT($C217:$I217,TRANSPOSE(AF$207:AF$213))</f>
        <v>0</v>
      </c>
      <c r="AG219" s="345">
        <f t="array" ref="AG219">SUMPRODUCT($C217:$I217,TRANSPOSE(AG$207:AG$213))</f>
        <v>0</v>
      </c>
      <c r="AH219" s="322">
        <f t="array" ref="AH219">SUMPRODUCT($C217:$I217,TRANSPOSE(AH$207:AH$213))</f>
        <v>0</v>
      </c>
      <c r="AI219" s="299">
        <v>3</v>
      </c>
    </row>
    <row r="220" spans="1:37" ht="20.100000000000001" customHeight="1" x14ac:dyDescent="0.2">
      <c r="A220" s="147"/>
      <c r="K220" s="271" t="s">
        <v>100</v>
      </c>
      <c r="L220" s="333">
        <f t="array" ref="L220">SUMPRODUCT($C218:$I218,TRANSPOSE(L$207:L$213))</f>
        <v>0</v>
      </c>
      <c r="M220" s="364">
        <f t="array" ref="M220">SUMPRODUCT($C218:$I218,TRANSPOSE(M$207:M$213))</f>
        <v>0</v>
      </c>
      <c r="N220" s="364">
        <f t="array" ref="N220">SUMPRODUCT($C218:$I218,TRANSPOSE(N$207:N$213))</f>
        <v>0</v>
      </c>
      <c r="O220" s="364">
        <f t="array" ref="O220">SUMPRODUCT($C218:$I218,TRANSPOSE(O$207:O$213))</f>
        <v>0</v>
      </c>
      <c r="P220" s="364">
        <f t="array" ref="P220">SUMPRODUCT($C218:$I218,TRANSPOSE(P$207:P$213))</f>
        <v>0</v>
      </c>
      <c r="Q220" s="151">
        <f t="array" ref="Q220">SUMPRODUCT($C218:$I218,TRANSPOSE(Q$207:Q$213))</f>
        <v>0</v>
      </c>
      <c r="R220" s="147"/>
      <c r="AB220" s="271" t="s">
        <v>86</v>
      </c>
      <c r="AC220" s="333">
        <f t="array" ref="AC220">SUMPRODUCT($C218:$I218,TRANSPOSE(AC$207:AC$213))</f>
        <v>0</v>
      </c>
      <c r="AD220" s="364">
        <f t="array" ref="AD220">SUMPRODUCT($C218:$I218,TRANSPOSE(AD$207:AD$213))</f>
        <v>0</v>
      </c>
      <c r="AE220" s="364">
        <f t="array" ref="AE220">SUMPRODUCT($C218:$I218,TRANSPOSE(AE$207:AE$213))</f>
        <v>0</v>
      </c>
      <c r="AF220" s="364">
        <f t="array" ref="AF220">SUMPRODUCT($C218:$I218,TRANSPOSE(AF$207:AF$213))</f>
        <v>0</v>
      </c>
      <c r="AG220" s="364">
        <f t="array" ref="AG220">SUMPRODUCT($C218:$I218,TRANSPOSE(AG$207:AG$213))</f>
        <v>0</v>
      </c>
      <c r="AH220" s="151">
        <f t="array" ref="AH220">SUMPRODUCT($C218:$I218,TRANSPOSE(AH$207:AH$213))</f>
        <v>0</v>
      </c>
      <c r="AI220" s="299">
        <v>4</v>
      </c>
    </row>
    <row r="221" spans="1:37" ht="20.100000000000001" customHeight="1" x14ac:dyDescent="0.2">
      <c r="A221" s="147"/>
      <c r="K221" s="287" t="s">
        <v>9</v>
      </c>
      <c r="L221" s="202">
        <f t="array" ref="L221">SUMPRODUCT($C219:$I219,TRANSPOSE(L$207:L$213))</f>
        <v>0</v>
      </c>
      <c r="M221" s="358">
        <f t="array" ref="M221">SUMPRODUCT($C219:$I219,TRANSPOSE(M$207:M$213))</f>
        <v>0</v>
      </c>
      <c r="N221" s="358">
        <f t="array" ref="N221">SUMPRODUCT($C219:$I219,TRANSPOSE(N$207:N$213))</f>
        <v>0</v>
      </c>
      <c r="O221" s="358">
        <f t="array" ref="O221">SUMPRODUCT($C219:$I219,TRANSPOSE(O$207:O$213))</f>
        <v>0</v>
      </c>
      <c r="P221" s="358">
        <f t="array" ref="P221">SUMPRODUCT($C219:$I219,TRANSPOSE(P$207:P$213))</f>
        <v>0</v>
      </c>
      <c r="Q221" s="286">
        <f t="array" ref="Q221">SUMPRODUCT($C219:$I219,TRANSPOSE(Q$207:Q$213))</f>
        <v>0</v>
      </c>
      <c r="R221" s="147"/>
      <c r="AB221" s="287" t="s">
        <v>87</v>
      </c>
      <c r="AC221" s="202">
        <f t="array" ref="AC221">SUMPRODUCT($C219:$I219,TRANSPOSE(AC$207:AC$213))</f>
        <v>0</v>
      </c>
      <c r="AD221" s="358">
        <f t="array" ref="AD221">SUMPRODUCT($C219:$I219,TRANSPOSE(AD$207:AD$213))</f>
        <v>0</v>
      </c>
      <c r="AE221" s="358">
        <f t="array" ref="AE221">SUMPRODUCT($C219:$I219,TRANSPOSE(AE$207:AE$213))</f>
        <v>0</v>
      </c>
      <c r="AF221" s="358">
        <f t="array" ref="AF221">SUMPRODUCT($C219:$I219,TRANSPOSE(AF$207:AF$213))</f>
        <v>0</v>
      </c>
      <c r="AG221" s="358">
        <f t="array" ref="AG221">SUMPRODUCT($C219:$I219,TRANSPOSE(AG$207:AG$213))</f>
        <v>0</v>
      </c>
      <c r="AH221" s="286">
        <f t="array" ref="AH221">SUMPRODUCT($C219:$I219,TRANSPOSE(AH$207:AH$213))</f>
        <v>0</v>
      </c>
      <c r="AI221" s="299">
        <v>5</v>
      </c>
    </row>
    <row r="223" spans="1:37" ht="20.100000000000001" customHeight="1" x14ac:dyDescent="0.2">
      <c r="K223" s="203" t="s">
        <v>467</v>
      </c>
      <c r="L223" s="194"/>
      <c r="M223" s="194"/>
      <c r="N223" s="194"/>
      <c r="O223" s="194"/>
      <c r="P223" s="194"/>
      <c r="Q223" s="250"/>
      <c r="AB223" s="203" t="s">
        <v>467</v>
      </c>
      <c r="AC223" s="194"/>
      <c r="AD223" s="194"/>
      <c r="AE223" s="194"/>
      <c r="AF223" s="194"/>
      <c r="AG223" s="194"/>
      <c r="AH223" s="250"/>
    </row>
    <row r="224" spans="1:37" ht="20.100000000000001" customHeight="1" x14ac:dyDescent="0.2">
      <c r="K224" s="354"/>
      <c r="L224" s="340">
        <f t="shared" ref="L224:Q224" si="57">L216</f>
        <v>2021</v>
      </c>
      <c r="M224" s="340">
        <f t="shared" si="57"/>
        <v>2025</v>
      </c>
      <c r="N224" s="340">
        <f t="shared" si="57"/>
        <v>2030</v>
      </c>
      <c r="O224" s="340">
        <f t="shared" si="57"/>
        <v>2035</v>
      </c>
      <c r="P224" s="340">
        <f t="shared" si="57"/>
        <v>2040</v>
      </c>
      <c r="Q224" s="289">
        <f t="shared" si="57"/>
        <v>2045</v>
      </c>
      <c r="AB224" s="354"/>
      <c r="AC224" s="340">
        <f t="shared" ref="AC224:AH224" si="58">AC216</f>
        <v>2021</v>
      </c>
      <c r="AD224" s="340">
        <f t="shared" si="58"/>
        <v>2025</v>
      </c>
      <c r="AE224" s="340">
        <f t="shared" si="58"/>
        <v>2030</v>
      </c>
      <c r="AF224" s="340">
        <f t="shared" si="58"/>
        <v>2035</v>
      </c>
      <c r="AG224" s="340">
        <f t="shared" si="58"/>
        <v>2040</v>
      </c>
      <c r="AH224" s="289">
        <f t="shared" si="58"/>
        <v>2045</v>
      </c>
    </row>
    <row r="225" spans="2:34" ht="20.100000000000001" customHeight="1" x14ac:dyDescent="0.2">
      <c r="K225" s="211" t="s">
        <v>98</v>
      </c>
      <c r="L225" s="261" t="e">
        <f t="shared" ref="L225:Q229" si="59">SUM(L217)/SUM(L$217:L$221)</f>
        <v>#DIV/0!</v>
      </c>
      <c r="M225" s="32" t="e">
        <f t="shared" si="59"/>
        <v>#DIV/0!</v>
      </c>
      <c r="N225" s="32" t="e">
        <f t="shared" si="59"/>
        <v>#DIV/0!</v>
      </c>
      <c r="O225" s="32" t="e">
        <f t="shared" si="59"/>
        <v>#DIV/0!</v>
      </c>
      <c r="P225" s="32" t="e">
        <f t="shared" si="59"/>
        <v>#DIV/0!</v>
      </c>
      <c r="Q225" s="112" t="e">
        <f t="shared" si="59"/>
        <v>#DIV/0!</v>
      </c>
      <c r="AB225" s="211" t="s">
        <v>83</v>
      </c>
      <c r="AC225" s="261" t="e">
        <f t="shared" ref="AC225:AH225" si="60">SUM(AC217)/SUM(AC$217:AC$221)</f>
        <v>#DIV/0!</v>
      </c>
      <c r="AD225" s="32" t="e">
        <f t="shared" si="60"/>
        <v>#DIV/0!</v>
      </c>
      <c r="AE225" s="32" t="e">
        <f t="shared" si="60"/>
        <v>#DIV/0!</v>
      </c>
      <c r="AF225" s="32" t="e">
        <f t="shared" si="60"/>
        <v>#DIV/0!</v>
      </c>
      <c r="AG225" s="32" t="e">
        <f t="shared" si="60"/>
        <v>#DIV/0!</v>
      </c>
      <c r="AH225" s="112" t="e">
        <f t="shared" si="60"/>
        <v>#DIV/0!</v>
      </c>
    </row>
    <row r="226" spans="2:34" ht="20.100000000000001" customHeight="1" x14ac:dyDescent="0.2">
      <c r="K226" s="305" t="s">
        <v>8</v>
      </c>
      <c r="L226" s="45" t="e">
        <f t="shared" si="59"/>
        <v>#DIV/0!</v>
      </c>
      <c r="M226" s="176" t="e">
        <f t="shared" si="59"/>
        <v>#DIV/0!</v>
      </c>
      <c r="N226" s="176" t="e">
        <f t="shared" si="59"/>
        <v>#DIV/0!</v>
      </c>
      <c r="O226" s="176" t="e">
        <f t="shared" si="59"/>
        <v>#DIV/0!</v>
      </c>
      <c r="P226" s="176" t="e">
        <f t="shared" si="59"/>
        <v>#DIV/0!</v>
      </c>
      <c r="Q226" s="142" t="e">
        <f t="shared" si="59"/>
        <v>#DIV/0!</v>
      </c>
      <c r="AB226" s="305" t="s">
        <v>84</v>
      </c>
      <c r="AC226" s="45" t="e">
        <f t="shared" ref="AC226:AH226" si="61">SUM(AC218)/SUM(AC$217:AC$221)</f>
        <v>#DIV/0!</v>
      </c>
      <c r="AD226" s="176" t="e">
        <f t="shared" si="61"/>
        <v>#DIV/0!</v>
      </c>
      <c r="AE226" s="176" t="e">
        <f t="shared" si="61"/>
        <v>#DIV/0!</v>
      </c>
      <c r="AF226" s="176" t="e">
        <f t="shared" si="61"/>
        <v>#DIV/0!</v>
      </c>
      <c r="AG226" s="176" t="e">
        <f t="shared" si="61"/>
        <v>#DIV/0!</v>
      </c>
      <c r="AH226" s="142" t="e">
        <f t="shared" si="61"/>
        <v>#DIV/0!</v>
      </c>
    </row>
    <row r="227" spans="2:34" ht="20.100000000000001" customHeight="1" x14ac:dyDescent="0.2">
      <c r="K227" s="109" t="s">
        <v>99</v>
      </c>
      <c r="L227" s="150" t="e">
        <f t="shared" si="59"/>
        <v>#DIV/0!</v>
      </c>
      <c r="M227" s="241" t="e">
        <f t="shared" si="59"/>
        <v>#DIV/0!</v>
      </c>
      <c r="N227" s="241" t="e">
        <f t="shared" si="59"/>
        <v>#DIV/0!</v>
      </c>
      <c r="O227" s="241" t="e">
        <f t="shared" si="59"/>
        <v>#DIV/0!</v>
      </c>
      <c r="P227" s="241" t="e">
        <f t="shared" si="59"/>
        <v>#DIV/0!</v>
      </c>
      <c r="Q227" s="379" t="e">
        <f t="shared" si="59"/>
        <v>#DIV/0!</v>
      </c>
      <c r="AB227" s="109" t="s">
        <v>85</v>
      </c>
      <c r="AC227" s="150" t="e">
        <f t="shared" ref="AC227:AH227" si="62">SUM(AC219)/SUM(AC$217:AC$221)</f>
        <v>#DIV/0!</v>
      </c>
      <c r="AD227" s="241" t="e">
        <f t="shared" si="62"/>
        <v>#DIV/0!</v>
      </c>
      <c r="AE227" s="241" t="e">
        <f t="shared" si="62"/>
        <v>#DIV/0!</v>
      </c>
      <c r="AF227" s="241" t="e">
        <f t="shared" si="62"/>
        <v>#DIV/0!</v>
      </c>
      <c r="AG227" s="241" t="e">
        <f t="shared" si="62"/>
        <v>#DIV/0!</v>
      </c>
      <c r="AH227" s="379" t="e">
        <f t="shared" si="62"/>
        <v>#DIV/0!</v>
      </c>
    </row>
    <row r="228" spans="2:34" ht="20.100000000000001" customHeight="1" x14ac:dyDescent="0.2">
      <c r="K228" s="271" t="s">
        <v>100</v>
      </c>
      <c r="L228" s="45" t="e">
        <f t="shared" si="59"/>
        <v>#DIV/0!</v>
      </c>
      <c r="M228" s="176" t="e">
        <f t="shared" si="59"/>
        <v>#DIV/0!</v>
      </c>
      <c r="N228" s="176" t="e">
        <f t="shared" si="59"/>
        <v>#DIV/0!</v>
      </c>
      <c r="O228" s="176" t="e">
        <f t="shared" si="59"/>
        <v>#DIV/0!</v>
      </c>
      <c r="P228" s="176" t="e">
        <f t="shared" si="59"/>
        <v>#DIV/0!</v>
      </c>
      <c r="Q228" s="142" t="e">
        <f t="shared" si="59"/>
        <v>#DIV/0!</v>
      </c>
      <c r="AB228" s="271" t="s">
        <v>86</v>
      </c>
      <c r="AC228" s="45" t="e">
        <f t="shared" ref="AC228:AH228" si="63">SUM(AC220)/SUM(AC$217:AC$221)</f>
        <v>#DIV/0!</v>
      </c>
      <c r="AD228" s="176" t="e">
        <f t="shared" si="63"/>
        <v>#DIV/0!</v>
      </c>
      <c r="AE228" s="176" t="e">
        <f t="shared" si="63"/>
        <v>#DIV/0!</v>
      </c>
      <c r="AF228" s="176" t="e">
        <f t="shared" si="63"/>
        <v>#DIV/0!</v>
      </c>
      <c r="AG228" s="176" t="e">
        <f t="shared" si="63"/>
        <v>#DIV/0!</v>
      </c>
      <c r="AH228" s="142" t="e">
        <f t="shared" si="63"/>
        <v>#DIV/0!</v>
      </c>
    </row>
    <row r="229" spans="2:34" ht="20.100000000000001" customHeight="1" x14ac:dyDescent="0.2">
      <c r="K229" s="287" t="s">
        <v>9</v>
      </c>
      <c r="L229" s="283" t="e">
        <f t="shared" si="59"/>
        <v>#DIV/0!</v>
      </c>
      <c r="M229" s="397" t="e">
        <f t="shared" si="59"/>
        <v>#DIV/0!</v>
      </c>
      <c r="N229" s="397" t="e">
        <f t="shared" si="59"/>
        <v>#DIV/0!</v>
      </c>
      <c r="O229" s="397" t="e">
        <f t="shared" si="59"/>
        <v>#DIV/0!</v>
      </c>
      <c r="P229" s="397" t="e">
        <f t="shared" si="59"/>
        <v>#DIV/0!</v>
      </c>
      <c r="Q229" s="220" t="e">
        <f t="shared" si="59"/>
        <v>#DIV/0!</v>
      </c>
      <c r="AB229" s="287" t="s">
        <v>87</v>
      </c>
      <c r="AC229" s="283" t="e">
        <f t="shared" ref="AC229:AH229" si="64">SUM(AC221)/SUM(AC$217:AC$221)</f>
        <v>#DIV/0!</v>
      </c>
      <c r="AD229" s="397" t="e">
        <f t="shared" si="64"/>
        <v>#DIV/0!</v>
      </c>
      <c r="AE229" s="397" t="e">
        <f t="shared" si="64"/>
        <v>#DIV/0!</v>
      </c>
      <c r="AF229" s="397" t="e">
        <f t="shared" si="64"/>
        <v>#DIV/0!</v>
      </c>
      <c r="AG229" s="397" t="e">
        <f t="shared" si="64"/>
        <v>#DIV/0!</v>
      </c>
      <c r="AH229" s="220" t="e">
        <f t="shared" si="64"/>
        <v>#DIV/0!</v>
      </c>
    </row>
    <row r="236" spans="2:34" ht="50.1" customHeight="1" x14ac:dyDescent="0.2">
      <c r="B236" s="159" t="s">
        <v>473</v>
      </c>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351"/>
      <c r="AD236" s="351"/>
      <c r="AE236" s="351"/>
      <c r="AF236" s="351"/>
      <c r="AG236" s="351"/>
      <c r="AH236" s="351"/>
    </row>
    <row r="238" spans="2:34" ht="20.100000000000001" customHeight="1" x14ac:dyDescent="0.2">
      <c r="B238" s="1222" t="s">
        <v>478</v>
      </c>
      <c r="C238" s="1223"/>
      <c r="D238" s="1224"/>
      <c r="E238" s="194">
        <f t="array" ref="E238:J238">C247:H247</f>
        <v>2021</v>
      </c>
      <c r="F238" s="194">
        <v>2025</v>
      </c>
      <c r="G238" s="194">
        <v>2030</v>
      </c>
      <c r="H238" s="194">
        <v>2035</v>
      </c>
      <c r="I238" s="194">
        <v>2040</v>
      </c>
      <c r="J238" s="250">
        <v>2045</v>
      </c>
    </row>
    <row r="239" spans="2:34" ht="20.100000000000001" customHeight="1" x14ac:dyDescent="0.2">
      <c r="B239" s="1225" t="s">
        <v>479</v>
      </c>
      <c r="C239" s="1226"/>
      <c r="D239" s="1227"/>
      <c r="E239" s="111">
        <f t="shared" ref="E239:J239" si="65">SUM(C248:C253)</f>
        <v>0</v>
      </c>
      <c r="F239" s="111">
        <f t="shared" si="65"/>
        <v>0</v>
      </c>
      <c r="G239" s="111">
        <f t="shared" si="65"/>
        <v>0</v>
      </c>
      <c r="H239" s="111">
        <f t="shared" si="65"/>
        <v>0</v>
      </c>
      <c r="I239" s="111">
        <f t="shared" si="65"/>
        <v>0</v>
      </c>
      <c r="J239" s="181">
        <f t="shared" si="65"/>
        <v>0</v>
      </c>
    </row>
    <row r="240" spans="2:34" ht="20.100000000000001" customHeight="1" x14ac:dyDescent="0.2">
      <c r="B240" s="1228" t="s">
        <v>480</v>
      </c>
      <c r="C240" s="1229"/>
      <c r="D240" s="1230"/>
      <c r="E240" s="113" t="e">
        <f t="shared" ref="E240:J240" si="66">INDEX($D$40:$AH$40,0, MATCH(C$247,$D$30:$AH$30,0))</f>
        <v>#N/A</v>
      </c>
      <c r="F240" s="113" t="e">
        <f t="shared" si="66"/>
        <v>#N/A</v>
      </c>
      <c r="G240" s="113" t="e">
        <f t="shared" si="66"/>
        <v>#N/A</v>
      </c>
      <c r="H240" s="113" t="e">
        <f t="shared" si="66"/>
        <v>#N/A</v>
      </c>
      <c r="I240" s="113" t="e">
        <f t="shared" si="66"/>
        <v>#N/A</v>
      </c>
      <c r="J240" s="329" t="e">
        <f t="shared" si="66"/>
        <v>#N/A</v>
      </c>
    </row>
    <row r="241" spans="2:38" ht="20.100000000000001" customHeight="1" x14ac:dyDescent="0.2">
      <c r="B241" s="1231" t="s">
        <v>487</v>
      </c>
      <c r="C241" s="1232"/>
      <c r="D241" s="1233"/>
      <c r="E241" s="42" t="e">
        <f>F241-D72</f>
        <v>#N/A</v>
      </c>
      <c r="F241" s="42" t="e">
        <f>F240+$D$72</f>
        <v>#N/A</v>
      </c>
      <c r="G241" s="42" t="e">
        <f>G240+$D$72</f>
        <v>#N/A</v>
      </c>
      <c r="H241" s="42" t="e">
        <f>H240+$D$72</f>
        <v>#N/A</v>
      </c>
      <c r="I241" s="42" t="e">
        <f>I240+$D$72</f>
        <v>#N/A</v>
      </c>
      <c r="J241" s="347" t="e">
        <f>J240+$D$72</f>
        <v>#N/A</v>
      </c>
      <c r="K241" s="239"/>
    </row>
    <row r="242" spans="2:38" ht="20.100000000000001" customHeight="1" x14ac:dyDescent="0.2">
      <c r="E242" s="1"/>
      <c r="F242" s="239"/>
      <c r="G242" s="239"/>
      <c r="H242" s="239"/>
      <c r="I242" s="239"/>
      <c r="J242" s="239"/>
      <c r="K242" s="239"/>
    </row>
    <row r="243" spans="2:38" ht="20.100000000000001" customHeight="1" x14ac:dyDescent="0.2">
      <c r="E243" s="1"/>
      <c r="F243" s="239"/>
      <c r="G243" s="239"/>
      <c r="H243" s="239"/>
      <c r="I243" s="239"/>
      <c r="J243" s="239"/>
      <c r="K243" s="239"/>
    </row>
    <row r="244" spans="2:38" ht="30" customHeight="1" x14ac:dyDescent="0.2">
      <c r="B244" s="175" t="s">
        <v>488</v>
      </c>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c r="AA244" s="310"/>
      <c r="AB244" s="310"/>
      <c r="AC244" s="310"/>
      <c r="AD244" s="310"/>
      <c r="AE244" s="310"/>
      <c r="AF244" s="310"/>
    </row>
    <row r="245" spans="2:38" ht="20.100000000000001" customHeight="1" x14ac:dyDescent="0.2">
      <c r="B245" s="188"/>
    </row>
    <row r="246" spans="2:38" ht="20.100000000000001" customHeight="1" x14ac:dyDescent="0.2">
      <c r="B246" s="203" t="s">
        <v>489</v>
      </c>
      <c r="C246" s="149"/>
      <c r="D246" s="149"/>
      <c r="E246" s="149"/>
      <c r="F246" s="149"/>
      <c r="G246" s="149"/>
      <c r="H246" s="256"/>
      <c r="J246" s="203" t="s">
        <v>490</v>
      </c>
      <c r="K246" s="149"/>
      <c r="L246" s="149"/>
      <c r="M246" s="149"/>
      <c r="N246" s="149"/>
      <c r="O246" s="149"/>
      <c r="P246" s="149"/>
      <c r="Q246" s="149"/>
      <c r="R246" s="149"/>
      <c r="S246" s="149"/>
      <c r="T246" s="149"/>
      <c r="U246" s="149"/>
      <c r="V246" s="149"/>
      <c r="W246" s="149"/>
      <c r="X246" s="149"/>
      <c r="Y246" s="149"/>
      <c r="Z246" s="149"/>
      <c r="AA246" s="149"/>
      <c r="AB246" s="149"/>
      <c r="AC246" s="149"/>
      <c r="AD246" s="149"/>
      <c r="AE246" s="149"/>
      <c r="AF246" s="256"/>
    </row>
    <row r="247" spans="2:38" ht="20.100000000000001" customHeight="1" x14ac:dyDescent="0.2">
      <c r="B247" s="266" t="s">
        <v>6</v>
      </c>
      <c r="C247" s="215">
        <f t="array" ref="C247:H253">L149:Q155</f>
        <v>2021</v>
      </c>
      <c r="D247" s="213">
        <v>2025</v>
      </c>
      <c r="E247" s="213">
        <v>2030</v>
      </c>
      <c r="F247" s="213">
        <v>2035</v>
      </c>
      <c r="G247" s="213">
        <v>2040</v>
      </c>
      <c r="H247" s="183">
        <v>2045</v>
      </c>
      <c r="J247" s="266" t="s">
        <v>6</v>
      </c>
      <c r="K247" s="215">
        <f t="array" ref="K247:P247">C247:H247</f>
        <v>2021</v>
      </c>
      <c r="L247" s="213">
        <v>2025</v>
      </c>
      <c r="M247" s="213">
        <v>2030</v>
      </c>
      <c r="N247" s="213">
        <v>2035</v>
      </c>
      <c r="O247" s="213">
        <v>2040</v>
      </c>
      <c r="P247" s="183">
        <v>2045</v>
      </c>
      <c r="R247" s="266" t="s">
        <v>95</v>
      </c>
      <c r="S247" s="215">
        <f t="array" ref="S247:X247">K247:P247</f>
        <v>2021</v>
      </c>
      <c r="T247" s="213">
        <v>2025</v>
      </c>
      <c r="U247" s="213">
        <v>2030</v>
      </c>
      <c r="V247" s="213">
        <v>2035</v>
      </c>
      <c r="W247" s="213">
        <v>2040</v>
      </c>
      <c r="X247" s="183">
        <v>2045</v>
      </c>
      <c r="Z247" s="266" t="s">
        <v>96</v>
      </c>
      <c r="AA247" s="215">
        <f t="array" ref="AA247:AF247">S247:X247</f>
        <v>2021</v>
      </c>
      <c r="AB247" s="213">
        <v>2025</v>
      </c>
      <c r="AC247" s="213">
        <v>2030</v>
      </c>
      <c r="AD247" s="213">
        <v>2035</v>
      </c>
      <c r="AE247" s="213">
        <v>2040</v>
      </c>
      <c r="AF247" s="183">
        <v>2045</v>
      </c>
    </row>
    <row r="248" spans="2:38" ht="20.100000000000001" customHeight="1" x14ac:dyDescent="0.2">
      <c r="B248" s="211" t="s">
        <v>66</v>
      </c>
      <c r="C248" s="339">
        <v>0</v>
      </c>
      <c r="D248" s="327">
        <v>0</v>
      </c>
      <c r="E248" s="327">
        <v>0</v>
      </c>
      <c r="F248" s="327">
        <v>0</v>
      </c>
      <c r="G248" s="327">
        <v>0</v>
      </c>
      <c r="H248" s="46">
        <v>0</v>
      </c>
      <c r="J248" s="211" t="s">
        <v>66</v>
      </c>
      <c r="K248" s="327" t="e">
        <f t="array" ref="K248:K253">C248:C253*E$241/SUM(C$248:C$253)</f>
        <v>#N/A</v>
      </c>
      <c r="L248" s="327" t="e">
        <f t="array" ref="L248:L253">D248:D253*F$241/SUM(D$248:D$253)</f>
        <v>#N/A</v>
      </c>
      <c r="M248" s="327" t="e">
        <f t="array" ref="M248:M253">E248:E253*G$241/SUM(E$248:E$253)</f>
        <v>#N/A</v>
      </c>
      <c r="N248" s="327" t="e">
        <f t="array" ref="N248:N253">F248:F253*H$241/SUM(F$248:F$253)</f>
        <v>#N/A</v>
      </c>
      <c r="O248" s="327" t="e">
        <f t="array" ref="O248:O253">G248:G253*I$241/SUM(G$248:G$253)</f>
        <v>#N/A</v>
      </c>
      <c r="P248" s="46" t="e">
        <f t="array" ref="P248:P253">H248:H253*J$241/SUM(H$248:H$253)</f>
        <v>#N/A</v>
      </c>
      <c r="Q248" s="239"/>
      <c r="R248" s="211" t="s">
        <v>66</v>
      </c>
      <c r="S248" s="339" t="e">
        <f t="array" ref="S248:S253">AC140:AC145*SUM(K$248:K$253)/E$239</f>
        <v>#N/A</v>
      </c>
      <c r="T248" s="327" t="e">
        <f t="array" ref="T248:T253">AD140:AD145*SUM(L$248:L$253)/F$239</f>
        <v>#N/A</v>
      </c>
      <c r="U248" s="327" t="e">
        <f t="array" ref="U248:U253">AE140:AE145*SUM(M$248:M$253)/G$239</f>
        <v>#N/A</v>
      </c>
      <c r="V248" s="327" t="e">
        <f t="array" ref="V248:V253">AF140:AF145*SUM(N$248:N$253)/H$239</f>
        <v>#N/A</v>
      </c>
      <c r="W248" s="327" t="e">
        <f t="array" ref="W248:W253">AG140:AG145*SUM(O$248:O$253)/I$239</f>
        <v>#N/A</v>
      </c>
      <c r="X248" s="46" t="e">
        <f t="array" ref="X248:X253">AH140:AH145*SUM(P$248:P$253)/J$239</f>
        <v>#N/A</v>
      </c>
      <c r="Z248" s="211" t="s">
        <v>66</v>
      </c>
      <c r="AA248" s="339" t="e">
        <f t="array" ref="AA248:AA253">AC148:AC153*SUM(K$248:K$253)/E$239</f>
        <v>#N/A</v>
      </c>
      <c r="AB248" s="327" t="e">
        <f t="array" ref="AB248:AB253">AD148:AD153*SUM(L$248:L$253)/F$239</f>
        <v>#N/A</v>
      </c>
      <c r="AC248" s="327" t="e">
        <f t="array" ref="AC248:AC253">AE148:AE153*SUM(M$248:M$253)/G$239</f>
        <v>#N/A</v>
      </c>
      <c r="AD248" s="327" t="e">
        <f t="array" ref="AD248:AD253">AF148:AF153*SUM(N$248:N$253)/H$239</f>
        <v>#N/A</v>
      </c>
      <c r="AE248" s="327" t="e">
        <f t="array" ref="AE248:AE253">AG148:AG153*SUM(O$248:O$253)/I$239</f>
        <v>#N/A</v>
      </c>
      <c r="AF248" s="46" t="e">
        <f t="array" ref="AF248:AF253">AH148:AH153*SUM(P$248:P$253)/J$239</f>
        <v>#N/A</v>
      </c>
      <c r="AG248" s="239"/>
    </row>
    <row r="249" spans="2:38" ht="20.100000000000001" customHeight="1" x14ac:dyDescent="0.2">
      <c r="B249" s="305" t="s">
        <v>67</v>
      </c>
      <c r="C249" s="333">
        <v>0</v>
      </c>
      <c r="D249" s="364">
        <v>0</v>
      </c>
      <c r="E249" s="364">
        <v>0</v>
      </c>
      <c r="F249" s="364">
        <v>0</v>
      </c>
      <c r="G249" s="364">
        <v>0</v>
      </c>
      <c r="H249" s="151">
        <v>0</v>
      </c>
      <c r="J249" s="305" t="s">
        <v>67</v>
      </c>
      <c r="K249" s="364" t="e">
        <v>#N/A</v>
      </c>
      <c r="L249" s="364" t="e">
        <v>#N/A</v>
      </c>
      <c r="M249" s="364" t="e">
        <v>#N/A</v>
      </c>
      <c r="N249" s="364" t="e">
        <v>#N/A</v>
      </c>
      <c r="O249" s="364" t="e">
        <v>#N/A</v>
      </c>
      <c r="P249" s="151" t="e">
        <v>#N/A</v>
      </c>
      <c r="R249" s="305" t="s">
        <v>67</v>
      </c>
      <c r="S249" s="333" t="e">
        <v>#N/A</v>
      </c>
      <c r="T249" s="364" t="e">
        <v>#N/A</v>
      </c>
      <c r="U249" s="364" t="e">
        <v>#N/A</v>
      </c>
      <c r="V249" s="364" t="e">
        <v>#N/A</v>
      </c>
      <c r="W249" s="364" t="e">
        <v>#N/A</v>
      </c>
      <c r="X249" s="151" t="e">
        <v>#N/A</v>
      </c>
      <c r="Z249" s="305" t="s">
        <v>67</v>
      </c>
      <c r="AA249" s="333" t="e">
        <v>#N/A</v>
      </c>
      <c r="AB249" s="364" t="e">
        <v>#N/A</v>
      </c>
      <c r="AC249" s="364" t="e">
        <v>#N/A</v>
      </c>
      <c r="AD249" s="364" t="e">
        <v>#N/A</v>
      </c>
      <c r="AE249" s="364" t="e">
        <v>#N/A</v>
      </c>
      <c r="AF249" s="151" t="e">
        <v>#N/A</v>
      </c>
      <c r="AL249" t="s">
        <v>151</v>
      </c>
    </row>
    <row r="250" spans="2:38" ht="20.100000000000001" customHeight="1" x14ac:dyDescent="0.2">
      <c r="B250" s="109" t="s">
        <v>68</v>
      </c>
      <c r="C250" s="242">
        <v>0</v>
      </c>
      <c r="D250" s="345">
        <v>0</v>
      </c>
      <c r="E250" s="345">
        <v>0</v>
      </c>
      <c r="F250" s="345">
        <v>0</v>
      </c>
      <c r="G250" s="345">
        <v>0</v>
      </c>
      <c r="H250" s="322">
        <v>0</v>
      </c>
      <c r="J250" s="109" t="s">
        <v>68</v>
      </c>
      <c r="K250" s="345" t="e">
        <v>#N/A</v>
      </c>
      <c r="L250" s="345" t="e">
        <v>#N/A</v>
      </c>
      <c r="M250" s="345" t="e">
        <v>#N/A</v>
      </c>
      <c r="N250" s="345" t="e">
        <v>#N/A</v>
      </c>
      <c r="O250" s="345" t="e">
        <v>#N/A</v>
      </c>
      <c r="P250" s="322" t="e">
        <v>#N/A</v>
      </c>
      <c r="R250" s="109" t="s">
        <v>68</v>
      </c>
      <c r="S250" s="242" t="e">
        <v>#N/A</v>
      </c>
      <c r="T250" s="345" t="e">
        <v>#N/A</v>
      </c>
      <c r="U250" s="345" t="e">
        <v>#N/A</v>
      </c>
      <c r="V250" s="345" t="e">
        <v>#N/A</v>
      </c>
      <c r="W250" s="345" t="e">
        <v>#N/A</v>
      </c>
      <c r="X250" s="322" t="e">
        <v>#N/A</v>
      </c>
      <c r="Z250" s="109" t="s">
        <v>68</v>
      </c>
      <c r="AA250" s="242" t="e">
        <v>#N/A</v>
      </c>
      <c r="AB250" s="345" t="e">
        <v>#N/A</v>
      </c>
      <c r="AC250" s="345" t="e">
        <v>#N/A</v>
      </c>
      <c r="AD250" s="345" t="e">
        <v>#N/A</v>
      </c>
      <c r="AE250" s="345" t="e">
        <v>#N/A</v>
      </c>
      <c r="AF250" s="322" t="e">
        <v>#N/A</v>
      </c>
    </row>
    <row r="251" spans="2:38" ht="20.100000000000001" customHeight="1" x14ac:dyDescent="0.2">
      <c r="B251" s="271" t="s">
        <v>69</v>
      </c>
      <c r="C251" s="333">
        <v>0</v>
      </c>
      <c r="D251" s="364">
        <v>0</v>
      </c>
      <c r="E251" s="364">
        <v>0</v>
      </c>
      <c r="F251" s="364">
        <v>0</v>
      </c>
      <c r="G251" s="364">
        <v>0</v>
      </c>
      <c r="H251" s="151">
        <v>0</v>
      </c>
      <c r="J251" s="271" t="s">
        <v>69</v>
      </c>
      <c r="K251" s="364" t="e">
        <v>#N/A</v>
      </c>
      <c r="L251" s="364" t="e">
        <v>#N/A</v>
      </c>
      <c r="M251" s="364" t="e">
        <v>#N/A</v>
      </c>
      <c r="N251" s="364" t="e">
        <v>#N/A</v>
      </c>
      <c r="O251" s="364" t="e">
        <v>#N/A</v>
      </c>
      <c r="P251" s="151" t="e">
        <v>#N/A</v>
      </c>
      <c r="R251" s="271" t="s">
        <v>69</v>
      </c>
      <c r="S251" s="333" t="e">
        <v>#N/A</v>
      </c>
      <c r="T251" s="364" t="e">
        <v>#N/A</v>
      </c>
      <c r="U251" s="364" t="e">
        <v>#N/A</v>
      </c>
      <c r="V251" s="364" t="e">
        <v>#N/A</v>
      </c>
      <c r="W251" s="364" t="e">
        <v>#N/A</v>
      </c>
      <c r="X251" s="151" t="e">
        <v>#N/A</v>
      </c>
      <c r="Z251" s="271" t="s">
        <v>69</v>
      </c>
      <c r="AA251" s="333" t="e">
        <v>#N/A</v>
      </c>
      <c r="AB251" s="364" t="e">
        <v>#N/A</v>
      </c>
      <c r="AC251" s="364" t="e">
        <v>#N/A</v>
      </c>
      <c r="AD251" s="364" t="e">
        <v>#N/A</v>
      </c>
      <c r="AE251" s="364" t="e">
        <v>#N/A</v>
      </c>
      <c r="AF251" s="151" t="e">
        <v>#N/A</v>
      </c>
    </row>
    <row r="252" spans="2:38" ht="20.100000000000001" customHeight="1" x14ac:dyDescent="0.2">
      <c r="B252" s="109" t="s">
        <v>70</v>
      </c>
      <c r="C252" s="242">
        <v>0</v>
      </c>
      <c r="D252" s="345">
        <v>0</v>
      </c>
      <c r="E252" s="345">
        <v>0</v>
      </c>
      <c r="F252" s="345">
        <v>0</v>
      </c>
      <c r="G252" s="345">
        <v>0</v>
      </c>
      <c r="H252" s="322">
        <v>0</v>
      </c>
      <c r="J252" s="109" t="s">
        <v>70</v>
      </c>
      <c r="K252" s="345" t="e">
        <v>#N/A</v>
      </c>
      <c r="L252" s="345" t="e">
        <v>#N/A</v>
      </c>
      <c r="M252" s="345" t="e">
        <v>#N/A</v>
      </c>
      <c r="N252" s="345" t="e">
        <v>#N/A</v>
      </c>
      <c r="O252" s="345" t="e">
        <v>#N/A</v>
      </c>
      <c r="P252" s="322" t="e">
        <v>#N/A</v>
      </c>
      <c r="R252" s="109" t="s">
        <v>70</v>
      </c>
      <c r="S252" s="242" t="e">
        <v>#N/A</v>
      </c>
      <c r="T252" s="345" t="e">
        <v>#N/A</v>
      </c>
      <c r="U252" s="345" t="e">
        <v>#N/A</v>
      </c>
      <c r="V252" s="345" t="e">
        <v>#N/A</v>
      </c>
      <c r="W252" s="345" t="e">
        <v>#N/A</v>
      </c>
      <c r="X252" s="322" t="e">
        <v>#N/A</v>
      </c>
      <c r="Z252" s="109" t="s">
        <v>70</v>
      </c>
      <c r="AA252" s="242" t="e">
        <v>#N/A</v>
      </c>
      <c r="AB252" s="345" t="e">
        <v>#N/A</v>
      </c>
      <c r="AC252" s="345" t="e">
        <v>#N/A</v>
      </c>
      <c r="AD252" s="345" t="e">
        <v>#N/A</v>
      </c>
      <c r="AE252" s="345" t="e">
        <v>#N/A</v>
      </c>
      <c r="AF252" s="322" t="e">
        <v>#N/A</v>
      </c>
    </row>
    <row r="253" spans="2:38" ht="20.100000000000001" customHeight="1" x14ac:dyDescent="0.2">
      <c r="B253" s="124" t="s">
        <v>71</v>
      </c>
      <c r="C253" s="307">
        <v>0</v>
      </c>
      <c r="D253" s="375">
        <v>0</v>
      </c>
      <c r="E253" s="375">
        <v>0</v>
      </c>
      <c r="F253" s="375">
        <v>0</v>
      </c>
      <c r="G253" s="375">
        <v>0</v>
      </c>
      <c r="H253" s="414">
        <v>0</v>
      </c>
      <c r="J253" s="124" t="s">
        <v>71</v>
      </c>
      <c r="K253" s="375" t="e">
        <v>#N/A</v>
      </c>
      <c r="L253" s="375" t="e">
        <v>#N/A</v>
      </c>
      <c r="M253" s="375" t="e">
        <v>#N/A</v>
      </c>
      <c r="N253" s="375" t="e">
        <v>#N/A</v>
      </c>
      <c r="O253" s="375" t="e">
        <v>#N/A</v>
      </c>
      <c r="P253" s="414" t="e">
        <v>#N/A</v>
      </c>
      <c r="R253" s="124" t="s">
        <v>71</v>
      </c>
      <c r="S253" s="307" t="e">
        <v>#N/A</v>
      </c>
      <c r="T253" s="375" t="e">
        <v>#N/A</v>
      </c>
      <c r="U253" s="375" t="e">
        <v>#N/A</v>
      </c>
      <c r="V253" s="375" t="e">
        <v>#N/A</v>
      </c>
      <c r="W253" s="375" t="e">
        <v>#N/A</v>
      </c>
      <c r="X253" s="414" t="e">
        <v>#N/A</v>
      </c>
      <c r="Z253" s="124" t="s">
        <v>71</v>
      </c>
      <c r="AA253" s="307" t="e">
        <v>#N/A</v>
      </c>
      <c r="AB253" s="375" t="e">
        <v>#N/A</v>
      </c>
      <c r="AC253" s="375" t="e">
        <v>#N/A</v>
      </c>
      <c r="AD253" s="375" t="e">
        <v>#N/A</v>
      </c>
      <c r="AE253" s="375" t="e">
        <v>#N/A</v>
      </c>
      <c r="AF253" s="414" t="e">
        <v>#N/A</v>
      </c>
    </row>
    <row r="255" spans="2:38" ht="20.100000000000001" customHeight="1" x14ac:dyDescent="0.2">
      <c r="J255" s="203" t="s">
        <v>491</v>
      </c>
      <c r="K255" s="149"/>
      <c r="L255" s="149"/>
      <c r="M255" s="149"/>
      <c r="N255" s="149"/>
      <c r="O255" s="149"/>
      <c r="P255" s="149"/>
      <c r="Q255" s="149"/>
      <c r="R255" s="149"/>
      <c r="S255" s="149"/>
      <c r="T255" s="149"/>
      <c r="U255" s="149"/>
      <c r="V255" s="149"/>
      <c r="W255" s="149"/>
      <c r="X255" s="149"/>
      <c r="Y255" s="149"/>
      <c r="Z255" s="149"/>
      <c r="AA255" s="149"/>
      <c r="AB255" s="149"/>
      <c r="AC255" s="149"/>
      <c r="AD255" s="149"/>
      <c r="AE255" s="149"/>
      <c r="AF255" s="256"/>
    </row>
    <row r="256" spans="2:38" ht="20.100000000000001" customHeight="1" x14ac:dyDescent="0.2">
      <c r="J256" s="266" t="s">
        <v>6</v>
      </c>
      <c r="K256" s="215">
        <f t="array" ref="K256:P256">K247:P247</f>
        <v>2021</v>
      </c>
      <c r="L256" s="213">
        <v>2025</v>
      </c>
      <c r="M256" s="213">
        <v>2030</v>
      </c>
      <c r="N256" s="213">
        <v>2035</v>
      </c>
      <c r="O256" s="213">
        <v>2040</v>
      </c>
      <c r="P256" s="183">
        <v>2045</v>
      </c>
      <c r="R256" s="266" t="s">
        <v>95</v>
      </c>
      <c r="S256" s="215">
        <f t="array" ref="S256:X256">K256:P256</f>
        <v>2021</v>
      </c>
      <c r="T256" s="213">
        <v>2025</v>
      </c>
      <c r="U256" s="213">
        <v>2030</v>
      </c>
      <c r="V256" s="213">
        <v>2035</v>
      </c>
      <c r="W256" s="213">
        <v>2040</v>
      </c>
      <c r="X256" s="183">
        <v>2045</v>
      </c>
      <c r="Z256" s="266" t="s">
        <v>96</v>
      </c>
      <c r="AA256" s="215">
        <f t="array" ref="AA256:AF256">S256:X256</f>
        <v>2021</v>
      </c>
      <c r="AB256" s="213">
        <v>2025</v>
      </c>
      <c r="AC256" s="213">
        <v>2030</v>
      </c>
      <c r="AD256" s="213">
        <v>2035</v>
      </c>
      <c r="AE256" s="213">
        <v>2040</v>
      </c>
      <c r="AF256" s="183">
        <v>2045</v>
      </c>
    </row>
    <row r="257" spans="2:33" ht="20.100000000000001" customHeight="1" x14ac:dyDescent="0.2">
      <c r="J257" s="211" t="s">
        <v>66</v>
      </c>
      <c r="K257" s="327">
        <f t="array" ref="K257:K261">dwell!C121:C125</f>
        <v>0</v>
      </c>
      <c r="L257" s="327" t="e">
        <f t="shared" ref="L257:P257" si="67">K257*L248/K248</f>
        <v>#N/A</v>
      </c>
      <c r="M257" s="327" t="e">
        <f t="shared" si="67"/>
        <v>#N/A</v>
      </c>
      <c r="N257" s="327" t="e">
        <f t="shared" si="67"/>
        <v>#N/A</v>
      </c>
      <c r="O257" s="327" t="e">
        <f t="shared" si="67"/>
        <v>#N/A</v>
      </c>
      <c r="P257" s="46" t="e">
        <f t="shared" si="67"/>
        <v>#N/A</v>
      </c>
      <c r="R257" s="211" t="s">
        <v>66</v>
      </c>
      <c r="S257" s="327">
        <f t="array" ref="S257:S261">dwell!D121:D125</f>
        <v>0</v>
      </c>
      <c r="T257" s="327">
        <f>IFERROR(S257*T248/S248,S257)</f>
        <v>0</v>
      </c>
      <c r="U257" s="327">
        <f t="shared" ref="U257:X257" si="68">IFERROR(T257*U248/T248,T257)</f>
        <v>0</v>
      </c>
      <c r="V257" s="327">
        <f t="shared" si="68"/>
        <v>0</v>
      </c>
      <c r="W257" s="327">
        <f t="shared" si="68"/>
        <v>0</v>
      </c>
      <c r="X257" s="46">
        <f t="shared" si="68"/>
        <v>0</v>
      </c>
      <c r="Z257" s="211" t="s">
        <v>66</v>
      </c>
      <c r="AA257" s="327">
        <f t="array" ref="AA257:AF261">K257:P261-S257:X261</f>
        <v>0</v>
      </c>
      <c r="AB257" s="327" t="e">
        <v>#N/A</v>
      </c>
      <c r="AC257" s="327" t="e">
        <v>#N/A</v>
      </c>
      <c r="AD257" s="327" t="e">
        <v>#N/A</v>
      </c>
      <c r="AE257" s="327" t="e">
        <v>#N/A</v>
      </c>
      <c r="AF257" s="46" t="e">
        <v>#N/A</v>
      </c>
    </row>
    <row r="258" spans="2:33" ht="20.100000000000001" customHeight="1" x14ac:dyDescent="0.2">
      <c r="J258" s="305" t="s">
        <v>67</v>
      </c>
      <c r="K258" s="364">
        <v>0</v>
      </c>
      <c r="L258" s="364" t="e">
        <f t="shared" ref="L258:P258" si="69">K258*L249/K249</f>
        <v>#N/A</v>
      </c>
      <c r="M258" s="364" t="e">
        <f t="shared" si="69"/>
        <v>#N/A</v>
      </c>
      <c r="N258" s="364" t="e">
        <f t="shared" si="69"/>
        <v>#N/A</v>
      </c>
      <c r="O258" s="364" t="e">
        <f t="shared" si="69"/>
        <v>#N/A</v>
      </c>
      <c r="P258" s="151" t="e">
        <f t="shared" si="69"/>
        <v>#N/A</v>
      </c>
      <c r="R258" s="305" t="s">
        <v>67</v>
      </c>
      <c r="S258" s="364">
        <v>0</v>
      </c>
      <c r="T258" s="364" t="e">
        <f t="shared" ref="T258:X258" si="70">S258*T249/S249</f>
        <v>#N/A</v>
      </c>
      <c r="U258" s="364" t="e">
        <f t="shared" si="70"/>
        <v>#N/A</v>
      </c>
      <c r="V258" s="364" t="e">
        <f t="shared" si="70"/>
        <v>#N/A</v>
      </c>
      <c r="W258" s="364" t="e">
        <f t="shared" si="70"/>
        <v>#N/A</v>
      </c>
      <c r="X258" s="151" t="e">
        <f t="shared" si="70"/>
        <v>#N/A</v>
      </c>
      <c r="Z258" s="305" t="s">
        <v>67</v>
      </c>
      <c r="AA258" s="364">
        <v>0</v>
      </c>
      <c r="AB258" s="364" t="e">
        <v>#N/A</v>
      </c>
      <c r="AC258" s="364" t="e">
        <v>#N/A</v>
      </c>
      <c r="AD258" s="364" t="e">
        <v>#N/A</v>
      </c>
      <c r="AE258" s="364" t="e">
        <v>#N/A</v>
      </c>
      <c r="AF258" s="151" t="e">
        <v>#N/A</v>
      </c>
    </row>
    <row r="259" spans="2:33" ht="20.100000000000001" customHeight="1" x14ac:dyDescent="0.2">
      <c r="J259" s="109" t="s">
        <v>68</v>
      </c>
      <c r="K259" s="345">
        <v>0</v>
      </c>
      <c r="L259" s="345" t="e">
        <f t="shared" ref="L259:P260" si="71">K259*L250/K250</f>
        <v>#N/A</v>
      </c>
      <c r="M259" s="345" t="e">
        <f t="shared" si="71"/>
        <v>#N/A</v>
      </c>
      <c r="N259" s="345" t="e">
        <f t="shared" si="71"/>
        <v>#N/A</v>
      </c>
      <c r="O259" s="345" t="e">
        <f t="shared" si="71"/>
        <v>#N/A</v>
      </c>
      <c r="P259" s="322" t="e">
        <f t="shared" si="71"/>
        <v>#N/A</v>
      </c>
      <c r="R259" s="109" t="s">
        <v>68</v>
      </c>
      <c r="S259" s="345">
        <v>0</v>
      </c>
      <c r="T259" s="345" t="e">
        <f t="shared" ref="T259:X260" si="72">S259*T250/S250</f>
        <v>#N/A</v>
      </c>
      <c r="U259" s="345" t="e">
        <f t="shared" si="72"/>
        <v>#N/A</v>
      </c>
      <c r="V259" s="345" t="e">
        <f t="shared" si="72"/>
        <v>#N/A</v>
      </c>
      <c r="W259" s="345" t="e">
        <f t="shared" si="72"/>
        <v>#N/A</v>
      </c>
      <c r="X259" s="322" t="e">
        <f t="shared" si="72"/>
        <v>#N/A</v>
      </c>
      <c r="Z259" s="109" t="s">
        <v>68</v>
      </c>
      <c r="AA259" s="345">
        <v>0</v>
      </c>
      <c r="AB259" s="345" t="e">
        <v>#N/A</v>
      </c>
      <c r="AC259" s="345" t="e">
        <v>#N/A</v>
      </c>
      <c r="AD259" s="345" t="e">
        <v>#N/A</v>
      </c>
      <c r="AE259" s="345" t="e">
        <v>#N/A</v>
      </c>
      <c r="AF259" s="322" t="e">
        <v>#N/A</v>
      </c>
    </row>
    <row r="260" spans="2:33" ht="20.100000000000001" customHeight="1" x14ac:dyDescent="0.2">
      <c r="J260" s="271" t="s">
        <v>69</v>
      </c>
      <c r="K260" s="364">
        <v>0</v>
      </c>
      <c r="L260" s="364" t="e">
        <f t="shared" si="71"/>
        <v>#N/A</v>
      </c>
      <c r="M260" s="364" t="e">
        <f t="shared" si="71"/>
        <v>#N/A</v>
      </c>
      <c r="N260" s="364" t="e">
        <f t="shared" si="71"/>
        <v>#N/A</v>
      </c>
      <c r="O260" s="364" t="e">
        <f t="shared" si="71"/>
        <v>#N/A</v>
      </c>
      <c r="P260" s="151" t="e">
        <f t="shared" si="71"/>
        <v>#N/A</v>
      </c>
      <c r="R260" s="271" t="s">
        <v>69</v>
      </c>
      <c r="S260" s="364">
        <v>0</v>
      </c>
      <c r="T260" s="364" t="e">
        <f t="shared" si="72"/>
        <v>#N/A</v>
      </c>
      <c r="U260" s="364" t="e">
        <f t="shared" si="72"/>
        <v>#N/A</v>
      </c>
      <c r="V260" s="364" t="e">
        <f t="shared" si="72"/>
        <v>#N/A</v>
      </c>
      <c r="W260" s="364" t="e">
        <f t="shared" si="72"/>
        <v>#N/A</v>
      </c>
      <c r="X260" s="151" t="e">
        <f t="shared" si="72"/>
        <v>#N/A</v>
      </c>
      <c r="Z260" s="271" t="s">
        <v>69</v>
      </c>
      <c r="AA260" s="364">
        <v>0</v>
      </c>
      <c r="AB260" s="364" t="e">
        <v>#N/A</v>
      </c>
      <c r="AC260" s="364" t="e">
        <v>#N/A</v>
      </c>
      <c r="AD260" s="364" t="e">
        <v>#N/A</v>
      </c>
      <c r="AE260" s="364" t="e">
        <v>#N/A</v>
      </c>
      <c r="AF260" s="151" t="e">
        <v>#N/A</v>
      </c>
    </row>
    <row r="261" spans="2:33" ht="20.100000000000001" customHeight="1" x14ac:dyDescent="0.2">
      <c r="J261" s="287" t="s">
        <v>59</v>
      </c>
      <c r="K261" s="358">
        <v>0</v>
      </c>
      <c r="L261" s="358" t="e">
        <f>K261*SUM(L252:L253)/SUM(K252:K253)</f>
        <v>#N/A</v>
      </c>
      <c r="M261" s="358" t="e">
        <f>L261*SUM(M252:M253)/SUM(L252:L253)</f>
        <v>#N/A</v>
      </c>
      <c r="N261" s="358" t="e">
        <f>M261*SUM(N252:N253)/SUM(M252:M253)</f>
        <v>#N/A</v>
      </c>
      <c r="O261" s="358" t="e">
        <f>N261*SUM(O252:O253)/SUM(N252:N253)</f>
        <v>#N/A</v>
      </c>
      <c r="P261" s="286" t="e">
        <f>O261*SUM(P252:P253)/SUM(O252:O253)</f>
        <v>#N/A</v>
      </c>
      <c r="R261" s="287" t="s">
        <v>59</v>
      </c>
      <c r="S261" s="358">
        <v>0</v>
      </c>
      <c r="T261" s="358" t="e">
        <f>S261*SUM(T252:T253)/SUM(S252:S253)</f>
        <v>#N/A</v>
      </c>
      <c r="U261" s="358" t="e">
        <f>T261*SUM(U252:U253)/SUM(T252:T253)</f>
        <v>#N/A</v>
      </c>
      <c r="V261" s="358" t="e">
        <f>U261*SUM(V252:V253)/SUM(U252:U253)</f>
        <v>#N/A</v>
      </c>
      <c r="W261" s="358" t="e">
        <f>V261*SUM(W252:W253)/SUM(V252:V253)</f>
        <v>#N/A</v>
      </c>
      <c r="X261" s="286" t="e">
        <f>W261*SUM(X252:X253)/SUM(W252:W253)</f>
        <v>#N/A</v>
      </c>
      <c r="Z261" s="287" t="s">
        <v>59</v>
      </c>
      <c r="AA261" s="358">
        <v>0</v>
      </c>
      <c r="AB261" s="358" t="e">
        <v>#N/A</v>
      </c>
      <c r="AC261" s="358" t="e">
        <v>#N/A</v>
      </c>
      <c r="AD261" s="358" t="e">
        <v>#N/A</v>
      </c>
      <c r="AE261" s="358" t="e">
        <v>#N/A</v>
      </c>
      <c r="AF261" s="286" t="e">
        <v>#N/A</v>
      </c>
    </row>
    <row r="263" spans="2:33" ht="20.100000000000001" customHeight="1" x14ac:dyDescent="0.2">
      <c r="J263" s="203" t="s">
        <v>492</v>
      </c>
      <c r="K263" s="149"/>
      <c r="L263" s="149"/>
      <c r="M263" s="149"/>
      <c r="N263" s="149"/>
      <c r="O263" s="149"/>
      <c r="P263" s="149"/>
      <c r="Q263" s="149"/>
      <c r="R263" s="149"/>
      <c r="S263" s="149"/>
      <c r="T263" s="149"/>
      <c r="U263" s="149"/>
      <c r="V263" s="149"/>
      <c r="W263" s="149"/>
      <c r="X263" s="149"/>
      <c r="Y263" s="149"/>
      <c r="Z263" s="149"/>
      <c r="AA263" s="149"/>
      <c r="AB263" s="149"/>
      <c r="AC263" s="149"/>
      <c r="AD263" s="149"/>
      <c r="AE263" s="149"/>
      <c r="AF263" s="256"/>
    </row>
    <row r="264" spans="2:33" ht="20.100000000000001" customHeight="1" x14ac:dyDescent="0.2">
      <c r="J264" s="266" t="s">
        <v>6</v>
      </c>
      <c r="K264" s="215">
        <f t="array" ref="K264:P264">K247:P247</f>
        <v>2021</v>
      </c>
      <c r="L264" s="213">
        <v>2025</v>
      </c>
      <c r="M264" s="213">
        <v>2030</v>
      </c>
      <c r="N264" s="213">
        <v>2035</v>
      </c>
      <c r="O264" s="213">
        <v>2040</v>
      </c>
      <c r="P264" s="183">
        <v>2045</v>
      </c>
      <c r="R264" s="266" t="s">
        <v>95</v>
      </c>
      <c r="S264" s="215">
        <f t="array" ref="S264:X264">K264:P264</f>
        <v>2021</v>
      </c>
      <c r="T264" s="213">
        <v>2025</v>
      </c>
      <c r="U264" s="213">
        <v>2030</v>
      </c>
      <c r="V264" s="213">
        <v>2035</v>
      </c>
      <c r="W264" s="213">
        <v>2040</v>
      </c>
      <c r="X264" s="183">
        <v>2045</v>
      </c>
      <c r="Z264" s="266" t="s">
        <v>96</v>
      </c>
      <c r="AA264" s="215">
        <f t="array" ref="AA264:AF264">S264:X264</f>
        <v>2021</v>
      </c>
      <c r="AB264" s="213">
        <v>2025</v>
      </c>
      <c r="AC264" s="213">
        <v>2030</v>
      </c>
      <c r="AD264" s="213">
        <v>2035</v>
      </c>
      <c r="AE264" s="213">
        <v>2040</v>
      </c>
      <c r="AF264" s="183">
        <v>2045</v>
      </c>
    </row>
    <row r="265" spans="2:33" ht="20.100000000000001" customHeight="1" x14ac:dyDescent="0.2">
      <c r="J265" s="211" t="s">
        <v>66</v>
      </c>
      <c r="K265" s="327" t="e">
        <f t="shared" ref="K265:P269" si="73">K257*E$241/SUM(K$257:K$261)</f>
        <v>#N/A</v>
      </c>
      <c r="L265" s="327" t="e">
        <f t="shared" si="73"/>
        <v>#N/A</v>
      </c>
      <c r="M265" s="327" t="e">
        <f t="shared" si="73"/>
        <v>#N/A</v>
      </c>
      <c r="N265" s="327" t="e">
        <f t="shared" si="73"/>
        <v>#N/A</v>
      </c>
      <c r="O265" s="327" t="e">
        <f t="shared" si="73"/>
        <v>#N/A</v>
      </c>
      <c r="P265" s="46" t="e">
        <f t="shared" si="73"/>
        <v>#N/A</v>
      </c>
      <c r="Q265" s="239"/>
      <c r="R265" s="211" t="s">
        <v>66</v>
      </c>
      <c r="S265" s="327">
        <f t="shared" ref="S265:X265" si="74">IFERROR(K265*S257/K257,0)</f>
        <v>0</v>
      </c>
      <c r="T265" s="327">
        <f t="shared" si="74"/>
        <v>0</v>
      </c>
      <c r="U265" s="327">
        <f t="shared" si="74"/>
        <v>0</v>
      </c>
      <c r="V265" s="327">
        <f t="shared" si="74"/>
        <v>0</v>
      </c>
      <c r="W265" s="327">
        <f t="shared" si="74"/>
        <v>0</v>
      </c>
      <c r="X265" s="46">
        <f t="shared" si="74"/>
        <v>0</v>
      </c>
      <c r="Z265" s="211" t="s">
        <v>66</v>
      </c>
      <c r="AA265" s="327">
        <f>IFERROR(K265*AA257/K257,0)</f>
        <v>0</v>
      </c>
      <c r="AB265" s="327">
        <f t="shared" ref="AB265:AF265" si="75">IFERROR(L265*AB257/L257,0)</f>
        <v>0</v>
      </c>
      <c r="AC265" s="327">
        <f t="shared" si="75"/>
        <v>0</v>
      </c>
      <c r="AD265" s="327">
        <f t="shared" si="75"/>
        <v>0</v>
      </c>
      <c r="AE265" s="327">
        <f t="shared" si="75"/>
        <v>0</v>
      </c>
      <c r="AF265" s="46">
        <f t="shared" si="75"/>
        <v>0</v>
      </c>
      <c r="AG265" s="239"/>
    </row>
    <row r="266" spans="2:33" ht="20.100000000000001" customHeight="1" x14ac:dyDescent="0.2">
      <c r="J266" s="305" t="s">
        <v>67</v>
      </c>
      <c r="K266" s="364" t="e">
        <f t="shared" si="73"/>
        <v>#N/A</v>
      </c>
      <c r="L266" s="364" t="e">
        <f t="shared" si="73"/>
        <v>#N/A</v>
      </c>
      <c r="M266" s="364" t="e">
        <f t="shared" si="73"/>
        <v>#N/A</v>
      </c>
      <c r="N266" s="364" t="e">
        <f t="shared" si="73"/>
        <v>#N/A</v>
      </c>
      <c r="O266" s="364" t="e">
        <f t="shared" si="73"/>
        <v>#N/A</v>
      </c>
      <c r="P266" s="151" t="e">
        <f t="shared" si="73"/>
        <v>#N/A</v>
      </c>
      <c r="Q266" s="239"/>
      <c r="R266" s="305" t="s">
        <v>67</v>
      </c>
      <c r="S266" s="364">
        <f t="shared" ref="S266:X266" si="76">IFERROR(K266*S258/K258,0)</f>
        <v>0</v>
      </c>
      <c r="T266" s="364">
        <f t="shared" si="76"/>
        <v>0</v>
      </c>
      <c r="U266" s="364">
        <f t="shared" si="76"/>
        <v>0</v>
      </c>
      <c r="V266" s="364">
        <f t="shared" si="76"/>
        <v>0</v>
      </c>
      <c r="W266" s="364">
        <f t="shared" si="76"/>
        <v>0</v>
      </c>
      <c r="X266" s="151">
        <f t="shared" si="76"/>
        <v>0</v>
      </c>
      <c r="Z266" s="305" t="s">
        <v>67</v>
      </c>
      <c r="AA266" s="364">
        <f t="shared" ref="AA266:AA269" si="77">IFERROR(K266*AA258/K258,0)</f>
        <v>0</v>
      </c>
      <c r="AB266" s="364">
        <f t="shared" ref="AB266:AB269" si="78">IFERROR(L266*AB258/L258,0)</f>
        <v>0</v>
      </c>
      <c r="AC266" s="364">
        <f t="shared" ref="AC266:AC269" si="79">IFERROR(M266*AC258/M258,0)</f>
        <v>0</v>
      </c>
      <c r="AD266" s="364">
        <f t="shared" ref="AD266:AD269" si="80">IFERROR(N266*AD258/N258,0)</f>
        <v>0</v>
      </c>
      <c r="AE266" s="364">
        <f t="shared" ref="AE266:AE269" si="81">IFERROR(O266*AE258/O258,0)</f>
        <v>0</v>
      </c>
      <c r="AF266" s="151">
        <f t="shared" ref="AF266:AF269" si="82">IFERROR(P266*AF258/P258,0)</f>
        <v>0</v>
      </c>
      <c r="AG266" s="239"/>
    </row>
    <row r="267" spans="2:33" ht="20.100000000000001" customHeight="1" x14ac:dyDescent="0.2">
      <c r="J267" s="109" t="s">
        <v>68</v>
      </c>
      <c r="K267" s="345" t="e">
        <f t="shared" si="73"/>
        <v>#N/A</v>
      </c>
      <c r="L267" s="345" t="e">
        <f t="shared" si="73"/>
        <v>#N/A</v>
      </c>
      <c r="M267" s="345" t="e">
        <f t="shared" si="73"/>
        <v>#N/A</v>
      </c>
      <c r="N267" s="345" t="e">
        <f t="shared" si="73"/>
        <v>#N/A</v>
      </c>
      <c r="O267" s="345" t="e">
        <f t="shared" si="73"/>
        <v>#N/A</v>
      </c>
      <c r="P267" s="322" t="e">
        <f t="shared" si="73"/>
        <v>#N/A</v>
      </c>
      <c r="R267" s="109" t="s">
        <v>68</v>
      </c>
      <c r="S267" s="345">
        <f t="shared" ref="S267:X267" si="83">IFERROR(K267*S259/K259,0)</f>
        <v>0</v>
      </c>
      <c r="T267" s="345">
        <f t="shared" si="83"/>
        <v>0</v>
      </c>
      <c r="U267" s="345">
        <f t="shared" si="83"/>
        <v>0</v>
      </c>
      <c r="V267" s="345">
        <f t="shared" si="83"/>
        <v>0</v>
      </c>
      <c r="W267" s="345">
        <f t="shared" si="83"/>
        <v>0</v>
      </c>
      <c r="X267" s="322">
        <f t="shared" si="83"/>
        <v>0</v>
      </c>
      <c r="Z267" s="109" t="s">
        <v>68</v>
      </c>
      <c r="AA267" s="345">
        <f t="shared" si="77"/>
        <v>0</v>
      </c>
      <c r="AB267" s="345">
        <f t="shared" si="78"/>
        <v>0</v>
      </c>
      <c r="AC267" s="345">
        <f t="shared" si="79"/>
        <v>0</v>
      </c>
      <c r="AD267" s="345">
        <f t="shared" si="80"/>
        <v>0</v>
      </c>
      <c r="AE267" s="345">
        <f t="shared" si="81"/>
        <v>0</v>
      </c>
      <c r="AF267" s="322">
        <f t="shared" si="82"/>
        <v>0</v>
      </c>
    </row>
    <row r="268" spans="2:33" ht="20.100000000000001" customHeight="1" x14ac:dyDescent="0.2">
      <c r="J268" s="271" t="s">
        <v>69</v>
      </c>
      <c r="K268" s="364" t="e">
        <f t="shared" si="73"/>
        <v>#N/A</v>
      </c>
      <c r="L268" s="364" t="e">
        <f t="shared" si="73"/>
        <v>#N/A</v>
      </c>
      <c r="M268" s="364" t="e">
        <f t="shared" si="73"/>
        <v>#N/A</v>
      </c>
      <c r="N268" s="364" t="e">
        <f t="shared" si="73"/>
        <v>#N/A</v>
      </c>
      <c r="O268" s="364" t="e">
        <f t="shared" si="73"/>
        <v>#N/A</v>
      </c>
      <c r="P268" s="151" t="e">
        <f t="shared" si="73"/>
        <v>#N/A</v>
      </c>
      <c r="R268" s="271" t="s">
        <v>69</v>
      </c>
      <c r="S268" s="364">
        <f t="shared" ref="S268:X268" si="84">IFERROR(K268*S260/K260,0)</f>
        <v>0</v>
      </c>
      <c r="T268" s="364">
        <f t="shared" si="84"/>
        <v>0</v>
      </c>
      <c r="U268" s="364">
        <f t="shared" si="84"/>
        <v>0</v>
      </c>
      <c r="V268" s="364">
        <f t="shared" si="84"/>
        <v>0</v>
      </c>
      <c r="W268" s="364">
        <f t="shared" si="84"/>
        <v>0</v>
      </c>
      <c r="X268" s="151">
        <f t="shared" si="84"/>
        <v>0</v>
      </c>
      <c r="Z268" s="271" t="s">
        <v>69</v>
      </c>
      <c r="AA268" s="364">
        <f t="shared" si="77"/>
        <v>0</v>
      </c>
      <c r="AB268" s="364">
        <f t="shared" si="78"/>
        <v>0</v>
      </c>
      <c r="AC268" s="364">
        <f t="shared" si="79"/>
        <v>0</v>
      </c>
      <c r="AD268" s="364">
        <f t="shared" si="80"/>
        <v>0</v>
      </c>
      <c r="AE268" s="364">
        <f t="shared" si="81"/>
        <v>0</v>
      </c>
      <c r="AF268" s="151">
        <f t="shared" si="82"/>
        <v>0</v>
      </c>
    </row>
    <row r="269" spans="2:33" ht="20.100000000000001" customHeight="1" x14ac:dyDescent="0.2">
      <c r="J269" s="287" t="s">
        <v>59</v>
      </c>
      <c r="K269" s="358" t="e">
        <f t="shared" si="73"/>
        <v>#N/A</v>
      </c>
      <c r="L269" s="358" t="e">
        <f t="shared" si="73"/>
        <v>#N/A</v>
      </c>
      <c r="M269" s="358" t="e">
        <f t="shared" si="73"/>
        <v>#N/A</v>
      </c>
      <c r="N269" s="358" t="e">
        <f t="shared" si="73"/>
        <v>#N/A</v>
      </c>
      <c r="O269" s="358" t="e">
        <f t="shared" si="73"/>
        <v>#N/A</v>
      </c>
      <c r="P269" s="286" t="e">
        <f t="shared" si="73"/>
        <v>#N/A</v>
      </c>
      <c r="R269" s="287" t="s">
        <v>59</v>
      </c>
      <c r="S269" s="358">
        <f t="shared" ref="S269:X269" si="85">IFERROR(K269*S261/K261,0)</f>
        <v>0</v>
      </c>
      <c r="T269" s="358">
        <f t="shared" si="85"/>
        <v>0</v>
      </c>
      <c r="U269" s="358">
        <f t="shared" si="85"/>
        <v>0</v>
      </c>
      <c r="V269" s="358">
        <f t="shared" si="85"/>
        <v>0</v>
      </c>
      <c r="W269" s="358">
        <f t="shared" si="85"/>
        <v>0</v>
      </c>
      <c r="X269" s="286">
        <f t="shared" si="85"/>
        <v>0</v>
      </c>
      <c r="Z269" s="287" t="s">
        <v>59</v>
      </c>
      <c r="AA269" s="358">
        <f t="shared" si="77"/>
        <v>0</v>
      </c>
      <c r="AB269" s="358">
        <f t="shared" si="78"/>
        <v>0</v>
      </c>
      <c r="AC269" s="358">
        <f t="shared" si="79"/>
        <v>0</v>
      </c>
      <c r="AD269" s="358">
        <f t="shared" si="80"/>
        <v>0</v>
      </c>
      <c r="AE269" s="358">
        <f t="shared" si="81"/>
        <v>0</v>
      </c>
      <c r="AF269" s="286">
        <f t="shared" si="82"/>
        <v>0</v>
      </c>
    </row>
    <row r="270" spans="2:33" ht="19.5" customHeight="1" x14ac:dyDescent="0.2">
      <c r="S270" s="238"/>
      <c r="T270" s="238"/>
      <c r="U270" s="238"/>
      <c r="V270" s="238"/>
      <c r="W270" s="238"/>
      <c r="X270" s="238"/>
    </row>
    <row r="271" spans="2:33" ht="19.5" customHeight="1" x14ac:dyDescent="0.2">
      <c r="B271" s="264"/>
      <c r="C271" s="1234" t="s">
        <v>37</v>
      </c>
      <c r="D271" s="1235"/>
      <c r="E271" s="1236" t="s">
        <v>590</v>
      </c>
      <c r="F271" s="1237"/>
      <c r="G271" s="1236" t="s">
        <v>591</v>
      </c>
      <c r="H271" s="1237"/>
      <c r="S271" s="238"/>
      <c r="T271" s="238"/>
      <c r="U271" s="238"/>
      <c r="V271" s="238"/>
      <c r="W271" s="238"/>
      <c r="X271" s="238"/>
    </row>
    <row r="272" spans="2:33" ht="19.5" customHeight="1" x14ac:dyDescent="0.2">
      <c r="B272" s="282" t="s">
        <v>585</v>
      </c>
      <c r="C272" s="40" t="s">
        <v>592</v>
      </c>
      <c r="D272" s="288" t="s">
        <v>593</v>
      </c>
      <c r="E272" s="40" t="s">
        <v>592</v>
      </c>
      <c r="F272" s="288" t="s">
        <v>593</v>
      </c>
      <c r="G272" s="40" t="s">
        <v>592</v>
      </c>
      <c r="H272" s="288" t="s">
        <v>593</v>
      </c>
      <c r="S272" s="238"/>
      <c r="T272" s="238"/>
      <c r="U272" s="238"/>
      <c r="V272" s="238"/>
      <c r="W272" s="238"/>
      <c r="X272" s="238"/>
    </row>
    <row r="273" spans="2:32" ht="19.5" customHeight="1" x14ac:dyDescent="0.2">
      <c r="B273" s="178" t="s">
        <v>66</v>
      </c>
      <c r="C273" s="275">
        <f t="array" ref="C273:C277">IFERROR(MROUND(N265:N269-K265:K269,5),0)</f>
        <v>0</v>
      </c>
      <c r="D273" s="210" t="str">
        <f>IFERROR(C273/SUM(C$273:C$277),"-")</f>
        <v>-</v>
      </c>
      <c r="E273" s="275">
        <f t="array" ref="E273:E277">IFERROR(MROUND(V265:V269-S265:S269,5),"x")</f>
        <v>0</v>
      </c>
      <c r="F273" s="210" t="str">
        <f>IFERROR(E273/SUM(E$273:E$277),"-")</f>
        <v>-</v>
      </c>
      <c r="G273" s="275">
        <f t="array" ref="G273:G277">IFERROR(MROUND(AD265:AD269-AA265:AA269,5),0)</f>
        <v>0</v>
      </c>
      <c r="H273" s="210" t="str">
        <f>IFERROR(G273/SUM(G$273:G$277),"-")</f>
        <v>-</v>
      </c>
      <c r="S273" s="238"/>
      <c r="T273" s="238"/>
      <c r="U273" s="238"/>
      <c r="V273" s="238"/>
      <c r="W273" s="238"/>
      <c r="X273" s="238"/>
    </row>
    <row r="274" spans="2:32" ht="19.5" customHeight="1" x14ac:dyDescent="0.2">
      <c r="B274" s="278" t="s">
        <v>586</v>
      </c>
      <c r="C274" s="290">
        <v>0</v>
      </c>
      <c r="D274" s="73" t="str">
        <f t="shared" ref="D274:D277" si="86">IFERROR(C274/SUM(C$273:C$277),"-")</f>
        <v>-</v>
      </c>
      <c r="E274" s="290">
        <v>0</v>
      </c>
      <c r="F274" s="73" t="str">
        <f t="shared" ref="F274:F277" si="87">IFERROR(E274/SUM(E$273:E$277),"-")</f>
        <v>-</v>
      </c>
      <c r="G274" s="290">
        <v>0</v>
      </c>
      <c r="H274" s="73" t="str">
        <f t="shared" ref="H274:H277" si="88">IFERROR(G274/SUM(G$273:G$277),"-")</f>
        <v>-</v>
      </c>
      <c r="S274" s="238"/>
      <c r="T274" s="238"/>
      <c r="U274" s="238"/>
      <c r="V274" s="238"/>
      <c r="W274" s="238"/>
      <c r="X274" s="238"/>
    </row>
    <row r="275" spans="2:32" ht="19.5" customHeight="1" x14ac:dyDescent="0.2">
      <c r="B275" s="121" t="s">
        <v>587</v>
      </c>
      <c r="C275" s="217">
        <v>0</v>
      </c>
      <c r="D275" s="135" t="str">
        <f t="shared" si="86"/>
        <v>-</v>
      </c>
      <c r="E275" s="217">
        <v>0</v>
      </c>
      <c r="F275" s="135" t="str">
        <f t="shared" si="87"/>
        <v>-</v>
      </c>
      <c r="G275" s="217">
        <v>0</v>
      </c>
      <c r="H275" s="135" t="str">
        <f t="shared" si="88"/>
        <v>-</v>
      </c>
      <c r="S275" s="238"/>
      <c r="T275" s="238"/>
      <c r="U275" s="238"/>
      <c r="V275" s="238"/>
      <c r="W275" s="238"/>
      <c r="X275" s="238"/>
    </row>
    <row r="276" spans="2:32" ht="19.5" customHeight="1" x14ac:dyDescent="0.2">
      <c r="B276" s="267" t="s">
        <v>588</v>
      </c>
      <c r="C276" s="290">
        <v>0</v>
      </c>
      <c r="D276" s="73" t="str">
        <f t="shared" si="86"/>
        <v>-</v>
      </c>
      <c r="E276" s="290">
        <v>0</v>
      </c>
      <c r="F276" s="73" t="str">
        <f t="shared" si="87"/>
        <v>-</v>
      </c>
      <c r="G276" s="290">
        <v>0</v>
      </c>
      <c r="H276" s="73" t="str">
        <f t="shared" si="88"/>
        <v>-</v>
      </c>
      <c r="S276" s="238"/>
      <c r="T276" s="238"/>
      <c r="U276" s="238"/>
      <c r="V276" s="238"/>
      <c r="W276" s="238"/>
      <c r="X276" s="238"/>
    </row>
    <row r="277" spans="2:32" ht="19.5" customHeight="1" x14ac:dyDescent="0.2">
      <c r="B277" s="61" t="s">
        <v>589</v>
      </c>
      <c r="C277" s="409">
        <v>0</v>
      </c>
      <c r="D277" s="195" t="str">
        <f t="shared" si="86"/>
        <v>-</v>
      </c>
      <c r="E277" s="409">
        <v>0</v>
      </c>
      <c r="F277" s="195" t="str">
        <f t="shared" si="87"/>
        <v>-</v>
      </c>
      <c r="G277" s="409">
        <v>0</v>
      </c>
      <c r="H277" s="195" t="str">
        <f t="shared" si="88"/>
        <v>-</v>
      </c>
      <c r="S277" s="238"/>
      <c r="T277" s="238"/>
      <c r="U277" s="238"/>
      <c r="V277" s="238"/>
      <c r="W277" s="238"/>
      <c r="X277" s="238"/>
    </row>
    <row r="278" spans="2:32" ht="19.5" customHeight="1" x14ac:dyDescent="0.2">
      <c r="S278" s="238"/>
      <c r="T278" s="238"/>
      <c r="U278" s="238"/>
      <c r="V278" s="238"/>
      <c r="W278" s="238"/>
      <c r="X278" s="238"/>
    </row>
    <row r="279" spans="2:32" ht="20.100000000000001" customHeight="1" x14ac:dyDescent="0.2">
      <c r="S279" s="238"/>
      <c r="T279" s="238"/>
      <c r="U279" s="238"/>
      <c r="V279" s="238"/>
      <c r="W279" s="238"/>
      <c r="X279" s="238"/>
    </row>
    <row r="280" spans="2:32" ht="30" customHeight="1" x14ac:dyDescent="0.2">
      <c r="B280" s="175" t="s">
        <v>569</v>
      </c>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c r="AA280" s="310"/>
      <c r="AB280" s="310"/>
      <c r="AC280" s="310"/>
      <c r="AD280" s="310"/>
      <c r="AE280" s="310"/>
      <c r="AF280" s="310"/>
    </row>
    <row r="282" spans="2:32" ht="20.100000000000001" customHeight="1" x14ac:dyDescent="0.2">
      <c r="B282" s="203" t="s">
        <v>570</v>
      </c>
      <c r="C282" s="149"/>
      <c r="D282" s="149"/>
      <c r="E282" s="149"/>
      <c r="F282" s="149"/>
      <c r="G282" s="149"/>
      <c r="H282" s="256"/>
      <c r="J282" s="203" t="s">
        <v>571</v>
      </c>
      <c r="K282" s="149"/>
      <c r="L282" s="149"/>
      <c r="M282" s="149"/>
      <c r="N282" s="149"/>
      <c r="O282" s="149"/>
      <c r="P282" s="256"/>
      <c r="R282" s="203" t="s">
        <v>572</v>
      </c>
      <c r="S282" s="149"/>
      <c r="T282" s="149"/>
      <c r="U282" s="149"/>
      <c r="V282" s="149"/>
      <c r="W282" s="149"/>
      <c r="X282" s="256"/>
      <c r="Z282" s="203" t="s">
        <v>572</v>
      </c>
      <c r="AA282" s="149"/>
      <c r="AB282" s="149"/>
      <c r="AC282" s="149"/>
      <c r="AD282" s="149"/>
      <c r="AE282" s="149"/>
      <c r="AF282" s="256"/>
    </row>
    <row r="283" spans="2:32" ht="20.100000000000001" customHeight="1" x14ac:dyDescent="0.2">
      <c r="B283" s="330"/>
      <c r="C283" s="215">
        <f t="array" ref="C283:H286">L185:Q188</f>
        <v>2021</v>
      </c>
      <c r="D283" s="213">
        <v>2025</v>
      </c>
      <c r="E283" s="213">
        <v>2030</v>
      </c>
      <c r="F283" s="213">
        <v>2035</v>
      </c>
      <c r="G283" s="213">
        <v>2040</v>
      </c>
      <c r="H283" s="183">
        <v>2045</v>
      </c>
      <c r="J283" s="330"/>
      <c r="K283" s="215">
        <f t="array" ref="K283:P283">C283:H283</f>
        <v>2021</v>
      </c>
      <c r="L283" s="213">
        <v>2025</v>
      </c>
      <c r="M283" s="213">
        <v>2030</v>
      </c>
      <c r="N283" s="213">
        <v>2035</v>
      </c>
      <c r="O283" s="213">
        <v>2040</v>
      </c>
      <c r="P283" s="183">
        <v>2045</v>
      </c>
      <c r="R283" s="330"/>
      <c r="S283" s="215">
        <f t="array" ref="S283:X283">K283:P283</f>
        <v>2021</v>
      </c>
      <c r="T283" s="213">
        <v>2025</v>
      </c>
      <c r="U283" s="213">
        <v>2030</v>
      </c>
      <c r="V283" s="213">
        <v>2035</v>
      </c>
      <c r="W283" s="213">
        <v>2040</v>
      </c>
      <c r="X283" s="183">
        <v>2045</v>
      </c>
      <c r="Z283" s="330"/>
      <c r="AA283" s="215">
        <f t="array" ref="AA283:AF283">S283:X283</f>
        <v>2021</v>
      </c>
      <c r="AB283" s="213">
        <v>2025</v>
      </c>
      <c r="AC283" s="213">
        <v>2030</v>
      </c>
      <c r="AD283" s="213">
        <v>2035</v>
      </c>
      <c r="AE283" s="213">
        <v>2040</v>
      </c>
      <c r="AF283" s="183">
        <v>2045</v>
      </c>
    </row>
    <row r="284" spans="2:32" ht="20.100000000000001" customHeight="1" x14ac:dyDescent="0.2">
      <c r="B284" s="211" t="s">
        <v>76</v>
      </c>
      <c r="C284" s="339">
        <v>0</v>
      </c>
      <c r="D284" s="327">
        <v>0</v>
      </c>
      <c r="E284" s="327">
        <v>0</v>
      </c>
      <c r="F284" s="327">
        <v>0</v>
      </c>
      <c r="G284" s="327">
        <v>0</v>
      </c>
      <c r="H284" s="46">
        <v>0</v>
      </c>
      <c r="I284" s="239"/>
      <c r="J284" s="211" t="s">
        <v>76</v>
      </c>
      <c r="K284" s="339" t="e">
        <f t="array" ref="K284:K286">dwell!C92:C94</f>
        <v>#N/A</v>
      </c>
      <c r="L284" s="327" t="e">
        <f>IF($K284=0,K284+(D284-C284),K284*D284/C284)</f>
        <v>#N/A</v>
      </c>
      <c r="M284" s="327" t="e">
        <f t="shared" ref="M284:P284" si="89">IF($K284=0,L284+(E284-D284),L284*E284/D284)</f>
        <v>#N/A</v>
      </c>
      <c r="N284" s="327" t="e">
        <f t="shared" si="89"/>
        <v>#N/A</v>
      </c>
      <c r="O284" s="327" t="e">
        <f t="shared" si="89"/>
        <v>#N/A</v>
      </c>
      <c r="P284" s="46" t="e">
        <f t="shared" si="89"/>
        <v>#N/A</v>
      </c>
      <c r="R284" s="211" t="s">
        <v>76</v>
      </c>
      <c r="S284" s="339" t="e">
        <f t="shared" ref="S284:X286" si="90">K284*E$241/SUM(K$284:K$286)</f>
        <v>#N/A</v>
      </c>
      <c r="T284" s="327" t="e">
        <f t="shared" si="90"/>
        <v>#N/A</v>
      </c>
      <c r="U284" s="327" t="e">
        <f t="shared" si="90"/>
        <v>#N/A</v>
      </c>
      <c r="V284" s="327" t="e">
        <f t="shared" si="90"/>
        <v>#N/A</v>
      </c>
      <c r="W284" s="327" t="e">
        <f t="shared" si="90"/>
        <v>#N/A</v>
      </c>
      <c r="X284" s="46" t="e">
        <f t="shared" si="90"/>
        <v>#N/A</v>
      </c>
      <c r="Z284" s="211" t="s">
        <v>1359</v>
      </c>
      <c r="AA284" s="339" t="e">
        <f>SUM(S284,S286)</f>
        <v>#N/A</v>
      </c>
      <c r="AB284" s="327" t="e">
        <f t="shared" ref="AB284:AF284" si="91">SUM(T284,T286)</f>
        <v>#N/A</v>
      </c>
      <c r="AC284" s="327" t="e">
        <f t="shared" si="91"/>
        <v>#N/A</v>
      </c>
      <c r="AD284" s="327" t="e">
        <f t="shared" si="91"/>
        <v>#N/A</v>
      </c>
      <c r="AE284" s="327" t="e">
        <f t="shared" si="91"/>
        <v>#N/A</v>
      </c>
      <c r="AF284" s="46" t="e">
        <f t="shared" si="91"/>
        <v>#N/A</v>
      </c>
    </row>
    <row r="285" spans="2:32" ht="20.100000000000001" customHeight="1" x14ac:dyDescent="0.2">
      <c r="B285" s="305" t="s">
        <v>77</v>
      </c>
      <c r="C285" s="333">
        <v>0</v>
      </c>
      <c r="D285" s="364">
        <v>0</v>
      </c>
      <c r="E285" s="364">
        <v>0</v>
      </c>
      <c r="F285" s="364">
        <v>0</v>
      </c>
      <c r="G285" s="364">
        <v>0</v>
      </c>
      <c r="H285" s="151">
        <v>0</v>
      </c>
      <c r="I285" s="239"/>
      <c r="J285" s="305" t="s">
        <v>77</v>
      </c>
      <c r="K285" s="333" t="e">
        <v>#N/A</v>
      </c>
      <c r="L285" s="364" t="e">
        <f>IF($K285=0,K285+(D285-C285)/2,K285*D285/C285)</f>
        <v>#N/A</v>
      </c>
      <c r="M285" s="364" t="e">
        <f t="shared" ref="M285:P285" si="92">IF($K285=0,L285+(E285-D285)/2,L285*E285/D285)</f>
        <v>#N/A</v>
      </c>
      <c r="N285" s="364" t="e">
        <f t="shared" si="92"/>
        <v>#N/A</v>
      </c>
      <c r="O285" s="364" t="e">
        <f t="shared" si="92"/>
        <v>#N/A</v>
      </c>
      <c r="P285" s="151" t="e">
        <f t="shared" si="92"/>
        <v>#N/A</v>
      </c>
      <c r="R285" s="305" t="s">
        <v>77</v>
      </c>
      <c r="S285" s="333" t="e">
        <f t="shared" si="90"/>
        <v>#N/A</v>
      </c>
      <c r="T285" s="364" t="e">
        <f t="shared" si="90"/>
        <v>#N/A</v>
      </c>
      <c r="U285" s="364" t="e">
        <f t="shared" si="90"/>
        <v>#N/A</v>
      </c>
      <c r="V285" s="364" t="e">
        <f t="shared" si="90"/>
        <v>#N/A</v>
      </c>
      <c r="W285" s="364" t="e">
        <f t="shared" si="90"/>
        <v>#N/A</v>
      </c>
      <c r="X285" s="151" t="e">
        <f t="shared" si="90"/>
        <v>#N/A</v>
      </c>
      <c r="Z285" s="265" t="s">
        <v>77</v>
      </c>
      <c r="AA285" s="307" t="e">
        <f>S285</f>
        <v>#N/A</v>
      </c>
      <c r="AB285" s="375" t="e">
        <f t="shared" ref="AB285:AF285" si="93">T285</f>
        <v>#N/A</v>
      </c>
      <c r="AC285" s="375" t="e">
        <f t="shared" si="93"/>
        <v>#N/A</v>
      </c>
      <c r="AD285" s="375" t="e">
        <f t="shared" si="93"/>
        <v>#N/A</v>
      </c>
      <c r="AE285" s="375" t="e">
        <f t="shared" si="93"/>
        <v>#N/A</v>
      </c>
      <c r="AF285" s="414" t="e">
        <f t="shared" si="93"/>
        <v>#N/A</v>
      </c>
    </row>
    <row r="286" spans="2:32" ht="20.100000000000001" customHeight="1" x14ac:dyDescent="0.2">
      <c r="B286" s="287" t="s">
        <v>78</v>
      </c>
      <c r="C286" s="202">
        <v>0</v>
      </c>
      <c r="D286" s="358">
        <v>0</v>
      </c>
      <c r="E286" s="358">
        <v>0</v>
      </c>
      <c r="F286" s="358">
        <v>0</v>
      </c>
      <c r="G286" s="358">
        <v>0</v>
      </c>
      <c r="H286" s="286">
        <v>0</v>
      </c>
      <c r="I286" s="239"/>
      <c r="J286" s="287" t="s">
        <v>78</v>
      </c>
      <c r="K286" s="202" t="e">
        <v>#N/A</v>
      </c>
      <c r="L286" s="358" t="e">
        <f>IF($K286=0,K286+(D286-C286),K286*D286/C286)</f>
        <v>#N/A</v>
      </c>
      <c r="M286" s="358" t="e">
        <f t="shared" ref="M286:P286" si="94">IF($K286=0,L286+(E286-D286),L286*E286/D286)</f>
        <v>#N/A</v>
      </c>
      <c r="N286" s="358" t="e">
        <f t="shared" si="94"/>
        <v>#N/A</v>
      </c>
      <c r="O286" s="358" t="e">
        <f t="shared" si="94"/>
        <v>#N/A</v>
      </c>
      <c r="P286" s="286" t="e">
        <f t="shared" si="94"/>
        <v>#N/A</v>
      </c>
      <c r="R286" s="287" t="s">
        <v>78</v>
      </c>
      <c r="S286" s="202" t="e">
        <f t="shared" si="90"/>
        <v>#N/A</v>
      </c>
      <c r="T286" s="358" t="e">
        <f t="shared" si="90"/>
        <v>#N/A</v>
      </c>
      <c r="U286" s="358" t="e">
        <f t="shared" si="90"/>
        <v>#N/A</v>
      </c>
      <c r="V286" s="358" t="e">
        <f t="shared" si="90"/>
        <v>#N/A</v>
      </c>
      <c r="W286" s="358" t="e">
        <f t="shared" si="90"/>
        <v>#N/A</v>
      </c>
      <c r="X286" s="286" t="e">
        <f t="shared" si="90"/>
        <v>#N/A</v>
      </c>
      <c r="Z286" s="211" t="s">
        <v>1359</v>
      </c>
      <c r="AA286" s="339" t="e">
        <f t="shared" ref="AA286:AF287" si="95">MROUND(AA284-$AA284,5)</f>
        <v>#N/A</v>
      </c>
      <c r="AB286" s="327" t="e">
        <f t="shared" si="95"/>
        <v>#N/A</v>
      </c>
      <c r="AC286" s="327" t="e">
        <f t="shared" si="95"/>
        <v>#N/A</v>
      </c>
      <c r="AD286" s="327" t="e">
        <f t="shared" si="95"/>
        <v>#N/A</v>
      </c>
      <c r="AE286" s="327" t="e">
        <f t="shared" si="95"/>
        <v>#N/A</v>
      </c>
      <c r="AF286" s="46" t="e">
        <f t="shared" si="95"/>
        <v>#N/A</v>
      </c>
    </row>
    <row r="287" spans="2:32" ht="20.100000000000001" customHeight="1" x14ac:dyDescent="0.2">
      <c r="Z287" s="265" t="s">
        <v>77</v>
      </c>
      <c r="AA287" s="307" t="e">
        <f t="shared" si="95"/>
        <v>#N/A</v>
      </c>
      <c r="AB287" s="375" t="e">
        <f t="shared" si="95"/>
        <v>#N/A</v>
      </c>
      <c r="AC287" s="375" t="e">
        <f t="shared" si="95"/>
        <v>#N/A</v>
      </c>
      <c r="AD287" s="375" t="e">
        <f t="shared" si="95"/>
        <v>#N/A</v>
      </c>
      <c r="AE287" s="375" t="e">
        <f t="shared" si="95"/>
        <v>#N/A</v>
      </c>
      <c r="AF287" s="414" t="e">
        <f t="shared" si="95"/>
        <v>#N/A</v>
      </c>
    </row>
    <row r="288" spans="2:32" x14ac:dyDescent="0.2">
      <c r="AD288" t="e">
        <f>AD287/SUM(AD286:AD287)</f>
        <v>#N/A</v>
      </c>
    </row>
    <row r="303" spans="2:32" ht="30" customHeight="1" x14ac:dyDescent="0.2">
      <c r="B303" s="175" t="s">
        <v>573</v>
      </c>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c r="AA303" s="310"/>
      <c r="AB303" s="310"/>
      <c r="AC303" s="310"/>
      <c r="AD303" s="310"/>
      <c r="AE303" s="310"/>
      <c r="AF303" s="310"/>
    </row>
    <row r="304" spans="2:32" ht="20.100000000000001" customHeight="1" x14ac:dyDescent="0.2">
      <c r="B304" s="188"/>
    </row>
    <row r="305" spans="2:40" ht="20.100000000000001" customHeight="1" x14ac:dyDescent="0.2">
      <c r="B305" s="203" t="s">
        <v>574</v>
      </c>
      <c r="C305" s="149"/>
      <c r="D305" s="149"/>
      <c r="E305" s="149"/>
      <c r="F305" s="149"/>
      <c r="G305" s="149"/>
      <c r="H305" s="256"/>
      <c r="J305" s="203" t="s">
        <v>575</v>
      </c>
      <c r="K305" s="149"/>
      <c r="L305" s="149"/>
      <c r="M305" s="149"/>
      <c r="N305" s="149"/>
      <c r="O305" s="149"/>
      <c r="P305" s="256"/>
      <c r="R305" s="203" t="s">
        <v>576</v>
      </c>
      <c r="S305" s="149"/>
      <c r="T305" s="149"/>
      <c r="U305" s="149"/>
      <c r="V305" s="149"/>
      <c r="W305" s="149"/>
      <c r="X305" s="256"/>
    </row>
    <row r="306" spans="2:40" ht="20.100000000000001" customHeight="1" x14ac:dyDescent="0.2">
      <c r="B306" s="330"/>
      <c r="C306" s="215">
        <f t="array" ref="C306:H311">AC185:AH190</f>
        <v>2021</v>
      </c>
      <c r="D306" s="213">
        <v>2025</v>
      </c>
      <c r="E306" s="213">
        <v>2030</v>
      </c>
      <c r="F306" s="213">
        <v>2035</v>
      </c>
      <c r="G306" s="213">
        <v>2040</v>
      </c>
      <c r="H306" s="183">
        <v>2045</v>
      </c>
      <c r="J306" s="330"/>
      <c r="K306" s="215">
        <f t="array" ref="K306:P306">C306:H306</f>
        <v>2021</v>
      </c>
      <c r="L306" s="213">
        <v>2025</v>
      </c>
      <c r="M306" s="213">
        <v>2030</v>
      </c>
      <c r="N306" s="213">
        <v>2035</v>
      </c>
      <c r="O306" s="213">
        <v>2040</v>
      </c>
      <c r="P306" s="183">
        <v>2045</v>
      </c>
      <c r="R306" s="330"/>
      <c r="S306" s="215">
        <f t="array" ref="S306:X306">K306:P306</f>
        <v>2021</v>
      </c>
      <c r="T306" s="213">
        <v>2025</v>
      </c>
      <c r="U306" s="213">
        <v>2030</v>
      </c>
      <c r="V306" s="213">
        <v>2035</v>
      </c>
      <c r="W306" s="213">
        <v>2040</v>
      </c>
      <c r="X306" s="183">
        <v>2045</v>
      </c>
    </row>
    <row r="307" spans="2:40" ht="20.100000000000001" customHeight="1" x14ac:dyDescent="0.2">
      <c r="B307" s="211" t="s">
        <v>79</v>
      </c>
      <c r="C307" s="279">
        <v>0</v>
      </c>
      <c r="D307" s="44">
        <v>0</v>
      </c>
      <c r="E307" s="44">
        <v>0</v>
      </c>
      <c r="F307" s="44">
        <v>0</v>
      </c>
      <c r="G307" s="44">
        <v>0</v>
      </c>
      <c r="H307" s="93">
        <v>0</v>
      </c>
      <c r="J307" s="211" t="s">
        <v>79</v>
      </c>
      <c r="K307" s="279" t="e">
        <f t="array" ref="K307:K311">hh!D20:D24</f>
        <v>#N/A</v>
      </c>
      <c r="L307" s="44" t="e">
        <f>K307*D307/C307</f>
        <v>#N/A</v>
      </c>
      <c r="M307" s="44" t="e">
        <f>L307*E307/D307</f>
        <v>#N/A</v>
      </c>
      <c r="N307" s="44" t="e">
        <f>M307*F307/E307</f>
        <v>#N/A</v>
      </c>
      <c r="O307" s="44" t="e">
        <f>N307*G307/F307</f>
        <v>#N/A</v>
      </c>
      <c r="P307" s="93" t="e">
        <f>O307*H307/G307</f>
        <v>#N/A</v>
      </c>
      <c r="R307" s="211" t="s">
        <v>79</v>
      </c>
      <c r="S307" s="279" t="e">
        <f t="array" ref="S307:S311">K307:K311</f>
        <v>#N/A</v>
      </c>
      <c r="T307" s="44" t="e">
        <f t="shared" ref="T307:X311" si="96">L307*F$239/SUM(L$307:L$311)</f>
        <v>#N/A</v>
      </c>
      <c r="U307" s="44" t="e">
        <f t="shared" si="96"/>
        <v>#N/A</v>
      </c>
      <c r="V307" s="44" t="e">
        <f t="shared" si="96"/>
        <v>#N/A</v>
      </c>
      <c r="W307" s="44" t="e">
        <f t="shared" si="96"/>
        <v>#N/A</v>
      </c>
      <c r="X307" s="93" t="e">
        <f t="shared" si="96"/>
        <v>#N/A</v>
      </c>
      <c r="Z307" s="262"/>
    </row>
    <row r="308" spans="2:40" ht="20.100000000000001" customHeight="1" x14ac:dyDescent="0.2">
      <c r="B308" s="305" t="s">
        <v>80</v>
      </c>
      <c r="C308" s="410">
        <v>0</v>
      </c>
      <c r="D308" s="81">
        <v>0</v>
      </c>
      <c r="E308" s="81">
        <v>0</v>
      </c>
      <c r="F308" s="81">
        <v>0</v>
      </c>
      <c r="G308" s="81">
        <v>0</v>
      </c>
      <c r="H308" s="342">
        <v>0</v>
      </c>
      <c r="J308" s="305" t="s">
        <v>80</v>
      </c>
      <c r="K308" s="410" t="e">
        <v>#N/A</v>
      </c>
      <c r="L308" s="81" t="e">
        <f t="shared" ref="L308:N311" si="97">K308*D308/C308</f>
        <v>#N/A</v>
      </c>
      <c r="M308" s="81" t="e">
        <f t="shared" si="97"/>
        <v>#N/A</v>
      </c>
      <c r="N308" s="81" t="e">
        <f t="shared" si="97"/>
        <v>#N/A</v>
      </c>
      <c r="O308" s="81" t="e">
        <f t="shared" ref="O308:P311" si="98">N308*G308/F308</f>
        <v>#N/A</v>
      </c>
      <c r="P308" s="342" t="e">
        <f t="shared" si="98"/>
        <v>#N/A</v>
      </c>
      <c r="R308" s="305" t="s">
        <v>80</v>
      </c>
      <c r="S308" s="410" t="e">
        <v>#N/A</v>
      </c>
      <c r="T308" s="81" t="e">
        <f t="shared" si="96"/>
        <v>#N/A</v>
      </c>
      <c r="U308" s="81" t="e">
        <f t="shared" si="96"/>
        <v>#N/A</v>
      </c>
      <c r="V308" s="81" t="e">
        <f t="shared" si="96"/>
        <v>#N/A</v>
      </c>
      <c r="W308" s="81" t="e">
        <f t="shared" si="96"/>
        <v>#N/A</v>
      </c>
      <c r="X308" s="342" t="e">
        <f t="shared" si="96"/>
        <v>#N/A</v>
      </c>
      <c r="Z308" s="262"/>
    </row>
    <row r="309" spans="2:40" ht="20.100000000000001" customHeight="1" x14ac:dyDescent="0.2">
      <c r="B309" s="109" t="s">
        <v>81</v>
      </c>
      <c r="C309" s="245">
        <v>0</v>
      </c>
      <c r="D309" s="116">
        <v>0</v>
      </c>
      <c r="E309" s="116">
        <v>0</v>
      </c>
      <c r="F309" s="116">
        <v>0</v>
      </c>
      <c r="G309" s="116">
        <v>0</v>
      </c>
      <c r="H309" s="370">
        <v>0</v>
      </c>
      <c r="J309" s="109" t="s">
        <v>81</v>
      </c>
      <c r="K309" s="245" t="e">
        <v>#N/A</v>
      </c>
      <c r="L309" s="116" t="e">
        <f t="shared" si="97"/>
        <v>#N/A</v>
      </c>
      <c r="M309" s="116" t="e">
        <f t="shared" si="97"/>
        <v>#N/A</v>
      </c>
      <c r="N309" s="116" t="e">
        <f t="shared" si="97"/>
        <v>#N/A</v>
      </c>
      <c r="O309" s="116" t="e">
        <f t="shared" si="98"/>
        <v>#N/A</v>
      </c>
      <c r="P309" s="370" t="e">
        <f>O309*H309/G309</f>
        <v>#N/A</v>
      </c>
      <c r="R309" s="109" t="s">
        <v>81</v>
      </c>
      <c r="S309" s="245" t="e">
        <v>#N/A</v>
      </c>
      <c r="T309" s="116" t="e">
        <f t="shared" si="96"/>
        <v>#N/A</v>
      </c>
      <c r="U309" s="116" t="e">
        <f t="shared" si="96"/>
        <v>#N/A</v>
      </c>
      <c r="V309" s="116" t="e">
        <f t="shared" si="96"/>
        <v>#N/A</v>
      </c>
      <c r="W309" s="116" t="e">
        <f t="shared" si="96"/>
        <v>#N/A</v>
      </c>
      <c r="X309" s="370" t="e">
        <f t="shared" si="96"/>
        <v>#N/A</v>
      </c>
      <c r="Z309" s="262"/>
    </row>
    <row r="310" spans="2:40" ht="20.100000000000001" customHeight="1" x14ac:dyDescent="0.2">
      <c r="B310" s="271" t="s">
        <v>136</v>
      </c>
      <c r="C310" s="410">
        <v>0</v>
      </c>
      <c r="D310" s="81">
        <v>0</v>
      </c>
      <c r="E310" s="81">
        <v>0</v>
      </c>
      <c r="F310" s="81">
        <v>0</v>
      </c>
      <c r="G310" s="81">
        <v>0</v>
      </c>
      <c r="H310" s="342">
        <v>0</v>
      </c>
      <c r="J310" s="271" t="s">
        <v>136</v>
      </c>
      <c r="K310" s="410" t="e">
        <v>#N/A</v>
      </c>
      <c r="L310" s="81" t="e">
        <f t="shared" si="97"/>
        <v>#N/A</v>
      </c>
      <c r="M310" s="81" t="e">
        <f t="shared" si="97"/>
        <v>#N/A</v>
      </c>
      <c r="N310" s="81" t="e">
        <f t="shared" si="97"/>
        <v>#N/A</v>
      </c>
      <c r="O310" s="81" t="e">
        <f t="shared" si="98"/>
        <v>#N/A</v>
      </c>
      <c r="P310" s="342" t="e">
        <f>O310*H310/G310</f>
        <v>#N/A</v>
      </c>
      <c r="R310" s="271" t="s">
        <v>136</v>
      </c>
      <c r="S310" s="410" t="e">
        <v>#N/A</v>
      </c>
      <c r="T310" s="81" t="e">
        <f t="shared" si="96"/>
        <v>#N/A</v>
      </c>
      <c r="U310" s="81" t="e">
        <f t="shared" si="96"/>
        <v>#N/A</v>
      </c>
      <c r="V310" s="81" t="e">
        <f t="shared" si="96"/>
        <v>#N/A</v>
      </c>
      <c r="W310" s="81" t="e">
        <f t="shared" si="96"/>
        <v>#N/A</v>
      </c>
      <c r="X310" s="342" t="e">
        <f t="shared" si="96"/>
        <v>#N/A</v>
      </c>
      <c r="Z310" s="262"/>
    </row>
    <row r="311" spans="2:40" ht="20.100000000000001" customHeight="1" x14ac:dyDescent="0.2">
      <c r="B311" s="287" t="s">
        <v>82</v>
      </c>
      <c r="C311" s="356">
        <v>0</v>
      </c>
      <c r="D311" s="191">
        <v>0</v>
      </c>
      <c r="E311" s="191">
        <v>0</v>
      </c>
      <c r="F311" s="191">
        <v>0</v>
      </c>
      <c r="G311" s="191">
        <v>0</v>
      </c>
      <c r="H311" s="170">
        <v>0</v>
      </c>
      <c r="J311" s="287" t="s">
        <v>82</v>
      </c>
      <c r="K311" s="356" t="e">
        <v>#N/A</v>
      </c>
      <c r="L311" s="191" t="e">
        <f t="shared" si="97"/>
        <v>#N/A</v>
      </c>
      <c r="M311" s="191" t="e">
        <f t="shared" si="97"/>
        <v>#N/A</v>
      </c>
      <c r="N311" s="191" t="e">
        <f t="shared" si="97"/>
        <v>#N/A</v>
      </c>
      <c r="O311" s="191" t="e">
        <f t="shared" si="98"/>
        <v>#N/A</v>
      </c>
      <c r="P311" s="170" t="e">
        <f>O311*H311/G311</f>
        <v>#N/A</v>
      </c>
      <c r="R311" s="287" t="s">
        <v>82</v>
      </c>
      <c r="S311" s="356" t="e">
        <v>#N/A</v>
      </c>
      <c r="T311" s="191" t="e">
        <f t="shared" si="96"/>
        <v>#N/A</v>
      </c>
      <c r="U311" s="191" t="e">
        <f t="shared" si="96"/>
        <v>#N/A</v>
      </c>
      <c r="V311" s="191" t="e">
        <f t="shared" si="96"/>
        <v>#N/A</v>
      </c>
      <c r="W311" s="191" t="e">
        <f t="shared" si="96"/>
        <v>#N/A</v>
      </c>
      <c r="X311" s="170" t="e">
        <f t="shared" si="96"/>
        <v>#N/A</v>
      </c>
      <c r="Z311" s="262"/>
    </row>
    <row r="314" spans="2:40" ht="30" customHeight="1" x14ac:dyDescent="0.2">
      <c r="B314" s="175" t="s">
        <v>583</v>
      </c>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c r="AA314" s="310"/>
      <c r="AB314" s="310"/>
      <c r="AC314" s="310"/>
      <c r="AD314" s="310"/>
      <c r="AE314" s="310"/>
      <c r="AF314" s="310"/>
    </row>
    <row r="315" spans="2:40" ht="20.100000000000001" customHeight="1" x14ac:dyDescent="0.2">
      <c r="B315" s="188"/>
    </row>
    <row r="316" spans="2:40" ht="20.100000000000001" customHeight="1" x14ac:dyDescent="0.2">
      <c r="B316" s="203" t="s">
        <v>577</v>
      </c>
      <c r="C316" s="149"/>
      <c r="D316" s="149"/>
      <c r="E316" s="149"/>
      <c r="F316" s="149"/>
      <c r="G316" s="149"/>
      <c r="H316" s="256"/>
      <c r="J316" s="203" t="s">
        <v>578</v>
      </c>
      <c r="K316" s="149"/>
      <c r="L316" s="149"/>
      <c r="M316" s="149"/>
      <c r="N316" s="149"/>
      <c r="O316" s="149"/>
      <c r="P316" s="256"/>
      <c r="R316" s="203" t="s">
        <v>579</v>
      </c>
      <c r="S316" s="149"/>
      <c r="T316" s="149"/>
      <c r="U316" s="149"/>
      <c r="V316" s="149"/>
      <c r="W316" s="149"/>
      <c r="X316" s="256"/>
      <c r="Z316" s="203" t="s">
        <v>581</v>
      </c>
      <c r="AA316" s="149"/>
      <c r="AB316" s="149"/>
      <c r="AC316" s="149"/>
      <c r="AD316" s="149"/>
      <c r="AE316" s="149"/>
      <c r="AF316" s="256"/>
      <c r="AH316" s="203" t="s">
        <v>580</v>
      </c>
      <c r="AI316" s="149"/>
      <c r="AJ316" s="149"/>
      <c r="AK316" s="149"/>
      <c r="AL316" s="149"/>
      <c r="AM316" s="149"/>
      <c r="AN316" s="256"/>
    </row>
    <row r="317" spans="2:40" ht="20.100000000000001" customHeight="1" x14ac:dyDescent="0.2">
      <c r="B317" s="330"/>
      <c r="C317" s="215">
        <f t="array" ref="C317:H322">L216:Q221</f>
        <v>2021</v>
      </c>
      <c r="D317" s="213">
        <v>2025</v>
      </c>
      <c r="E317" s="213">
        <v>2030</v>
      </c>
      <c r="F317" s="213">
        <v>2035</v>
      </c>
      <c r="G317" s="213">
        <v>2040</v>
      </c>
      <c r="H317" s="183">
        <v>2045</v>
      </c>
      <c r="J317" s="330"/>
      <c r="K317" s="215">
        <f t="array" ref="K317:P317">C317:H317</f>
        <v>2021</v>
      </c>
      <c r="L317" s="213">
        <v>2025</v>
      </c>
      <c r="M317" s="213">
        <v>2030</v>
      </c>
      <c r="N317" s="213">
        <v>2035</v>
      </c>
      <c r="O317" s="213">
        <v>2040</v>
      </c>
      <c r="P317" s="183">
        <v>2045</v>
      </c>
      <c r="R317" s="330"/>
      <c r="S317" s="215">
        <f t="array" ref="S317:X317">K317:P317</f>
        <v>2021</v>
      </c>
      <c r="T317" s="213">
        <v>2025</v>
      </c>
      <c r="U317" s="213">
        <v>2030</v>
      </c>
      <c r="V317" s="213">
        <v>2035</v>
      </c>
      <c r="W317" s="213">
        <v>2040</v>
      </c>
      <c r="X317" s="183">
        <v>2045</v>
      </c>
      <c r="Z317" s="330"/>
      <c r="AA317" s="215">
        <f t="array" ref="AA317:AF317">S317:X317</f>
        <v>2021</v>
      </c>
      <c r="AB317" s="213">
        <v>2025</v>
      </c>
      <c r="AC317" s="213">
        <v>2030</v>
      </c>
      <c r="AD317" s="213">
        <v>2035</v>
      </c>
      <c r="AE317" s="213">
        <v>2040</v>
      </c>
      <c r="AF317" s="183">
        <v>2045</v>
      </c>
      <c r="AH317" s="330"/>
      <c r="AI317" s="215">
        <f t="array" ref="AI317:AN317">S317:X317</f>
        <v>2021</v>
      </c>
      <c r="AJ317" s="213">
        <v>2025</v>
      </c>
      <c r="AK317" s="213">
        <v>2030</v>
      </c>
      <c r="AL317" s="213">
        <v>2035</v>
      </c>
      <c r="AM317" s="213">
        <v>2040</v>
      </c>
      <c r="AN317" s="183">
        <v>2045</v>
      </c>
    </row>
    <row r="318" spans="2:40" ht="20.100000000000001" customHeight="1" x14ac:dyDescent="0.2">
      <c r="B318" s="211" t="s">
        <v>98</v>
      </c>
      <c r="C318" s="279">
        <v>0</v>
      </c>
      <c r="D318" s="44">
        <v>0</v>
      </c>
      <c r="E318" s="44">
        <v>0</v>
      </c>
      <c r="F318" s="44">
        <v>0</v>
      </c>
      <c r="G318" s="44">
        <v>0</v>
      </c>
      <c r="H318" s="93">
        <v>0</v>
      </c>
      <c r="J318" s="211" t="s">
        <v>98</v>
      </c>
      <c r="K318" s="285" t="e">
        <f>C318/SUM(C$318:C$322)</f>
        <v>#DIV/0!</v>
      </c>
      <c r="L318" s="362" t="e">
        <f t="shared" ref="L318:P322" si="99">D318/SUM(D$318:D$322)</f>
        <v>#DIV/0!</v>
      </c>
      <c r="M318" s="362" t="e">
        <f t="shared" si="99"/>
        <v>#DIV/0!</v>
      </c>
      <c r="N318" s="362" t="e">
        <f t="shared" si="99"/>
        <v>#DIV/0!</v>
      </c>
      <c r="O318" s="362" t="e">
        <f t="shared" si="99"/>
        <v>#DIV/0!</v>
      </c>
      <c r="P318" s="325" t="e">
        <f t="shared" si="99"/>
        <v>#DIV/0!</v>
      </c>
      <c r="R318" s="211" t="s">
        <v>98</v>
      </c>
      <c r="S318" s="285" t="e">
        <f t="array" ref="S318:S322">IF(TRANSPOSE(income!D99:H99) = "x", C318:C322/SUM(C318:C322),TRANSPOSE(income!D99:H99))</f>
        <v>#DIV/0!</v>
      </c>
      <c r="T318" s="362" t="e">
        <f t="shared" ref="T318:X322" si="100">S318*L318/K318</f>
        <v>#DIV/0!</v>
      </c>
      <c r="U318" s="362" t="e">
        <f t="shared" si="100"/>
        <v>#DIV/0!</v>
      </c>
      <c r="V318" s="362" t="e">
        <f t="shared" si="100"/>
        <v>#DIV/0!</v>
      </c>
      <c r="W318" s="362" t="e">
        <f t="shared" si="100"/>
        <v>#DIV/0!</v>
      </c>
      <c r="X318" s="325" t="e">
        <f t="shared" si="100"/>
        <v>#DIV/0!</v>
      </c>
      <c r="Z318" s="211" t="s">
        <v>98</v>
      </c>
      <c r="AA318" s="285" t="e">
        <f t="array" ref="AA318:AA322">S318:S322*1/SUM(S$318:S$322)</f>
        <v>#DIV/0!</v>
      </c>
      <c r="AB318" s="362" t="e">
        <f t="array" ref="AB318:AB322">T318:T322*1/SUM(T$318:T$322)</f>
        <v>#DIV/0!</v>
      </c>
      <c r="AC318" s="362" t="e">
        <f t="array" ref="AC318:AC322">U318:U322*1/SUM(U$318:U$322)</f>
        <v>#DIV/0!</v>
      </c>
      <c r="AD318" s="362" t="e">
        <f t="array" ref="AD318:AD322">V318:V322*1/SUM(V$318:V$322)</f>
        <v>#DIV/0!</v>
      </c>
      <c r="AE318" s="362" t="e">
        <f t="array" ref="AE318:AE322">W318:W322*1/SUM(W$318:W$322)</f>
        <v>#DIV/0!</v>
      </c>
      <c r="AF318" s="325" t="e">
        <f t="array" ref="AF318:AF322">X318:X322*1/SUM(X$318:X$322)</f>
        <v>#DIV/0!</v>
      </c>
      <c r="AH318" s="211" t="s">
        <v>98</v>
      </c>
      <c r="AI318" s="279" t="e">
        <f t="array" ref="AI318:AN318">AA318:AF318*$E$239:$J$239</f>
        <v>#DIV/0!</v>
      </c>
      <c r="AJ318" s="44" t="e">
        <v>#DIV/0!</v>
      </c>
      <c r="AK318" s="44" t="e">
        <v>#DIV/0!</v>
      </c>
      <c r="AL318" s="44" t="e">
        <v>#DIV/0!</v>
      </c>
      <c r="AM318" s="44" t="e">
        <v>#DIV/0!</v>
      </c>
      <c r="AN318" s="93" t="e">
        <v>#DIV/0!</v>
      </c>
    </row>
    <row r="319" spans="2:40" ht="20.100000000000001" customHeight="1" x14ac:dyDescent="0.2">
      <c r="B319" s="305" t="s">
        <v>8</v>
      </c>
      <c r="C319" s="410">
        <v>0</v>
      </c>
      <c r="D319" s="81">
        <v>0</v>
      </c>
      <c r="E319" s="81">
        <v>0</v>
      </c>
      <c r="F319" s="81">
        <v>0</v>
      </c>
      <c r="G319" s="81">
        <v>0</v>
      </c>
      <c r="H319" s="342">
        <v>0</v>
      </c>
      <c r="J319" s="305" t="s">
        <v>8</v>
      </c>
      <c r="K319" s="365" t="e">
        <f>C319/SUM(C$318:C$322)</f>
        <v>#DIV/0!</v>
      </c>
      <c r="L319" s="56" t="e">
        <f t="shared" si="99"/>
        <v>#DIV/0!</v>
      </c>
      <c r="M319" s="56" t="e">
        <f t="shared" si="99"/>
        <v>#DIV/0!</v>
      </c>
      <c r="N319" s="56" t="e">
        <f t="shared" si="99"/>
        <v>#DIV/0!</v>
      </c>
      <c r="O319" s="56" t="e">
        <f t="shared" si="99"/>
        <v>#DIV/0!</v>
      </c>
      <c r="P319" s="141" t="e">
        <f t="shared" si="99"/>
        <v>#DIV/0!</v>
      </c>
      <c r="R319" s="305" t="s">
        <v>8</v>
      </c>
      <c r="S319" s="365" t="e">
        <v>#DIV/0!</v>
      </c>
      <c r="T319" s="56" t="e">
        <f t="shared" si="100"/>
        <v>#DIV/0!</v>
      </c>
      <c r="U319" s="56" t="e">
        <f t="shared" si="100"/>
        <v>#DIV/0!</v>
      </c>
      <c r="V319" s="56" t="e">
        <f t="shared" si="100"/>
        <v>#DIV/0!</v>
      </c>
      <c r="W319" s="56" t="e">
        <f t="shared" si="100"/>
        <v>#DIV/0!</v>
      </c>
      <c r="X319" s="141" t="e">
        <f t="shared" si="100"/>
        <v>#DIV/0!</v>
      </c>
      <c r="Z319" s="305" t="s">
        <v>8</v>
      </c>
      <c r="AA319" s="365" t="e">
        <v>#DIV/0!</v>
      </c>
      <c r="AB319" s="56" t="e">
        <v>#DIV/0!</v>
      </c>
      <c r="AC319" s="56" t="e">
        <v>#DIV/0!</v>
      </c>
      <c r="AD319" s="56" t="e">
        <v>#DIV/0!</v>
      </c>
      <c r="AE319" s="56" t="e">
        <v>#DIV/0!</v>
      </c>
      <c r="AF319" s="141" t="e">
        <v>#DIV/0!</v>
      </c>
      <c r="AH319" s="305" t="s">
        <v>8</v>
      </c>
      <c r="AI319" s="410" t="e">
        <f t="array" ref="AI319:AN319">AA319:AF319*$E$239:$J$239</f>
        <v>#DIV/0!</v>
      </c>
      <c r="AJ319" s="81" t="e">
        <v>#DIV/0!</v>
      </c>
      <c r="AK319" s="81" t="e">
        <v>#DIV/0!</v>
      </c>
      <c r="AL319" s="81" t="e">
        <v>#DIV/0!</v>
      </c>
      <c r="AM319" s="81" t="e">
        <v>#DIV/0!</v>
      </c>
      <c r="AN319" s="342" t="e">
        <v>#DIV/0!</v>
      </c>
    </row>
    <row r="320" spans="2:40" ht="20.100000000000001" customHeight="1" x14ac:dyDescent="0.2">
      <c r="B320" s="109" t="s">
        <v>99</v>
      </c>
      <c r="C320" s="245">
        <v>0</v>
      </c>
      <c r="D320" s="116">
        <v>0</v>
      </c>
      <c r="E320" s="116">
        <v>0</v>
      </c>
      <c r="F320" s="116">
        <v>0</v>
      </c>
      <c r="G320" s="116">
        <v>0</v>
      </c>
      <c r="H320" s="370">
        <v>0</v>
      </c>
      <c r="J320" s="109" t="s">
        <v>99</v>
      </c>
      <c r="K320" s="295" t="e">
        <f>C320/SUM(C$318:C$322)</f>
        <v>#DIV/0!</v>
      </c>
      <c r="L320" s="334" t="e">
        <f t="shared" si="99"/>
        <v>#DIV/0!</v>
      </c>
      <c r="M320" s="334" t="e">
        <f t="shared" si="99"/>
        <v>#DIV/0!</v>
      </c>
      <c r="N320" s="334" t="e">
        <f t="shared" si="99"/>
        <v>#DIV/0!</v>
      </c>
      <c r="O320" s="334" t="e">
        <f t="shared" si="99"/>
        <v>#DIV/0!</v>
      </c>
      <c r="P320" s="216" t="e">
        <f t="shared" si="99"/>
        <v>#DIV/0!</v>
      </c>
      <c r="R320" s="109" t="s">
        <v>99</v>
      </c>
      <c r="S320" s="295" t="e">
        <v>#DIV/0!</v>
      </c>
      <c r="T320" s="334" t="e">
        <f t="shared" si="100"/>
        <v>#DIV/0!</v>
      </c>
      <c r="U320" s="334" t="e">
        <f t="shared" si="100"/>
        <v>#DIV/0!</v>
      </c>
      <c r="V320" s="334" t="e">
        <f t="shared" si="100"/>
        <v>#DIV/0!</v>
      </c>
      <c r="W320" s="334" t="e">
        <f t="shared" si="100"/>
        <v>#DIV/0!</v>
      </c>
      <c r="X320" s="216" t="e">
        <f t="shared" si="100"/>
        <v>#DIV/0!</v>
      </c>
      <c r="Z320" s="109" t="s">
        <v>99</v>
      </c>
      <c r="AA320" s="295" t="e">
        <v>#DIV/0!</v>
      </c>
      <c r="AB320" s="334" t="e">
        <v>#DIV/0!</v>
      </c>
      <c r="AC320" s="334" t="e">
        <v>#DIV/0!</v>
      </c>
      <c r="AD320" s="334" t="e">
        <v>#DIV/0!</v>
      </c>
      <c r="AE320" s="334" t="e">
        <v>#DIV/0!</v>
      </c>
      <c r="AF320" s="216" t="e">
        <v>#DIV/0!</v>
      </c>
      <c r="AH320" s="109" t="s">
        <v>99</v>
      </c>
      <c r="AI320" s="245" t="e">
        <f t="array" ref="AI320:AN320">AA320:AF320*$E$239:$J$239</f>
        <v>#DIV/0!</v>
      </c>
      <c r="AJ320" s="116" t="e">
        <v>#DIV/0!</v>
      </c>
      <c r="AK320" s="116" t="e">
        <v>#DIV/0!</v>
      </c>
      <c r="AL320" s="116" t="e">
        <v>#DIV/0!</v>
      </c>
      <c r="AM320" s="116" t="e">
        <v>#DIV/0!</v>
      </c>
      <c r="AN320" s="370" t="e">
        <v>#DIV/0!</v>
      </c>
    </row>
    <row r="321" spans="1:40" ht="20.100000000000001" customHeight="1" x14ac:dyDescent="0.2">
      <c r="B321" s="271" t="s">
        <v>100</v>
      </c>
      <c r="C321" s="410">
        <v>0</v>
      </c>
      <c r="D321" s="81">
        <v>0</v>
      </c>
      <c r="E321" s="81">
        <v>0</v>
      </c>
      <c r="F321" s="81">
        <v>0</v>
      </c>
      <c r="G321" s="81">
        <v>0</v>
      </c>
      <c r="H321" s="342">
        <v>0</v>
      </c>
      <c r="J321" s="271" t="s">
        <v>100</v>
      </c>
      <c r="K321" s="365" t="e">
        <f>C321/SUM(C$318:C$322)</f>
        <v>#DIV/0!</v>
      </c>
      <c r="L321" s="56" t="e">
        <f t="shared" si="99"/>
        <v>#DIV/0!</v>
      </c>
      <c r="M321" s="56" t="e">
        <f t="shared" si="99"/>
        <v>#DIV/0!</v>
      </c>
      <c r="N321" s="56" t="e">
        <f t="shared" si="99"/>
        <v>#DIV/0!</v>
      </c>
      <c r="O321" s="56" t="e">
        <f t="shared" si="99"/>
        <v>#DIV/0!</v>
      </c>
      <c r="P321" s="141" t="e">
        <f t="shared" si="99"/>
        <v>#DIV/0!</v>
      </c>
      <c r="R321" s="271" t="s">
        <v>100</v>
      </c>
      <c r="S321" s="365" t="e">
        <v>#DIV/0!</v>
      </c>
      <c r="T321" s="56" t="e">
        <f t="shared" si="100"/>
        <v>#DIV/0!</v>
      </c>
      <c r="U321" s="56" t="e">
        <f t="shared" si="100"/>
        <v>#DIV/0!</v>
      </c>
      <c r="V321" s="56" t="e">
        <f t="shared" si="100"/>
        <v>#DIV/0!</v>
      </c>
      <c r="W321" s="56" t="e">
        <f t="shared" si="100"/>
        <v>#DIV/0!</v>
      </c>
      <c r="X321" s="141" t="e">
        <f t="shared" si="100"/>
        <v>#DIV/0!</v>
      </c>
      <c r="Z321" s="271" t="s">
        <v>100</v>
      </c>
      <c r="AA321" s="365" t="e">
        <v>#DIV/0!</v>
      </c>
      <c r="AB321" s="56" t="e">
        <v>#DIV/0!</v>
      </c>
      <c r="AC321" s="56" t="e">
        <v>#DIV/0!</v>
      </c>
      <c r="AD321" s="56" t="e">
        <v>#DIV/0!</v>
      </c>
      <c r="AE321" s="56" t="e">
        <v>#DIV/0!</v>
      </c>
      <c r="AF321" s="141" t="e">
        <v>#DIV/0!</v>
      </c>
      <c r="AH321" s="271" t="s">
        <v>100</v>
      </c>
      <c r="AI321" s="410" t="e">
        <f t="array" ref="AI321:AN321">AA321:AF321*$E$239:$J$239</f>
        <v>#DIV/0!</v>
      </c>
      <c r="AJ321" s="81" t="e">
        <v>#DIV/0!</v>
      </c>
      <c r="AK321" s="81" t="e">
        <v>#DIV/0!</v>
      </c>
      <c r="AL321" s="81" t="e">
        <v>#DIV/0!</v>
      </c>
      <c r="AM321" s="81" t="e">
        <v>#DIV/0!</v>
      </c>
      <c r="AN321" s="342" t="e">
        <v>#DIV/0!</v>
      </c>
    </row>
    <row r="322" spans="1:40" ht="20.100000000000001" customHeight="1" x14ac:dyDescent="0.2">
      <c r="B322" s="287" t="s">
        <v>9</v>
      </c>
      <c r="C322" s="356">
        <v>0</v>
      </c>
      <c r="D322" s="191">
        <v>0</v>
      </c>
      <c r="E322" s="191">
        <v>0</v>
      </c>
      <c r="F322" s="191">
        <v>0</v>
      </c>
      <c r="G322" s="191">
        <v>0</v>
      </c>
      <c r="H322" s="170">
        <v>0</v>
      </c>
      <c r="J322" s="287" t="s">
        <v>9</v>
      </c>
      <c r="K322" s="320" t="e">
        <f>C322/SUM(C$318:C$322)</f>
        <v>#DIV/0!</v>
      </c>
      <c r="L322" s="100" t="e">
        <f t="shared" si="99"/>
        <v>#DIV/0!</v>
      </c>
      <c r="M322" s="100" t="e">
        <f t="shared" si="99"/>
        <v>#DIV/0!</v>
      </c>
      <c r="N322" s="100" t="e">
        <f t="shared" si="99"/>
        <v>#DIV/0!</v>
      </c>
      <c r="O322" s="100" t="e">
        <f t="shared" si="99"/>
        <v>#DIV/0!</v>
      </c>
      <c r="P322" s="413" t="e">
        <f t="shared" si="99"/>
        <v>#DIV/0!</v>
      </c>
      <c r="R322" s="287" t="s">
        <v>9</v>
      </c>
      <c r="S322" s="320" t="e">
        <v>#DIV/0!</v>
      </c>
      <c r="T322" s="100" t="e">
        <f t="shared" si="100"/>
        <v>#DIV/0!</v>
      </c>
      <c r="U322" s="100" t="e">
        <f t="shared" si="100"/>
        <v>#DIV/0!</v>
      </c>
      <c r="V322" s="100" t="e">
        <f t="shared" si="100"/>
        <v>#DIV/0!</v>
      </c>
      <c r="W322" s="100" t="e">
        <f t="shared" si="100"/>
        <v>#DIV/0!</v>
      </c>
      <c r="X322" s="413" t="e">
        <f t="shared" si="100"/>
        <v>#DIV/0!</v>
      </c>
      <c r="Z322" s="287" t="s">
        <v>9</v>
      </c>
      <c r="AA322" s="320" t="e">
        <v>#DIV/0!</v>
      </c>
      <c r="AB322" s="100" t="e">
        <v>#DIV/0!</v>
      </c>
      <c r="AC322" s="100" t="e">
        <v>#DIV/0!</v>
      </c>
      <c r="AD322" s="100" t="e">
        <v>#DIV/0!</v>
      </c>
      <c r="AE322" s="100" t="e">
        <v>#DIV/0!</v>
      </c>
      <c r="AF322" s="413" t="e">
        <v>#DIV/0!</v>
      </c>
      <c r="AH322" s="287" t="s">
        <v>9</v>
      </c>
      <c r="AI322" s="356" t="e">
        <f t="array" ref="AI322:AN322">AA322:AF322*$E$239:$J$239</f>
        <v>#DIV/0!</v>
      </c>
      <c r="AJ322" s="191" t="e">
        <v>#DIV/0!</v>
      </c>
      <c r="AK322" s="191" t="e">
        <v>#DIV/0!</v>
      </c>
      <c r="AL322" s="191" t="e">
        <v>#DIV/0!</v>
      </c>
      <c r="AM322" s="191" t="e">
        <v>#DIV/0!</v>
      </c>
      <c r="AN322" s="170" t="e">
        <v>#DIV/0!</v>
      </c>
    </row>
    <row r="323" spans="1:40" x14ac:dyDescent="0.2">
      <c r="C323" s="299" t="s">
        <v>496</v>
      </c>
      <c r="D323" s="299" t="s">
        <v>499</v>
      </c>
      <c r="E323" s="299" t="s">
        <v>500</v>
      </c>
      <c r="F323" s="299" t="s">
        <v>501</v>
      </c>
      <c r="G323" s="299" t="s">
        <v>502</v>
      </c>
      <c r="H323" s="299" t="s">
        <v>503</v>
      </c>
    </row>
    <row r="324" spans="1:40" ht="20.100000000000001" customHeight="1" x14ac:dyDescent="0.2">
      <c r="B324" s="251" t="s">
        <v>530</v>
      </c>
      <c r="C324" s="144" t="s">
        <v>6</v>
      </c>
      <c r="D324" s="120" t="s">
        <v>605</v>
      </c>
      <c r="E324" s="171" t="s">
        <v>606</v>
      </c>
      <c r="F324" s="171" t="s">
        <v>607</v>
      </c>
      <c r="G324" s="171" t="s">
        <v>608</v>
      </c>
      <c r="H324" s="244" t="s">
        <v>609</v>
      </c>
      <c r="J324" s="251" t="s">
        <v>530</v>
      </c>
      <c r="K324" s="144" t="s">
        <v>6</v>
      </c>
      <c r="L324" s="120" t="s">
        <v>605</v>
      </c>
      <c r="M324" s="171" t="s">
        <v>606</v>
      </c>
      <c r="N324" s="171" t="s">
        <v>607</v>
      </c>
      <c r="O324" s="171" t="s">
        <v>608</v>
      </c>
      <c r="P324" s="244" t="s">
        <v>609</v>
      </c>
      <c r="R324" s="251" t="s">
        <v>530</v>
      </c>
      <c r="S324" s="144" t="s">
        <v>6</v>
      </c>
      <c r="T324" s="120" t="s">
        <v>605</v>
      </c>
      <c r="U324" s="171" t="s">
        <v>606</v>
      </c>
      <c r="V324" s="171" t="s">
        <v>607</v>
      </c>
      <c r="W324" s="171" t="s">
        <v>608</v>
      </c>
      <c r="X324" s="244" t="s">
        <v>609</v>
      </c>
    </row>
    <row r="325" spans="1:40" ht="20.100000000000001" customHeight="1" x14ac:dyDescent="0.2">
      <c r="A325" s="299" t="s">
        <v>6</v>
      </c>
      <c r="B325" s="47" t="s">
        <v>6</v>
      </c>
      <c r="C325" s="129" t="e">
        <f>SUM(C326:C330)</f>
        <v>#N/A</v>
      </c>
      <c r="D325" s="86" t="e">
        <f t="shared" ref="D325:H325" si="101">SUM(D326:D330)</f>
        <v>#N/A</v>
      </c>
      <c r="E325" s="38" t="e">
        <f t="shared" si="101"/>
        <v>#N/A</v>
      </c>
      <c r="F325" s="38" t="e">
        <f t="shared" si="101"/>
        <v>#N/A</v>
      </c>
      <c r="G325" s="38" t="e">
        <f t="shared" si="101"/>
        <v>#N/A</v>
      </c>
      <c r="H325" s="338" t="e">
        <f t="shared" si="101"/>
        <v>#N/A</v>
      </c>
      <c r="J325" s="47" t="s">
        <v>6</v>
      </c>
      <c r="K325" s="381">
        <f t="shared" ref="K325" si="102">SUM(K326:K330)</f>
        <v>0</v>
      </c>
      <c r="L325" s="316">
        <f t="shared" ref="L325:M325" si="103">SUM(L326:L330)</f>
        <v>0</v>
      </c>
      <c r="M325" s="89">
        <f t="shared" si="103"/>
        <v>0</v>
      </c>
      <c r="N325" s="89">
        <f t="shared" ref="N325:P325" si="104">SUM(N326:N330)</f>
        <v>0</v>
      </c>
      <c r="O325" s="89">
        <f t="shared" si="104"/>
        <v>0</v>
      </c>
      <c r="P325" s="31">
        <f t="shared" si="104"/>
        <v>0</v>
      </c>
      <c r="R325" s="47" t="s">
        <v>6</v>
      </c>
      <c r="S325" s="129">
        <f>H239</f>
        <v>0</v>
      </c>
      <c r="T325" s="86" t="str">
        <f>IF(SUM(T326:T330) = 0, "x", SUM(T326:T330))</f>
        <v>x</v>
      </c>
      <c r="U325" s="38" t="str">
        <f t="shared" ref="U325:X325" si="105">IF(SUM(U326:U330) = 0, "x", SUM(U326:U330))</f>
        <v>x</v>
      </c>
      <c r="V325" s="38" t="str">
        <f t="shared" si="105"/>
        <v>x</v>
      </c>
      <c r="W325" s="38" t="str">
        <f t="shared" si="105"/>
        <v>x</v>
      </c>
      <c r="X325" s="338" t="str">
        <f t="shared" si="105"/>
        <v>x</v>
      </c>
    </row>
    <row r="326" spans="1:40" ht="20.100000000000001" customHeight="1" x14ac:dyDescent="0.2">
      <c r="A326" s="299" t="s">
        <v>504</v>
      </c>
      <c r="B326" s="94" t="s">
        <v>98</v>
      </c>
      <c r="C326" s="207" t="e">
        <f t="array" ref="C326">INDEX(df_inc_cat!$D$2:$M$100, MATCH(1, ($A$2 = df_inc_cat!$A$2:$A$100) * ($A326 = df_inc_cat!$B$2:$B$100) * (df_inc_cat!$C$2:$C$100 = "Total private households"), 0), MATCH(C$323, df_inc_cat!$D$1:$M$1,0))</f>
        <v>#N/A</v>
      </c>
      <c r="D326" s="341" t="e">
        <f t="array" ref="D326">INDEX(df_inc_cat!$D$2:$M$100, MATCH(1, ($A$2 = df_inc_cat!$A$2:$A$100) * ($A326 = df_inc_cat!$B$2:$B$100) * (df_inc_cat!$C$2:$C$100 = "Total private households"), 0), MATCH(D$323, df_inc_cat!$D$1:$M$1,0))</f>
        <v>#N/A</v>
      </c>
      <c r="E326" s="297" t="e">
        <f t="array" ref="E326">INDEX(df_inc_cat!$D$2:$M$100, MATCH(1, ($A$2 = df_inc_cat!$A$2:$A$100) * ($A326 = df_inc_cat!$B$2:$B$100) * (df_inc_cat!$C$2:$C$100 = "Total private households"), 0), MATCH(E$323, df_inc_cat!$D$1:$M$1,0))</f>
        <v>#N/A</v>
      </c>
      <c r="F326" s="297" t="e">
        <f t="array" ref="F326">INDEX(df_inc_cat!$D$2:$M$100, MATCH(1, ($A$2 = df_inc_cat!$A$2:$A$100) * ($A326 = df_inc_cat!$B$2:$B$100) * (df_inc_cat!$C$2:$C$100 = "Total private households"), 0), MATCH(F$323, df_inc_cat!$D$1:$M$1,0))</f>
        <v>#N/A</v>
      </c>
      <c r="G326" s="297" t="e">
        <f t="array" ref="G326">INDEX(df_inc_cat!$D$2:$M$100, MATCH(1, ($A$2 = df_inc_cat!$A$2:$A$100) * ($A326 = df_inc_cat!$B$2:$B$100) * (df_inc_cat!$C$2:$C$100 = "Total private households"), 0), MATCH(G$323, df_inc_cat!$D$1:$M$1,0))</f>
        <v>#N/A</v>
      </c>
      <c r="H326" s="360" t="e">
        <f t="array" ref="H326">INDEX(df_inc_cat!$D$2:$M$100, MATCH(1, ($A$2 = df_inc_cat!$A$2:$A$100) * ($A326 = df_inc_cat!$B$2:$B$100) * (df_inc_cat!$C$2:$C$100 = "Total private households"), 0), MATCH(H$323, df_inc_cat!$D$1:$M$1,0))</f>
        <v>#N/A</v>
      </c>
      <c r="J326" s="367" t="s">
        <v>98</v>
      </c>
      <c r="K326" s="33">
        <f t="shared" ref="K326:M330" si="106">IFERROR(C326/C$325,0)</f>
        <v>0</v>
      </c>
      <c r="L326" s="387">
        <f t="shared" si="106"/>
        <v>0</v>
      </c>
      <c r="M326" s="323">
        <f t="shared" si="106"/>
        <v>0</v>
      </c>
      <c r="N326" s="323">
        <f>IFERROR(F326/F$325,0)</f>
        <v>0</v>
      </c>
      <c r="O326" s="323">
        <f t="shared" ref="O326:P330" si="107">IFERROR(G326/G$325,0)</f>
        <v>0</v>
      </c>
      <c r="P326" s="232">
        <f t="shared" si="107"/>
        <v>0</v>
      </c>
      <c r="R326" s="94" t="s">
        <v>98</v>
      </c>
      <c r="S326" s="207" t="str">
        <f t="array" ref="S326">IFERROR(IF(SUM(T326:X330) = 0,MROUND($S$325*$S318,5),SUM(T326:X326)),"x")</f>
        <v>x</v>
      </c>
      <c r="T326" s="341" t="str">
        <f t="array" ref="T326:T330">IFERROR(IF(MROUND(L326:L330*V337,5) = 0, "x", MROUND(L326:L330*V337,5)),"x")</f>
        <v>x</v>
      </c>
      <c r="U326" s="297" t="str">
        <f t="array" ref="U326:U330">IFERROR(IF(MROUND(M326:M330*V338,5) = 0, "x", MROUND(M326:M330*V338,5)),"x")</f>
        <v>x</v>
      </c>
      <c r="V326" s="297" t="str">
        <f t="array" ref="V326:V330">IFERROR(IF(MROUND(N326:N330*V339,5) = 0, "x", MROUND(N326:N330*V339,5)),"x")</f>
        <v>x</v>
      </c>
      <c r="W326" s="297" t="str">
        <f t="array" ref="W326:W330">IFERROR(IF(MROUND(O326:O330*V340,5) = 0, "x", MROUND(O326:O330*V340,5)),"x")</f>
        <v>x</v>
      </c>
      <c r="X326" s="360" t="str">
        <f t="array" ref="X326:X330">IFERROR(IF(MROUND(P326:P330*V341,5) = 0, "x", MROUND(P326:P330*V341,5)),"x")</f>
        <v>x</v>
      </c>
    </row>
    <row r="327" spans="1:40" ht="20.100000000000001" customHeight="1" x14ac:dyDescent="0.2">
      <c r="A327" s="299" t="s">
        <v>505</v>
      </c>
      <c r="B327" s="102" t="s">
        <v>8</v>
      </c>
      <c r="C327" s="123" t="e">
        <f t="array" ref="C327">INDEX(df_inc_cat!$D$2:$M$100, MATCH(1, ($A$2 = df_inc_cat!$A$2:$A$100) * ($A327 = df_inc_cat!$B$2:$B$100) * (df_inc_cat!$C$2:$C$100 = "Total private households"), 0), MATCH(C$323, df_inc_cat!$D$1:$M$1,0))</f>
        <v>#N/A</v>
      </c>
      <c r="D327" s="313" t="e">
        <f t="array" ref="D327">INDEX(df_inc_cat!$D$2:$M$100, MATCH(1, ($A$2 = df_inc_cat!$A$2:$A$100) * ($A327 = df_inc_cat!$B$2:$B$100) * (df_inc_cat!$C$2:$C$100 = "Total private households"), 0), MATCH(D$323, df_inc_cat!$D$1:$M$1,0))</f>
        <v>#N/A</v>
      </c>
      <c r="E327" s="64" t="e">
        <f t="array" ref="E327">INDEX(df_inc_cat!$D$2:$M$100, MATCH(1, ($A$2 = df_inc_cat!$A$2:$A$100) * ($A327 = df_inc_cat!$B$2:$B$100) * (df_inc_cat!$C$2:$C$100 = "Total private households"), 0), MATCH(E$323, df_inc_cat!$D$1:$M$1,0))</f>
        <v>#N/A</v>
      </c>
      <c r="F327" s="64" t="e">
        <f t="array" ref="F327">INDEX(df_inc_cat!$D$2:$M$100, MATCH(1, ($A$2 = df_inc_cat!$A$2:$A$100) * ($A327 = df_inc_cat!$B$2:$B$100) * (df_inc_cat!$C$2:$C$100 = "Total private households"), 0), MATCH(F$323, df_inc_cat!$D$1:$M$1,0))</f>
        <v>#N/A</v>
      </c>
      <c r="G327" s="64" t="e">
        <f t="array" ref="G327">INDEX(df_inc_cat!$D$2:$M$100, MATCH(1, ($A$2 = df_inc_cat!$A$2:$A$100) * ($A327 = df_inc_cat!$B$2:$B$100) * (df_inc_cat!$C$2:$C$100 = "Total private households"), 0), MATCH(G$323, df_inc_cat!$D$1:$M$1,0))</f>
        <v>#N/A</v>
      </c>
      <c r="H327" s="389" t="e">
        <f t="array" ref="H327">INDEX(df_inc_cat!$D$2:$M$100, MATCH(1, ($A$2 = df_inc_cat!$A$2:$A$100) * ($A327 = df_inc_cat!$B$2:$B$100) * (df_inc_cat!$C$2:$C$100 = "Total private households"), 0), MATCH(H$323, df_inc_cat!$D$1:$M$1,0))</f>
        <v>#N/A</v>
      </c>
      <c r="J327" s="219" t="s">
        <v>8</v>
      </c>
      <c r="K327" s="281">
        <f t="shared" si="106"/>
        <v>0</v>
      </c>
      <c r="L327" s="254">
        <f t="shared" si="106"/>
        <v>0</v>
      </c>
      <c r="M327" s="374">
        <f t="shared" si="106"/>
        <v>0</v>
      </c>
      <c r="N327" s="374">
        <f t="shared" ref="N327:N330" si="108">IFERROR(F327/F$325,0)</f>
        <v>0</v>
      </c>
      <c r="O327" s="374">
        <f t="shared" si="107"/>
        <v>0</v>
      </c>
      <c r="P327" s="135">
        <f t="shared" si="107"/>
        <v>0</v>
      </c>
      <c r="R327" s="102" t="s">
        <v>8</v>
      </c>
      <c r="S327" s="123" t="str">
        <f t="array" ref="S327">IFERROR(IF(SUM(T327:X331) = 0,MROUND($S$325*$S319,5),SUM(T327:X327)),"x")</f>
        <v>x</v>
      </c>
      <c r="T327" s="313" t="str">
        <v>x</v>
      </c>
      <c r="U327" s="64" t="str">
        <v>x</v>
      </c>
      <c r="V327" s="64" t="str">
        <v>x</v>
      </c>
      <c r="W327" s="64" t="str">
        <v>x</v>
      </c>
      <c r="X327" s="389" t="str">
        <v>x</v>
      </c>
    </row>
    <row r="328" spans="1:40" ht="20.100000000000001" customHeight="1" x14ac:dyDescent="0.2">
      <c r="A328" s="299" t="s">
        <v>506</v>
      </c>
      <c r="B328" s="187" t="s">
        <v>99</v>
      </c>
      <c r="C328" s="101" t="e">
        <f t="array" ref="C328">INDEX(df_inc_cat!$D$2:$M$100, MATCH(1, ($A$2 = df_inc_cat!$A$2:$A$100) * ($A328 = df_inc_cat!$B$2:$B$100) * (df_inc_cat!$C$2:$C$100 = "Total private households"), 0), MATCH(C$323, df_inc_cat!$D$1:$M$1,0))</f>
        <v>#N/A</v>
      </c>
      <c r="D328" s="218" t="e">
        <f t="array" ref="D328">INDEX(df_inc_cat!$D$2:$M$100, MATCH(1, ($A$2 = df_inc_cat!$A$2:$A$100) * ($A328 = df_inc_cat!$B$2:$B$100) * (df_inc_cat!$C$2:$C$100 = "Total private households"), 0), MATCH(D$323, df_inc_cat!$D$1:$M$1,0))</f>
        <v>#N/A</v>
      </c>
      <c r="E328" s="392" t="e">
        <f t="array" ref="E328">INDEX(df_inc_cat!$D$2:$M$100, MATCH(1, ($A$2 = df_inc_cat!$A$2:$A$100) * ($A328 = df_inc_cat!$B$2:$B$100) * (df_inc_cat!$C$2:$C$100 = "Total private households"), 0), MATCH(E$323, df_inc_cat!$D$1:$M$1,0))</f>
        <v>#N/A</v>
      </c>
      <c r="F328" s="392" t="e">
        <f t="array" ref="F328">INDEX(df_inc_cat!$D$2:$M$100, MATCH(1, ($A$2 = df_inc_cat!$A$2:$A$100) * ($A328 = df_inc_cat!$B$2:$B$100) * (df_inc_cat!$C$2:$C$100 = "Total private households"), 0), MATCH(F$323, df_inc_cat!$D$1:$M$1,0))</f>
        <v>#N/A</v>
      </c>
      <c r="G328" s="392" t="e">
        <f t="array" ref="G328">INDEX(df_inc_cat!$D$2:$M$100, MATCH(1, ($A$2 = df_inc_cat!$A$2:$A$100) * ($A328 = df_inc_cat!$B$2:$B$100) * (df_inc_cat!$C$2:$C$100 = "Total private households"), 0), MATCH(G$323, df_inc_cat!$D$1:$M$1,0))</f>
        <v>#N/A</v>
      </c>
      <c r="H328" s="231" t="e">
        <f t="array" ref="H328">INDEX(df_inc_cat!$D$2:$M$100, MATCH(1, ($A$2 = df_inc_cat!$A$2:$A$100) * ($A328 = df_inc_cat!$B$2:$B$100) * (df_inc_cat!$C$2:$C$100 = "Total private households"), 0), MATCH(H$323, df_inc_cat!$D$1:$M$1,0))</f>
        <v>#N/A</v>
      </c>
      <c r="J328" s="306" t="s">
        <v>99</v>
      </c>
      <c r="K328" s="196">
        <f t="shared" si="106"/>
        <v>0</v>
      </c>
      <c r="L328" s="405">
        <f t="shared" si="106"/>
        <v>0</v>
      </c>
      <c r="M328" s="331">
        <f t="shared" si="106"/>
        <v>0</v>
      </c>
      <c r="N328" s="331">
        <f t="shared" si="108"/>
        <v>0</v>
      </c>
      <c r="O328" s="331">
        <f t="shared" si="107"/>
        <v>0</v>
      </c>
      <c r="P328" s="110">
        <f t="shared" si="107"/>
        <v>0</v>
      </c>
      <c r="R328" s="187" t="s">
        <v>99</v>
      </c>
      <c r="S328" s="101" t="str">
        <f t="array" ref="S328">IFERROR(IF(SUM(T328:X332) = 0,MROUND($S$325*$S320,5),SUM(T328:X328)),"x")</f>
        <v>x</v>
      </c>
      <c r="T328" s="218" t="str">
        <v>x</v>
      </c>
      <c r="U328" s="392" t="str">
        <v>x</v>
      </c>
      <c r="V328" s="392" t="str">
        <v>x</v>
      </c>
      <c r="W328" s="392" t="str">
        <v>x</v>
      </c>
      <c r="X328" s="231" t="str">
        <v>x</v>
      </c>
    </row>
    <row r="329" spans="1:40" ht="20.100000000000001" customHeight="1" x14ac:dyDescent="0.2">
      <c r="A329" s="299" t="s">
        <v>507</v>
      </c>
      <c r="B329" s="102" t="s">
        <v>100</v>
      </c>
      <c r="C329" s="123" t="e">
        <f t="array" ref="C329">INDEX(df_inc_cat!$D$2:$M$100, MATCH(1, ($A$2 = df_inc_cat!$A$2:$A$100) * ($A329 = df_inc_cat!$B$2:$B$100) * (df_inc_cat!$C$2:$C$100 = "Total private households"), 0), MATCH(C$323, df_inc_cat!$D$1:$M$1,0))</f>
        <v>#N/A</v>
      </c>
      <c r="D329" s="313" t="e">
        <f t="array" ref="D329">INDEX(df_inc_cat!$D$2:$M$100, MATCH(1, ($A$2 = df_inc_cat!$A$2:$A$100) * ($A329 = df_inc_cat!$B$2:$B$100) * (df_inc_cat!$C$2:$C$100 = "Total private households"), 0), MATCH(D$323, df_inc_cat!$D$1:$M$1,0))</f>
        <v>#N/A</v>
      </c>
      <c r="E329" s="64" t="e">
        <f t="array" ref="E329">INDEX(df_inc_cat!$D$2:$M$100, MATCH(1, ($A$2 = df_inc_cat!$A$2:$A$100) * ($A329 = df_inc_cat!$B$2:$B$100) * (df_inc_cat!$C$2:$C$100 = "Total private households"), 0), MATCH(E$323, df_inc_cat!$D$1:$M$1,0))</f>
        <v>#N/A</v>
      </c>
      <c r="F329" s="64" t="e">
        <f t="array" ref="F329">INDEX(df_inc_cat!$D$2:$M$100, MATCH(1, ($A$2 = df_inc_cat!$A$2:$A$100) * ($A329 = df_inc_cat!$B$2:$B$100) * (df_inc_cat!$C$2:$C$100 = "Total private households"), 0), MATCH(F$323, df_inc_cat!$D$1:$M$1,0))</f>
        <v>#N/A</v>
      </c>
      <c r="G329" s="64" t="e">
        <f t="array" ref="G329">INDEX(df_inc_cat!$D$2:$M$100, MATCH(1, ($A$2 = df_inc_cat!$A$2:$A$100) * ($A329 = df_inc_cat!$B$2:$B$100) * (df_inc_cat!$C$2:$C$100 = "Total private households"), 0), MATCH(G$323, df_inc_cat!$D$1:$M$1,0))</f>
        <v>#N/A</v>
      </c>
      <c r="H329" s="389" t="e">
        <f t="array" ref="H329">INDEX(df_inc_cat!$D$2:$M$100, MATCH(1, ($A$2 = df_inc_cat!$A$2:$A$100) * ($A329 = df_inc_cat!$B$2:$B$100) * (df_inc_cat!$C$2:$C$100 = "Total private households"), 0), MATCH(H$323, df_inc_cat!$D$1:$M$1,0))</f>
        <v>#N/A</v>
      </c>
      <c r="J329" s="219" t="s">
        <v>100</v>
      </c>
      <c r="K329" s="281">
        <f t="shared" si="106"/>
        <v>0</v>
      </c>
      <c r="L329" s="254">
        <f t="shared" si="106"/>
        <v>0</v>
      </c>
      <c r="M329" s="374">
        <f t="shared" si="106"/>
        <v>0</v>
      </c>
      <c r="N329" s="374">
        <f t="shared" si="108"/>
        <v>0</v>
      </c>
      <c r="O329" s="374">
        <f t="shared" si="107"/>
        <v>0</v>
      </c>
      <c r="P329" s="135">
        <f t="shared" si="107"/>
        <v>0</v>
      </c>
      <c r="R329" s="102" t="s">
        <v>100</v>
      </c>
      <c r="S329" s="123" t="str">
        <f t="array" ref="S329">IFERROR(IF(SUM(T329:X333) = 0,MROUND($S$325*$S321,5),SUM(T329:X329)),"x")</f>
        <v>x</v>
      </c>
      <c r="T329" s="313" t="str">
        <v>x</v>
      </c>
      <c r="U329" s="64" t="str">
        <v>x</v>
      </c>
      <c r="V329" s="64" t="str">
        <v>x</v>
      </c>
      <c r="W329" s="64" t="str">
        <v>x</v>
      </c>
      <c r="X329" s="389" t="str">
        <v>x</v>
      </c>
    </row>
    <row r="330" spans="1:40" ht="20.100000000000001" customHeight="1" x14ac:dyDescent="0.2">
      <c r="A330" s="299" t="s">
        <v>508</v>
      </c>
      <c r="B330" s="92" t="s">
        <v>9</v>
      </c>
      <c r="C330" s="403" t="e">
        <f t="array" ref="C330">INDEX(df_inc_cat!$D$2:$M$100, MATCH(1, ($A$2 = df_inc_cat!$A$2:$A$100) * ($A330 = df_inc_cat!$B$2:$B$100) * (df_inc_cat!$C$2:$C$100 = "Total private households"), 0), MATCH(C$323, df_inc_cat!$D$1:$M$1,0))</f>
        <v>#N/A</v>
      </c>
      <c r="D330" s="70" t="e">
        <f t="array" ref="D330">INDEX(df_inc_cat!$D$2:$M$100, MATCH(1, ($A$2 = df_inc_cat!$A$2:$A$100) * ($A330 = df_inc_cat!$B$2:$B$100) * (df_inc_cat!$C$2:$C$100 = "Total private households"), 0), MATCH(D$323, df_inc_cat!$D$1:$M$1,0))</f>
        <v>#N/A</v>
      </c>
      <c r="E330" s="236" t="e">
        <f t="array" ref="E330">INDEX(df_inc_cat!$D$2:$M$100, MATCH(1, ($A$2 = df_inc_cat!$A$2:$A$100) * ($A330 = df_inc_cat!$B$2:$B$100) * (df_inc_cat!$C$2:$C$100 = "Total private households"), 0), MATCH(E$323, df_inc_cat!$D$1:$M$1,0))</f>
        <v>#N/A</v>
      </c>
      <c r="F330" s="236" t="e">
        <f t="array" ref="F330">INDEX(df_inc_cat!$D$2:$M$100, MATCH(1, ($A$2 = df_inc_cat!$A$2:$A$100) * ($A330 = df_inc_cat!$B$2:$B$100) * (df_inc_cat!$C$2:$C$100 = "Total private households"), 0), MATCH(F$323, df_inc_cat!$D$1:$M$1,0))</f>
        <v>#N/A</v>
      </c>
      <c r="G330" s="236" t="e">
        <f t="array" ref="G330">INDEX(df_inc_cat!$D$2:$M$100, MATCH(1, ($A$2 = df_inc_cat!$A$2:$A$100) * ($A330 = df_inc_cat!$B$2:$B$100) * (df_inc_cat!$C$2:$C$100 = "Total private households"), 0), MATCH(G$323, df_inc_cat!$D$1:$M$1,0))</f>
        <v>#N/A</v>
      </c>
      <c r="H330" s="260" t="e">
        <f t="array" ref="H330">INDEX(df_inc_cat!$D$2:$M$100, MATCH(1, ($A$2 = df_inc_cat!$A$2:$A$100) * ($A330 = df_inc_cat!$B$2:$B$100) * (df_inc_cat!$C$2:$C$100 = "Total private households"), 0), MATCH(H$323, df_inc_cat!$D$1:$M$1,0))</f>
        <v>#N/A</v>
      </c>
      <c r="J330" s="388" t="s">
        <v>9</v>
      </c>
      <c r="K330" s="74">
        <f t="shared" si="106"/>
        <v>0</v>
      </c>
      <c r="L330" s="407">
        <f t="shared" si="106"/>
        <v>0</v>
      </c>
      <c r="M330" s="383">
        <f t="shared" si="106"/>
        <v>0</v>
      </c>
      <c r="N330" s="383">
        <f t="shared" si="108"/>
        <v>0</v>
      </c>
      <c r="O330" s="383">
        <f t="shared" si="107"/>
        <v>0</v>
      </c>
      <c r="P330" s="304">
        <f t="shared" si="107"/>
        <v>0</v>
      </c>
      <c r="R330" s="92" t="s">
        <v>9</v>
      </c>
      <c r="S330" s="403" t="str">
        <f t="array" ref="S330">IFERROR(IF(SUM(T330:X334) = 0,MROUND($S$325*$S322,5),SUM(T330:X330)),"x")</f>
        <v>x</v>
      </c>
      <c r="T330" s="70" t="str">
        <v>x</v>
      </c>
      <c r="U330" s="236" t="str">
        <v>x</v>
      </c>
      <c r="V330" s="236" t="str">
        <v>x</v>
      </c>
      <c r="W330" s="236" t="str">
        <v>x</v>
      </c>
      <c r="X330" s="260" t="str">
        <v>x</v>
      </c>
    </row>
    <row r="333" spans="1:40" ht="30" customHeight="1" x14ac:dyDescent="0.2">
      <c r="B333" s="175" t="s">
        <v>584</v>
      </c>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c r="AA333" s="310"/>
      <c r="AB333" s="310"/>
      <c r="AC333" s="310"/>
      <c r="AD333" s="310"/>
      <c r="AE333" s="310"/>
      <c r="AF333" s="310"/>
    </row>
    <row r="334" spans="1:40" ht="20.100000000000001" customHeight="1" x14ac:dyDescent="0.2">
      <c r="B334" s="188"/>
    </row>
    <row r="335" spans="1:40" ht="20.100000000000001" customHeight="1" x14ac:dyDescent="0.2">
      <c r="B335" s="203" t="s">
        <v>574</v>
      </c>
      <c r="C335" s="149"/>
      <c r="D335" s="149"/>
      <c r="E335" s="149"/>
      <c r="F335" s="149"/>
      <c r="G335" s="149"/>
      <c r="H335" s="256"/>
      <c r="J335" s="203" t="s">
        <v>575</v>
      </c>
      <c r="K335" s="149"/>
      <c r="L335" s="149"/>
      <c r="M335" s="149"/>
      <c r="N335" s="149"/>
      <c r="O335" s="149"/>
      <c r="P335" s="256"/>
      <c r="R335" s="203" t="s">
        <v>576</v>
      </c>
      <c r="S335" s="149"/>
      <c r="T335" s="149"/>
      <c r="U335" s="149"/>
      <c r="V335" s="149"/>
      <c r="W335" s="149"/>
      <c r="X335" s="256"/>
    </row>
    <row r="336" spans="1:40" ht="20.100000000000001" customHeight="1" x14ac:dyDescent="0.2">
      <c r="B336" s="330"/>
      <c r="C336" s="215">
        <f t="array" ref="C336:H341">AC216:AH221</f>
        <v>2021</v>
      </c>
      <c r="D336" s="213">
        <v>2025</v>
      </c>
      <c r="E336" s="213">
        <v>2030</v>
      </c>
      <c r="F336" s="213">
        <v>2035</v>
      </c>
      <c r="G336" s="213">
        <v>2040</v>
      </c>
      <c r="H336" s="183">
        <v>2045</v>
      </c>
      <c r="J336" s="330"/>
      <c r="K336" s="215">
        <f t="array" ref="K336:P336">C336:H336</f>
        <v>2021</v>
      </c>
      <c r="L336" s="213">
        <v>2025</v>
      </c>
      <c r="M336" s="213">
        <v>2030</v>
      </c>
      <c r="N336" s="213">
        <v>2035</v>
      </c>
      <c r="O336" s="213">
        <v>2040</v>
      </c>
      <c r="P336" s="183">
        <v>2045</v>
      </c>
      <c r="R336" s="330"/>
      <c r="S336" s="215">
        <f t="array" ref="S336:X336">K336:P336</f>
        <v>2021</v>
      </c>
      <c r="T336" s="213">
        <v>2025</v>
      </c>
      <c r="U336" s="213">
        <v>2030</v>
      </c>
      <c r="V336" s="213">
        <v>2035</v>
      </c>
      <c r="W336" s="213">
        <v>2040</v>
      </c>
      <c r="X336" s="183">
        <v>2045</v>
      </c>
    </row>
    <row r="337" spans="2:32" ht="20.100000000000001" customHeight="1" x14ac:dyDescent="0.2">
      <c r="B337" s="211" t="s">
        <v>83</v>
      </c>
      <c r="C337" s="279">
        <v>0</v>
      </c>
      <c r="D337" s="44">
        <v>0</v>
      </c>
      <c r="E337" s="44">
        <v>0</v>
      </c>
      <c r="F337" s="44">
        <v>0</v>
      </c>
      <c r="G337" s="44">
        <v>0</v>
      </c>
      <c r="H337" s="93">
        <v>0</v>
      </c>
      <c r="J337" s="211" t="s">
        <v>83</v>
      </c>
      <c r="K337" s="279" t="str">
        <f t="array" ref="K337:K341">hh!C56:C60</f>
        <v>x</v>
      </c>
      <c r="L337" s="44" t="e">
        <f>K337*D337/C337</f>
        <v>#VALUE!</v>
      </c>
      <c r="M337" s="44" t="e">
        <f>L337*E337/D337</f>
        <v>#VALUE!</v>
      </c>
      <c r="N337" s="44" t="e">
        <f>M337*F337/E337</f>
        <v>#VALUE!</v>
      </c>
      <c r="O337" s="44" t="e">
        <f>N337*G337/F337</f>
        <v>#VALUE!</v>
      </c>
      <c r="P337" s="93" t="e">
        <f>O337*H337/G337</f>
        <v>#VALUE!</v>
      </c>
      <c r="R337" s="211" t="s">
        <v>83</v>
      </c>
      <c r="S337" s="279" t="e">
        <f t="shared" ref="S337:X341" si="109">K337*E$239/SUM(K$337:K$341)</f>
        <v>#VALUE!</v>
      </c>
      <c r="T337" s="44" t="e">
        <f t="shared" si="109"/>
        <v>#VALUE!</v>
      </c>
      <c r="U337" s="44" t="e">
        <f t="shared" si="109"/>
        <v>#VALUE!</v>
      </c>
      <c r="V337" s="44" t="e">
        <f t="shared" si="109"/>
        <v>#VALUE!</v>
      </c>
      <c r="W337" s="44" t="e">
        <f t="shared" si="109"/>
        <v>#VALUE!</v>
      </c>
      <c r="X337" s="93" t="e">
        <f t="shared" si="109"/>
        <v>#VALUE!</v>
      </c>
      <c r="Z337" s="262"/>
    </row>
    <row r="338" spans="2:32" ht="20.100000000000001" customHeight="1" x14ac:dyDescent="0.2">
      <c r="B338" s="305" t="s">
        <v>84</v>
      </c>
      <c r="C338" s="410">
        <v>0</v>
      </c>
      <c r="D338" s="81">
        <v>0</v>
      </c>
      <c r="E338" s="81">
        <v>0</v>
      </c>
      <c r="F338" s="81">
        <v>0</v>
      </c>
      <c r="G338" s="81">
        <v>0</v>
      </c>
      <c r="H338" s="342">
        <v>0</v>
      </c>
      <c r="J338" s="305" t="s">
        <v>84</v>
      </c>
      <c r="K338" s="410" t="str">
        <v>x</v>
      </c>
      <c r="L338" s="81" t="e">
        <f t="shared" ref="L338:L341" si="110">K338*D338/C338</f>
        <v>#VALUE!</v>
      </c>
      <c r="M338" s="81" t="e">
        <f t="shared" ref="M338:M341" si="111">L338*E338/D338</f>
        <v>#VALUE!</v>
      </c>
      <c r="N338" s="81" t="e">
        <f t="shared" ref="N338:N341" si="112">M338*F338/E338</f>
        <v>#VALUE!</v>
      </c>
      <c r="O338" s="81" t="e">
        <f t="shared" ref="O338:O341" si="113">N338*G338/F338</f>
        <v>#VALUE!</v>
      </c>
      <c r="P338" s="342" t="e">
        <f t="shared" ref="P338" si="114">O338*H338/G338</f>
        <v>#VALUE!</v>
      </c>
      <c r="R338" s="305" t="s">
        <v>84</v>
      </c>
      <c r="S338" s="410" t="e">
        <f t="shared" si="109"/>
        <v>#VALUE!</v>
      </c>
      <c r="T338" s="81" t="e">
        <f t="shared" si="109"/>
        <v>#VALUE!</v>
      </c>
      <c r="U338" s="81" t="e">
        <f t="shared" si="109"/>
        <v>#VALUE!</v>
      </c>
      <c r="V338" s="81" t="e">
        <f t="shared" si="109"/>
        <v>#VALUE!</v>
      </c>
      <c r="W338" s="81" t="e">
        <f t="shared" si="109"/>
        <v>#VALUE!</v>
      </c>
      <c r="X338" s="342" t="e">
        <f t="shared" si="109"/>
        <v>#VALUE!</v>
      </c>
      <c r="Z338" s="262"/>
    </row>
    <row r="339" spans="2:32" ht="20.100000000000001" customHeight="1" x14ac:dyDescent="0.2">
      <c r="B339" s="109" t="s">
        <v>85</v>
      </c>
      <c r="C339" s="245">
        <v>0</v>
      </c>
      <c r="D339" s="116">
        <v>0</v>
      </c>
      <c r="E339" s="116">
        <v>0</v>
      </c>
      <c r="F339" s="116">
        <v>0</v>
      </c>
      <c r="G339" s="116">
        <v>0</v>
      </c>
      <c r="H339" s="370">
        <v>0</v>
      </c>
      <c r="J339" s="109" t="s">
        <v>85</v>
      </c>
      <c r="K339" s="245" t="str">
        <v>x</v>
      </c>
      <c r="L339" s="116" t="e">
        <f t="shared" si="110"/>
        <v>#VALUE!</v>
      </c>
      <c r="M339" s="116" t="e">
        <f t="shared" si="111"/>
        <v>#VALUE!</v>
      </c>
      <c r="N339" s="116" t="e">
        <f t="shared" si="112"/>
        <v>#VALUE!</v>
      </c>
      <c r="O339" s="116" t="e">
        <f t="shared" si="113"/>
        <v>#VALUE!</v>
      </c>
      <c r="P339" s="370" t="e">
        <f>O339*H339/G339</f>
        <v>#VALUE!</v>
      </c>
      <c r="R339" s="109" t="s">
        <v>85</v>
      </c>
      <c r="S339" s="245" t="e">
        <f t="shared" si="109"/>
        <v>#VALUE!</v>
      </c>
      <c r="T339" s="116" t="e">
        <f t="shared" si="109"/>
        <v>#VALUE!</v>
      </c>
      <c r="U339" s="116" t="e">
        <f t="shared" si="109"/>
        <v>#VALUE!</v>
      </c>
      <c r="V339" s="116" t="e">
        <f t="shared" si="109"/>
        <v>#VALUE!</v>
      </c>
      <c r="W339" s="116" t="e">
        <f t="shared" si="109"/>
        <v>#VALUE!</v>
      </c>
      <c r="X339" s="370" t="e">
        <f t="shared" si="109"/>
        <v>#VALUE!</v>
      </c>
      <c r="Z339" s="262"/>
    </row>
    <row r="340" spans="2:32" ht="20.100000000000001" customHeight="1" x14ac:dyDescent="0.2">
      <c r="B340" s="271" t="s">
        <v>86</v>
      </c>
      <c r="C340" s="410">
        <v>0</v>
      </c>
      <c r="D340" s="81">
        <v>0</v>
      </c>
      <c r="E340" s="81">
        <v>0</v>
      </c>
      <c r="F340" s="81">
        <v>0</v>
      </c>
      <c r="G340" s="81">
        <v>0</v>
      </c>
      <c r="H340" s="342">
        <v>0</v>
      </c>
      <c r="J340" s="271" t="s">
        <v>86</v>
      </c>
      <c r="K340" s="410" t="str">
        <v>x</v>
      </c>
      <c r="L340" s="81" t="e">
        <f t="shared" si="110"/>
        <v>#VALUE!</v>
      </c>
      <c r="M340" s="81" t="e">
        <f t="shared" si="111"/>
        <v>#VALUE!</v>
      </c>
      <c r="N340" s="81" t="e">
        <f t="shared" si="112"/>
        <v>#VALUE!</v>
      </c>
      <c r="O340" s="81" t="e">
        <f t="shared" si="113"/>
        <v>#VALUE!</v>
      </c>
      <c r="P340" s="342" t="e">
        <f>O340*H340/G340</f>
        <v>#VALUE!</v>
      </c>
      <c r="R340" s="271" t="s">
        <v>86</v>
      </c>
      <c r="S340" s="410" t="e">
        <f t="shared" si="109"/>
        <v>#VALUE!</v>
      </c>
      <c r="T340" s="81" t="e">
        <f t="shared" si="109"/>
        <v>#VALUE!</v>
      </c>
      <c r="U340" s="81" t="e">
        <f t="shared" si="109"/>
        <v>#VALUE!</v>
      </c>
      <c r="V340" s="81" t="e">
        <f t="shared" si="109"/>
        <v>#VALUE!</v>
      </c>
      <c r="W340" s="81" t="e">
        <f t="shared" si="109"/>
        <v>#VALUE!</v>
      </c>
      <c r="X340" s="342" t="e">
        <f t="shared" si="109"/>
        <v>#VALUE!</v>
      </c>
      <c r="Z340" s="262"/>
    </row>
    <row r="341" spans="2:32" ht="20.100000000000001" customHeight="1" x14ac:dyDescent="0.2">
      <c r="B341" s="287" t="s">
        <v>87</v>
      </c>
      <c r="C341" s="356">
        <v>0</v>
      </c>
      <c r="D341" s="191">
        <v>0</v>
      </c>
      <c r="E341" s="191">
        <v>0</v>
      </c>
      <c r="F341" s="191">
        <v>0</v>
      </c>
      <c r="G341" s="191">
        <v>0</v>
      </c>
      <c r="H341" s="170">
        <v>0</v>
      </c>
      <c r="J341" s="287" t="s">
        <v>87</v>
      </c>
      <c r="K341" s="356" t="str">
        <v>x</v>
      </c>
      <c r="L341" s="191" t="e">
        <f t="shared" si="110"/>
        <v>#VALUE!</v>
      </c>
      <c r="M341" s="191" t="e">
        <f t="shared" si="111"/>
        <v>#VALUE!</v>
      </c>
      <c r="N341" s="191" t="e">
        <f t="shared" si="112"/>
        <v>#VALUE!</v>
      </c>
      <c r="O341" s="191" t="e">
        <f t="shared" si="113"/>
        <v>#VALUE!</v>
      </c>
      <c r="P341" s="170" t="e">
        <f>O341*H341/G341</f>
        <v>#VALUE!</v>
      </c>
      <c r="R341" s="287" t="s">
        <v>87</v>
      </c>
      <c r="S341" s="356" t="e">
        <f t="shared" si="109"/>
        <v>#VALUE!</v>
      </c>
      <c r="T341" s="191" t="e">
        <f t="shared" si="109"/>
        <v>#VALUE!</v>
      </c>
      <c r="U341" s="191" t="e">
        <f t="shared" si="109"/>
        <v>#VALUE!</v>
      </c>
      <c r="V341" s="191" t="e">
        <f t="shared" si="109"/>
        <v>#VALUE!</v>
      </c>
      <c r="W341" s="191" t="e">
        <f t="shared" si="109"/>
        <v>#VALUE!</v>
      </c>
      <c r="X341" s="170" t="e">
        <f t="shared" si="109"/>
        <v>#VALUE!</v>
      </c>
      <c r="Z341" s="262"/>
    </row>
    <row r="344" spans="2:32" ht="30" customHeight="1" x14ac:dyDescent="0.2">
      <c r="B344" s="175" t="s">
        <v>582</v>
      </c>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c r="AA344" s="310"/>
      <c r="AB344" s="310"/>
      <c r="AC344" s="310"/>
      <c r="AD344" s="310"/>
      <c r="AE344" s="310"/>
      <c r="AF344" s="310"/>
    </row>
    <row r="345" spans="2:32" ht="20.100000000000001" customHeight="1" x14ac:dyDescent="0.2"/>
    <row r="346" spans="2:32" ht="20.100000000000001" customHeight="1" x14ac:dyDescent="0.2">
      <c r="B346" s="330" t="s">
        <v>33</v>
      </c>
      <c r="C346" s="53">
        <v>2021</v>
      </c>
      <c r="D346" s="415">
        <f>D317</f>
        <v>2025</v>
      </c>
      <c r="E346" s="53">
        <f>F317</f>
        <v>2035</v>
      </c>
      <c r="F346" s="415">
        <f>H317</f>
        <v>2045</v>
      </c>
      <c r="H346" s="354"/>
      <c r="I346" s="1219" t="s">
        <v>106</v>
      </c>
      <c r="J346" s="1220"/>
      <c r="K346" s="1220"/>
      <c r="L346" s="1221"/>
      <c r="M346" s="1219" t="s">
        <v>103</v>
      </c>
      <c r="N346" s="1220"/>
      <c r="O346" s="1220"/>
      <c r="P346" s="1221"/>
      <c r="Q346" s="1219" t="s">
        <v>104</v>
      </c>
      <c r="R346" s="1220"/>
      <c r="S346" s="1220"/>
      <c r="T346" s="1221"/>
      <c r="U346" s="1219" t="s">
        <v>6</v>
      </c>
      <c r="V346" s="1220"/>
      <c r="W346" s="1220"/>
      <c r="X346" s="1221"/>
    </row>
    <row r="347" spans="2:32" ht="20.100000000000001" customHeight="1" x14ac:dyDescent="0.2">
      <c r="B347" s="249" t="s">
        <v>34</v>
      </c>
      <c r="C347" s="339" t="e">
        <f t="array" ref="C347:D351">E347:F351</f>
        <v>#N/A</v>
      </c>
      <c r="D347" s="46" t="e">
        <v>#N/A</v>
      </c>
      <c r="E347" s="339" t="e">
        <f>D66</f>
        <v>#N/A</v>
      </c>
      <c r="F347" s="46" t="e">
        <f t="array" ref="F347:F351">E347:E351</f>
        <v>#N/A</v>
      </c>
      <c r="H347" s="124"/>
      <c r="I347" s="53">
        <f t="array" ref="I347:L347">C346:F346</f>
        <v>2021</v>
      </c>
      <c r="J347" s="385">
        <v>2025</v>
      </c>
      <c r="K347" s="385">
        <v>2035</v>
      </c>
      <c r="L347" s="415">
        <v>2045</v>
      </c>
      <c r="M347" s="53">
        <f t="array" ref="M347:P347">I347:L347</f>
        <v>2021</v>
      </c>
      <c r="N347" s="385">
        <v>2025</v>
      </c>
      <c r="O347" s="385">
        <v>2035</v>
      </c>
      <c r="P347" s="415">
        <v>2045</v>
      </c>
      <c r="Q347" s="53">
        <f t="array" ref="Q347:T347">M347:P347</f>
        <v>2021</v>
      </c>
      <c r="R347" s="385">
        <v>2025</v>
      </c>
      <c r="S347" s="385">
        <v>2035</v>
      </c>
      <c r="T347" s="415">
        <v>2045</v>
      </c>
      <c r="U347" s="53">
        <f t="array" ref="U347:X347">Q347:T347</f>
        <v>2021</v>
      </c>
      <c r="V347" s="385">
        <v>2025</v>
      </c>
      <c r="W347" s="385">
        <v>2035</v>
      </c>
      <c r="X347" s="415">
        <v>2045</v>
      </c>
    </row>
    <row r="348" spans="2:32" ht="20.100000000000001" customHeight="1" x14ac:dyDescent="0.2">
      <c r="B348" s="118" t="s">
        <v>146</v>
      </c>
      <c r="C348" s="333" t="e">
        <v>#N/A</v>
      </c>
      <c r="D348" s="151" t="e">
        <v>#N/A</v>
      </c>
      <c r="E348" s="333" t="e">
        <f>D67-D71</f>
        <v>#N/A</v>
      </c>
      <c r="F348" s="151" t="e">
        <v>#N/A</v>
      </c>
      <c r="H348" s="145" t="s">
        <v>73</v>
      </c>
      <c r="I348" s="339" t="e">
        <f t="array" ref="I348:I351">MROUND(C362*L166:L169,5)</f>
        <v>#N/A</v>
      </c>
      <c r="J348" s="327" t="e">
        <f t="array" ref="J348:J351">MROUND(D362*M166:M169,5)</f>
        <v>#N/A</v>
      </c>
      <c r="K348" s="327" t="e">
        <f t="array" ref="K348:K351">MROUND(E362*O166:O169,5)</f>
        <v>#N/A</v>
      </c>
      <c r="L348" s="46" t="e">
        <f t="array" ref="L348:L351">MROUND(F362*Q166:Q169,5)</f>
        <v>#N/A</v>
      </c>
      <c r="M348" s="339" t="e">
        <f t="array" ref="M348:M351">MROUND(C363*$Z$113:$Z$116,5)</f>
        <v>#DIV/0!</v>
      </c>
      <c r="N348" s="327" t="e">
        <f t="array" ref="N348:N351">MROUND(D363*$AA$113:$AA$116,5)</f>
        <v>#DIV/0!</v>
      </c>
      <c r="O348" s="327" t="e">
        <f t="array" ref="O348:O351">MROUND(E363*$AC$113:$AC$116,5)</f>
        <v>#DIV/0!</v>
      </c>
      <c r="P348" s="46" t="e">
        <f t="array" ref="P348:P351">MROUND(F363*$AE$113:$AE$116,5)</f>
        <v>#DIV/0!</v>
      </c>
      <c r="Q348" s="339" t="e">
        <f t="array" ref="Q348:Q351">MROUND(C364*$Z$113:$Z$116,5)</f>
        <v>#DIV/0!</v>
      </c>
      <c r="R348" s="327" t="e">
        <f t="array" ref="R348:R351">MROUND(D364*$AA$113:$AA$116,5)</f>
        <v>#DIV/0!</v>
      </c>
      <c r="S348" s="327" t="e">
        <f t="array" ref="S348:S351">MROUND(E364*$AC$113:$AC$116,5)</f>
        <v>#DIV/0!</v>
      </c>
      <c r="T348" s="46" t="e">
        <f t="array" ref="T348:T351">MROUND(F364*$AE$113:$AE$116,5)</f>
        <v>#DIV/0!</v>
      </c>
      <c r="U348" s="339" t="e">
        <f t="shared" ref="U348:X351" si="115">SUM(I348,M348,Q348)</f>
        <v>#N/A</v>
      </c>
      <c r="V348" s="327" t="e">
        <f t="shared" si="115"/>
        <v>#N/A</v>
      </c>
      <c r="W348" s="327" t="e">
        <f t="shared" si="115"/>
        <v>#N/A</v>
      </c>
      <c r="X348" s="46" t="e">
        <f t="shared" si="115"/>
        <v>#N/A</v>
      </c>
    </row>
    <row r="349" spans="2:32" ht="20.100000000000001" customHeight="1" x14ac:dyDescent="0.2">
      <c r="B349" s="277" t="s">
        <v>23</v>
      </c>
      <c r="C349" s="242" t="e">
        <v>#VALUE!</v>
      </c>
      <c r="D349" s="322" t="e">
        <v>#VALUE!</v>
      </c>
      <c r="E349" s="242" t="e">
        <f>D68</f>
        <v>#VALUE!</v>
      </c>
      <c r="F349" s="322" t="e">
        <v>#VALUE!</v>
      </c>
      <c r="H349" s="62" t="s">
        <v>68</v>
      </c>
      <c r="I349" s="333" t="e">
        <v>#N/A</v>
      </c>
      <c r="J349" s="364" t="e">
        <v>#N/A</v>
      </c>
      <c r="K349" s="364" t="e">
        <v>#N/A</v>
      </c>
      <c r="L349" s="151" t="e">
        <v>#N/A</v>
      </c>
      <c r="M349" s="333" t="e">
        <v>#DIV/0!</v>
      </c>
      <c r="N349" s="364" t="e">
        <v>#DIV/0!</v>
      </c>
      <c r="O349" s="364" t="e">
        <v>#DIV/0!</v>
      </c>
      <c r="P349" s="151" t="e">
        <v>#DIV/0!</v>
      </c>
      <c r="Q349" s="333" t="e">
        <v>#DIV/0!</v>
      </c>
      <c r="R349" s="364" t="e">
        <v>#DIV/0!</v>
      </c>
      <c r="S349" s="364" t="e">
        <v>#DIV/0!</v>
      </c>
      <c r="T349" s="151" t="e">
        <v>#DIV/0!</v>
      </c>
      <c r="U349" s="333" t="e">
        <f t="shared" si="115"/>
        <v>#N/A</v>
      </c>
      <c r="V349" s="364" t="e">
        <f t="shared" si="115"/>
        <v>#N/A</v>
      </c>
      <c r="W349" s="364" t="e">
        <f t="shared" si="115"/>
        <v>#N/A</v>
      </c>
      <c r="X349" s="151" t="e">
        <f t="shared" si="115"/>
        <v>#N/A</v>
      </c>
    </row>
    <row r="350" spans="2:32" ht="20.100000000000001" customHeight="1" x14ac:dyDescent="0.2">
      <c r="B350" s="118" t="s">
        <v>40</v>
      </c>
      <c r="C350" s="333" t="e">
        <v>#N/A</v>
      </c>
      <c r="D350" s="151" t="e">
        <v>#N/A</v>
      </c>
      <c r="E350" s="333" t="e">
        <f>D69</f>
        <v>#N/A</v>
      </c>
      <c r="F350" s="151" t="e">
        <v>#N/A</v>
      </c>
      <c r="H350" s="87" t="s">
        <v>69</v>
      </c>
      <c r="I350" s="242" t="e">
        <v>#N/A</v>
      </c>
      <c r="J350" s="345" t="e">
        <v>#N/A</v>
      </c>
      <c r="K350" s="345" t="e">
        <v>#N/A</v>
      </c>
      <c r="L350" s="322" t="e">
        <v>#N/A</v>
      </c>
      <c r="M350" s="242" t="e">
        <v>#DIV/0!</v>
      </c>
      <c r="N350" s="345" t="e">
        <v>#DIV/0!</v>
      </c>
      <c r="O350" s="345" t="e">
        <v>#DIV/0!</v>
      </c>
      <c r="P350" s="322" t="e">
        <v>#DIV/0!</v>
      </c>
      <c r="Q350" s="242" t="e">
        <v>#DIV/0!</v>
      </c>
      <c r="R350" s="345" t="e">
        <v>#DIV/0!</v>
      </c>
      <c r="S350" s="345" t="e">
        <v>#DIV/0!</v>
      </c>
      <c r="T350" s="322" t="e">
        <v>#DIV/0!</v>
      </c>
      <c r="U350" s="242" t="e">
        <f t="shared" si="115"/>
        <v>#N/A</v>
      </c>
      <c r="V350" s="345" t="e">
        <f t="shared" si="115"/>
        <v>#N/A</v>
      </c>
      <c r="W350" s="345" t="e">
        <f t="shared" si="115"/>
        <v>#N/A</v>
      </c>
      <c r="X350" s="322" t="e">
        <f t="shared" si="115"/>
        <v>#N/A</v>
      </c>
    </row>
    <row r="351" spans="2:32" ht="20.100000000000001" customHeight="1" x14ac:dyDescent="0.2">
      <c r="B351" s="277" t="s">
        <v>32</v>
      </c>
      <c r="C351" s="242" t="e">
        <v>#DIV/0!</v>
      </c>
      <c r="D351" s="322" t="e">
        <v>#DIV/0!</v>
      </c>
      <c r="E351" s="242" t="e">
        <f>D70</f>
        <v>#DIV/0!</v>
      </c>
      <c r="F351" s="322" t="e">
        <v>#DIV/0!</v>
      </c>
      <c r="H351" s="263" t="s">
        <v>59</v>
      </c>
      <c r="I351" s="333" t="e">
        <v>#N/A</v>
      </c>
      <c r="J351" s="364" t="e">
        <v>#N/A</v>
      </c>
      <c r="K351" s="364" t="e">
        <v>#N/A</v>
      </c>
      <c r="L351" s="151" t="e">
        <v>#N/A</v>
      </c>
      <c r="M351" s="333" t="e">
        <v>#DIV/0!</v>
      </c>
      <c r="N351" s="364" t="e">
        <v>#DIV/0!</v>
      </c>
      <c r="O351" s="364" t="e">
        <v>#DIV/0!</v>
      </c>
      <c r="P351" s="151" t="e">
        <v>#DIV/0!</v>
      </c>
      <c r="Q351" s="333" t="e">
        <v>#DIV/0!</v>
      </c>
      <c r="R351" s="364" t="e">
        <v>#DIV/0!</v>
      </c>
      <c r="S351" s="364" t="e">
        <v>#DIV/0!</v>
      </c>
      <c r="T351" s="151" t="e">
        <v>#DIV/0!</v>
      </c>
      <c r="U351" s="333" t="e">
        <f t="shared" si="115"/>
        <v>#N/A</v>
      </c>
      <c r="V351" s="364" t="e">
        <f t="shared" si="115"/>
        <v>#N/A</v>
      </c>
      <c r="W351" s="364" t="e">
        <f t="shared" si="115"/>
        <v>#N/A</v>
      </c>
      <c r="X351" s="151" t="e">
        <f t="shared" si="115"/>
        <v>#N/A</v>
      </c>
    </row>
    <row r="352" spans="2:32" ht="20.100000000000001" customHeight="1" x14ac:dyDescent="0.2">
      <c r="B352" s="124" t="s">
        <v>101</v>
      </c>
      <c r="C352" s="307">
        <v>0</v>
      </c>
      <c r="D352" s="414">
        <v>0</v>
      </c>
      <c r="E352" s="307" t="e">
        <f>P67</f>
        <v>#N/A</v>
      </c>
      <c r="F352" s="414" t="e">
        <f>Q67</f>
        <v>#N/A</v>
      </c>
      <c r="H352" s="212" t="s">
        <v>6</v>
      </c>
      <c r="I352" s="127" t="e">
        <f t="array" ref="I352:J352">C362:D362</f>
        <v>#N/A</v>
      </c>
      <c r="J352" s="377" t="e">
        <v>#N/A</v>
      </c>
      <c r="K352" s="377" t="e">
        <f t="array" ref="K352:L352">E362:F362</f>
        <v>#N/A</v>
      </c>
      <c r="L352" s="166" t="e">
        <v>#N/A</v>
      </c>
      <c r="M352" s="127" t="e">
        <f t="array" ref="M352:N352">C363:D363</f>
        <v>#DIV/0!</v>
      </c>
      <c r="N352" s="377" t="e">
        <v>#DIV/0!</v>
      </c>
      <c r="O352" s="377" t="e">
        <f t="array" ref="O352:P352">E363:F363</f>
        <v>#DIV/0!</v>
      </c>
      <c r="P352" s="166" t="e">
        <v>#DIV/0!</v>
      </c>
      <c r="Q352" s="127" t="e">
        <f t="array" ref="Q352:R352">C364:D364</f>
        <v>#DIV/0!</v>
      </c>
      <c r="R352" s="377" t="e">
        <v>#DIV/0!</v>
      </c>
      <c r="S352" s="377" t="e">
        <f t="array" ref="S352:T352">E364:F364</f>
        <v>#DIV/0!</v>
      </c>
      <c r="T352" s="166" t="e">
        <v>#DIV/0!</v>
      </c>
      <c r="U352" s="127" t="e">
        <f t="array" ref="U352:V352">C365:D365</f>
        <v>#N/A</v>
      </c>
      <c r="V352" s="377" t="e">
        <v>#N/A</v>
      </c>
      <c r="W352" s="377" t="e">
        <f t="array" ref="W352:X352">E365:F365</f>
        <v>#N/A</v>
      </c>
      <c r="X352" s="166" t="e">
        <v>#N/A</v>
      </c>
    </row>
    <row r="353" spans="2:7" ht="20.100000000000001" customHeight="1" x14ac:dyDescent="0.2">
      <c r="B353" s="124"/>
      <c r="C353" s="333"/>
      <c r="D353" s="113"/>
      <c r="E353" s="333"/>
      <c r="F353" s="113"/>
    </row>
    <row r="354" spans="2:7" ht="20.100000000000001" customHeight="1" x14ac:dyDescent="0.2">
      <c r="B354" s="158" t="s">
        <v>6</v>
      </c>
      <c r="C354" s="293" t="e">
        <f>SUM(C347:C350,C352)-C351</f>
        <v>#N/A</v>
      </c>
      <c r="D354" s="380" t="e">
        <f>SUM(D347:D352)-D351</f>
        <v>#N/A</v>
      </c>
      <c r="E354" s="293" t="e">
        <f t="shared" ref="E354:F354" si="116">SUM(E347:E352)-E351</f>
        <v>#N/A</v>
      </c>
      <c r="F354" s="380" t="e">
        <f t="shared" si="116"/>
        <v>#N/A</v>
      </c>
    </row>
    <row r="356" spans="2:7" ht="20.100000000000001" customHeight="1" x14ac:dyDescent="0.2">
      <c r="B356" s="330" t="s">
        <v>105</v>
      </c>
      <c r="C356" s="53">
        <f t="array" ref="C356:F356">C346:F346</f>
        <v>2021</v>
      </c>
      <c r="D356" s="415">
        <v>2025</v>
      </c>
      <c r="E356" s="53">
        <v>2035</v>
      </c>
      <c r="F356" s="415">
        <v>2045</v>
      </c>
    </row>
    <row r="357" spans="2:7" ht="20.100000000000001" customHeight="1" x14ac:dyDescent="0.2">
      <c r="B357" s="277" t="s">
        <v>102</v>
      </c>
      <c r="C357" s="339">
        <f>IFERROR(MROUND((C354-SUM(C350:C351))*(1-SUM(S318:S319)),5),0)</f>
        <v>0</v>
      </c>
      <c r="D357" s="46">
        <f>IFERROR(MROUND((D354-SUM(D350:D351))*(1-SUM(T318:T319)),5),0)</f>
        <v>0</v>
      </c>
      <c r="E357" s="339" t="e">
        <f>MROUND((E354-SUM(E350:E351))*(1-SUM(V318:V319)),5)</f>
        <v>#N/A</v>
      </c>
      <c r="F357" s="46" t="e">
        <f>MROUND((F354-SUM(F350:F351))*(1-SUM(X318:X319)),5)</f>
        <v>#N/A</v>
      </c>
    </row>
    <row r="358" spans="2:7" ht="20.100000000000001" customHeight="1" x14ac:dyDescent="0.2">
      <c r="B358" s="118" t="s">
        <v>103</v>
      </c>
      <c r="C358" s="333" t="e">
        <f>MROUND(C351/2 + (SUM(C347:C349,C352) - C351) * S319,5)</f>
        <v>#DIV/0!</v>
      </c>
      <c r="D358" s="151" t="e">
        <f>MROUND(D351/2 + (SUM(D347:D349,D352) - D351) * T319,5)</f>
        <v>#DIV/0!</v>
      </c>
      <c r="E358" s="333" t="e">
        <f>MROUND(E351/2 + (SUM(E347:E349,E352) - E351) * V319,5)</f>
        <v>#DIV/0!</v>
      </c>
      <c r="F358" s="151" t="e">
        <f>MROUND(F351/2 + (SUM(F347:F349,F352) - F351) * X319,5)</f>
        <v>#DIV/0!</v>
      </c>
      <c r="G358" s="408"/>
    </row>
    <row r="359" spans="2:7" ht="20.100000000000001" customHeight="1" x14ac:dyDescent="0.2">
      <c r="B359" s="158" t="s">
        <v>104</v>
      </c>
      <c r="C359" s="202" t="e">
        <f>MROUND(SUM(C350,C351/2)+(SUM(C347:C349,C352) - C351)*(S318),5)</f>
        <v>#DIV/0!</v>
      </c>
      <c r="D359" s="286" t="e">
        <f>MROUND(SUM(D350,D351/2)+(SUM(D347:D349,D352) - D351)*(T318),5)</f>
        <v>#DIV/0!</v>
      </c>
      <c r="E359" s="202" t="e">
        <f>MROUND(SUM(E350,E351/2)+(SUM(E347:E349,E352) - E351)*(V318),5)</f>
        <v>#DIV/0!</v>
      </c>
      <c r="F359" s="286" t="e">
        <f>MROUND(SUM(F350,F351/2)+(SUM(F347:F349,F352) - F351)*(X318),5)</f>
        <v>#DIV/0!</v>
      </c>
    </row>
    <row r="361" spans="2:7" ht="20.100000000000001" customHeight="1" x14ac:dyDescent="0.2">
      <c r="B361" s="237" t="s">
        <v>105</v>
      </c>
      <c r="C361" s="252">
        <f t="array" ref="C361:F361">C356:F356</f>
        <v>2021</v>
      </c>
      <c r="D361" s="321">
        <v>2025</v>
      </c>
      <c r="E361" s="344">
        <v>2035</v>
      </c>
      <c r="F361" s="394">
        <v>2045</v>
      </c>
    </row>
    <row r="362" spans="2:7" ht="20.100000000000001" customHeight="1" x14ac:dyDescent="0.2">
      <c r="B362" s="177" t="s">
        <v>102</v>
      </c>
      <c r="C362" s="339" t="e">
        <f t="shared" ref="C362:F364" si="117">MROUND(C357*C$354/SUM(C$357:C$359),5)</f>
        <v>#N/A</v>
      </c>
      <c r="D362" s="46" t="e">
        <f t="shared" si="117"/>
        <v>#N/A</v>
      </c>
      <c r="E362" s="205" t="e">
        <f>MROUND(E357*E$354/SUM(E$357:E$359),5)</f>
        <v>#N/A</v>
      </c>
      <c r="F362" s="155" t="e">
        <f t="shared" si="117"/>
        <v>#N/A</v>
      </c>
    </row>
    <row r="363" spans="2:7" ht="20.100000000000001" customHeight="1" x14ac:dyDescent="0.2">
      <c r="B363" s="298" t="s">
        <v>103</v>
      </c>
      <c r="C363" s="333" t="e">
        <f t="shared" si="117"/>
        <v>#DIV/0!</v>
      </c>
      <c r="D363" s="151" t="e">
        <f t="shared" si="117"/>
        <v>#DIV/0!</v>
      </c>
      <c r="E363" s="235" t="e">
        <f t="shared" si="117"/>
        <v>#DIV/0!</v>
      </c>
      <c r="F363" s="85" t="e">
        <f t="shared" si="117"/>
        <v>#DIV/0!</v>
      </c>
    </row>
    <row r="364" spans="2:7" ht="20.100000000000001" customHeight="1" x14ac:dyDescent="0.2">
      <c r="B364" s="98" t="s">
        <v>104</v>
      </c>
      <c r="C364" s="202" t="e">
        <f t="shared" si="117"/>
        <v>#DIV/0!</v>
      </c>
      <c r="D364" s="286" t="e">
        <f t="shared" si="117"/>
        <v>#DIV/0!</v>
      </c>
      <c r="E364" s="348" t="e">
        <f t="shared" si="117"/>
        <v>#DIV/0!</v>
      </c>
      <c r="F364" s="386" t="e">
        <f t="shared" si="117"/>
        <v>#DIV/0!</v>
      </c>
    </row>
    <row r="365" spans="2:7" ht="20.100000000000001" customHeight="1" x14ac:dyDescent="0.2">
      <c r="B365" s="384" t="s">
        <v>6</v>
      </c>
      <c r="C365" s="228" t="e">
        <f>MROUND(C354,5)</f>
        <v>#N/A</v>
      </c>
      <c r="D365" s="221" t="e">
        <f>MROUND(D354,5)</f>
        <v>#N/A</v>
      </c>
      <c r="E365" s="240" t="e">
        <f>MROUND(E354,5)</f>
        <v>#N/A</v>
      </c>
      <c r="F365" s="308" t="e">
        <f>MROUND(F354,5)</f>
        <v>#N/A</v>
      </c>
    </row>
    <row r="366" spans="2:7" ht="15" customHeight="1" x14ac:dyDescent="0.2"/>
    <row r="367" spans="2:7" ht="20.100000000000001" customHeight="1" x14ac:dyDescent="0.2">
      <c r="B367" s="154"/>
      <c r="C367" s="144" t="s">
        <v>6</v>
      </c>
      <c r="D367" s="78" t="s">
        <v>594</v>
      </c>
      <c r="E367" s="326" t="s">
        <v>595</v>
      </c>
      <c r="F367" s="272" t="s">
        <v>596</v>
      </c>
    </row>
    <row r="368" spans="2:7" ht="20.100000000000001" customHeight="1" x14ac:dyDescent="0.2">
      <c r="B368" s="178" t="s">
        <v>73</v>
      </c>
      <c r="C368" s="1297" t="str">
        <f t="array" ref="C368:C372">IFERROR(W348:W352,"x")</f>
        <v>x</v>
      </c>
      <c r="D368" s="740" t="str">
        <f t="array" ref="D368:D372">IFERROR(K348:K352,"x")</f>
        <v>x</v>
      </c>
      <c r="E368" s="314" t="str">
        <f t="array" ref="E368:E372">IFERROR(O348:O352,"x")</f>
        <v>x</v>
      </c>
      <c r="F368" s="108" t="str">
        <f t="array" ref="F368:F372">IFERROR(S348:S352,"x")</f>
        <v>x</v>
      </c>
    </row>
    <row r="369" spans="1:38" ht="20.100000000000001" customHeight="1" x14ac:dyDescent="0.2">
      <c r="B369" s="278" t="s">
        <v>68</v>
      </c>
      <c r="C369" s="738" t="str">
        <v>x</v>
      </c>
      <c r="D369" s="1298" t="str">
        <v>x</v>
      </c>
      <c r="E369" s="1299" t="str">
        <v>x</v>
      </c>
      <c r="F369" s="1300" t="str">
        <v>x</v>
      </c>
    </row>
    <row r="370" spans="1:38" ht="20.100000000000001" customHeight="1" x14ac:dyDescent="0.2">
      <c r="B370" s="121" t="s">
        <v>69</v>
      </c>
      <c r="C370" s="123" t="str">
        <v>x</v>
      </c>
      <c r="D370" s="313" t="str">
        <v>x</v>
      </c>
      <c r="E370" s="64" t="str">
        <v>x</v>
      </c>
      <c r="F370" s="389" t="str">
        <v>x</v>
      </c>
    </row>
    <row r="371" spans="1:38" ht="20.100000000000001" customHeight="1" x14ac:dyDescent="0.2">
      <c r="B371" s="82" t="s">
        <v>59</v>
      </c>
      <c r="C371" s="739" t="str">
        <v>x</v>
      </c>
      <c r="D371" s="1301" t="str">
        <v>x</v>
      </c>
      <c r="E371" s="1302" t="str">
        <v>x</v>
      </c>
      <c r="F371" s="1303" t="str">
        <v>x</v>
      </c>
    </row>
    <row r="372" spans="1:38" ht="20.100000000000001" customHeight="1" x14ac:dyDescent="0.2">
      <c r="B372" s="47" t="s">
        <v>6</v>
      </c>
      <c r="C372" s="129" t="str">
        <v>x</v>
      </c>
      <c r="D372" s="86" t="str">
        <v>x</v>
      </c>
      <c r="E372" s="38" t="str">
        <v>x</v>
      </c>
      <c r="F372" s="338" t="str">
        <v>x</v>
      </c>
    </row>
    <row r="376" spans="1:38" ht="50.1" customHeight="1" x14ac:dyDescent="0.2">
      <c r="B376" s="159" t="s">
        <v>597</v>
      </c>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351"/>
      <c r="AD376" s="351"/>
      <c r="AE376" s="351"/>
      <c r="AF376" s="351"/>
      <c r="AG376" s="351"/>
      <c r="AH376" s="351"/>
    </row>
    <row r="377" spans="1:38" ht="20.100000000000001" customHeight="1" x14ac:dyDescent="0.2"/>
    <row r="378" spans="1:38" ht="30" customHeight="1" x14ac:dyDescent="0.2">
      <c r="B378" s="175" t="s">
        <v>598</v>
      </c>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c r="AA378" s="310"/>
      <c r="AB378" s="310"/>
      <c r="AC378" s="310"/>
      <c r="AD378" s="310"/>
      <c r="AE378" s="310"/>
      <c r="AF378" s="310"/>
    </row>
    <row r="379" spans="1:38" ht="20.100000000000001" customHeight="1" x14ac:dyDescent="0.2">
      <c r="B379" s="77"/>
      <c r="C379" s="194">
        <v>2015</v>
      </c>
      <c r="D379" s="194">
        <v>2016</v>
      </c>
      <c r="E379" s="194">
        <v>2017</v>
      </c>
      <c r="F379" s="194">
        <v>2018</v>
      </c>
      <c r="G379" s="194">
        <v>2019</v>
      </c>
      <c r="H379" s="194">
        <v>2020</v>
      </c>
      <c r="I379" s="194">
        <v>2021</v>
      </c>
      <c r="J379" s="194">
        <v>2022</v>
      </c>
      <c r="K379" s="194">
        <v>2023</v>
      </c>
      <c r="L379" s="194">
        <v>2024</v>
      </c>
      <c r="M379" s="194">
        <v>2025</v>
      </c>
      <c r="N379" s="194">
        <v>2026</v>
      </c>
      <c r="O379" s="194">
        <v>2027</v>
      </c>
      <c r="P379" s="194">
        <v>2028</v>
      </c>
      <c r="Q379" s="194">
        <v>2029</v>
      </c>
      <c r="R379" s="194">
        <v>2030</v>
      </c>
      <c r="S379" s="194">
        <v>2031</v>
      </c>
      <c r="T379" s="194">
        <v>2032</v>
      </c>
      <c r="U379" s="194">
        <v>2033</v>
      </c>
      <c r="V379" s="194">
        <v>2034</v>
      </c>
      <c r="W379" s="194">
        <v>2035</v>
      </c>
      <c r="X379" s="194">
        <v>2036</v>
      </c>
      <c r="Y379" s="194">
        <v>2037</v>
      </c>
      <c r="Z379" s="194">
        <v>2038</v>
      </c>
      <c r="AA379" s="194">
        <v>2039</v>
      </c>
      <c r="AB379" s="194">
        <v>2040</v>
      </c>
      <c r="AC379" s="194">
        <v>2041</v>
      </c>
      <c r="AD379" s="194">
        <v>2042</v>
      </c>
      <c r="AE379" s="194">
        <v>2043</v>
      </c>
      <c r="AF379" s="194">
        <v>2044</v>
      </c>
      <c r="AG379" s="194">
        <v>2045</v>
      </c>
      <c r="AH379" s="194">
        <v>2046</v>
      </c>
      <c r="AI379" s="194">
        <v>2047</v>
      </c>
      <c r="AJ379" s="194">
        <v>2048</v>
      </c>
      <c r="AK379" s="194">
        <v>2049</v>
      </c>
      <c r="AL379" s="250">
        <v>2050</v>
      </c>
    </row>
    <row r="380" spans="1:38" ht="20.100000000000001" customHeight="1" x14ac:dyDescent="0.2">
      <c r="A380" s="223" t="s">
        <v>549</v>
      </c>
      <c r="B380" s="43" t="s">
        <v>304</v>
      </c>
      <c r="C380" s="366"/>
      <c r="D380" s="366"/>
      <c r="E380" s="366"/>
      <c r="F380" s="366"/>
      <c r="G380" s="366"/>
      <c r="H380" s="366"/>
      <c r="I380" s="366">
        <f>SUM(I381:I386)</f>
        <v>0</v>
      </c>
      <c r="J380" s="366"/>
      <c r="K380" s="366"/>
      <c r="L380" s="366"/>
      <c r="M380" s="366" t="e">
        <f>SUM(M381:M386)</f>
        <v>#N/A</v>
      </c>
      <c r="N380" s="366" t="e">
        <f t="shared" ref="N380:AL380" si="118">SUM(N381:N386)</f>
        <v>#N/A</v>
      </c>
      <c r="O380" s="366" t="e">
        <f t="shared" si="118"/>
        <v>#N/A</v>
      </c>
      <c r="P380" s="366" t="e">
        <f t="shared" si="118"/>
        <v>#N/A</v>
      </c>
      <c r="Q380" s="366" t="e">
        <f t="shared" si="118"/>
        <v>#N/A</v>
      </c>
      <c r="R380" s="366" t="e">
        <f t="shared" si="118"/>
        <v>#N/A</v>
      </c>
      <c r="S380" s="366" t="e">
        <f t="shared" si="118"/>
        <v>#N/A</v>
      </c>
      <c r="T380" s="366" t="e">
        <f t="shared" si="118"/>
        <v>#N/A</v>
      </c>
      <c r="U380" s="366" t="e">
        <f t="shared" si="118"/>
        <v>#N/A</v>
      </c>
      <c r="V380" s="366" t="e">
        <f t="shared" si="118"/>
        <v>#N/A</v>
      </c>
      <c r="W380" s="366" t="e">
        <f t="shared" si="118"/>
        <v>#N/A</v>
      </c>
      <c r="X380" s="366" t="e">
        <f t="shared" si="118"/>
        <v>#N/A</v>
      </c>
      <c r="Y380" s="366" t="e">
        <f t="shared" si="118"/>
        <v>#N/A</v>
      </c>
      <c r="Z380" s="366" t="e">
        <f t="shared" si="118"/>
        <v>#N/A</v>
      </c>
      <c r="AA380" s="366" t="e">
        <f t="shared" si="118"/>
        <v>#N/A</v>
      </c>
      <c r="AB380" s="366" t="e">
        <f t="shared" si="118"/>
        <v>#N/A</v>
      </c>
      <c r="AC380" s="366" t="e">
        <f t="shared" si="118"/>
        <v>#N/A</v>
      </c>
      <c r="AD380" s="366" t="e">
        <f t="shared" si="118"/>
        <v>#N/A</v>
      </c>
      <c r="AE380" s="366" t="e">
        <f t="shared" si="118"/>
        <v>#N/A</v>
      </c>
      <c r="AF380" s="366" t="e">
        <f t="shared" si="118"/>
        <v>#N/A</v>
      </c>
      <c r="AG380" s="366" t="e">
        <f t="shared" si="118"/>
        <v>#N/A</v>
      </c>
      <c r="AH380" s="366" t="e">
        <f t="shared" si="118"/>
        <v>#N/A</v>
      </c>
      <c r="AI380" s="366" t="e">
        <f t="shared" si="118"/>
        <v>#N/A</v>
      </c>
      <c r="AJ380" s="366" t="e">
        <f t="shared" si="118"/>
        <v>#N/A</v>
      </c>
      <c r="AK380" s="366" t="e">
        <f t="shared" si="118"/>
        <v>#N/A</v>
      </c>
      <c r="AL380" s="233" t="e">
        <f t="shared" si="118"/>
        <v>#N/A</v>
      </c>
    </row>
    <row r="381" spans="1:38" ht="20.100000000000001" customHeight="1" x14ac:dyDescent="0.2">
      <c r="A381" s="223" t="s">
        <v>559</v>
      </c>
      <c r="B381" s="354" t="s">
        <v>60</v>
      </c>
      <c r="C381" s="230">
        <v>14</v>
      </c>
      <c r="D381" s="230">
        <v>15</v>
      </c>
      <c r="E381" s="137"/>
      <c r="F381" s="137"/>
      <c r="G381" s="137"/>
      <c r="H381" s="137"/>
      <c r="I381" s="137">
        <f t="array" ref="I381">IFERROR(INDEX(df_pop!$C$2:$C$1000, MATCH(1, (df_pop!$B$2:$B$1000 = $D381) * (df_pop!$F$2:$F$1000 = "Commute"), 0), 0),0) + IFERROR(INDEX(df_pop!$C$2:$C$1000, MATCH(1, (df_pop!$B$2:$B$1000 = $C381) * (df_pop!$F$2:$F$1000 = "Commute"), 0), 0),0)</f>
        <v>0</v>
      </c>
      <c r="J381" s="137"/>
      <c r="K381" s="137"/>
      <c r="L381" s="137"/>
      <c r="M381" s="137" t="e">
        <f>INDEX(df_proj_in!$B$2:$H$100, MATCH(TEXT(M$379,"##"), df_proj_in!$A$2:$A$100, 0), MATCH($A381, df_proj_in!$B$1:$H$1,0))</f>
        <v>#N/A</v>
      </c>
      <c r="N381" s="137" t="e">
        <f>INDEX(df_proj_in!$B$2:$H$100, MATCH(TEXT(N$379,"##"), df_proj_in!$A$2:$A$100, 0), MATCH($A381, df_proj_in!$B$1:$H$1,0))</f>
        <v>#N/A</v>
      </c>
      <c r="O381" s="137" t="e">
        <f>INDEX(df_proj_in!$B$2:$H$100, MATCH(TEXT(O$379,"##"), df_proj_in!$A$2:$A$100, 0), MATCH($A381, df_proj_in!$B$1:$H$1,0))</f>
        <v>#N/A</v>
      </c>
      <c r="P381" s="137" t="e">
        <f>INDEX(df_proj_in!$B$2:$H$100, MATCH(TEXT(P$379,"##"), df_proj_in!$A$2:$A$100, 0), MATCH($A381, df_proj_in!$B$1:$H$1,0))</f>
        <v>#N/A</v>
      </c>
      <c r="Q381" s="137" t="e">
        <f>INDEX(df_proj_in!$B$2:$H$100, MATCH(TEXT(Q$379,"##"), df_proj_in!$A$2:$A$100, 0), MATCH($A381, df_proj_in!$B$1:$H$1,0))</f>
        <v>#N/A</v>
      </c>
      <c r="R381" s="137" t="e">
        <f>INDEX(df_proj_in!$B$2:$H$100, MATCH(TEXT(R$379,"##"), df_proj_in!$A$2:$A$100, 0), MATCH($A381, df_proj_in!$B$1:$H$1,0))</f>
        <v>#N/A</v>
      </c>
      <c r="S381" s="137" t="e">
        <f>INDEX(df_proj_in!$B$2:$H$100, MATCH(TEXT(S$379,"##"), df_proj_in!$A$2:$A$100, 0), MATCH($A381, df_proj_in!$B$1:$H$1,0))</f>
        <v>#N/A</v>
      </c>
      <c r="T381" s="137" t="e">
        <f>INDEX(df_proj_in!$B$2:$H$100, MATCH(TEXT(T$379,"##"), df_proj_in!$A$2:$A$100, 0), MATCH($A381, df_proj_in!$B$1:$H$1,0))</f>
        <v>#N/A</v>
      </c>
      <c r="U381" s="137" t="e">
        <f>INDEX(df_proj_in!$B$2:$H$100, MATCH(TEXT(U$379,"##"), df_proj_in!$A$2:$A$100, 0), MATCH($A381, df_proj_in!$B$1:$H$1,0))</f>
        <v>#N/A</v>
      </c>
      <c r="V381" s="137" t="e">
        <f>INDEX(df_proj_in!$B$2:$H$100, MATCH(TEXT(V$379,"##"), df_proj_in!$A$2:$A$100, 0), MATCH($A381, df_proj_in!$B$1:$H$1,0))</f>
        <v>#N/A</v>
      </c>
      <c r="W381" s="137" t="e">
        <f>INDEX(df_proj_in!$B$2:$H$100, MATCH(TEXT(W$379,"##"), df_proj_in!$A$2:$A$100, 0), MATCH($A381, df_proj_in!$B$1:$H$1,0))</f>
        <v>#N/A</v>
      </c>
      <c r="X381" s="137" t="e">
        <f>INDEX(df_proj_in!$B$2:$H$100, MATCH(TEXT(X$379,"##"), df_proj_in!$A$2:$A$100, 0), MATCH($A381, df_proj_in!$B$1:$H$1,0))</f>
        <v>#N/A</v>
      </c>
      <c r="Y381" s="137" t="e">
        <f>INDEX(df_proj_in!$B$2:$H$100, MATCH(TEXT(Y$379,"##"), df_proj_in!$A$2:$A$100, 0), MATCH($A381, df_proj_in!$B$1:$H$1,0))</f>
        <v>#N/A</v>
      </c>
      <c r="Z381" s="137" t="e">
        <f>INDEX(df_proj_in!$B$2:$H$100, MATCH(TEXT(Z$379,"##"), df_proj_in!$A$2:$A$100, 0), MATCH($A381, df_proj_in!$B$1:$H$1,0))</f>
        <v>#N/A</v>
      </c>
      <c r="AA381" s="137" t="e">
        <f>INDEX(df_proj_in!$B$2:$H$100, MATCH(TEXT(AA$379,"##"), df_proj_in!$A$2:$A$100, 0), MATCH($A381, df_proj_in!$B$1:$H$1,0))</f>
        <v>#N/A</v>
      </c>
      <c r="AB381" s="137" t="e">
        <f>INDEX(df_proj_in!$B$2:$H$100, MATCH(TEXT(AB$379,"##"), df_proj_in!$A$2:$A$100, 0), MATCH($A381, df_proj_in!$B$1:$H$1,0))</f>
        <v>#N/A</v>
      </c>
      <c r="AC381" s="137" t="e">
        <f>INDEX(df_proj_in!$B$2:$H$100, MATCH(TEXT(AC$379,"##"), df_proj_in!$A$2:$A$100, 0), MATCH($A381, df_proj_in!$B$1:$H$1,0))</f>
        <v>#N/A</v>
      </c>
      <c r="AD381" s="137" t="e">
        <f>INDEX(df_proj_in!$B$2:$H$100, MATCH(TEXT(AD$379,"##"), df_proj_in!$A$2:$A$100, 0), MATCH($A381, df_proj_in!$B$1:$H$1,0))</f>
        <v>#N/A</v>
      </c>
      <c r="AE381" s="137" t="e">
        <f>INDEX(df_proj_in!$B$2:$H$100, MATCH(TEXT(AE$379,"##"), df_proj_in!$A$2:$A$100, 0), MATCH($A381, df_proj_in!$B$1:$H$1,0))</f>
        <v>#N/A</v>
      </c>
      <c r="AF381" s="137" t="e">
        <f>INDEX(df_proj_in!$B$2:$H$100, MATCH(TEXT(AF$379,"##"), df_proj_in!$A$2:$A$100, 0), MATCH($A381, df_proj_in!$B$1:$H$1,0))</f>
        <v>#N/A</v>
      </c>
      <c r="AG381" s="137" t="e">
        <f>INDEX(df_proj_in!$B$2:$H$100, MATCH(TEXT(AG$379,"##"), df_proj_in!$A$2:$A$100, 0), MATCH($A381, df_proj_in!$B$1:$H$1,0))</f>
        <v>#N/A</v>
      </c>
      <c r="AH381" s="137" t="e">
        <f>INDEX(df_proj_in!$B$2:$H$100, MATCH(TEXT(AH$379,"##"), df_proj_in!$A$2:$A$100, 0), MATCH($A381, df_proj_in!$B$1:$H$1,0))</f>
        <v>#N/A</v>
      </c>
      <c r="AI381" s="137" t="e">
        <f>INDEX(df_proj_in!$B$2:$H$100, MATCH(TEXT(AI$379,"##"), df_proj_in!$A$2:$A$100, 0), MATCH($A381, df_proj_in!$B$1:$H$1,0))</f>
        <v>#N/A</v>
      </c>
      <c r="AJ381" s="137" t="e">
        <f>INDEX(df_proj_in!$B$2:$H$100, MATCH(TEXT(AJ$379,"##"), df_proj_in!$A$2:$A$100, 0), MATCH($A381, df_proj_in!$B$1:$H$1,0))</f>
        <v>#N/A</v>
      </c>
      <c r="AK381" s="137" t="e">
        <f>INDEX(df_proj_in!$B$2:$H$100, MATCH(TEXT(AK$379,"##"), df_proj_in!$A$2:$A$100, 0), MATCH($A381, df_proj_in!$B$1:$H$1,0))</f>
        <v>#N/A</v>
      </c>
      <c r="AL381" s="269" t="e">
        <f>INDEX(df_proj_in!$B$2:$H$100, MATCH(TEXT(AL$379,"##"), df_proj_in!$A$2:$A$100, 0), MATCH($A381, df_proj_in!$B$1:$H$1,0))</f>
        <v>#N/A</v>
      </c>
    </row>
    <row r="382" spans="1:38" ht="20.100000000000001" customHeight="1" x14ac:dyDescent="0.2">
      <c r="A382" s="223" t="s">
        <v>560</v>
      </c>
      <c r="B382" s="277" t="s">
        <v>61</v>
      </c>
      <c r="C382" s="67">
        <v>16</v>
      </c>
      <c r="D382" s="67">
        <v>17</v>
      </c>
      <c r="E382" s="111"/>
      <c r="F382" s="111"/>
      <c r="G382" s="111"/>
      <c r="H382" s="111"/>
      <c r="I382" s="111">
        <f t="array" ref="I382">IFERROR(INDEX(df_pop!$C$2:$C$1000, MATCH(1, (df_pop!$B$2:$B$1000 = $D382) * (df_pop!$F$2:$F$1000 = "Commute"), 0), 0),0) + IFERROR(INDEX(df_pop!$C$2:$C$1000, MATCH(1, (df_pop!$B$2:$B$1000 = $C382) * (df_pop!$F$2:$F$1000 = "Commute"), 0), 0),0)</f>
        <v>0</v>
      </c>
      <c r="J382" s="111"/>
      <c r="K382" s="111"/>
      <c r="L382" s="111"/>
      <c r="M382" s="111" t="e">
        <f>INDEX(df_proj_in!$B$2:$H$100, MATCH(TEXT(M$379,"##"), df_proj_in!$A$2:$A$100, 0), MATCH($A382, df_proj_in!$B$1:$H$1,0))</f>
        <v>#N/A</v>
      </c>
      <c r="N382" s="111" t="e">
        <f>INDEX(df_proj_in!$B$2:$H$100, MATCH(TEXT(N$379,"##"), df_proj_in!$A$2:$A$100, 0), MATCH($A382, df_proj_in!$B$1:$H$1,0))</f>
        <v>#N/A</v>
      </c>
      <c r="O382" s="111" t="e">
        <f>INDEX(df_proj_in!$B$2:$H$100, MATCH(TEXT(O$379,"##"), df_proj_in!$A$2:$A$100, 0), MATCH($A382, df_proj_in!$B$1:$H$1,0))</f>
        <v>#N/A</v>
      </c>
      <c r="P382" s="111" t="e">
        <f>INDEX(df_proj_in!$B$2:$H$100, MATCH(TEXT(P$379,"##"), df_proj_in!$A$2:$A$100, 0), MATCH($A382, df_proj_in!$B$1:$H$1,0))</f>
        <v>#N/A</v>
      </c>
      <c r="Q382" s="111" t="e">
        <f>INDEX(df_proj_in!$B$2:$H$100, MATCH(TEXT(Q$379,"##"), df_proj_in!$A$2:$A$100, 0), MATCH($A382, df_proj_in!$B$1:$H$1,0))</f>
        <v>#N/A</v>
      </c>
      <c r="R382" s="111" t="e">
        <f>INDEX(df_proj_in!$B$2:$H$100, MATCH(TEXT(R$379,"##"), df_proj_in!$A$2:$A$100, 0), MATCH($A382, df_proj_in!$B$1:$H$1,0))</f>
        <v>#N/A</v>
      </c>
      <c r="S382" s="111" t="e">
        <f>INDEX(df_proj_in!$B$2:$H$100, MATCH(TEXT(S$379,"##"), df_proj_in!$A$2:$A$100, 0), MATCH($A382, df_proj_in!$B$1:$H$1,0))</f>
        <v>#N/A</v>
      </c>
      <c r="T382" s="111" t="e">
        <f>INDEX(df_proj_in!$B$2:$H$100, MATCH(TEXT(T$379,"##"), df_proj_in!$A$2:$A$100, 0), MATCH($A382, df_proj_in!$B$1:$H$1,0))</f>
        <v>#N/A</v>
      </c>
      <c r="U382" s="111" t="e">
        <f>INDEX(df_proj_in!$B$2:$H$100, MATCH(TEXT(U$379,"##"), df_proj_in!$A$2:$A$100, 0), MATCH($A382, df_proj_in!$B$1:$H$1,0))</f>
        <v>#N/A</v>
      </c>
      <c r="V382" s="111" t="e">
        <f>INDEX(df_proj_in!$B$2:$H$100, MATCH(TEXT(V$379,"##"), df_proj_in!$A$2:$A$100, 0), MATCH($A382, df_proj_in!$B$1:$H$1,0))</f>
        <v>#N/A</v>
      </c>
      <c r="W382" s="111" t="e">
        <f>INDEX(df_proj_in!$B$2:$H$100, MATCH(TEXT(W$379,"##"), df_proj_in!$A$2:$A$100, 0), MATCH($A382, df_proj_in!$B$1:$H$1,0))</f>
        <v>#N/A</v>
      </c>
      <c r="X382" s="111" t="e">
        <f>INDEX(df_proj_in!$B$2:$H$100, MATCH(TEXT(X$379,"##"), df_proj_in!$A$2:$A$100, 0), MATCH($A382, df_proj_in!$B$1:$H$1,0))</f>
        <v>#N/A</v>
      </c>
      <c r="Y382" s="111" t="e">
        <f>INDEX(df_proj_in!$B$2:$H$100, MATCH(TEXT(Y$379,"##"), df_proj_in!$A$2:$A$100, 0), MATCH($A382, df_proj_in!$B$1:$H$1,0))</f>
        <v>#N/A</v>
      </c>
      <c r="Z382" s="111" t="e">
        <f>INDEX(df_proj_in!$B$2:$H$100, MATCH(TEXT(Z$379,"##"), df_proj_in!$A$2:$A$100, 0), MATCH($A382, df_proj_in!$B$1:$H$1,0))</f>
        <v>#N/A</v>
      </c>
      <c r="AA382" s="111" t="e">
        <f>INDEX(df_proj_in!$B$2:$H$100, MATCH(TEXT(AA$379,"##"), df_proj_in!$A$2:$A$100, 0), MATCH($A382, df_proj_in!$B$1:$H$1,0))</f>
        <v>#N/A</v>
      </c>
      <c r="AB382" s="111" t="e">
        <f>INDEX(df_proj_in!$B$2:$H$100, MATCH(TEXT(AB$379,"##"), df_proj_in!$A$2:$A$100, 0), MATCH($A382, df_proj_in!$B$1:$H$1,0))</f>
        <v>#N/A</v>
      </c>
      <c r="AC382" s="111" t="e">
        <f>INDEX(df_proj_in!$B$2:$H$100, MATCH(TEXT(AC$379,"##"), df_proj_in!$A$2:$A$100, 0), MATCH($A382, df_proj_in!$B$1:$H$1,0))</f>
        <v>#N/A</v>
      </c>
      <c r="AD382" s="111" t="e">
        <f>INDEX(df_proj_in!$B$2:$H$100, MATCH(TEXT(AD$379,"##"), df_proj_in!$A$2:$A$100, 0), MATCH($A382, df_proj_in!$B$1:$H$1,0))</f>
        <v>#N/A</v>
      </c>
      <c r="AE382" s="111" t="e">
        <f>INDEX(df_proj_in!$B$2:$H$100, MATCH(TEXT(AE$379,"##"), df_proj_in!$A$2:$A$100, 0), MATCH($A382, df_proj_in!$B$1:$H$1,0))</f>
        <v>#N/A</v>
      </c>
      <c r="AF382" s="111" t="e">
        <f>INDEX(df_proj_in!$B$2:$H$100, MATCH(TEXT(AF$379,"##"), df_proj_in!$A$2:$A$100, 0), MATCH($A382, df_proj_in!$B$1:$H$1,0))</f>
        <v>#N/A</v>
      </c>
      <c r="AG382" s="111" t="e">
        <f>INDEX(df_proj_in!$B$2:$H$100, MATCH(TEXT(AG$379,"##"), df_proj_in!$A$2:$A$100, 0), MATCH($A382, df_proj_in!$B$1:$H$1,0))</f>
        <v>#N/A</v>
      </c>
      <c r="AH382" s="111" t="e">
        <f>INDEX(df_proj_in!$B$2:$H$100, MATCH(TEXT(AH$379,"##"), df_proj_in!$A$2:$A$100, 0), MATCH($A382, df_proj_in!$B$1:$H$1,0))</f>
        <v>#N/A</v>
      </c>
      <c r="AI382" s="111" t="e">
        <f>INDEX(df_proj_in!$B$2:$H$100, MATCH(TEXT(AI$379,"##"), df_proj_in!$A$2:$A$100, 0), MATCH($A382, df_proj_in!$B$1:$H$1,0))</f>
        <v>#N/A</v>
      </c>
      <c r="AJ382" s="111" t="e">
        <f>INDEX(df_proj_in!$B$2:$H$100, MATCH(TEXT(AJ$379,"##"), df_proj_in!$A$2:$A$100, 0), MATCH($A382, df_proj_in!$B$1:$H$1,0))</f>
        <v>#N/A</v>
      </c>
      <c r="AK382" s="111" t="e">
        <f>INDEX(df_proj_in!$B$2:$H$100, MATCH(TEXT(AK$379,"##"), df_proj_in!$A$2:$A$100, 0), MATCH($A382, df_proj_in!$B$1:$H$1,0))</f>
        <v>#N/A</v>
      </c>
      <c r="AL382" s="181" t="e">
        <f>INDEX(df_proj_in!$B$2:$H$100, MATCH(TEXT(AL$379,"##"), df_proj_in!$A$2:$A$100, 0), MATCH($A382, df_proj_in!$B$1:$H$1,0))</f>
        <v>#N/A</v>
      </c>
    </row>
    <row r="383" spans="1:38" ht="20.100000000000001" customHeight="1" x14ac:dyDescent="0.2">
      <c r="A383" s="223" t="s">
        <v>561</v>
      </c>
      <c r="B383" s="118" t="s">
        <v>62</v>
      </c>
      <c r="C383" s="122">
        <v>18</v>
      </c>
      <c r="D383" s="122">
        <v>19</v>
      </c>
      <c r="E383" s="113"/>
      <c r="F383" s="113"/>
      <c r="G383" s="113"/>
      <c r="H383" s="113"/>
      <c r="I383" s="113">
        <f t="array" ref="I383">IFERROR(INDEX(df_pop!$C$2:$C$1000, MATCH(1, (df_pop!$B$2:$B$1000 = $D383) * (df_pop!$F$2:$F$1000 = "Commute"), 0), 0),0) + IFERROR(INDEX(df_pop!$C$2:$C$1000, MATCH(1, (df_pop!$B$2:$B$1000 = $C383) * (df_pop!$F$2:$F$1000 = "Commute"), 0), 0),0)</f>
        <v>0</v>
      </c>
      <c r="J383" s="113"/>
      <c r="K383" s="113"/>
      <c r="L383" s="113"/>
      <c r="M383" s="113" t="e">
        <f>INDEX(df_proj_in!$B$2:$H$100, MATCH(TEXT(M$379,"##"), df_proj_in!$A$2:$A$100, 0), MATCH($A383, df_proj_in!$B$1:$H$1,0))</f>
        <v>#N/A</v>
      </c>
      <c r="N383" s="113" t="e">
        <f>INDEX(df_proj_in!$B$2:$H$100, MATCH(TEXT(N$379,"##"), df_proj_in!$A$2:$A$100, 0), MATCH($A383, df_proj_in!$B$1:$H$1,0))</f>
        <v>#N/A</v>
      </c>
      <c r="O383" s="113" t="e">
        <f>INDEX(df_proj_in!$B$2:$H$100, MATCH(TEXT(O$379,"##"), df_proj_in!$A$2:$A$100, 0), MATCH($A383, df_proj_in!$B$1:$H$1,0))</f>
        <v>#N/A</v>
      </c>
      <c r="P383" s="113" t="e">
        <f>INDEX(df_proj_in!$B$2:$H$100, MATCH(TEXT(P$379,"##"), df_proj_in!$A$2:$A$100, 0), MATCH($A383, df_proj_in!$B$1:$H$1,0))</f>
        <v>#N/A</v>
      </c>
      <c r="Q383" s="113" t="e">
        <f>INDEX(df_proj_in!$B$2:$H$100, MATCH(TEXT(Q$379,"##"), df_proj_in!$A$2:$A$100, 0), MATCH($A383, df_proj_in!$B$1:$H$1,0))</f>
        <v>#N/A</v>
      </c>
      <c r="R383" s="113" t="e">
        <f>INDEX(df_proj_in!$B$2:$H$100, MATCH(TEXT(R$379,"##"), df_proj_in!$A$2:$A$100, 0), MATCH($A383, df_proj_in!$B$1:$H$1,0))</f>
        <v>#N/A</v>
      </c>
      <c r="S383" s="113" t="e">
        <f>INDEX(df_proj_in!$B$2:$H$100, MATCH(TEXT(S$379,"##"), df_proj_in!$A$2:$A$100, 0), MATCH($A383, df_proj_in!$B$1:$H$1,0))</f>
        <v>#N/A</v>
      </c>
      <c r="T383" s="113" t="e">
        <f>INDEX(df_proj_in!$B$2:$H$100, MATCH(TEXT(T$379,"##"), df_proj_in!$A$2:$A$100, 0), MATCH($A383, df_proj_in!$B$1:$H$1,0))</f>
        <v>#N/A</v>
      </c>
      <c r="U383" s="113" t="e">
        <f>INDEX(df_proj_in!$B$2:$H$100, MATCH(TEXT(U$379,"##"), df_proj_in!$A$2:$A$100, 0), MATCH($A383, df_proj_in!$B$1:$H$1,0))</f>
        <v>#N/A</v>
      </c>
      <c r="V383" s="113" t="e">
        <f>INDEX(df_proj_in!$B$2:$H$100, MATCH(TEXT(V$379,"##"), df_proj_in!$A$2:$A$100, 0), MATCH($A383, df_proj_in!$B$1:$H$1,0))</f>
        <v>#N/A</v>
      </c>
      <c r="W383" s="113" t="e">
        <f>INDEX(df_proj_in!$B$2:$H$100, MATCH(TEXT(W$379,"##"), df_proj_in!$A$2:$A$100, 0), MATCH($A383, df_proj_in!$B$1:$H$1,0))</f>
        <v>#N/A</v>
      </c>
      <c r="X383" s="113" t="e">
        <f>INDEX(df_proj_in!$B$2:$H$100, MATCH(TEXT(X$379,"##"), df_proj_in!$A$2:$A$100, 0), MATCH($A383, df_proj_in!$B$1:$H$1,0))</f>
        <v>#N/A</v>
      </c>
      <c r="Y383" s="113" t="e">
        <f>INDEX(df_proj_in!$B$2:$H$100, MATCH(TEXT(Y$379,"##"), df_proj_in!$A$2:$A$100, 0), MATCH($A383, df_proj_in!$B$1:$H$1,0))</f>
        <v>#N/A</v>
      </c>
      <c r="Z383" s="113" t="e">
        <f>INDEX(df_proj_in!$B$2:$H$100, MATCH(TEXT(Z$379,"##"), df_proj_in!$A$2:$A$100, 0), MATCH($A383, df_proj_in!$B$1:$H$1,0))</f>
        <v>#N/A</v>
      </c>
      <c r="AA383" s="113" t="e">
        <f>INDEX(df_proj_in!$B$2:$H$100, MATCH(TEXT(AA$379,"##"), df_proj_in!$A$2:$A$100, 0), MATCH($A383, df_proj_in!$B$1:$H$1,0))</f>
        <v>#N/A</v>
      </c>
      <c r="AB383" s="113" t="e">
        <f>INDEX(df_proj_in!$B$2:$H$100, MATCH(TEXT(AB$379,"##"), df_proj_in!$A$2:$A$100, 0), MATCH($A383, df_proj_in!$B$1:$H$1,0))</f>
        <v>#N/A</v>
      </c>
      <c r="AC383" s="113" t="e">
        <f>INDEX(df_proj_in!$B$2:$H$100, MATCH(TEXT(AC$379,"##"), df_proj_in!$A$2:$A$100, 0), MATCH($A383, df_proj_in!$B$1:$H$1,0))</f>
        <v>#N/A</v>
      </c>
      <c r="AD383" s="113" t="e">
        <f>INDEX(df_proj_in!$B$2:$H$100, MATCH(TEXT(AD$379,"##"), df_proj_in!$A$2:$A$100, 0), MATCH($A383, df_proj_in!$B$1:$H$1,0))</f>
        <v>#N/A</v>
      </c>
      <c r="AE383" s="113" t="e">
        <f>INDEX(df_proj_in!$B$2:$H$100, MATCH(TEXT(AE$379,"##"), df_proj_in!$A$2:$A$100, 0), MATCH($A383, df_proj_in!$B$1:$H$1,0))</f>
        <v>#N/A</v>
      </c>
      <c r="AF383" s="113" t="e">
        <f>INDEX(df_proj_in!$B$2:$H$100, MATCH(TEXT(AF$379,"##"), df_proj_in!$A$2:$A$100, 0), MATCH($A383, df_proj_in!$B$1:$H$1,0))</f>
        <v>#N/A</v>
      </c>
      <c r="AG383" s="113" t="e">
        <f>INDEX(df_proj_in!$B$2:$H$100, MATCH(TEXT(AG$379,"##"), df_proj_in!$A$2:$A$100, 0), MATCH($A383, df_proj_in!$B$1:$H$1,0))</f>
        <v>#N/A</v>
      </c>
      <c r="AH383" s="113" t="e">
        <f>INDEX(df_proj_in!$B$2:$H$100, MATCH(TEXT(AH$379,"##"), df_proj_in!$A$2:$A$100, 0), MATCH($A383, df_proj_in!$B$1:$H$1,0))</f>
        <v>#N/A</v>
      </c>
      <c r="AI383" s="113" t="e">
        <f>INDEX(df_proj_in!$B$2:$H$100, MATCH(TEXT(AI$379,"##"), df_proj_in!$A$2:$A$100, 0), MATCH($A383, df_proj_in!$B$1:$H$1,0))</f>
        <v>#N/A</v>
      </c>
      <c r="AJ383" s="113" t="e">
        <f>INDEX(df_proj_in!$B$2:$H$100, MATCH(TEXT(AJ$379,"##"), df_proj_in!$A$2:$A$100, 0), MATCH($A383, df_proj_in!$B$1:$H$1,0))</f>
        <v>#N/A</v>
      </c>
      <c r="AK383" s="113" t="e">
        <f>INDEX(df_proj_in!$B$2:$H$100, MATCH(TEXT(AK$379,"##"), df_proj_in!$A$2:$A$100, 0), MATCH($A383, df_proj_in!$B$1:$H$1,0))</f>
        <v>#N/A</v>
      </c>
      <c r="AL383" s="329" t="e">
        <f>INDEX(df_proj_in!$B$2:$H$100, MATCH(TEXT(AL$379,"##"), df_proj_in!$A$2:$A$100, 0), MATCH($A383, df_proj_in!$B$1:$H$1,0))</f>
        <v>#N/A</v>
      </c>
    </row>
    <row r="384" spans="1:38" ht="20.100000000000001" customHeight="1" x14ac:dyDescent="0.2">
      <c r="A384" s="223" t="s">
        <v>562</v>
      </c>
      <c r="B384" s="277" t="s">
        <v>63</v>
      </c>
      <c r="C384" s="67">
        <v>20</v>
      </c>
      <c r="D384" s="67">
        <v>21</v>
      </c>
      <c r="E384" s="111"/>
      <c r="F384" s="111"/>
      <c r="G384" s="111"/>
      <c r="H384" s="111"/>
      <c r="I384" s="111">
        <f t="array" ref="I384">IFERROR(INDEX(df_pop!$C$2:$C$1000, MATCH(1, (df_pop!$B$2:$B$1000 = $D384) * (df_pop!$F$2:$F$1000 = "Commute"), 0), 0),0) + IFERROR(INDEX(df_pop!$C$2:$C$1000, MATCH(1, (df_pop!$B$2:$B$1000 = $C384) * (df_pop!$F$2:$F$1000 = "Commute"), 0), 0),0)</f>
        <v>0</v>
      </c>
      <c r="J384" s="111"/>
      <c r="K384" s="111"/>
      <c r="L384" s="111"/>
      <c r="M384" s="111" t="e">
        <f>INDEX(df_proj_in!$B$2:$H$100, MATCH(TEXT(M$379,"##"), df_proj_in!$A$2:$A$100, 0), MATCH($A384, df_proj_in!$B$1:$H$1,0))</f>
        <v>#N/A</v>
      </c>
      <c r="N384" s="111" t="e">
        <f>INDEX(df_proj_in!$B$2:$H$100, MATCH(TEXT(N$379,"##"), df_proj_in!$A$2:$A$100, 0), MATCH($A384, df_proj_in!$B$1:$H$1,0))</f>
        <v>#N/A</v>
      </c>
      <c r="O384" s="111" t="e">
        <f>INDEX(df_proj_in!$B$2:$H$100, MATCH(TEXT(O$379,"##"), df_proj_in!$A$2:$A$100, 0), MATCH($A384, df_proj_in!$B$1:$H$1,0))</f>
        <v>#N/A</v>
      </c>
      <c r="P384" s="111" t="e">
        <f>INDEX(df_proj_in!$B$2:$H$100, MATCH(TEXT(P$379,"##"), df_proj_in!$A$2:$A$100, 0), MATCH($A384, df_proj_in!$B$1:$H$1,0))</f>
        <v>#N/A</v>
      </c>
      <c r="Q384" s="111" t="e">
        <f>INDEX(df_proj_in!$B$2:$H$100, MATCH(TEXT(Q$379,"##"), df_proj_in!$A$2:$A$100, 0), MATCH($A384, df_proj_in!$B$1:$H$1,0))</f>
        <v>#N/A</v>
      </c>
      <c r="R384" s="111" t="e">
        <f>INDEX(df_proj_in!$B$2:$H$100, MATCH(TEXT(R$379,"##"), df_proj_in!$A$2:$A$100, 0), MATCH($A384, df_proj_in!$B$1:$H$1,0))</f>
        <v>#N/A</v>
      </c>
      <c r="S384" s="111" t="e">
        <f>INDEX(df_proj_in!$B$2:$H$100, MATCH(TEXT(S$379,"##"), df_proj_in!$A$2:$A$100, 0), MATCH($A384, df_proj_in!$B$1:$H$1,0))</f>
        <v>#N/A</v>
      </c>
      <c r="T384" s="111" t="e">
        <f>INDEX(df_proj_in!$B$2:$H$100, MATCH(TEXT(T$379,"##"), df_proj_in!$A$2:$A$100, 0), MATCH($A384, df_proj_in!$B$1:$H$1,0))</f>
        <v>#N/A</v>
      </c>
      <c r="U384" s="111" t="e">
        <f>INDEX(df_proj_in!$B$2:$H$100, MATCH(TEXT(U$379,"##"), df_proj_in!$A$2:$A$100, 0), MATCH($A384, df_proj_in!$B$1:$H$1,0))</f>
        <v>#N/A</v>
      </c>
      <c r="V384" s="111" t="e">
        <f>INDEX(df_proj_in!$B$2:$H$100, MATCH(TEXT(V$379,"##"), df_proj_in!$A$2:$A$100, 0), MATCH($A384, df_proj_in!$B$1:$H$1,0))</f>
        <v>#N/A</v>
      </c>
      <c r="W384" s="111" t="e">
        <f>INDEX(df_proj_in!$B$2:$H$100, MATCH(TEXT(W$379,"##"), df_proj_in!$A$2:$A$100, 0), MATCH($A384, df_proj_in!$B$1:$H$1,0))</f>
        <v>#N/A</v>
      </c>
      <c r="X384" s="111" t="e">
        <f>INDEX(df_proj_in!$B$2:$H$100, MATCH(TEXT(X$379,"##"), df_proj_in!$A$2:$A$100, 0), MATCH($A384, df_proj_in!$B$1:$H$1,0))</f>
        <v>#N/A</v>
      </c>
      <c r="Y384" s="111" t="e">
        <f>INDEX(df_proj_in!$B$2:$H$100, MATCH(TEXT(Y$379,"##"), df_proj_in!$A$2:$A$100, 0), MATCH($A384, df_proj_in!$B$1:$H$1,0))</f>
        <v>#N/A</v>
      </c>
      <c r="Z384" s="111" t="e">
        <f>INDEX(df_proj_in!$B$2:$H$100, MATCH(TEXT(Z$379,"##"), df_proj_in!$A$2:$A$100, 0), MATCH($A384, df_proj_in!$B$1:$H$1,0))</f>
        <v>#N/A</v>
      </c>
      <c r="AA384" s="111" t="e">
        <f>INDEX(df_proj_in!$B$2:$H$100, MATCH(TEXT(AA$379,"##"), df_proj_in!$A$2:$A$100, 0), MATCH($A384, df_proj_in!$B$1:$H$1,0))</f>
        <v>#N/A</v>
      </c>
      <c r="AB384" s="111" t="e">
        <f>INDEX(df_proj_in!$B$2:$H$100, MATCH(TEXT(AB$379,"##"), df_proj_in!$A$2:$A$100, 0), MATCH($A384, df_proj_in!$B$1:$H$1,0))</f>
        <v>#N/A</v>
      </c>
      <c r="AC384" s="111" t="e">
        <f>INDEX(df_proj_in!$B$2:$H$100, MATCH(TEXT(AC$379,"##"), df_proj_in!$A$2:$A$100, 0), MATCH($A384, df_proj_in!$B$1:$H$1,0))</f>
        <v>#N/A</v>
      </c>
      <c r="AD384" s="111" t="e">
        <f>INDEX(df_proj_in!$B$2:$H$100, MATCH(TEXT(AD$379,"##"), df_proj_in!$A$2:$A$100, 0), MATCH($A384, df_proj_in!$B$1:$H$1,0))</f>
        <v>#N/A</v>
      </c>
      <c r="AE384" s="111" t="e">
        <f>INDEX(df_proj_in!$B$2:$H$100, MATCH(TEXT(AE$379,"##"), df_proj_in!$A$2:$A$100, 0), MATCH($A384, df_proj_in!$B$1:$H$1,0))</f>
        <v>#N/A</v>
      </c>
      <c r="AF384" s="111" t="e">
        <f>INDEX(df_proj_in!$B$2:$H$100, MATCH(TEXT(AF$379,"##"), df_proj_in!$A$2:$A$100, 0), MATCH($A384, df_proj_in!$B$1:$H$1,0))</f>
        <v>#N/A</v>
      </c>
      <c r="AG384" s="111" t="e">
        <f>INDEX(df_proj_in!$B$2:$H$100, MATCH(TEXT(AG$379,"##"), df_proj_in!$A$2:$A$100, 0), MATCH($A384, df_proj_in!$B$1:$H$1,0))</f>
        <v>#N/A</v>
      </c>
      <c r="AH384" s="111" t="e">
        <f>INDEX(df_proj_in!$B$2:$H$100, MATCH(TEXT(AH$379,"##"), df_proj_in!$A$2:$A$100, 0), MATCH($A384, df_proj_in!$B$1:$H$1,0))</f>
        <v>#N/A</v>
      </c>
      <c r="AI384" s="111" t="e">
        <f>INDEX(df_proj_in!$B$2:$H$100, MATCH(TEXT(AI$379,"##"), df_proj_in!$A$2:$A$100, 0), MATCH($A384, df_proj_in!$B$1:$H$1,0))</f>
        <v>#N/A</v>
      </c>
      <c r="AJ384" s="111" t="e">
        <f>INDEX(df_proj_in!$B$2:$H$100, MATCH(TEXT(AJ$379,"##"), df_proj_in!$A$2:$A$100, 0), MATCH($A384, df_proj_in!$B$1:$H$1,0))</f>
        <v>#N/A</v>
      </c>
      <c r="AK384" s="111" t="e">
        <f>INDEX(df_proj_in!$B$2:$H$100, MATCH(TEXT(AK$379,"##"), df_proj_in!$A$2:$A$100, 0), MATCH($A384, df_proj_in!$B$1:$H$1,0))</f>
        <v>#N/A</v>
      </c>
      <c r="AL384" s="181" t="e">
        <f>INDEX(df_proj_in!$B$2:$H$100, MATCH(TEXT(AL$379,"##"), df_proj_in!$A$2:$A$100, 0), MATCH($A384, df_proj_in!$B$1:$H$1,0))</f>
        <v>#N/A</v>
      </c>
    </row>
    <row r="385" spans="1:38" ht="20.100000000000001" customHeight="1" x14ac:dyDescent="0.2">
      <c r="A385" s="223" t="s">
        <v>563</v>
      </c>
      <c r="B385" s="118" t="s">
        <v>64</v>
      </c>
      <c r="C385" s="122">
        <v>22</v>
      </c>
      <c r="D385" s="122">
        <v>23</v>
      </c>
      <c r="E385" s="113"/>
      <c r="F385" s="113"/>
      <c r="G385" s="113"/>
      <c r="H385" s="113"/>
      <c r="I385" s="113">
        <f t="array" ref="I385">IFERROR(INDEX(df_pop!$C$2:$C$1000, MATCH(1, (df_pop!$B$2:$B$1000 = $D385) * (df_pop!$F$2:$F$1000 = "Commute"), 0), 0),0) + IFERROR(INDEX(df_pop!$C$2:$C$1000, MATCH(1, (df_pop!$B$2:$B$1000 = $C385) * (df_pop!$F$2:$F$1000 = "Commute"), 0), 0),0)</f>
        <v>0</v>
      </c>
      <c r="J385" s="113"/>
      <c r="K385" s="113"/>
      <c r="L385" s="113"/>
      <c r="M385" s="113" t="e">
        <f>INDEX(df_proj_in!$B$2:$H$100, MATCH(TEXT(M$379,"##"), df_proj_in!$A$2:$A$100, 0), MATCH($A385, df_proj_in!$B$1:$H$1,0))</f>
        <v>#N/A</v>
      </c>
      <c r="N385" s="113" t="e">
        <f>INDEX(df_proj_in!$B$2:$H$100, MATCH(TEXT(N$379,"##"), df_proj_in!$A$2:$A$100, 0), MATCH($A385, df_proj_in!$B$1:$H$1,0))</f>
        <v>#N/A</v>
      </c>
      <c r="O385" s="113" t="e">
        <f>INDEX(df_proj_in!$B$2:$H$100, MATCH(TEXT(O$379,"##"), df_proj_in!$A$2:$A$100, 0), MATCH($A385, df_proj_in!$B$1:$H$1,0))</f>
        <v>#N/A</v>
      </c>
      <c r="P385" s="113" t="e">
        <f>INDEX(df_proj_in!$B$2:$H$100, MATCH(TEXT(P$379,"##"), df_proj_in!$A$2:$A$100, 0), MATCH($A385, df_proj_in!$B$1:$H$1,0))</f>
        <v>#N/A</v>
      </c>
      <c r="Q385" s="113" t="e">
        <f>INDEX(df_proj_in!$B$2:$H$100, MATCH(TEXT(Q$379,"##"), df_proj_in!$A$2:$A$100, 0), MATCH($A385, df_proj_in!$B$1:$H$1,0))</f>
        <v>#N/A</v>
      </c>
      <c r="R385" s="113" t="e">
        <f>INDEX(df_proj_in!$B$2:$H$100, MATCH(TEXT(R$379,"##"), df_proj_in!$A$2:$A$100, 0), MATCH($A385, df_proj_in!$B$1:$H$1,0))</f>
        <v>#N/A</v>
      </c>
      <c r="S385" s="113" t="e">
        <f>INDEX(df_proj_in!$B$2:$H$100, MATCH(TEXT(S$379,"##"), df_proj_in!$A$2:$A$100, 0), MATCH($A385, df_proj_in!$B$1:$H$1,0))</f>
        <v>#N/A</v>
      </c>
      <c r="T385" s="113" t="e">
        <f>INDEX(df_proj_in!$B$2:$H$100, MATCH(TEXT(T$379,"##"), df_proj_in!$A$2:$A$100, 0), MATCH($A385, df_proj_in!$B$1:$H$1,0))</f>
        <v>#N/A</v>
      </c>
      <c r="U385" s="113" t="e">
        <f>INDEX(df_proj_in!$B$2:$H$100, MATCH(TEXT(U$379,"##"), df_proj_in!$A$2:$A$100, 0), MATCH($A385, df_proj_in!$B$1:$H$1,0))</f>
        <v>#N/A</v>
      </c>
      <c r="V385" s="113" t="e">
        <f>INDEX(df_proj_in!$B$2:$H$100, MATCH(TEXT(V$379,"##"), df_proj_in!$A$2:$A$100, 0), MATCH($A385, df_proj_in!$B$1:$H$1,0))</f>
        <v>#N/A</v>
      </c>
      <c r="W385" s="113" t="e">
        <f>INDEX(df_proj_in!$B$2:$H$100, MATCH(TEXT(W$379,"##"), df_proj_in!$A$2:$A$100, 0), MATCH($A385, df_proj_in!$B$1:$H$1,0))</f>
        <v>#N/A</v>
      </c>
      <c r="X385" s="113" t="e">
        <f>INDEX(df_proj_in!$B$2:$H$100, MATCH(TEXT(X$379,"##"), df_proj_in!$A$2:$A$100, 0), MATCH($A385, df_proj_in!$B$1:$H$1,0))</f>
        <v>#N/A</v>
      </c>
      <c r="Y385" s="113" t="e">
        <f>INDEX(df_proj_in!$B$2:$H$100, MATCH(TEXT(Y$379,"##"), df_proj_in!$A$2:$A$100, 0), MATCH($A385, df_proj_in!$B$1:$H$1,0))</f>
        <v>#N/A</v>
      </c>
      <c r="Z385" s="113" t="e">
        <f>INDEX(df_proj_in!$B$2:$H$100, MATCH(TEXT(Z$379,"##"), df_proj_in!$A$2:$A$100, 0), MATCH($A385, df_proj_in!$B$1:$H$1,0))</f>
        <v>#N/A</v>
      </c>
      <c r="AA385" s="113" t="e">
        <f>INDEX(df_proj_in!$B$2:$H$100, MATCH(TEXT(AA$379,"##"), df_proj_in!$A$2:$A$100, 0), MATCH($A385, df_proj_in!$B$1:$H$1,0))</f>
        <v>#N/A</v>
      </c>
      <c r="AB385" s="113" t="e">
        <f>INDEX(df_proj_in!$B$2:$H$100, MATCH(TEXT(AB$379,"##"), df_proj_in!$A$2:$A$100, 0), MATCH($A385, df_proj_in!$B$1:$H$1,0))</f>
        <v>#N/A</v>
      </c>
      <c r="AC385" s="113" t="e">
        <f>INDEX(df_proj_in!$B$2:$H$100, MATCH(TEXT(AC$379,"##"), df_proj_in!$A$2:$A$100, 0), MATCH($A385, df_proj_in!$B$1:$H$1,0))</f>
        <v>#N/A</v>
      </c>
      <c r="AD385" s="113" t="e">
        <f>INDEX(df_proj_in!$B$2:$H$100, MATCH(TEXT(AD$379,"##"), df_proj_in!$A$2:$A$100, 0), MATCH($A385, df_proj_in!$B$1:$H$1,0))</f>
        <v>#N/A</v>
      </c>
      <c r="AE385" s="113" t="e">
        <f>INDEX(df_proj_in!$B$2:$H$100, MATCH(TEXT(AE$379,"##"), df_proj_in!$A$2:$A$100, 0), MATCH($A385, df_proj_in!$B$1:$H$1,0))</f>
        <v>#N/A</v>
      </c>
      <c r="AF385" s="113" t="e">
        <f>INDEX(df_proj_in!$B$2:$H$100, MATCH(TEXT(AF$379,"##"), df_proj_in!$A$2:$A$100, 0), MATCH($A385, df_proj_in!$B$1:$H$1,0))</f>
        <v>#N/A</v>
      </c>
      <c r="AG385" s="113" t="e">
        <f>INDEX(df_proj_in!$B$2:$H$100, MATCH(TEXT(AG$379,"##"), df_proj_in!$A$2:$A$100, 0), MATCH($A385, df_proj_in!$B$1:$H$1,0))</f>
        <v>#N/A</v>
      </c>
      <c r="AH385" s="113" t="e">
        <f>INDEX(df_proj_in!$B$2:$H$100, MATCH(TEXT(AH$379,"##"), df_proj_in!$A$2:$A$100, 0), MATCH($A385, df_proj_in!$B$1:$H$1,0))</f>
        <v>#N/A</v>
      </c>
      <c r="AI385" s="113" t="e">
        <f>INDEX(df_proj_in!$B$2:$H$100, MATCH(TEXT(AI$379,"##"), df_proj_in!$A$2:$A$100, 0), MATCH($A385, df_proj_in!$B$1:$H$1,0))</f>
        <v>#N/A</v>
      </c>
      <c r="AJ385" s="113" t="e">
        <f>INDEX(df_proj_in!$B$2:$H$100, MATCH(TEXT(AJ$379,"##"), df_proj_in!$A$2:$A$100, 0), MATCH($A385, df_proj_in!$B$1:$H$1,0))</f>
        <v>#N/A</v>
      </c>
      <c r="AK385" s="113" t="e">
        <f>INDEX(df_proj_in!$B$2:$H$100, MATCH(TEXT(AK$379,"##"), df_proj_in!$A$2:$A$100, 0), MATCH($A385, df_proj_in!$B$1:$H$1,0))</f>
        <v>#N/A</v>
      </c>
      <c r="AL385" s="329" t="e">
        <f>INDEX(df_proj_in!$B$2:$H$100, MATCH(TEXT(AL$379,"##"), df_proj_in!$A$2:$A$100, 0), MATCH($A385, df_proj_in!$B$1:$H$1,0))</f>
        <v>#N/A</v>
      </c>
    </row>
    <row r="386" spans="1:38" ht="20.100000000000001" customHeight="1" x14ac:dyDescent="0.2">
      <c r="A386" s="223" t="s">
        <v>557</v>
      </c>
      <c r="B386" s="158" t="s">
        <v>558</v>
      </c>
      <c r="C386" s="140">
        <v>24</v>
      </c>
      <c r="D386" s="140"/>
      <c r="E386" s="42"/>
      <c r="F386" s="42"/>
      <c r="G386" s="42"/>
      <c r="H386" s="42"/>
      <c r="I386" s="42">
        <f t="array" ref="I386">IFERROR(SUMIFS(df_pop!$C$2:$C$1000, df_pop!$B$2:$B$1000, "&gt;="&amp; $C386, df_pop!$F$2:$F$1000, "=Commute"),0)</f>
        <v>0</v>
      </c>
      <c r="J386" s="42"/>
      <c r="K386" s="42"/>
      <c r="L386" s="42"/>
      <c r="M386" s="42" t="e">
        <f>INDEX(df_proj_in!$B$2:$H$100, MATCH(TEXT(M$379,"##"), df_proj_in!$A$2:$A$100, 0), MATCH($A386, df_proj_in!$B$1:$H$1,0))</f>
        <v>#N/A</v>
      </c>
      <c r="N386" s="42" t="e">
        <f>INDEX(df_proj_in!$B$2:$H$100, MATCH(TEXT(N$379,"##"), df_proj_in!$A$2:$A$100, 0), MATCH($A386, df_proj_in!$B$1:$H$1,0))</f>
        <v>#N/A</v>
      </c>
      <c r="O386" s="42" t="e">
        <f>INDEX(df_proj_in!$B$2:$H$100, MATCH(TEXT(O$379,"##"), df_proj_in!$A$2:$A$100, 0), MATCH($A386, df_proj_in!$B$1:$H$1,0))</f>
        <v>#N/A</v>
      </c>
      <c r="P386" s="42" t="e">
        <f>INDEX(df_proj_in!$B$2:$H$100, MATCH(TEXT(P$379,"##"), df_proj_in!$A$2:$A$100, 0), MATCH($A386, df_proj_in!$B$1:$H$1,0))</f>
        <v>#N/A</v>
      </c>
      <c r="Q386" s="42" t="e">
        <f>INDEX(df_proj_in!$B$2:$H$100, MATCH(TEXT(Q$379,"##"), df_proj_in!$A$2:$A$100, 0), MATCH($A386, df_proj_in!$B$1:$H$1,0))</f>
        <v>#N/A</v>
      </c>
      <c r="R386" s="42" t="e">
        <f>INDEX(df_proj_in!$B$2:$H$100, MATCH(TEXT(R$379,"##"), df_proj_in!$A$2:$A$100, 0), MATCH($A386, df_proj_in!$B$1:$H$1,0))</f>
        <v>#N/A</v>
      </c>
      <c r="S386" s="42" t="e">
        <f>INDEX(df_proj_in!$B$2:$H$100, MATCH(TEXT(S$379,"##"), df_proj_in!$A$2:$A$100, 0), MATCH($A386, df_proj_in!$B$1:$H$1,0))</f>
        <v>#N/A</v>
      </c>
      <c r="T386" s="42" t="e">
        <f>INDEX(df_proj_in!$B$2:$H$100, MATCH(TEXT(T$379,"##"), df_proj_in!$A$2:$A$100, 0), MATCH($A386, df_proj_in!$B$1:$H$1,0))</f>
        <v>#N/A</v>
      </c>
      <c r="U386" s="42" t="e">
        <f>INDEX(df_proj_in!$B$2:$H$100, MATCH(TEXT(U$379,"##"), df_proj_in!$A$2:$A$100, 0), MATCH($A386, df_proj_in!$B$1:$H$1,0))</f>
        <v>#N/A</v>
      </c>
      <c r="V386" s="42" t="e">
        <f>INDEX(df_proj_in!$B$2:$H$100, MATCH(TEXT(V$379,"##"), df_proj_in!$A$2:$A$100, 0), MATCH($A386, df_proj_in!$B$1:$H$1,0))</f>
        <v>#N/A</v>
      </c>
      <c r="W386" s="42" t="e">
        <f>INDEX(df_proj_in!$B$2:$H$100, MATCH(TEXT(W$379,"##"), df_proj_in!$A$2:$A$100, 0), MATCH($A386, df_proj_in!$B$1:$H$1,0))</f>
        <v>#N/A</v>
      </c>
      <c r="X386" s="42" t="e">
        <f>INDEX(df_proj_in!$B$2:$H$100, MATCH(TEXT(X$379,"##"), df_proj_in!$A$2:$A$100, 0), MATCH($A386, df_proj_in!$B$1:$H$1,0))</f>
        <v>#N/A</v>
      </c>
      <c r="Y386" s="42" t="e">
        <f>INDEX(df_proj_in!$B$2:$H$100, MATCH(TEXT(Y$379,"##"), df_proj_in!$A$2:$A$100, 0), MATCH($A386, df_proj_in!$B$1:$H$1,0))</f>
        <v>#N/A</v>
      </c>
      <c r="Z386" s="42" t="e">
        <f>INDEX(df_proj_in!$B$2:$H$100, MATCH(TEXT(Z$379,"##"), df_proj_in!$A$2:$A$100, 0), MATCH($A386, df_proj_in!$B$1:$H$1,0))</f>
        <v>#N/A</v>
      </c>
      <c r="AA386" s="42" t="e">
        <f>INDEX(df_proj_in!$B$2:$H$100, MATCH(TEXT(AA$379,"##"), df_proj_in!$A$2:$A$100, 0), MATCH($A386, df_proj_in!$B$1:$H$1,0))</f>
        <v>#N/A</v>
      </c>
      <c r="AB386" s="42" t="e">
        <f>INDEX(df_proj_in!$B$2:$H$100, MATCH(TEXT(AB$379,"##"), df_proj_in!$A$2:$A$100, 0), MATCH($A386, df_proj_in!$B$1:$H$1,0))</f>
        <v>#N/A</v>
      </c>
      <c r="AC386" s="42" t="e">
        <f>INDEX(df_proj_in!$B$2:$H$100, MATCH(TEXT(AC$379,"##"), df_proj_in!$A$2:$A$100, 0), MATCH($A386, df_proj_in!$B$1:$H$1,0))</f>
        <v>#N/A</v>
      </c>
      <c r="AD386" s="42" t="e">
        <f>INDEX(df_proj_in!$B$2:$H$100, MATCH(TEXT(AD$379,"##"), df_proj_in!$A$2:$A$100, 0), MATCH($A386, df_proj_in!$B$1:$H$1,0))</f>
        <v>#N/A</v>
      </c>
      <c r="AE386" s="42" t="e">
        <f>INDEX(df_proj_in!$B$2:$H$100, MATCH(TEXT(AE$379,"##"), df_proj_in!$A$2:$A$100, 0), MATCH($A386, df_proj_in!$B$1:$H$1,0))</f>
        <v>#N/A</v>
      </c>
      <c r="AF386" s="42" t="e">
        <f>INDEX(df_proj_in!$B$2:$H$100, MATCH(TEXT(AF$379,"##"), df_proj_in!$A$2:$A$100, 0), MATCH($A386, df_proj_in!$B$1:$H$1,0))</f>
        <v>#N/A</v>
      </c>
      <c r="AG386" s="42" t="e">
        <f>INDEX(df_proj_in!$B$2:$H$100, MATCH(TEXT(AG$379,"##"), df_proj_in!$A$2:$A$100, 0), MATCH($A386, df_proj_in!$B$1:$H$1,0))</f>
        <v>#N/A</v>
      </c>
      <c r="AH386" s="42" t="e">
        <f>INDEX(df_proj_in!$B$2:$H$100, MATCH(TEXT(AH$379,"##"), df_proj_in!$A$2:$A$100, 0), MATCH($A386, df_proj_in!$B$1:$H$1,0))</f>
        <v>#N/A</v>
      </c>
      <c r="AI386" s="42" t="e">
        <f>INDEX(df_proj_in!$B$2:$H$100, MATCH(TEXT(AI$379,"##"), df_proj_in!$A$2:$A$100, 0), MATCH($A386, df_proj_in!$B$1:$H$1,0))</f>
        <v>#N/A</v>
      </c>
      <c r="AJ386" s="42" t="e">
        <f>INDEX(df_proj_in!$B$2:$H$100, MATCH(TEXT(AJ$379,"##"), df_proj_in!$A$2:$A$100, 0), MATCH($A386, df_proj_in!$B$1:$H$1,0))</f>
        <v>#N/A</v>
      </c>
      <c r="AK386" s="42" t="e">
        <f>INDEX(df_proj_in!$B$2:$H$100, MATCH(TEXT(AK$379,"##"), df_proj_in!$A$2:$A$100, 0), MATCH($A386, df_proj_in!$B$1:$H$1,0))</f>
        <v>#N/A</v>
      </c>
      <c r="AL386" s="347" t="e">
        <f>INDEX(df_proj_in!$B$2:$H$100, MATCH(TEXT(AL$379,"##"), df_proj_in!$A$2:$A$100, 0), MATCH($A386, df_proj_in!$B$1:$H$1,0))</f>
        <v>#N/A</v>
      </c>
    </row>
    <row r="387" spans="1:38" ht="20.100000000000001" customHeight="1" x14ac:dyDescent="0.2">
      <c r="A387" s="299"/>
    </row>
    <row r="388" spans="1:38" ht="20.100000000000001" customHeight="1" x14ac:dyDescent="0.2">
      <c r="A388" s="223"/>
      <c r="B388" s="77"/>
      <c r="C388" s="194">
        <v>2015</v>
      </c>
      <c r="D388" s="194">
        <v>2016</v>
      </c>
      <c r="E388" s="194">
        <v>2017</v>
      </c>
      <c r="F388" s="194">
        <v>2018</v>
      </c>
      <c r="G388" s="194">
        <v>2019</v>
      </c>
      <c r="H388" s="194">
        <v>2020</v>
      </c>
      <c r="I388" s="194">
        <v>2021</v>
      </c>
      <c r="J388" s="194">
        <v>2022</v>
      </c>
      <c r="K388" s="194">
        <v>2023</v>
      </c>
      <c r="L388" s="194">
        <v>2024</v>
      </c>
      <c r="M388" s="194">
        <v>2025</v>
      </c>
      <c r="N388" s="194">
        <v>2026</v>
      </c>
      <c r="O388" s="194">
        <v>2027</v>
      </c>
      <c r="P388" s="194">
        <v>2028</v>
      </c>
      <c r="Q388" s="194">
        <v>2029</v>
      </c>
      <c r="R388" s="194">
        <v>2030</v>
      </c>
      <c r="S388" s="194">
        <v>2031</v>
      </c>
      <c r="T388" s="194">
        <v>2032</v>
      </c>
      <c r="U388" s="194">
        <v>2033</v>
      </c>
      <c r="V388" s="194">
        <v>2034</v>
      </c>
      <c r="W388" s="194">
        <v>2035</v>
      </c>
      <c r="X388" s="194">
        <v>2036</v>
      </c>
      <c r="Y388" s="194">
        <v>2037</v>
      </c>
      <c r="Z388" s="194">
        <v>2038</v>
      </c>
      <c r="AA388" s="194">
        <v>2039</v>
      </c>
      <c r="AB388" s="194">
        <v>2040</v>
      </c>
      <c r="AC388" s="194">
        <v>2041</v>
      </c>
      <c r="AD388" s="194">
        <v>2042</v>
      </c>
      <c r="AE388" s="194">
        <v>2043</v>
      </c>
      <c r="AF388" s="194">
        <v>2044</v>
      </c>
      <c r="AG388" s="194">
        <v>2045</v>
      </c>
      <c r="AH388" s="194">
        <v>2046</v>
      </c>
      <c r="AI388" s="194">
        <v>2047</v>
      </c>
      <c r="AJ388" s="194">
        <v>2048</v>
      </c>
      <c r="AK388" s="194">
        <v>2049</v>
      </c>
      <c r="AL388" s="250">
        <v>2050</v>
      </c>
    </row>
    <row r="389" spans="1:38" ht="20.100000000000001" customHeight="1" x14ac:dyDescent="0.2">
      <c r="A389" s="223" t="s">
        <v>550</v>
      </c>
      <c r="B389" s="208" t="s">
        <v>409</v>
      </c>
      <c r="C389" s="42"/>
      <c r="D389" s="42"/>
      <c r="E389" s="42"/>
      <c r="F389" s="42"/>
      <c r="G389" s="42"/>
      <c r="H389" s="42"/>
      <c r="I389" s="366">
        <f>SUM(I390:I395)</f>
        <v>0</v>
      </c>
      <c r="J389" s="42"/>
      <c r="K389" s="42"/>
      <c r="L389" s="42"/>
      <c r="M389" s="366" t="e">
        <f>SUM(M390:M395)</f>
        <v>#N/A</v>
      </c>
      <c r="N389" s="366" t="e">
        <f t="shared" ref="N389:AL389" si="119">SUM(N390:N395)</f>
        <v>#N/A</v>
      </c>
      <c r="O389" s="366" t="e">
        <f t="shared" si="119"/>
        <v>#N/A</v>
      </c>
      <c r="P389" s="366" t="e">
        <f t="shared" si="119"/>
        <v>#N/A</v>
      </c>
      <c r="Q389" s="366" t="e">
        <f t="shared" si="119"/>
        <v>#N/A</v>
      </c>
      <c r="R389" s="366" t="e">
        <f t="shared" si="119"/>
        <v>#N/A</v>
      </c>
      <c r="S389" s="366" t="e">
        <f t="shared" si="119"/>
        <v>#N/A</v>
      </c>
      <c r="T389" s="366" t="e">
        <f t="shared" si="119"/>
        <v>#N/A</v>
      </c>
      <c r="U389" s="366" t="e">
        <f t="shared" si="119"/>
        <v>#N/A</v>
      </c>
      <c r="V389" s="366" t="e">
        <f t="shared" si="119"/>
        <v>#N/A</v>
      </c>
      <c r="W389" s="366" t="e">
        <f t="shared" si="119"/>
        <v>#N/A</v>
      </c>
      <c r="X389" s="366" t="e">
        <f t="shared" si="119"/>
        <v>#N/A</v>
      </c>
      <c r="Y389" s="366" t="e">
        <f t="shared" si="119"/>
        <v>#N/A</v>
      </c>
      <c r="Z389" s="366" t="e">
        <f t="shared" si="119"/>
        <v>#N/A</v>
      </c>
      <c r="AA389" s="366" t="e">
        <f t="shared" si="119"/>
        <v>#N/A</v>
      </c>
      <c r="AB389" s="366" t="e">
        <f t="shared" si="119"/>
        <v>#N/A</v>
      </c>
      <c r="AC389" s="366" t="e">
        <f t="shared" si="119"/>
        <v>#N/A</v>
      </c>
      <c r="AD389" s="366" t="e">
        <f t="shared" si="119"/>
        <v>#N/A</v>
      </c>
      <c r="AE389" s="366" t="e">
        <f t="shared" si="119"/>
        <v>#N/A</v>
      </c>
      <c r="AF389" s="366" t="e">
        <f t="shared" si="119"/>
        <v>#N/A</v>
      </c>
      <c r="AG389" s="366" t="e">
        <f t="shared" si="119"/>
        <v>#N/A</v>
      </c>
      <c r="AH389" s="366" t="e">
        <f t="shared" si="119"/>
        <v>#N/A</v>
      </c>
      <c r="AI389" s="366" t="e">
        <f t="shared" si="119"/>
        <v>#N/A</v>
      </c>
      <c r="AJ389" s="366" t="e">
        <f t="shared" si="119"/>
        <v>#N/A</v>
      </c>
      <c r="AK389" s="366" t="e">
        <f t="shared" si="119"/>
        <v>#N/A</v>
      </c>
      <c r="AL389" s="233" t="e">
        <f t="shared" si="119"/>
        <v>#N/A</v>
      </c>
    </row>
    <row r="390" spans="1:38" ht="20.100000000000001" customHeight="1" x14ac:dyDescent="0.2">
      <c r="A390" s="223" t="s">
        <v>551</v>
      </c>
      <c r="B390" s="354" t="s">
        <v>60</v>
      </c>
      <c r="C390" s="137"/>
      <c r="D390" s="137"/>
      <c r="E390" s="137"/>
      <c r="F390" s="137"/>
      <c r="G390" s="137"/>
      <c r="H390" s="137"/>
      <c r="I390" s="137">
        <f t="array" ref="I390">MROUND(SUMPRODUCT(df_commute_infl!$H$2:$N$10000 * (df_commute_infl!$F$2:$F$10000 &gt; 0) * ($A390 = df_commute_infl!$H$1:$N$1)),5)</f>
        <v>0</v>
      </c>
      <c r="J390" s="137"/>
      <c r="K390" s="137"/>
      <c r="L390" s="137"/>
      <c r="M390" s="137" t="e">
        <f>MROUND(M381*$I390/$I381,5)</f>
        <v>#N/A</v>
      </c>
      <c r="N390" s="137" t="e">
        <f t="shared" ref="N390:AL395" si="120">MROUND(N381*$I390/$I381,5)</f>
        <v>#N/A</v>
      </c>
      <c r="O390" s="137" t="e">
        <f t="shared" si="120"/>
        <v>#N/A</v>
      </c>
      <c r="P390" s="137" t="e">
        <f t="shared" si="120"/>
        <v>#N/A</v>
      </c>
      <c r="Q390" s="137" t="e">
        <f t="shared" si="120"/>
        <v>#N/A</v>
      </c>
      <c r="R390" s="137" t="e">
        <f t="shared" si="120"/>
        <v>#N/A</v>
      </c>
      <c r="S390" s="137" t="e">
        <f t="shared" si="120"/>
        <v>#N/A</v>
      </c>
      <c r="T390" s="137" t="e">
        <f t="shared" si="120"/>
        <v>#N/A</v>
      </c>
      <c r="U390" s="137" t="e">
        <f t="shared" si="120"/>
        <v>#N/A</v>
      </c>
      <c r="V390" s="137" t="e">
        <f t="shared" si="120"/>
        <v>#N/A</v>
      </c>
      <c r="W390" s="137" t="e">
        <f t="shared" si="120"/>
        <v>#N/A</v>
      </c>
      <c r="X390" s="137" t="e">
        <f t="shared" si="120"/>
        <v>#N/A</v>
      </c>
      <c r="Y390" s="137" t="e">
        <f t="shared" si="120"/>
        <v>#N/A</v>
      </c>
      <c r="Z390" s="137" t="e">
        <f t="shared" si="120"/>
        <v>#N/A</v>
      </c>
      <c r="AA390" s="137" t="e">
        <f t="shared" si="120"/>
        <v>#N/A</v>
      </c>
      <c r="AB390" s="137" t="e">
        <f t="shared" si="120"/>
        <v>#N/A</v>
      </c>
      <c r="AC390" s="137" t="e">
        <f t="shared" si="120"/>
        <v>#N/A</v>
      </c>
      <c r="AD390" s="137" t="e">
        <f t="shared" si="120"/>
        <v>#N/A</v>
      </c>
      <c r="AE390" s="137" t="e">
        <f t="shared" si="120"/>
        <v>#N/A</v>
      </c>
      <c r="AF390" s="137" t="e">
        <f t="shared" si="120"/>
        <v>#N/A</v>
      </c>
      <c r="AG390" s="137" t="e">
        <f t="shared" si="120"/>
        <v>#N/A</v>
      </c>
      <c r="AH390" s="137" t="e">
        <f t="shared" si="120"/>
        <v>#N/A</v>
      </c>
      <c r="AI390" s="137" t="e">
        <f t="shared" si="120"/>
        <v>#N/A</v>
      </c>
      <c r="AJ390" s="137" t="e">
        <f t="shared" si="120"/>
        <v>#N/A</v>
      </c>
      <c r="AK390" s="137" t="e">
        <f t="shared" si="120"/>
        <v>#N/A</v>
      </c>
      <c r="AL390" s="269" t="e">
        <f t="shared" si="120"/>
        <v>#N/A</v>
      </c>
    </row>
    <row r="391" spans="1:38" ht="20.100000000000001" customHeight="1" x14ac:dyDescent="0.2">
      <c r="A391" s="223" t="s">
        <v>552</v>
      </c>
      <c r="B391" s="277" t="s">
        <v>61</v>
      </c>
      <c r="C391" s="111"/>
      <c r="D391" s="111"/>
      <c r="E391" s="111"/>
      <c r="F391" s="111"/>
      <c r="G391" s="111"/>
      <c r="H391" s="111"/>
      <c r="I391" s="111">
        <f t="array" ref="I391">MROUND(SUMPRODUCT(df_commute_infl!$H$2:$N$10000 * (df_commute_infl!$F$2:$F$10000 &gt; 0) * ($A391 = df_commute_infl!$H$1:$N$1)),5)</f>
        <v>0</v>
      </c>
      <c r="J391" s="111"/>
      <c r="K391" s="111"/>
      <c r="L391" s="111"/>
      <c r="M391" s="111" t="e">
        <f t="shared" ref="M391:AB395" si="121">MROUND(M382*$I391/$I382,5)</f>
        <v>#N/A</v>
      </c>
      <c r="N391" s="111" t="e">
        <f t="shared" si="121"/>
        <v>#N/A</v>
      </c>
      <c r="O391" s="111" t="e">
        <f t="shared" si="121"/>
        <v>#N/A</v>
      </c>
      <c r="P391" s="111" t="e">
        <f t="shared" si="121"/>
        <v>#N/A</v>
      </c>
      <c r="Q391" s="111" t="e">
        <f t="shared" si="121"/>
        <v>#N/A</v>
      </c>
      <c r="R391" s="111" t="e">
        <f t="shared" si="121"/>
        <v>#N/A</v>
      </c>
      <c r="S391" s="111" t="e">
        <f t="shared" si="121"/>
        <v>#N/A</v>
      </c>
      <c r="T391" s="111" t="e">
        <f t="shared" si="121"/>
        <v>#N/A</v>
      </c>
      <c r="U391" s="111" t="e">
        <f t="shared" si="121"/>
        <v>#N/A</v>
      </c>
      <c r="V391" s="111" t="e">
        <f t="shared" si="121"/>
        <v>#N/A</v>
      </c>
      <c r="W391" s="111" t="e">
        <f t="shared" si="121"/>
        <v>#N/A</v>
      </c>
      <c r="X391" s="111" t="e">
        <f t="shared" si="121"/>
        <v>#N/A</v>
      </c>
      <c r="Y391" s="111" t="e">
        <f t="shared" si="121"/>
        <v>#N/A</v>
      </c>
      <c r="Z391" s="111" t="e">
        <f t="shared" si="121"/>
        <v>#N/A</v>
      </c>
      <c r="AA391" s="111" t="e">
        <f t="shared" si="121"/>
        <v>#N/A</v>
      </c>
      <c r="AB391" s="111" t="e">
        <f t="shared" si="121"/>
        <v>#N/A</v>
      </c>
      <c r="AC391" s="111" t="e">
        <f t="shared" si="120"/>
        <v>#N/A</v>
      </c>
      <c r="AD391" s="111" t="e">
        <f t="shared" si="120"/>
        <v>#N/A</v>
      </c>
      <c r="AE391" s="111" t="e">
        <f t="shared" si="120"/>
        <v>#N/A</v>
      </c>
      <c r="AF391" s="111" t="e">
        <f t="shared" si="120"/>
        <v>#N/A</v>
      </c>
      <c r="AG391" s="111" t="e">
        <f t="shared" si="120"/>
        <v>#N/A</v>
      </c>
      <c r="AH391" s="111" t="e">
        <f t="shared" si="120"/>
        <v>#N/A</v>
      </c>
      <c r="AI391" s="111" t="e">
        <f t="shared" si="120"/>
        <v>#N/A</v>
      </c>
      <c r="AJ391" s="111" t="e">
        <f t="shared" si="120"/>
        <v>#N/A</v>
      </c>
      <c r="AK391" s="111" t="e">
        <f t="shared" si="120"/>
        <v>#N/A</v>
      </c>
      <c r="AL391" s="181" t="e">
        <f t="shared" si="120"/>
        <v>#N/A</v>
      </c>
    </row>
    <row r="392" spans="1:38" ht="20.100000000000001" customHeight="1" x14ac:dyDescent="0.2">
      <c r="A392" s="223" t="s">
        <v>553</v>
      </c>
      <c r="B392" s="118" t="s">
        <v>62</v>
      </c>
      <c r="C392" s="113"/>
      <c r="D392" s="113"/>
      <c r="E392" s="113"/>
      <c r="F392" s="113"/>
      <c r="G392" s="113"/>
      <c r="H392" s="113"/>
      <c r="I392" s="113">
        <f t="array" ref="I392">MROUND(SUMPRODUCT(df_commute_infl!$H$2:$N$10000 * (df_commute_infl!$F$2:$F$10000 &gt; 0) * ($A392 = df_commute_infl!$H$1:$N$1)),5)</f>
        <v>0</v>
      </c>
      <c r="J392" s="113"/>
      <c r="K392" s="113"/>
      <c r="L392" s="113"/>
      <c r="M392" s="113" t="e">
        <f t="shared" si="121"/>
        <v>#N/A</v>
      </c>
      <c r="N392" s="113" t="e">
        <f t="shared" si="120"/>
        <v>#N/A</v>
      </c>
      <c r="O392" s="113" t="e">
        <f t="shared" si="120"/>
        <v>#N/A</v>
      </c>
      <c r="P392" s="113" t="e">
        <f t="shared" si="120"/>
        <v>#N/A</v>
      </c>
      <c r="Q392" s="113" t="e">
        <f t="shared" si="120"/>
        <v>#N/A</v>
      </c>
      <c r="R392" s="113" t="e">
        <f t="shared" si="120"/>
        <v>#N/A</v>
      </c>
      <c r="S392" s="113" t="e">
        <f t="shared" si="120"/>
        <v>#N/A</v>
      </c>
      <c r="T392" s="113" t="e">
        <f t="shared" si="120"/>
        <v>#N/A</v>
      </c>
      <c r="U392" s="113" t="e">
        <f t="shared" si="120"/>
        <v>#N/A</v>
      </c>
      <c r="V392" s="113" t="e">
        <f t="shared" si="120"/>
        <v>#N/A</v>
      </c>
      <c r="W392" s="113" t="e">
        <f t="shared" si="120"/>
        <v>#N/A</v>
      </c>
      <c r="X392" s="113" t="e">
        <f t="shared" si="120"/>
        <v>#N/A</v>
      </c>
      <c r="Y392" s="113" t="e">
        <f t="shared" si="120"/>
        <v>#N/A</v>
      </c>
      <c r="Z392" s="113" t="e">
        <f t="shared" si="120"/>
        <v>#N/A</v>
      </c>
      <c r="AA392" s="113" t="e">
        <f t="shared" si="120"/>
        <v>#N/A</v>
      </c>
      <c r="AB392" s="113" t="e">
        <f t="shared" si="120"/>
        <v>#N/A</v>
      </c>
      <c r="AC392" s="113" t="e">
        <f t="shared" si="120"/>
        <v>#N/A</v>
      </c>
      <c r="AD392" s="113" t="e">
        <f t="shared" si="120"/>
        <v>#N/A</v>
      </c>
      <c r="AE392" s="113" t="e">
        <f t="shared" si="120"/>
        <v>#N/A</v>
      </c>
      <c r="AF392" s="113" t="e">
        <f t="shared" si="120"/>
        <v>#N/A</v>
      </c>
      <c r="AG392" s="113" t="e">
        <f t="shared" si="120"/>
        <v>#N/A</v>
      </c>
      <c r="AH392" s="113" t="e">
        <f t="shared" si="120"/>
        <v>#N/A</v>
      </c>
      <c r="AI392" s="113" t="e">
        <f t="shared" si="120"/>
        <v>#N/A</v>
      </c>
      <c r="AJ392" s="113" t="e">
        <f t="shared" si="120"/>
        <v>#N/A</v>
      </c>
      <c r="AK392" s="113" t="e">
        <f t="shared" si="120"/>
        <v>#N/A</v>
      </c>
      <c r="AL392" s="329" t="e">
        <f t="shared" si="120"/>
        <v>#N/A</v>
      </c>
    </row>
    <row r="393" spans="1:38" ht="20.100000000000001" customHeight="1" x14ac:dyDescent="0.2">
      <c r="A393" s="223" t="s">
        <v>554</v>
      </c>
      <c r="B393" s="277" t="s">
        <v>63</v>
      </c>
      <c r="C393" s="111"/>
      <c r="D393" s="111"/>
      <c r="E393" s="111"/>
      <c r="F393" s="111"/>
      <c r="G393" s="111"/>
      <c r="H393" s="111"/>
      <c r="I393" s="111">
        <f t="array" ref="I393">MROUND(SUMPRODUCT(df_commute_infl!$H$2:$N$10000 * (df_commute_infl!$F$2:$F$10000 &gt; 0) * ($A393 = df_commute_infl!$H$1:$N$1)),5)</f>
        <v>0</v>
      </c>
      <c r="J393" s="111"/>
      <c r="K393" s="111"/>
      <c r="L393" s="111"/>
      <c r="M393" s="111" t="e">
        <f t="shared" si="121"/>
        <v>#N/A</v>
      </c>
      <c r="N393" s="111" t="e">
        <f t="shared" si="120"/>
        <v>#N/A</v>
      </c>
      <c r="O393" s="111" t="e">
        <f t="shared" si="120"/>
        <v>#N/A</v>
      </c>
      <c r="P393" s="111" t="e">
        <f t="shared" si="120"/>
        <v>#N/A</v>
      </c>
      <c r="Q393" s="111" t="e">
        <f t="shared" si="120"/>
        <v>#N/A</v>
      </c>
      <c r="R393" s="111" t="e">
        <f t="shared" si="120"/>
        <v>#N/A</v>
      </c>
      <c r="S393" s="111" t="e">
        <f t="shared" si="120"/>
        <v>#N/A</v>
      </c>
      <c r="T393" s="111" t="e">
        <f t="shared" si="120"/>
        <v>#N/A</v>
      </c>
      <c r="U393" s="111" t="e">
        <f t="shared" si="120"/>
        <v>#N/A</v>
      </c>
      <c r="V393" s="111" t="e">
        <f t="shared" si="120"/>
        <v>#N/A</v>
      </c>
      <c r="W393" s="111" t="e">
        <f t="shared" si="120"/>
        <v>#N/A</v>
      </c>
      <c r="X393" s="111" t="e">
        <f t="shared" si="120"/>
        <v>#N/A</v>
      </c>
      <c r="Y393" s="111" t="e">
        <f t="shared" si="120"/>
        <v>#N/A</v>
      </c>
      <c r="Z393" s="111" t="e">
        <f t="shared" si="120"/>
        <v>#N/A</v>
      </c>
      <c r="AA393" s="111" t="e">
        <f t="shared" si="120"/>
        <v>#N/A</v>
      </c>
      <c r="AB393" s="111" t="e">
        <f t="shared" si="120"/>
        <v>#N/A</v>
      </c>
      <c r="AC393" s="111" t="e">
        <f t="shared" si="120"/>
        <v>#N/A</v>
      </c>
      <c r="AD393" s="111" t="e">
        <f t="shared" si="120"/>
        <v>#N/A</v>
      </c>
      <c r="AE393" s="111" t="e">
        <f t="shared" si="120"/>
        <v>#N/A</v>
      </c>
      <c r="AF393" s="111" t="e">
        <f t="shared" si="120"/>
        <v>#N/A</v>
      </c>
      <c r="AG393" s="111" t="e">
        <f t="shared" si="120"/>
        <v>#N/A</v>
      </c>
      <c r="AH393" s="111" t="e">
        <f t="shared" si="120"/>
        <v>#N/A</v>
      </c>
      <c r="AI393" s="111" t="e">
        <f t="shared" si="120"/>
        <v>#N/A</v>
      </c>
      <c r="AJ393" s="111" t="e">
        <f t="shared" si="120"/>
        <v>#N/A</v>
      </c>
      <c r="AK393" s="111" t="e">
        <f t="shared" si="120"/>
        <v>#N/A</v>
      </c>
      <c r="AL393" s="181" t="e">
        <f t="shared" si="120"/>
        <v>#N/A</v>
      </c>
    </row>
    <row r="394" spans="1:38" ht="20.100000000000001" customHeight="1" x14ac:dyDescent="0.2">
      <c r="A394" s="223" t="s">
        <v>555</v>
      </c>
      <c r="B394" s="118" t="s">
        <v>64</v>
      </c>
      <c r="C394" s="113"/>
      <c r="D394" s="113"/>
      <c r="E394" s="113"/>
      <c r="F394" s="113"/>
      <c r="G394" s="113"/>
      <c r="H394" s="113"/>
      <c r="I394" s="113">
        <f t="array" ref="I394">MROUND(SUMPRODUCT(df_commute_infl!$H$2:$N$10000 * (df_commute_infl!$F$2:$F$10000 &gt; 0) * ($A394 = df_commute_infl!$H$1:$N$1)),5)</f>
        <v>0</v>
      </c>
      <c r="J394" s="113"/>
      <c r="K394" s="113"/>
      <c r="L394" s="113"/>
      <c r="M394" s="113" t="e">
        <f t="shared" si="121"/>
        <v>#N/A</v>
      </c>
      <c r="N394" s="113" t="e">
        <f t="shared" si="120"/>
        <v>#N/A</v>
      </c>
      <c r="O394" s="113" t="e">
        <f t="shared" si="120"/>
        <v>#N/A</v>
      </c>
      <c r="P394" s="113" t="e">
        <f t="shared" si="120"/>
        <v>#N/A</v>
      </c>
      <c r="Q394" s="113" t="e">
        <f t="shared" si="120"/>
        <v>#N/A</v>
      </c>
      <c r="R394" s="113" t="e">
        <f t="shared" si="120"/>
        <v>#N/A</v>
      </c>
      <c r="S394" s="113" t="e">
        <f t="shared" si="120"/>
        <v>#N/A</v>
      </c>
      <c r="T394" s="113" t="e">
        <f t="shared" si="120"/>
        <v>#N/A</v>
      </c>
      <c r="U394" s="113" t="e">
        <f t="shared" si="120"/>
        <v>#N/A</v>
      </c>
      <c r="V394" s="113" t="e">
        <f t="shared" si="120"/>
        <v>#N/A</v>
      </c>
      <c r="W394" s="113" t="e">
        <f t="shared" si="120"/>
        <v>#N/A</v>
      </c>
      <c r="X394" s="113" t="e">
        <f t="shared" si="120"/>
        <v>#N/A</v>
      </c>
      <c r="Y394" s="113" t="e">
        <f t="shared" si="120"/>
        <v>#N/A</v>
      </c>
      <c r="Z394" s="113" t="e">
        <f t="shared" si="120"/>
        <v>#N/A</v>
      </c>
      <c r="AA394" s="113" t="e">
        <f t="shared" si="120"/>
        <v>#N/A</v>
      </c>
      <c r="AB394" s="113" t="e">
        <f t="shared" si="120"/>
        <v>#N/A</v>
      </c>
      <c r="AC394" s="113" t="e">
        <f t="shared" si="120"/>
        <v>#N/A</v>
      </c>
      <c r="AD394" s="113" t="e">
        <f t="shared" si="120"/>
        <v>#N/A</v>
      </c>
      <c r="AE394" s="113" t="e">
        <f t="shared" si="120"/>
        <v>#N/A</v>
      </c>
      <c r="AF394" s="113" t="e">
        <f t="shared" si="120"/>
        <v>#N/A</v>
      </c>
      <c r="AG394" s="113" t="e">
        <f t="shared" si="120"/>
        <v>#N/A</v>
      </c>
      <c r="AH394" s="113" t="e">
        <f t="shared" si="120"/>
        <v>#N/A</v>
      </c>
      <c r="AI394" s="113" t="e">
        <f t="shared" si="120"/>
        <v>#N/A</v>
      </c>
      <c r="AJ394" s="113" t="e">
        <f t="shared" si="120"/>
        <v>#N/A</v>
      </c>
      <c r="AK394" s="113" t="e">
        <f t="shared" si="120"/>
        <v>#N/A</v>
      </c>
      <c r="AL394" s="329" t="e">
        <f t="shared" si="120"/>
        <v>#N/A</v>
      </c>
    </row>
    <row r="395" spans="1:38" ht="20.100000000000001" customHeight="1" x14ac:dyDescent="0.2">
      <c r="A395" s="223" t="s">
        <v>556</v>
      </c>
      <c r="B395" s="158" t="s">
        <v>558</v>
      </c>
      <c r="C395" s="42"/>
      <c r="D395" s="42"/>
      <c r="E395" s="42"/>
      <c r="F395" s="42"/>
      <c r="G395" s="42"/>
      <c r="H395" s="42"/>
      <c r="I395" s="42">
        <f t="array" ref="I395">MROUND(SUMPRODUCT(df_commute_infl!$H$2:$N$10000 * (df_commute_infl!$F$2:$F$10000 &gt; 0) * ($A395 = df_commute_infl!$H$1:$N$1)),5)</f>
        <v>0</v>
      </c>
      <c r="J395" s="42"/>
      <c r="K395" s="42"/>
      <c r="L395" s="42"/>
      <c r="M395" s="42" t="e">
        <f t="shared" si="121"/>
        <v>#N/A</v>
      </c>
      <c r="N395" s="42" t="e">
        <f t="shared" si="120"/>
        <v>#N/A</v>
      </c>
      <c r="O395" s="42" t="e">
        <f t="shared" si="120"/>
        <v>#N/A</v>
      </c>
      <c r="P395" s="42" t="e">
        <f t="shared" si="120"/>
        <v>#N/A</v>
      </c>
      <c r="Q395" s="42" t="e">
        <f t="shared" si="120"/>
        <v>#N/A</v>
      </c>
      <c r="R395" s="42" t="e">
        <f t="shared" si="120"/>
        <v>#N/A</v>
      </c>
      <c r="S395" s="42" t="e">
        <f t="shared" si="120"/>
        <v>#N/A</v>
      </c>
      <c r="T395" s="42" t="e">
        <f t="shared" si="120"/>
        <v>#N/A</v>
      </c>
      <c r="U395" s="42" t="e">
        <f t="shared" si="120"/>
        <v>#N/A</v>
      </c>
      <c r="V395" s="42" t="e">
        <f t="shared" si="120"/>
        <v>#N/A</v>
      </c>
      <c r="W395" s="42" t="e">
        <f t="shared" si="120"/>
        <v>#N/A</v>
      </c>
      <c r="X395" s="42" t="e">
        <f t="shared" si="120"/>
        <v>#N/A</v>
      </c>
      <c r="Y395" s="42" t="e">
        <f t="shared" si="120"/>
        <v>#N/A</v>
      </c>
      <c r="Z395" s="42" t="e">
        <f t="shared" si="120"/>
        <v>#N/A</v>
      </c>
      <c r="AA395" s="42" t="e">
        <f t="shared" si="120"/>
        <v>#N/A</v>
      </c>
      <c r="AB395" s="42" t="e">
        <f t="shared" si="120"/>
        <v>#N/A</v>
      </c>
      <c r="AC395" s="42" t="e">
        <f t="shared" si="120"/>
        <v>#N/A</v>
      </c>
      <c r="AD395" s="42" t="e">
        <f t="shared" si="120"/>
        <v>#N/A</v>
      </c>
      <c r="AE395" s="42" t="e">
        <f t="shared" si="120"/>
        <v>#N/A</v>
      </c>
      <c r="AF395" s="42" t="e">
        <f t="shared" si="120"/>
        <v>#N/A</v>
      </c>
      <c r="AG395" s="42" t="e">
        <f t="shared" si="120"/>
        <v>#N/A</v>
      </c>
      <c r="AH395" s="42" t="e">
        <f t="shared" si="120"/>
        <v>#N/A</v>
      </c>
      <c r="AI395" s="42" t="e">
        <f t="shared" si="120"/>
        <v>#N/A</v>
      </c>
      <c r="AJ395" s="42" t="e">
        <f t="shared" si="120"/>
        <v>#N/A</v>
      </c>
      <c r="AK395" s="42" t="e">
        <f t="shared" si="120"/>
        <v>#N/A</v>
      </c>
      <c r="AL395" s="347" t="e">
        <f t="shared" si="120"/>
        <v>#N/A</v>
      </c>
    </row>
    <row r="396" spans="1:38" x14ac:dyDescent="0.2">
      <c r="A396" s="223"/>
    </row>
    <row r="397" spans="1:38" ht="20.100000000000001" customHeight="1" x14ac:dyDescent="0.2">
      <c r="A397" s="48">
        <v>0.35</v>
      </c>
      <c r="B397" s="77"/>
      <c r="C397" s="194">
        <v>2015</v>
      </c>
      <c r="D397" s="194">
        <v>2016</v>
      </c>
      <c r="E397" s="194">
        <v>2017</v>
      </c>
      <c r="F397" s="194">
        <v>2018</v>
      </c>
      <c r="G397" s="194">
        <v>2019</v>
      </c>
      <c r="H397" s="194">
        <v>2020</v>
      </c>
      <c r="I397" s="194">
        <v>2021</v>
      </c>
      <c r="J397" s="194">
        <v>2022</v>
      </c>
      <c r="K397" s="194">
        <v>2023</v>
      </c>
      <c r="L397" s="194">
        <v>2024</v>
      </c>
      <c r="M397" s="194">
        <v>2025</v>
      </c>
      <c r="N397" s="194">
        <v>2026</v>
      </c>
      <c r="O397" s="194">
        <v>2027</v>
      </c>
      <c r="P397" s="194">
        <v>2028</v>
      </c>
      <c r="Q397" s="194">
        <v>2029</v>
      </c>
      <c r="R397" s="194">
        <v>2030</v>
      </c>
      <c r="S397" s="194">
        <v>2031</v>
      </c>
      <c r="T397" s="194">
        <v>2032</v>
      </c>
      <c r="U397" s="194">
        <v>2033</v>
      </c>
      <c r="V397" s="194">
        <v>2034</v>
      </c>
      <c r="W397" s="194">
        <v>2035</v>
      </c>
      <c r="X397" s="194">
        <v>2036</v>
      </c>
      <c r="Y397" s="194">
        <v>2037</v>
      </c>
      <c r="Z397" s="194">
        <v>2038</v>
      </c>
      <c r="AA397" s="194">
        <v>2039</v>
      </c>
      <c r="AB397" s="194">
        <v>2040</v>
      </c>
      <c r="AC397" s="194">
        <v>2041</v>
      </c>
      <c r="AD397" s="194">
        <v>2042</v>
      </c>
      <c r="AE397" s="194">
        <v>2043</v>
      </c>
      <c r="AF397" s="194">
        <v>2044</v>
      </c>
      <c r="AG397" s="194">
        <v>2045</v>
      </c>
      <c r="AH397" s="194">
        <v>2046</v>
      </c>
      <c r="AI397" s="194">
        <v>2047</v>
      </c>
      <c r="AJ397" s="194">
        <v>2048</v>
      </c>
      <c r="AK397" s="194">
        <v>2049</v>
      </c>
      <c r="AL397" s="250">
        <v>2050</v>
      </c>
    </row>
    <row r="398" spans="1:38" ht="20.100000000000001" customHeight="1" x14ac:dyDescent="0.2">
      <c r="A398" s="223" t="s">
        <v>550</v>
      </c>
      <c r="B398" s="43" t="s">
        <v>409</v>
      </c>
      <c r="C398" s="366"/>
      <c r="D398" s="366"/>
      <c r="E398" s="366"/>
      <c r="F398" s="366"/>
      <c r="G398" s="366"/>
      <c r="H398" s="366"/>
      <c r="I398" s="366">
        <f>SUM(I399:I404)</f>
        <v>0</v>
      </c>
      <c r="J398" s="366"/>
      <c r="K398" s="366"/>
      <c r="L398" s="366"/>
      <c r="M398" s="366" t="e">
        <f>SUM(M399:M404)</f>
        <v>#N/A</v>
      </c>
      <c r="N398" s="366" t="e">
        <f t="shared" ref="N398:AL398" si="122">SUM(N399:N404)</f>
        <v>#N/A</v>
      </c>
      <c r="O398" s="366" t="e">
        <f t="shared" si="122"/>
        <v>#N/A</v>
      </c>
      <c r="P398" s="366" t="e">
        <f t="shared" si="122"/>
        <v>#N/A</v>
      </c>
      <c r="Q398" s="366" t="e">
        <f t="shared" si="122"/>
        <v>#N/A</v>
      </c>
      <c r="R398" s="366" t="e">
        <f t="shared" si="122"/>
        <v>#N/A</v>
      </c>
      <c r="S398" s="366" t="e">
        <f t="shared" si="122"/>
        <v>#N/A</v>
      </c>
      <c r="T398" s="366" t="e">
        <f t="shared" si="122"/>
        <v>#N/A</v>
      </c>
      <c r="U398" s="366" t="e">
        <f t="shared" si="122"/>
        <v>#N/A</v>
      </c>
      <c r="V398" s="366" t="e">
        <f t="shared" si="122"/>
        <v>#N/A</v>
      </c>
      <c r="W398" s="366" t="e">
        <f t="shared" si="122"/>
        <v>#N/A</v>
      </c>
      <c r="X398" s="366" t="e">
        <f t="shared" si="122"/>
        <v>#N/A</v>
      </c>
      <c r="Y398" s="366" t="e">
        <f t="shared" si="122"/>
        <v>#N/A</v>
      </c>
      <c r="Z398" s="366" t="e">
        <f t="shared" si="122"/>
        <v>#N/A</v>
      </c>
      <c r="AA398" s="366" t="e">
        <f t="shared" si="122"/>
        <v>#N/A</v>
      </c>
      <c r="AB398" s="366" t="e">
        <f t="shared" si="122"/>
        <v>#N/A</v>
      </c>
      <c r="AC398" s="366" t="e">
        <f t="shared" si="122"/>
        <v>#N/A</v>
      </c>
      <c r="AD398" s="366" t="e">
        <f t="shared" si="122"/>
        <v>#N/A</v>
      </c>
      <c r="AE398" s="366" t="e">
        <f t="shared" si="122"/>
        <v>#N/A</v>
      </c>
      <c r="AF398" s="366" t="e">
        <f t="shared" si="122"/>
        <v>#N/A</v>
      </c>
      <c r="AG398" s="366" t="e">
        <f t="shared" si="122"/>
        <v>#N/A</v>
      </c>
      <c r="AH398" s="366" t="e">
        <f t="shared" si="122"/>
        <v>#N/A</v>
      </c>
      <c r="AI398" s="366" t="e">
        <f t="shared" si="122"/>
        <v>#N/A</v>
      </c>
      <c r="AJ398" s="366" t="e">
        <f t="shared" si="122"/>
        <v>#N/A</v>
      </c>
      <c r="AK398" s="366" t="e">
        <f t="shared" si="122"/>
        <v>#N/A</v>
      </c>
      <c r="AL398" s="233" t="e">
        <f t="shared" si="122"/>
        <v>#N/A</v>
      </c>
    </row>
    <row r="399" spans="1:38" ht="20.100000000000001" customHeight="1" x14ac:dyDescent="0.2">
      <c r="A399" s="223" t="s">
        <v>551</v>
      </c>
      <c r="B399" s="354" t="s">
        <v>60</v>
      </c>
      <c r="C399" s="137"/>
      <c r="D399" s="137"/>
      <c r="E399" s="137"/>
      <c r="F399" s="137"/>
      <c r="G399" s="137"/>
      <c r="H399" s="137"/>
      <c r="I399" s="137">
        <f t="array" ref="I399">MROUND(SUMPRODUCT(df_commute_infl!$H$2:$N$10000*(df_commute_infl!$F$2:$F$10000&gt;0)*($A399=df_commute_infl!$H$1:$N$1)*(df_commute_infl!$C$2:$C$10000&gt;$A$397)),5)</f>
        <v>0</v>
      </c>
      <c r="J399" s="137"/>
      <c r="K399" s="137"/>
      <c r="L399" s="137"/>
      <c r="M399" s="137" t="e">
        <f>MROUND(M381*$I399/$I381,5)</f>
        <v>#N/A</v>
      </c>
      <c r="N399" s="137" t="e">
        <f t="shared" ref="N399:AL404" si="123">MROUND(N381*$I399/$I381,5)</f>
        <v>#N/A</v>
      </c>
      <c r="O399" s="137" t="e">
        <f t="shared" si="123"/>
        <v>#N/A</v>
      </c>
      <c r="P399" s="137" t="e">
        <f t="shared" si="123"/>
        <v>#N/A</v>
      </c>
      <c r="Q399" s="137" t="e">
        <f t="shared" si="123"/>
        <v>#N/A</v>
      </c>
      <c r="R399" s="137" t="e">
        <f t="shared" si="123"/>
        <v>#N/A</v>
      </c>
      <c r="S399" s="137" t="e">
        <f t="shared" si="123"/>
        <v>#N/A</v>
      </c>
      <c r="T399" s="137" t="e">
        <f t="shared" si="123"/>
        <v>#N/A</v>
      </c>
      <c r="U399" s="137" t="e">
        <f t="shared" si="123"/>
        <v>#N/A</v>
      </c>
      <c r="V399" s="137" t="e">
        <f t="shared" si="123"/>
        <v>#N/A</v>
      </c>
      <c r="W399" s="137" t="e">
        <f t="shared" si="123"/>
        <v>#N/A</v>
      </c>
      <c r="X399" s="137" t="e">
        <f t="shared" si="123"/>
        <v>#N/A</v>
      </c>
      <c r="Y399" s="137" t="e">
        <f t="shared" si="123"/>
        <v>#N/A</v>
      </c>
      <c r="Z399" s="137" t="e">
        <f t="shared" si="123"/>
        <v>#N/A</v>
      </c>
      <c r="AA399" s="137" t="e">
        <f t="shared" si="123"/>
        <v>#N/A</v>
      </c>
      <c r="AB399" s="137" t="e">
        <f t="shared" si="123"/>
        <v>#N/A</v>
      </c>
      <c r="AC399" s="137" t="e">
        <f t="shared" si="123"/>
        <v>#N/A</v>
      </c>
      <c r="AD399" s="137" t="e">
        <f t="shared" si="123"/>
        <v>#N/A</v>
      </c>
      <c r="AE399" s="137" t="e">
        <f t="shared" si="123"/>
        <v>#N/A</v>
      </c>
      <c r="AF399" s="137" t="e">
        <f t="shared" si="123"/>
        <v>#N/A</v>
      </c>
      <c r="AG399" s="137" t="e">
        <f t="shared" si="123"/>
        <v>#N/A</v>
      </c>
      <c r="AH399" s="137" t="e">
        <f t="shared" si="123"/>
        <v>#N/A</v>
      </c>
      <c r="AI399" s="137" t="e">
        <f t="shared" si="123"/>
        <v>#N/A</v>
      </c>
      <c r="AJ399" s="137" t="e">
        <f t="shared" si="123"/>
        <v>#N/A</v>
      </c>
      <c r="AK399" s="137" t="e">
        <f t="shared" si="123"/>
        <v>#N/A</v>
      </c>
      <c r="AL399" s="269" t="e">
        <f t="shared" si="123"/>
        <v>#N/A</v>
      </c>
    </row>
    <row r="400" spans="1:38" ht="20.100000000000001" customHeight="1" x14ac:dyDescent="0.2">
      <c r="A400" s="223" t="s">
        <v>552</v>
      </c>
      <c r="B400" s="277" t="s">
        <v>61</v>
      </c>
      <c r="C400" s="111"/>
      <c r="D400" s="111"/>
      <c r="E400" s="111"/>
      <c r="F400" s="111"/>
      <c r="G400" s="111"/>
      <c r="H400" s="111"/>
      <c r="I400" s="111">
        <f t="array" ref="I400">MROUND(SUMPRODUCT(df_commute_infl!$H$2:$N$10000*(df_commute_infl!$F$2:$F$10000&gt;0)*($A400=df_commute_infl!$H$1:$N$1)*(df_commute_infl!$C$2:$C$10000&gt;$A$397)),5)</f>
        <v>0</v>
      </c>
      <c r="J400" s="111"/>
      <c r="K400" s="111"/>
      <c r="L400" s="111"/>
      <c r="M400" s="111" t="e">
        <f t="shared" ref="M400:AB404" si="124">MROUND(M382*$I400/$I382,5)</f>
        <v>#N/A</v>
      </c>
      <c r="N400" s="111" t="e">
        <f t="shared" si="124"/>
        <v>#N/A</v>
      </c>
      <c r="O400" s="111" t="e">
        <f t="shared" si="124"/>
        <v>#N/A</v>
      </c>
      <c r="P400" s="111" t="e">
        <f t="shared" si="124"/>
        <v>#N/A</v>
      </c>
      <c r="Q400" s="111" t="e">
        <f t="shared" si="124"/>
        <v>#N/A</v>
      </c>
      <c r="R400" s="111" t="e">
        <f t="shared" si="124"/>
        <v>#N/A</v>
      </c>
      <c r="S400" s="111" t="e">
        <f t="shared" si="124"/>
        <v>#N/A</v>
      </c>
      <c r="T400" s="111" t="e">
        <f t="shared" si="124"/>
        <v>#N/A</v>
      </c>
      <c r="U400" s="111" t="e">
        <f t="shared" si="124"/>
        <v>#N/A</v>
      </c>
      <c r="V400" s="111" t="e">
        <f t="shared" si="124"/>
        <v>#N/A</v>
      </c>
      <c r="W400" s="111" t="e">
        <f t="shared" si="124"/>
        <v>#N/A</v>
      </c>
      <c r="X400" s="111" t="e">
        <f t="shared" si="124"/>
        <v>#N/A</v>
      </c>
      <c r="Y400" s="111" t="e">
        <f t="shared" si="124"/>
        <v>#N/A</v>
      </c>
      <c r="Z400" s="111" t="e">
        <f t="shared" si="124"/>
        <v>#N/A</v>
      </c>
      <c r="AA400" s="111" t="e">
        <f t="shared" si="124"/>
        <v>#N/A</v>
      </c>
      <c r="AB400" s="111" t="e">
        <f t="shared" si="124"/>
        <v>#N/A</v>
      </c>
      <c r="AC400" s="111" t="e">
        <f t="shared" si="123"/>
        <v>#N/A</v>
      </c>
      <c r="AD400" s="111" t="e">
        <f t="shared" si="123"/>
        <v>#N/A</v>
      </c>
      <c r="AE400" s="111" t="e">
        <f t="shared" si="123"/>
        <v>#N/A</v>
      </c>
      <c r="AF400" s="111" t="e">
        <f t="shared" si="123"/>
        <v>#N/A</v>
      </c>
      <c r="AG400" s="111" t="e">
        <f t="shared" si="123"/>
        <v>#N/A</v>
      </c>
      <c r="AH400" s="111" t="e">
        <f t="shared" si="123"/>
        <v>#N/A</v>
      </c>
      <c r="AI400" s="111" t="e">
        <f t="shared" si="123"/>
        <v>#N/A</v>
      </c>
      <c r="AJ400" s="111" t="e">
        <f t="shared" si="123"/>
        <v>#N/A</v>
      </c>
      <c r="AK400" s="111" t="e">
        <f t="shared" si="123"/>
        <v>#N/A</v>
      </c>
      <c r="AL400" s="181" t="e">
        <f t="shared" si="123"/>
        <v>#N/A</v>
      </c>
    </row>
    <row r="401" spans="1:38" ht="20.100000000000001" customHeight="1" x14ac:dyDescent="0.2">
      <c r="A401" s="223" t="s">
        <v>553</v>
      </c>
      <c r="B401" s="118" t="s">
        <v>62</v>
      </c>
      <c r="C401" s="113"/>
      <c r="D401" s="113"/>
      <c r="E401" s="113"/>
      <c r="F401" s="113"/>
      <c r="G401" s="113"/>
      <c r="H401" s="113"/>
      <c r="I401" s="113">
        <f t="array" ref="I401">MROUND(SUMPRODUCT(df_commute_infl!$H$2:$N$10000*(df_commute_infl!$F$2:$F$10000&gt;0)*($A401=df_commute_infl!$H$1:$N$1)*(df_commute_infl!$C$2:$C$10000&gt;$A$397)),5)</f>
        <v>0</v>
      </c>
      <c r="J401" s="113"/>
      <c r="K401" s="113"/>
      <c r="L401" s="113"/>
      <c r="M401" s="113" t="e">
        <f t="shared" si="124"/>
        <v>#N/A</v>
      </c>
      <c r="N401" s="113" t="e">
        <f t="shared" si="123"/>
        <v>#N/A</v>
      </c>
      <c r="O401" s="113" t="e">
        <f t="shared" si="123"/>
        <v>#N/A</v>
      </c>
      <c r="P401" s="113" t="e">
        <f t="shared" si="123"/>
        <v>#N/A</v>
      </c>
      <c r="Q401" s="113" t="e">
        <f t="shared" si="123"/>
        <v>#N/A</v>
      </c>
      <c r="R401" s="113" t="e">
        <f t="shared" si="123"/>
        <v>#N/A</v>
      </c>
      <c r="S401" s="113" t="e">
        <f t="shared" si="123"/>
        <v>#N/A</v>
      </c>
      <c r="T401" s="113" t="e">
        <f t="shared" si="123"/>
        <v>#N/A</v>
      </c>
      <c r="U401" s="113" t="e">
        <f t="shared" si="123"/>
        <v>#N/A</v>
      </c>
      <c r="V401" s="113" t="e">
        <f t="shared" si="123"/>
        <v>#N/A</v>
      </c>
      <c r="W401" s="113" t="e">
        <f t="shared" si="123"/>
        <v>#N/A</v>
      </c>
      <c r="X401" s="113" t="e">
        <f t="shared" si="123"/>
        <v>#N/A</v>
      </c>
      <c r="Y401" s="113" t="e">
        <f t="shared" si="123"/>
        <v>#N/A</v>
      </c>
      <c r="Z401" s="113" t="e">
        <f t="shared" si="123"/>
        <v>#N/A</v>
      </c>
      <c r="AA401" s="113" t="e">
        <f t="shared" si="123"/>
        <v>#N/A</v>
      </c>
      <c r="AB401" s="113" t="e">
        <f t="shared" si="123"/>
        <v>#N/A</v>
      </c>
      <c r="AC401" s="113" t="e">
        <f t="shared" si="123"/>
        <v>#N/A</v>
      </c>
      <c r="AD401" s="113" t="e">
        <f t="shared" si="123"/>
        <v>#N/A</v>
      </c>
      <c r="AE401" s="113" t="e">
        <f t="shared" si="123"/>
        <v>#N/A</v>
      </c>
      <c r="AF401" s="113" t="e">
        <f t="shared" si="123"/>
        <v>#N/A</v>
      </c>
      <c r="AG401" s="113" t="e">
        <f t="shared" si="123"/>
        <v>#N/A</v>
      </c>
      <c r="AH401" s="113" t="e">
        <f t="shared" si="123"/>
        <v>#N/A</v>
      </c>
      <c r="AI401" s="113" t="e">
        <f t="shared" si="123"/>
        <v>#N/A</v>
      </c>
      <c r="AJ401" s="113" t="e">
        <f t="shared" si="123"/>
        <v>#N/A</v>
      </c>
      <c r="AK401" s="113" t="e">
        <f t="shared" si="123"/>
        <v>#N/A</v>
      </c>
      <c r="AL401" s="329" t="e">
        <f t="shared" si="123"/>
        <v>#N/A</v>
      </c>
    </row>
    <row r="402" spans="1:38" ht="20.100000000000001" customHeight="1" x14ac:dyDescent="0.2">
      <c r="A402" s="223" t="s">
        <v>554</v>
      </c>
      <c r="B402" s="277" t="s">
        <v>63</v>
      </c>
      <c r="C402" s="111"/>
      <c r="D402" s="111"/>
      <c r="E402" s="111"/>
      <c r="F402" s="111"/>
      <c r="G402" s="111"/>
      <c r="H402" s="111"/>
      <c r="I402" s="111">
        <f t="array" ref="I402">MROUND(SUMPRODUCT(df_commute_infl!$H$2:$N$10000*(df_commute_infl!$F$2:$F$10000&gt;0)*($A402=df_commute_infl!$H$1:$N$1)*(df_commute_infl!$C$2:$C$10000&gt;$A$397)),5)</f>
        <v>0</v>
      </c>
      <c r="J402" s="111"/>
      <c r="K402" s="111"/>
      <c r="L402" s="111"/>
      <c r="M402" s="111" t="e">
        <f t="shared" si="124"/>
        <v>#N/A</v>
      </c>
      <c r="N402" s="111" t="e">
        <f t="shared" si="123"/>
        <v>#N/A</v>
      </c>
      <c r="O402" s="111" t="e">
        <f t="shared" si="123"/>
        <v>#N/A</v>
      </c>
      <c r="P402" s="111" t="e">
        <f t="shared" si="123"/>
        <v>#N/A</v>
      </c>
      <c r="Q402" s="111" t="e">
        <f t="shared" si="123"/>
        <v>#N/A</v>
      </c>
      <c r="R402" s="111" t="e">
        <f t="shared" si="123"/>
        <v>#N/A</v>
      </c>
      <c r="S402" s="111" t="e">
        <f t="shared" si="123"/>
        <v>#N/A</v>
      </c>
      <c r="T402" s="111" t="e">
        <f t="shared" si="123"/>
        <v>#N/A</v>
      </c>
      <c r="U402" s="111" t="e">
        <f t="shared" si="123"/>
        <v>#N/A</v>
      </c>
      <c r="V402" s="111" t="e">
        <f t="shared" si="123"/>
        <v>#N/A</v>
      </c>
      <c r="W402" s="111" t="e">
        <f t="shared" si="123"/>
        <v>#N/A</v>
      </c>
      <c r="X402" s="111" t="e">
        <f t="shared" si="123"/>
        <v>#N/A</v>
      </c>
      <c r="Y402" s="111" t="e">
        <f t="shared" si="123"/>
        <v>#N/A</v>
      </c>
      <c r="Z402" s="111" t="e">
        <f t="shared" si="123"/>
        <v>#N/A</v>
      </c>
      <c r="AA402" s="111" t="e">
        <f t="shared" si="123"/>
        <v>#N/A</v>
      </c>
      <c r="AB402" s="111" t="e">
        <f t="shared" si="123"/>
        <v>#N/A</v>
      </c>
      <c r="AC402" s="111" t="e">
        <f t="shared" si="123"/>
        <v>#N/A</v>
      </c>
      <c r="AD402" s="111" t="e">
        <f t="shared" si="123"/>
        <v>#N/A</v>
      </c>
      <c r="AE402" s="111" t="e">
        <f t="shared" si="123"/>
        <v>#N/A</v>
      </c>
      <c r="AF402" s="111" t="e">
        <f t="shared" si="123"/>
        <v>#N/A</v>
      </c>
      <c r="AG402" s="111" t="e">
        <f t="shared" si="123"/>
        <v>#N/A</v>
      </c>
      <c r="AH402" s="111" t="e">
        <f t="shared" si="123"/>
        <v>#N/A</v>
      </c>
      <c r="AI402" s="111" t="e">
        <f t="shared" si="123"/>
        <v>#N/A</v>
      </c>
      <c r="AJ402" s="111" t="e">
        <f t="shared" si="123"/>
        <v>#N/A</v>
      </c>
      <c r="AK402" s="111" t="e">
        <f t="shared" si="123"/>
        <v>#N/A</v>
      </c>
      <c r="AL402" s="181" t="e">
        <f t="shared" si="123"/>
        <v>#N/A</v>
      </c>
    </row>
    <row r="403" spans="1:38" ht="20.100000000000001" customHeight="1" x14ac:dyDescent="0.2">
      <c r="A403" s="223" t="s">
        <v>555</v>
      </c>
      <c r="B403" s="118" t="s">
        <v>64</v>
      </c>
      <c r="C403" s="113"/>
      <c r="D403" s="113"/>
      <c r="E403" s="113"/>
      <c r="F403" s="113"/>
      <c r="G403" s="113"/>
      <c r="H403" s="113"/>
      <c r="I403" s="113">
        <f t="array" ref="I403">MROUND(SUMPRODUCT(df_commute_infl!$H$2:$N$10000*(df_commute_infl!$F$2:$F$10000&gt;0)*($A403=df_commute_infl!$H$1:$N$1)*(df_commute_infl!$C$2:$C$10000&gt;$A$397)),5)</f>
        <v>0</v>
      </c>
      <c r="J403" s="113"/>
      <c r="K403" s="113"/>
      <c r="L403" s="113"/>
      <c r="M403" s="113" t="e">
        <f t="shared" si="124"/>
        <v>#N/A</v>
      </c>
      <c r="N403" s="113" t="e">
        <f t="shared" si="123"/>
        <v>#N/A</v>
      </c>
      <c r="O403" s="113" t="e">
        <f t="shared" si="123"/>
        <v>#N/A</v>
      </c>
      <c r="P403" s="113" t="e">
        <f t="shared" si="123"/>
        <v>#N/A</v>
      </c>
      <c r="Q403" s="113" t="e">
        <f t="shared" si="123"/>
        <v>#N/A</v>
      </c>
      <c r="R403" s="113" t="e">
        <f t="shared" si="123"/>
        <v>#N/A</v>
      </c>
      <c r="S403" s="113" t="e">
        <f t="shared" si="123"/>
        <v>#N/A</v>
      </c>
      <c r="T403" s="113" t="e">
        <f t="shared" si="123"/>
        <v>#N/A</v>
      </c>
      <c r="U403" s="113" t="e">
        <f t="shared" si="123"/>
        <v>#N/A</v>
      </c>
      <c r="V403" s="113" t="e">
        <f t="shared" si="123"/>
        <v>#N/A</v>
      </c>
      <c r="W403" s="113" t="e">
        <f t="shared" si="123"/>
        <v>#N/A</v>
      </c>
      <c r="X403" s="113" t="e">
        <f t="shared" si="123"/>
        <v>#N/A</v>
      </c>
      <c r="Y403" s="113" t="e">
        <f t="shared" si="123"/>
        <v>#N/A</v>
      </c>
      <c r="Z403" s="113" t="e">
        <f t="shared" si="123"/>
        <v>#N/A</v>
      </c>
      <c r="AA403" s="113" t="e">
        <f t="shared" si="123"/>
        <v>#N/A</v>
      </c>
      <c r="AB403" s="113" t="e">
        <f t="shared" si="123"/>
        <v>#N/A</v>
      </c>
      <c r="AC403" s="113" t="e">
        <f t="shared" si="123"/>
        <v>#N/A</v>
      </c>
      <c r="AD403" s="113" t="e">
        <f t="shared" si="123"/>
        <v>#N/A</v>
      </c>
      <c r="AE403" s="113" t="e">
        <f t="shared" si="123"/>
        <v>#N/A</v>
      </c>
      <c r="AF403" s="113" t="e">
        <f t="shared" si="123"/>
        <v>#N/A</v>
      </c>
      <c r="AG403" s="113" t="e">
        <f t="shared" si="123"/>
        <v>#N/A</v>
      </c>
      <c r="AH403" s="113" t="e">
        <f t="shared" si="123"/>
        <v>#N/A</v>
      </c>
      <c r="AI403" s="113" t="e">
        <f t="shared" si="123"/>
        <v>#N/A</v>
      </c>
      <c r="AJ403" s="113" t="e">
        <f t="shared" si="123"/>
        <v>#N/A</v>
      </c>
      <c r="AK403" s="113" t="e">
        <f t="shared" si="123"/>
        <v>#N/A</v>
      </c>
      <c r="AL403" s="329" t="e">
        <f t="shared" si="123"/>
        <v>#N/A</v>
      </c>
    </row>
    <row r="404" spans="1:38" ht="20.100000000000001" customHeight="1" x14ac:dyDescent="0.2">
      <c r="A404" s="223" t="s">
        <v>556</v>
      </c>
      <c r="B404" s="158" t="s">
        <v>558</v>
      </c>
      <c r="C404" s="42"/>
      <c r="D404" s="42"/>
      <c r="E404" s="42"/>
      <c r="F404" s="42"/>
      <c r="G404" s="42"/>
      <c r="H404" s="42"/>
      <c r="I404" s="42">
        <f t="array" ref="I404">MROUND(SUMPRODUCT(df_commute_infl!$H$2:$N$10000*(df_commute_infl!$F$2:$F$10000&gt;0)*($A404=df_commute_infl!$H$1:$N$1)*(df_commute_infl!$C$2:$C$10000&gt;$A$397)),5)</f>
        <v>0</v>
      </c>
      <c r="J404" s="42"/>
      <c r="K404" s="42"/>
      <c r="L404" s="42"/>
      <c r="M404" s="42" t="e">
        <f t="shared" si="124"/>
        <v>#N/A</v>
      </c>
      <c r="N404" s="42" t="e">
        <f t="shared" si="123"/>
        <v>#N/A</v>
      </c>
      <c r="O404" s="42" t="e">
        <f t="shared" si="123"/>
        <v>#N/A</v>
      </c>
      <c r="P404" s="42" t="e">
        <f t="shared" si="123"/>
        <v>#N/A</v>
      </c>
      <c r="Q404" s="42" t="e">
        <f t="shared" si="123"/>
        <v>#N/A</v>
      </c>
      <c r="R404" s="42" t="e">
        <f t="shared" si="123"/>
        <v>#N/A</v>
      </c>
      <c r="S404" s="42" t="e">
        <f t="shared" si="123"/>
        <v>#N/A</v>
      </c>
      <c r="T404" s="42" t="e">
        <f t="shared" si="123"/>
        <v>#N/A</v>
      </c>
      <c r="U404" s="42" t="e">
        <f t="shared" si="123"/>
        <v>#N/A</v>
      </c>
      <c r="V404" s="42" t="e">
        <f t="shared" si="123"/>
        <v>#N/A</v>
      </c>
      <c r="W404" s="42" t="e">
        <f t="shared" si="123"/>
        <v>#N/A</v>
      </c>
      <c r="X404" s="42" t="e">
        <f t="shared" si="123"/>
        <v>#N/A</v>
      </c>
      <c r="Y404" s="42" t="e">
        <f t="shared" si="123"/>
        <v>#N/A</v>
      </c>
      <c r="Z404" s="42" t="e">
        <f t="shared" si="123"/>
        <v>#N/A</v>
      </c>
      <c r="AA404" s="42" t="e">
        <f t="shared" si="123"/>
        <v>#N/A</v>
      </c>
      <c r="AB404" s="42" t="e">
        <f t="shared" si="123"/>
        <v>#N/A</v>
      </c>
      <c r="AC404" s="42" t="e">
        <f t="shared" si="123"/>
        <v>#N/A</v>
      </c>
      <c r="AD404" s="42" t="e">
        <f t="shared" si="123"/>
        <v>#N/A</v>
      </c>
      <c r="AE404" s="42" t="e">
        <f t="shared" si="123"/>
        <v>#N/A</v>
      </c>
      <c r="AF404" s="42" t="e">
        <f t="shared" si="123"/>
        <v>#N/A</v>
      </c>
      <c r="AG404" s="42" t="e">
        <f t="shared" si="123"/>
        <v>#N/A</v>
      </c>
      <c r="AH404" s="42" t="e">
        <f t="shared" si="123"/>
        <v>#N/A</v>
      </c>
      <c r="AI404" s="42" t="e">
        <f t="shared" si="123"/>
        <v>#N/A</v>
      </c>
      <c r="AJ404" s="42" t="e">
        <f t="shared" si="123"/>
        <v>#N/A</v>
      </c>
      <c r="AK404" s="42" t="e">
        <f t="shared" si="123"/>
        <v>#N/A</v>
      </c>
      <c r="AL404" s="347" t="e">
        <f t="shared" si="123"/>
        <v>#N/A</v>
      </c>
    </row>
    <row r="407" spans="1:38" ht="30" customHeight="1" x14ac:dyDescent="0.2">
      <c r="B407" s="175" t="s">
        <v>599</v>
      </c>
      <c r="C407" s="310"/>
      <c r="D407" s="310"/>
      <c r="E407" s="310"/>
      <c r="F407" s="310"/>
      <c r="G407" s="310"/>
      <c r="H407" s="310"/>
      <c r="I407" s="310"/>
      <c r="J407" s="310"/>
      <c r="K407" s="310"/>
      <c r="L407" s="310"/>
      <c r="M407" s="310"/>
      <c r="N407" s="310"/>
      <c r="O407" s="310"/>
      <c r="P407" s="310"/>
      <c r="Q407" s="310"/>
      <c r="R407" s="310"/>
      <c r="S407" s="310"/>
      <c r="T407" s="310"/>
      <c r="U407" s="310"/>
      <c r="V407" s="310"/>
      <c r="W407" s="310"/>
      <c r="X407" s="310"/>
      <c r="Y407" s="310"/>
      <c r="Z407" s="310"/>
      <c r="AA407" s="310"/>
      <c r="AB407" s="310"/>
      <c r="AC407" s="310"/>
      <c r="AD407" s="310"/>
      <c r="AE407" s="310"/>
      <c r="AF407" s="310"/>
    </row>
    <row r="408" spans="1:38" ht="20.100000000000001" customHeight="1" x14ac:dyDescent="0.2">
      <c r="B408" s="77"/>
      <c r="C408" s="194">
        <v>2015</v>
      </c>
      <c r="D408" s="194">
        <v>2016</v>
      </c>
      <c r="E408" s="194">
        <v>2017</v>
      </c>
      <c r="F408" s="194">
        <v>2018</v>
      </c>
      <c r="G408" s="194">
        <v>2019</v>
      </c>
      <c r="H408" s="194">
        <v>2020</v>
      </c>
      <c r="I408" s="194">
        <v>2021</v>
      </c>
      <c r="J408" s="194">
        <v>2022</v>
      </c>
      <c r="K408" s="194">
        <v>2023</v>
      </c>
      <c r="L408" s="194">
        <v>2024</v>
      </c>
      <c r="M408" s="194">
        <v>2025</v>
      </c>
      <c r="N408" s="194">
        <v>2026</v>
      </c>
      <c r="O408" s="194">
        <v>2027</v>
      </c>
      <c r="P408" s="194">
        <v>2028</v>
      </c>
      <c r="Q408" s="194">
        <v>2029</v>
      </c>
      <c r="R408" s="194">
        <v>2030</v>
      </c>
      <c r="S408" s="194">
        <v>2031</v>
      </c>
      <c r="T408" s="194">
        <v>2032</v>
      </c>
      <c r="U408" s="194">
        <v>2033</v>
      </c>
      <c r="V408" s="194">
        <v>2034</v>
      </c>
      <c r="W408" s="194">
        <v>2035</v>
      </c>
      <c r="X408" s="194">
        <v>2036</v>
      </c>
      <c r="Y408" s="194">
        <v>2037</v>
      </c>
      <c r="Z408" s="194">
        <v>2038</v>
      </c>
      <c r="AA408" s="194">
        <v>2039</v>
      </c>
      <c r="AB408" s="194">
        <v>2040</v>
      </c>
      <c r="AC408" s="194">
        <v>2041</v>
      </c>
      <c r="AD408" s="194">
        <v>2042</v>
      </c>
      <c r="AE408" s="194">
        <v>2043</v>
      </c>
      <c r="AF408" s="194">
        <v>2044</v>
      </c>
      <c r="AG408" s="194">
        <v>2045</v>
      </c>
      <c r="AH408" s="194">
        <v>2046</v>
      </c>
      <c r="AI408" s="194">
        <v>2047</v>
      </c>
      <c r="AJ408" s="194">
        <v>2048</v>
      </c>
      <c r="AK408" s="194">
        <v>2049</v>
      </c>
      <c r="AL408" s="250">
        <v>2050</v>
      </c>
    </row>
    <row r="409" spans="1:38" ht="20.100000000000001" customHeight="1" x14ac:dyDescent="0.2">
      <c r="A409" s="223" t="s">
        <v>549</v>
      </c>
      <c r="B409" s="43" t="s">
        <v>304</v>
      </c>
      <c r="C409" s="366"/>
      <c r="D409" s="366"/>
      <c r="E409" s="366"/>
      <c r="F409" s="366"/>
      <c r="G409" s="366"/>
      <c r="H409" s="366"/>
      <c r="I409" s="366">
        <f>SUM(I410:I415)</f>
        <v>0</v>
      </c>
      <c r="J409" s="366"/>
      <c r="K409" s="366"/>
      <c r="L409" s="366"/>
      <c r="M409" s="366" t="e">
        <f>SUM(M410:M415)</f>
        <v>#N/A</v>
      </c>
      <c r="N409" s="366" t="e">
        <f t="shared" ref="N409" si="125">SUM(N410:N415)</f>
        <v>#N/A</v>
      </c>
      <c r="O409" s="366" t="e">
        <f t="shared" ref="O409" si="126">SUM(O410:O415)</f>
        <v>#N/A</v>
      </c>
      <c r="P409" s="366" t="e">
        <f t="shared" ref="P409" si="127">SUM(P410:P415)</f>
        <v>#N/A</v>
      </c>
      <c r="Q409" s="366" t="e">
        <f t="shared" ref="Q409" si="128">SUM(Q410:Q415)</f>
        <v>#N/A</v>
      </c>
      <c r="R409" s="366" t="e">
        <f t="shared" ref="R409" si="129">SUM(R410:R415)</f>
        <v>#N/A</v>
      </c>
      <c r="S409" s="366" t="e">
        <f t="shared" ref="S409" si="130">SUM(S410:S415)</f>
        <v>#N/A</v>
      </c>
      <c r="T409" s="366" t="e">
        <f t="shared" ref="T409" si="131">SUM(T410:T415)</f>
        <v>#N/A</v>
      </c>
      <c r="U409" s="366" t="e">
        <f t="shared" ref="U409" si="132">SUM(U410:U415)</f>
        <v>#N/A</v>
      </c>
      <c r="V409" s="366" t="e">
        <f t="shared" ref="V409" si="133">SUM(V410:V415)</f>
        <v>#N/A</v>
      </c>
      <c r="W409" s="366" t="e">
        <f t="shared" ref="W409" si="134">SUM(W410:W415)</f>
        <v>#N/A</v>
      </c>
      <c r="X409" s="366" t="e">
        <f t="shared" ref="X409" si="135">SUM(X410:X415)</f>
        <v>#N/A</v>
      </c>
      <c r="Y409" s="366" t="e">
        <f t="shared" ref="Y409" si="136">SUM(Y410:Y415)</f>
        <v>#N/A</v>
      </c>
      <c r="Z409" s="366" t="e">
        <f t="shared" ref="Z409" si="137">SUM(Z410:Z415)</f>
        <v>#N/A</v>
      </c>
      <c r="AA409" s="366" t="e">
        <f t="shared" ref="AA409" si="138">SUM(AA410:AA415)</f>
        <v>#N/A</v>
      </c>
      <c r="AB409" s="366" t="e">
        <f t="shared" ref="AB409" si="139">SUM(AB410:AB415)</f>
        <v>#N/A</v>
      </c>
      <c r="AC409" s="366" t="e">
        <f t="shared" ref="AC409" si="140">SUM(AC410:AC415)</f>
        <v>#N/A</v>
      </c>
      <c r="AD409" s="366" t="e">
        <f t="shared" ref="AD409" si="141">SUM(AD410:AD415)</f>
        <v>#N/A</v>
      </c>
      <c r="AE409" s="366" t="e">
        <f t="shared" ref="AE409" si="142">SUM(AE410:AE415)</f>
        <v>#N/A</v>
      </c>
      <c r="AF409" s="366" t="e">
        <f t="shared" ref="AF409" si="143">SUM(AF410:AF415)</f>
        <v>#N/A</v>
      </c>
      <c r="AG409" s="366" t="e">
        <f t="shared" ref="AG409" si="144">SUM(AG410:AG415)</f>
        <v>#N/A</v>
      </c>
      <c r="AH409" s="366" t="e">
        <f t="shared" ref="AH409" si="145">SUM(AH410:AH415)</f>
        <v>#N/A</v>
      </c>
      <c r="AI409" s="366" t="e">
        <f t="shared" ref="AI409" si="146">SUM(AI410:AI415)</f>
        <v>#N/A</v>
      </c>
      <c r="AJ409" s="366" t="e">
        <f t="shared" ref="AJ409" si="147">SUM(AJ410:AJ415)</f>
        <v>#N/A</v>
      </c>
      <c r="AK409" s="366" t="e">
        <f t="shared" ref="AK409" si="148">SUM(AK410:AK415)</f>
        <v>#N/A</v>
      </c>
      <c r="AL409" s="233" t="e">
        <f t="shared" ref="AL409" si="149">SUM(AL410:AL415)</f>
        <v>#N/A</v>
      </c>
    </row>
    <row r="410" spans="1:38" ht="20.100000000000001" customHeight="1" x14ac:dyDescent="0.2">
      <c r="A410" s="223" t="s">
        <v>559</v>
      </c>
      <c r="B410" s="354" t="s">
        <v>60</v>
      </c>
      <c r="C410" s="230">
        <v>14</v>
      </c>
      <c r="D410" s="230">
        <v>15</v>
      </c>
      <c r="E410" s="137"/>
      <c r="F410" s="137"/>
      <c r="G410" s="137"/>
      <c r="H410" s="137"/>
      <c r="I410" s="137">
        <f t="array" ref="I410">IFERROR(INDEX(df_pop!$C$2:$C$1000, MATCH(1, (df_pop!$B$2:$B$1000 = $D410) * (df_pop!$F$2:$F$1000 = "Commute"), 0), 0),0) + IFERROR(INDEX(df_pop!$C$2:$C$1000, MATCH(1, (df_pop!$B$2:$B$1000 = $C410) * (df_pop!$F$2:$F$1000 = "Commute"), 0), 0),0)</f>
        <v>0</v>
      </c>
      <c r="J410" s="137"/>
      <c r="K410" s="137"/>
      <c r="L410" s="137"/>
      <c r="M410" s="137" t="e">
        <f>INDEX(df_proj_in!$B$2:$H$100, MATCH(TEXT(M$379,"##"), df_proj_in!$A$2:$A$100, 0), MATCH($A410, df_proj_in!$B$1:$H$1,0))</f>
        <v>#N/A</v>
      </c>
      <c r="N410" s="137" t="e">
        <f>INDEX(df_proj_in!$B$2:$H$100, MATCH(TEXT(N$379,"##"), df_proj_in!$A$2:$A$100, 0), MATCH($A410, df_proj_in!$B$1:$H$1,0))</f>
        <v>#N/A</v>
      </c>
      <c r="O410" s="137" t="e">
        <f>INDEX(df_proj_in!$B$2:$H$100, MATCH(TEXT(O$379,"##"), df_proj_in!$A$2:$A$100, 0), MATCH($A410, df_proj_in!$B$1:$H$1,0))</f>
        <v>#N/A</v>
      </c>
      <c r="P410" s="137" t="e">
        <f>INDEX(df_proj_in!$B$2:$H$100, MATCH(TEXT(P$379,"##"), df_proj_in!$A$2:$A$100, 0), MATCH($A410, df_proj_in!$B$1:$H$1,0))</f>
        <v>#N/A</v>
      </c>
      <c r="Q410" s="137" t="e">
        <f>INDEX(df_proj_in!$B$2:$H$100, MATCH(TEXT(Q$379,"##"), df_proj_in!$A$2:$A$100, 0), MATCH($A410, df_proj_in!$B$1:$H$1,0))</f>
        <v>#N/A</v>
      </c>
      <c r="R410" s="137" t="e">
        <f>INDEX(df_proj_in!$B$2:$H$100, MATCH(TEXT(R$379,"##"), df_proj_in!$A$2:$A$100, 0), MATCH($A410, df_proj_in!$B$1:$H$1,0))</f>
        <v>#N/A</v>
      </c>
      <c r="S410" s="137" t="e">
        <f>INDEX(df_proj_in!$B$2:$H$100, MATCH(TEXT(S$379,"##"), df_proj_in!$A$2:$A$100, 0), MATCH($A410, df_proj_in!$B$1:$H$1,0))</f>
        <v>#N/A</v>
      </c>
      <c r="T410" s="137" t="e">
        <f>INDEX(df_proj_in!$B$2:$H$100, MATCH(TEXT(T$379,"##"), df_proj_in!$A$2:$A$100, 0), MATCH($A410, df_proj_in!$B$1:$H$1,0))</f>
        <v>#N/A</v>
      </c>
      <c r="U410" s="137" t="e">
        <f>INDEX(df_proj_in!$B$2:$H$100, MATCH(TEXT(U$379,"##"), df_proj_in!$A$2:$A$100, 0), MATCH($A410, df_proj_in!$B$1:$H$1,0))</f>
        <v>#N/A</v>
      </c>
      <c r="V410" s="137" t="e">
        <f>INDEX(df_proj_in!$B$2:$H$100, MATCH(TEXT(V$379,"##"), df_proj_in!$A$2:$A$100, 0), MATCH($A410, df_proj_in!$B$1:$H$1,0))</f>
        <v>#N/A</v>
      </c>
      <c r="W410" s="137" t="e">
        <f>INDEX(df_proj_in!$B$2:$H$100, MATCH(TEXT(W$379,"##"), df_proj_in!$A$2:$A$100, 0), MATCH($A410, df_proj_in!$B$1:$H$1,0))</f>
        <v>#N/A</v>
      </c>
      <c r="X410" s="137" t="e">
        <f>INDEX(df_proj_in!$B$2:$H$100, MATCH(TEXT(X$379,"##"), df_proj_in!$A$2:$A$100, 0), MATCH($A410, df_proj_in!$B$1:$H$1,0))</f>
        <v>#N/A</v>
      </c>
      <c r="Y410" s="137" t="e">
        <f>INDEX(df_proj_in!$B$2:$H$100, MATCH(TEXT(Y$379,"##"), df_proj_in!$A$2:$A$100, 0), MATCH($A410, df_proj_in!$B$1:$H$1,0))</f>
        <v>#N/A</v>
      </c>
      <c r="Z410" s="137" t="e">
        <f>INDEX(df_proj_in!$B$2:$H$100, MATCH(TEXT(Z$379,"##"), df_proj_in!$A$2:$A$100, 0), MATCH($A410, df_proj_in!$B$1:$H$1,0))</f>
        <v>#N/A</v>
      </c>
      <c r="AA410" s="137" t="e">
        <f>INDEX(df_proj_in!$B$2:$H$100, MATCH(TEXT(AA$379,"##"), df_proj_in!$A$2:$A$100, 0), MATCH($A410, df_proj_in!$B$1:$H$1,0))</f>
        <v>#N/A</v>
      </c>
      <c r="AB410" s="137" t="e">
        <f>INDEX(df_proj_in!$B$2:$H$100, MATCH(TEXT(AB$379,"##"), df_proj_in!$A$2:$A$100, 0), MATCH($A410, df_proj_in!$B$1:$H$1,0))</f>
        <v>#N/A</v>
      </c>
      <c r="AC410" s="137" t="e">
        <f>INDEX(df_proj_in!$B$2:$H$100, MATCH(TEXT(AC$379,"##"), df_proj_in!$A$2:$A$100, 0), MATCH($A410, df_proj_in!$B$1:$H$1,0))</f>
        <v>#N/A</v>
      </c>
      <c r="AD410" s="137" t="e">
        <f>INDEX(df_proj_in!$B$2:$H$100, MATCH(TEXT(AD$379,"##"), df_proj_in!$A$2:$A$100, 0), MATCH($A410, df_proj_in!$B$1:$H$1,0))</f>
        <v>#N/A</v>
      </c>
      <c r="AE410" s="137" t="e">
        <f>INDEX(df_proj_in!$B$2:$H$100, MATCH(TEXT(AE$379,"##"), df_proj_in!$A$2:$A$100, 0), MATCH($A410, df_proj_in!$B$1:$H$1,0))</f>
        <v>#N/A</v>
      </c>
      <c r="AF410" s="137" t="e">
        <f>INDEX(df_proj_in!$B$2:$H$100, MATCH(TEXT(AF$379,"##"), df_proj_in!$A$2:$A$100, 0), MATCH($A410, df_proj_in!$B$1:$H$1,0))</f>
        <v>#N/A</v>
      </c>
      <c r="AG410" s="137" t="e">
        <f>INDEX(df_proj_in!$B$2:$H$100, MATCH(TEXT(AG$379,"##"), df_proj_in!$A$2:$A$100, 0), MATCH($A410, df_proj_in!$B$1:$H$1,0))</f>
        <v>#N/A</v>
      </c>
      <c r="AH410" s="137" t="e">
        <f>INDEX(df_proj_in!$B$2:$H$100, MATCH(TEXT(AH$379,"##"), df_proj_in!$A$2:$A$100, 0), MATCH($A410, df_proj_in!$B$1:$H$1,0))</f>
        <v>#N/A</v>
      </c>
      <c r="AI410" s="137" t="e">
        <f>INDEX(df_proj_in!$B$2:$H$100, MATCH(TEXT(AI$379,"##"), df_proj_in!$A$2:$A$100, 0), MATCH($A410, df_proj_in!$B$1:$H$1,0))</f>
        <v>#N/A</v>
      </c>
      <c r="AJ410" s="137" t="e">
        <f>INDEX(df_proj_in!$B$2:$H$100, MATCH(TEXT(AJ$379,"##"), df_proj_in!$A$2:$A$100, 0), MATCH($A410, df_proj_in!$B$1:$H$1,0))</f>
        <v>#N/A</v>
      </c>
      <c r="AK410" s="137" t="e">
        <f>INDEX(df_proj_in!$B$2:$H$100, MATCH(TEXT(AK$379,"##"), df_proj_in!$A$2:$A$100, 0), MATCH($A410, df_proj_in!$B$1:$H$1,0))</f>
        <v>#N/A</v>
      </c>
      <c r="AL410" s="269" t="e">
        <f>INDEX(df_proj_in!$B$2:$H$100, MATCH(TEXT(AL$379,"##"), df_proj_in!$A$2:$A$100, 0), MATCH($A410, df_proj_in!$B$1:$H$1,0))</f>
        <v>#N/A</v>
      </c>
    </row>
    <row r="411" spans="1:38" ht="20.100000000000001" customHeight="1" x14ac:dyDescent="0.2">
      <c r="A411" s="223" t="s">
        <v>560</v>
      </c>
      <c r="B411" s="277" t="s">
        <v>61</v>
      </c>
      <c r="C411" s="67">
        <v>16</v>
      </c>
      <c r="D411" s="67">
        <v>17</v>
      </c>
      <c r="E411" s="111"/>
      <c r="F411" s="111"/>
      <c r="G411" s="111"/>
      <c r="H411" s="111"/>
      <c r="I411" s="111">
        <f t="array" ref="I411">IFERROR(INDEX(df_pop!$C$2:$C$1000, MATCH(1, (df_pop!$B$2:$B$1000 = $D411) * (df_pop!$F$2:$F$1000 = "Commute"), 0), 0),0) + IFERROR(INDEX(df_pop!$C$2:$C$1000, MATCH(1, (df_pop!$B$2:$B$1000 = $C411) * (df_pop!$F$2:$F$1000 = "Commute"), 0), 0),0)</f>
        <v>0</v>
      </c>
      <c r="J411" s="111"/>
      <c r="K411" s="111"/>
      <c r="L411" s="111"/>
      <c r="M411" s="111" t="e">
        <f>INDEX(df_proj_in!$B$2:$H$100, MATCH(TEXT(M$379,"##"), df_proj_in!$A$2:$A$100, 0), MATCH($A411, df_proj_in!$B$1:$H$1,0))</f>
        <v>#N/A</v>
      </c>
      <c r="N411" s="111" t="e">
        <f>INDEX(df_proj_in!$B$2:$H$100, MATCH(TEXT(N$379,"##"), df_proj_in!$A$2:$A$100, 0), MATCH($A411, df_proj_in!$B$1:$H$1,0))</f>
        <v>#N/A</v>
      </c>
      <c r="O411" s="111" t="e">
        <f>INDEX(df_proj_in!$B$2:$H$100, MATCH(TEXT(O$379,"##"), df_proj_in!$A$2:$A$100, 0), MATCH($A411, df_proj_in!$B$1:$H$1,0))</f>
        <v>#N/A</v>
      </c>
      <c r="P411" s="111" t="e">
        <f>INDEX(df_proj_in!$B$2:$H$100, MATCH(TEXT(P$379,"##"), df_proj_in!$A$2:$A$100, 0), MATCH($A411, df_proj_in!$B$1:$H$1,0))</f>
        <v>#N/A</v>
      </c>
      <c r="Q411" s="111" t="e">
        <f>INDEX(df_proj_in!$B$2:$H$100, MATCH(TEXT(Q$379,"##"), df_proj_in!$A$2:$A$100, 0), MATCH($A411, df_proj_in!$B$1:$H$1,0))</f>
        <v>#N/A</v>
      </c>
      <c r="R411" s="111" t="e">
        <f>INDEX(df_proj_in!$B$2:$H$100, MATCH(TEXT(R$379,"##"), df_proj_in!$A$2:$A$100, 0), MATCH($A411, df_proj_in!$B$1:$H$1,0))</f>
        <v>#N/A</v>
      </c>
      <c r="S411" s="111" t="e">
        <f>INDEX(df_proj_in!$B$2:$H$100, MATCH(TEXT(S$379,"##"), df_proj_in!$A$2:$A$100, 0), MATCH($A411, df_proj_in!$B$1:$H$1,0))</f>
        <v>#N/A</v>
      </c>
      <c r="T411" s="111" t="e">
        <f>INDEX(df_proj_in!$B$2:$H$100, MATCH(TEXT(T$379,"##"), df_proj_in!$A$2:$A$100, 0), MATCH($A411, df_proj_in!$B$1:$H$1,0))</f>
        <v>#N/A</v>
      </c>
      <c r="U411" s="111" t="e">
        <f>INDEX(df_proj_in!$B$2:$H$100, MATCH(TEXT(U$379,"##"), df_proj_in!$A$2:$A$100, 0), MATCH($A411, df_proj_in!$B$1:$H$1,0))</f>
        <v>#N/A</v>
      </c>
      <c r="V411" s="111" t="e">
        <f>INDEX(df_proj_in!$B$2:$H$100, MATCH(TEXT(V$379,"##"), df_proj_in!$A$2:$A$100, 0), MATCH($A411, df_proj_in!$B$1:$H$1,0))</f>
        <v>#N/A</v>
      </c>
      <c r="W411" s="111" t="e">
        <f>INDEX(df_proj_in!$B$2:$H$100, MATCH(TEXT(W$379,"##"), df_proj_in!$A$2:$A$100, 0), MATCH($A411, df_proj_in!$B$1:$H$1,0))</f>
        <v>#N/A</v>
      </c>
      <c r="X411" s="111" t="e">
        <f>INDEX(df_proj_in!$B$2:$H$100, MATCH(TEXT(X$379,"##"), df_proj_in!$A$2:$A$100, 0), MATCH($A411, df_proj_in!$B$1:$H$1,0))</f>
        <v>#N/A</v>
      </c>
      <c r="Y411" s="111" t="e">
        <f>INDEX(df_proj_in!$B$2:$H$100, MATCH(TEXT(Y$379,"##"), df_proj_in!$A$2:$A$100, 0), MATCH($A411, df_proj_in!$B$1:$H$1,0))</f>
        <v>#N/A</v>
      </c>
      <c r="Z411" s="111" t="e">
        <f>INDEX(df_proj_in!$B$2:$H$100, MATCH(TEXT(Z$379,"##"), df_proj_in!$A$2:$A$100, 0), MATCH($A411, df_proj_in!$B$1:$H$1,0))</f>
        <v>#N/A</v>
      </c>
      <c r="AA411" s="111" t="e">
        <f>INDEX(df_proj_in!$B$2:$H$100, MATCH(TEXT(AA$379,"##"), df_proj_in!$A$2:$A$100, 0), MATCH($A411, df_proj_in!$B$1:$H$1,0))</f>
        <v>#N/A</v>
      </c>
      <c r="AB411" s="111" t="e">
        <f>INDEX(df_proj_in!$B$2:$H$100, MATCH(TEXT(AB$379,"##"), df_proj_in!$A$2:$A$100, 0), MATCH($A411, df_proj_in!$B$1:$H$1,0))</f>
        <v>#N/A</v>
      </c>
      <c r="AC411" s="111" t="e">
        <f>INDEX(df_proj_in!$B$2:$H$100, MATCH(TEXT(AC$379,"##"), df_proj_in!$A$2:$A$100, 0), MATCH($A411, df_proj_in!$B$1:$H$1,0))</f>
        <v>#N/A</v>
      </c>
      <c r="AD411" s="111" t="e">
        <f>INDEX(df_proj_in!$B$2:$H$100, MATCH(TEXT(AD$379,"##"), df_proj_in!$A$2:$A$100, 0), MATCH($A411, df_proj_in!$B$1:$H$1,0))</f>
        <v>#N/A</v>
      </c>
      <c r="AE411" s="111" t="e">
        <f>INDEX(df_proj_in!$B$2:$H$100, MATCH(TEXT(AE$379,"##"), df_proj_in!$A$2:$A$100, 0), MATCH($A411, df_proj_in!$B$1:$H$1,0))</f>
        <v>#N/A</v>
      </c>
      <c r="AF411" s="111" t="e">
        <f>INDEX(df_proj_in!$B$2:$H$100, MATCH(TEXT(AF$379,"##"), df_proj_in!$A$2:$A$100, 0), MATCH($A411, df_proj_in!$B$1:$H$1,0))</f>
        <v>#N/A</v>
      </c>
      <c r="AG411" s="111" t="e">
        <f>INDEX(df_proj_in!$B$2:$H$100, MATCH(TEXT(AG$379,"##"), df_proj_in!$A$2:$A$100, 0), MATCH($A411, df_proj_in!$B$1:$H$1,0))</f>
        <v>#N/A</v>
      </c>
      <c r="AH411" s="111" t="e">
        <f>INDEX(df_proj_in!$B$2:$H$100, MATCH(TEXT(AH$379,"##"), df_proj_in!$A$2:$A$100, 0), MATCH($A411, df_proj_in!$B$1:$H$1,0))</f>
        <v>#N/A</v>
      </c>
      <c r="AI411" s="111" t="e">
        <f>INDEX(df_proj_in!$B$2:$H$100, MATCH(TEXT(AI$379,"##"), df_proj_in!$A$2:$A$100, 0), MATCH($A411, df_proj_in!$B$1:$H$1,0))</f>
        <v>#N/A</v>
      </c>
      <c r="AJ411" s="111" t="e">
        <f>INDEX(df_proj_in!$B$2:$H$100, MATCH(TEXT(AJ$379,"##"), df_proj_in!$A$2:$A$100, 0), MATCH($A411, df_proj_in!$B$1:$H$1,0))</f>
        <v>#N/A</v>
      </c>
      <c r="AK411" s="111" t="e">
        <f>INDEX(df_proj_in!$B$2:$H$100, MATCH(TEXT(AK$379,"##"), df_proj_in!$A$2:$A$100, 0), MATCH($A411, df_proj_in!$B$1:$H$1,0))</f>
        <v>#N/A</v>
      </c>
      <c r="AL411" s="181" t="e">
        <f>INDEX(df_proj_in!$B$2:$H$100, MATCH(TEXT(AL$379,"##"), df_proj_in!$A$2:$A$100, 0), MATCH($A411, df_proj_in!$B$1:$H$1,0))</f>
        <v>#N/A</v>
      </c>
    </row>
    <row r="412" spans="1:38" ht="20.100000000000001" customHeight="1" x14ac:dyDescent="0.2">
      <c r="A412" s="223" t="s">
        <v>561</v>
      </c>
      <c r="B412" s="118" t="s">
        <v>62</v>
      </c>
      <c r="C412" s="122">
        <v>18</v>
      </c>
      <c r="D412" s="122">
        <v>19</v>
      </c>
      <c r="E412" s="113"/>
      <c r="F412" s="113"/>
      <c r="G412" s="113"/>
      <c r="H412" s="113"/>
      <c r="I412" s="113">
        <f t="array" ref="I412">IFERROR(INDEX(df_pop!$C$2:$C$1000, MATCH(1, (df_pop!$B$2:$B$1000 = $D412) * (df_pop!$F$2:$F$1000 = "Commute"), 0), 0),0) + IFERROR(INDEX(df_pop!$C$2:$C$1000, MATCH(1, (df_pop!$B$2:$B$1000 = $C412) * (df_pop!$F$2:$F$1000 = "Commute"), 0), 0),0)</f>
        <v>0</v>
      </c>
      <c r="J412" s="113"/>
      <c r="K412" s="113"/>
      <c r="L412" s="113"/>
      <c r="M412" s="113" t="e">
        <f>INDEX(df_proj_in!$B$2:$H$100, MATCH(TEXT(M$379,"##"), df_proj_in!$A$2:$A$100, 0), MATCH($A412, df_proj_in!$B$1:$H$1,0))</f>
        <v>#N/A</v>
      </c>
      <c r="N412" s="113" t="e">
        <f>INDEX(df_proj_in!$B$2:$H$100, MATCH(TEXT(N$379,"##"), df_proj_in!$A$2:$A$100, 0), MATCH($A412, df_proj_in!$B$1:$H$1,0))</f>
        <v>#N/A</v>
      </c>
      <c r="O412" s="113" t="e">
        <f>INDEX(df_proj_in!$B$2:$H$100, MATCH(TEXT(O$379,"##"), df_proj_in!$A$2:$A$100, 0), MATCH($A412, df_proj_in!$B$1:$H$1,0))</f>
        <v>#N/A</v>
      </c>
      <c r="P412" s="113" t="e">
        <f>INDEX(df_proj_in!$B$2:$H$100, MATCH(TEXT(P$379,"##"), df_proj_in!$A$2:$A$100, 0), MATCH($A412, df_proj_in!$B$1:$H$1,0))</f>
        <v>#N/A</v>
      </c>
      <c r="Q412" s="113" t="e">
        <f>INDEX(df_proj_in!$B$2:$H$100, MATCH(TEXT(Q$379,"##"), df_proj_in!$A$2:$A$100, 0), MATCH($A412, df_proj_in!$B$1:$H$1,0))</f>
        <v>#N/A</v>
      </c>
      <c r="R412" s="113" t="e">
        <f>INDEX(df_proj_in!$B$2:$H$100, MATCH(TEXT(R$379,"##"), df_proj_in!$A$2:$A$100, 0), MATCH($A412, df_proj_in!$B$1:$H$1,0))</f>
        <v>#N/A</v>
      </c>
      <c r="S412" s="113" t="e">
        <f>INDEX(df_proj_in!$B$2:$H$100, MATCH(TEXT(S$379,"##"), df_proj_in!$A$2:$A$100, 0), MATCH($A412, df_proj_in!$B$1:$H$1,0))</f>
        <v>#N/A</v>
      </c>
      <c r="T412" s="113" t="e">
        <f>INDEX(df_proj_in!$B$2:$H$100, MATCH(TEXT(T$379,"##"), df_proj_in!$A$2:$A$100, 0), MATCH($A412, df_proj_in!$B$1:$H$1,0))</f>
        <v>#N/A</v>
      </c>
      <c r="U412" s="113" t="e">
        <f>INDEX(df_proj_in!$B$2:$H$100, MATCH(TEXT(U$379,"##"), df_proj_in!$A$2:$A$100, 0), MATCH($A412, df_proj_in!$B$1:$H$1,0))</f>
        <v>#N/A</v>
      </c>
      <c r="V412" s="113" t="e">
        <f>INDEX(df_proj_in!$B$2:$H$100, MATCH(TEXT(V$379,"##"), df_proj_in!$A$2:$A$100, 0), MATCH($A412, df_proj_in!$B$1:$H$1,0))</f>
        <v>#N/A</v>
      </c>
      <c r="W412" s="113" t="e">
        <f>INDEX(df_proj_in!$B$2:$H$100, MATCH(TEXT(W$379,"##"), df_proj_in!$A$2:$A$100, 0), MATCH($A412, df_proj_in!$B$1:$H$1,0))</f>
        <v>#N/A</v>
      </c>
      <c r="X412" s="113" t="e">
        <f>INDEX(df_proj_in!$B$2:$H$100, MATCH(TEXT(X$379,"##"), df_proj_in!$A$2:$A$100, 0), MATCH($A412, df_proj_in!$B$1:$H$1,0))</f>
        <v>#N/A</v>
      </c>
      <c r="Y412" s="113" t="e">
        <f>INDEX(df_proj_in!$B$2:$H$100, MATCH(TEXT(Y$379,"##"), df_proj_in!$A$2:$A$100, 0), MATCH($A412, df_proj_in!$B$1:$H$1,0))</f>
        <v>#N/A</v>
      </c>
      <c r="Z412" s="113" t="e">
        <f>INDEX(df_proj_in!$B$2:$H$100, MATCH(TEXT(Z$379,"##"), df_proj_in!$A$2:$A$100, 0), MATCH($A412, df_proj_in!$B$1:$H$1,0))</f>
        <v>#N/A</v>
      </c>
      <c r="AA412" s="113" t="e">
        <f>INDEX(df_proj_in!$B$2:$H$100, MATCH(TEXT(AA$379,"##"), df_proj_in!$A$2:$A$100, 0), MATCH($A412, df_proj_in!$B$1:$H$1,0))</f>
        <v>#N/A</v>
      </c>
      <c r="AB412" s="113" t="e">
        <f>INDEX(df_proj_in!$B$2:$H$100, MATCH(TEXT(AB$379,"##"), df_proj_in!$A$2:$A$100, 0), MATCH($A412, df_proj_in!$B$1:$H$1,0))</f>
        <v>#N/A</v>
      </c>
      <c r="AC412" s="113" t="e">
        <f>INDEX(df_proj_in!$B$2:$H$100, MATCH(TEXT(AC$379,"##"), df_proj_in!$A$2:$A$100, 0), MATCH($A412, df_proj_in!$B$1:$H$1,0))</f>
        <v>#N/A</v>
      </c>
      <c r="AD412" s="113" t="e">
        <f>INDEX(df_proj_in!$B$2:$H$100, MATCH(TEXT(AD$379,"##"), df_proj_in!$A$2:$A$100, 0), MATCH($A412, df_proj_in!$B$1:$H$1,0))</f>
        <v>#N/A</v>
      </c>
      <c r="AE412" s="113" t="e">
        <f>INDEX(df_proj_in!$B$2:$H$100, MATCH(TEXT(AE$379,"##"), df_proj_in!$A$2:$A$100, 0), MATCH($A412, df_proj_in!$B$1:$H$1,0))</f>
        <v>#N/A</v>
      </c>
      <c r="AF412" s="113" t="e">
        <f>INDEX(df_proj_in!$B$2:$H$100, MATCH(TEXT(AF$379,"##"), df_proj_in!$A$2:$A$100, 0), MATCH($A412, df_proj_in!$B$1:$H$1,0))</f>
        <v>#N/A</v>
      </c>
      <c r="AG412" s="113" t="e">
        <f>INDEX(df_proj_in!$B$2:$H$100, MATCH(TEXT(AG$379,"##"), df_proj_in!$A$2:$A$100, 0), MATCH($A412, df_proj_in!$B$1:$H$1,0))</f>
        <v>#N/A</v>
      </c>
      <c r="AH412" s="113" t="e">
        <f>INDEX(df_proj_in!$B$2:$H$100, MATCH(TEXT(AH$379,"##"), df_proj_in!$A$2:$A$100, 0), MATCH($A412, df_proj_in!$B$1:$H$1,0))</f>
        <v>#N/A</v>
      </c>
      <c r="AI412" s="113" t="e">
        <f>INDEX(df_proj_in!$B$2:$H$100, MATCH(TEXT(AI$379,"##"), df_proj_in!$A$2:$A$100, 0), MATCH($A412, df_proj_in!$B$1:$H$1,0))</f>
        <v>#N/A</v>
      </c>
      <c r="AJ412" s="113" t="e">
        <f>INDEX(df_proj_in!$B$2:$H$100, MATCH(TEXT(AJ$379,"##"), df_proj_in!$A$2:$A$100, 0), MATCH($A412, df_proj_in!$B$1:$H$1,0))</f>
        <v>#N/A</v>
      </c>
      <c r="AK412" s="113" t="e">
        <f>INDEX(df_proj_in!$B$2:$H$100, MATCH(TEXT(AK$379,"##"), df_proj_in!$A$2:$A$100, 0), MATCH($A412, df_proj_in!$B$1:$H$1,0))</f>
        <v>#N/A</v>
      </c>
      <c r="AL412" s="329" t="e">
        <f>INDEX(df_proj_in!$B$2:$H$100, MATCH(TEXT(AL$379,"##"), df_proj_in!$A$2:$A$100, 0), MATCH($A412, df_proj_in!$B$1:$H$1,0))</f>
        <v>#N/A</v>
      </c>
    </row>
    <row r="413" spans="1:38" ht="20.100000000000001" customHeight="1" x14ac:dyDescent="0.2">
      <c r="A413" s="223" t="s">
        <v>562</v>
      </c>
      <c r="B413" s="277" t="s">
        <v>63</v>
      </c>
      <c r="C413" s="67">
        <v>20</v>
      </c>
      <c r="D413" s="67">
        <v>21</v>
      </c>
      <c r="E413" s="111"/>
      <c r="F413" s="111"/>
      <c r="G413" s="111"/>
      <c r="H413" s="111"/>
      <c r="I413" s="111">
        <f t="array" ref="I413">IFERROR(INDEX(df_pop!$C$2:$C$1000, MATCH(1, (df_pop!$B$2:$B$1000 = $D413) * (df_pop!$F$2:$F$1000 = "Commute"), 0), 0),0) + IFERROR(INDEX(df_pop!$C$2:$C$1000, MATCH(1, (df_pop!$B$2:$B$1000 = $C413) * (df_pop!$F$2:$F$1000 = "Commute"), 0), 0),0)</f>
        <v>0</v>
      </c>
      <c r="J413" s="111"/>
      <c r="K413" s="111"/>
      <c r="L413" s="111"/>
      <c r="M413" s="111" t="e">
        <f>INDEX(df_proj_in!$B$2:$H$100, MATCH(TEXT(M$379,"##"), df_proj_in!$A$2:$A$100, 0), MATCH($A413, df_proj_in!$B$1:$H$1,0))</f>
        <v>#N/A</v>
      </c>
      <c r="N413" s="111" t="e">
        <f>INDEX(df_proj_in!$B$2:$H$100, MATCH(TEXT(N$379,"##"), df_proj_in!$A$2:$A$100, 0), MATCH($A413, df_proj_in!$B$1:$H$1,0))</f>
        <v>#N/A</v>
      </c>
      <c r="O413" s="111" t="e">
        <f>INDEX(df_proj_in!$B$2:$H$100, MATCH(TEXT(O$379,"##"), df_proj_in!$A$2:$A$100, 0), MATCH($A413, df_proj_in!$B$1:$H$1,0))</f>
        <v>#N/A</v>
      </c>
      <c r="P413" s="111" t="e">
        <f>INDEX(df_proj_in!$B$2:$H$100, MATCH(TEXT(P$379,"##"), df_proj_in!$A$2:$A$100, 0), MATCH($A413, df_proj_in!$B$1:$H$1,0))</f>
        <v>#N/A</v>
      </c>
      <c r="Q413" s="111" t="e">
        <f>INDEX(df_proj_in!$B$2:$H$100, MATCH(TEXT(Q$379,"##"), df_proj_in!$A$2:$A$100, 0), MATCH($A413, df_proj_in!$B$1:$H$1,0))</f>
        <v>#N/A</v>
      </c>
      <c r="R413" s="111" t="e">
        <f>INDEX(df_proj_in!$B$2:$H$100, MATCH(TEXT(R$379,"##"), df_proj_in!$A$2:$A$100, 0), MATCH($A413, df_proj_in!$B$1:$H$1,0))</f>
        <v>#N/A</v>
      </c>
      <c r="S413" s="111" t="e">
        <f>INDEX(df_proj_in!$B$2:$H$100, MATCH(TEXT(S$379,"##"), df_proj_in!$A$2:$A$100, 0), MATCH($A413, df_proj_in!$B$1:$H$1,0))</f>
        <v>#N/A</v>
      </c>
      <c r="T413" s="111" t="e">
        <f>INDEX(df_proj_in!$B$2:$H$100, MATCH(TEXT(T$379,"##"), df_proj_in!$A$2:$A$100, 0), MATCH($A413, df_proj_in!$B$1:$H$1,0))</f>
        <v>#N/A</v>
      </c>
      <c r="U413" s="111" t="e">
        <f>INDEX(df_proj_in!$B$2:$H$100, MATCH(TEXT(U$379,"##"), df_proj_in!$A$2:$A$100, 0), MATCH($A413, df_proj_in!$B$1:$H$1,0))</f>
        <v>#N/A</v>
      </c>
      <c r="V413" s="111" t="e">
        <f>INDEX(df_proj_in!$B$2:$H$100, MATCH(TEXT(V$379,"##"), df_proj_in!$A$2:$A$100, 0), MATCH($A413, df_proj_in!$B$1:$H$1,0))</f>
        <v>#N/A</v>
      </c>
      <c r="W413" s="111" t="e">
        <f>INDEX(df_proj_in!$B$2:$H$100, MATCH(TEXT(W$379,"##"), df_proj_in!$A$2:$A$100, 0), MATCH($A413, df_proj_in!$B$1:$H$1,0))</f>
        <v>#N/A</v>
      </c>
      <c r="X413" s="111" t="e">
        <f>INDEX(df_proj_in!$B$2:$H$100, MATCH(TEXT(X$379,"##"), df_proj_in!$A$2:$A$100, 0), MATCH($A413, df_proj_in!$B$1:$H$1,0))</f>
        <v>#N/A</v>
      </c>
      <c r="Y413" s="111" t="e">
        <f>INDEX(df_proj_in!$B$2:$H$100, MATCH(TEXT(Y$379,"##"), df_proj_in!$A$2:$A$100, 0), MATCH($A413, df_proj_in!$B$1:$H$1,0))</f>
        <v>#N/A</v>
      </c>
      <c r="Z413" s="111" t="e">
        <f>INDEX(df_proj_in!$B$2:$H$100, MATCH(TEXT(Z$379,"##"), df_proj_in!$A$2:$A$100, 0), MATCH($A413, df_proj_in!$B$1:$H$1,0))</f>
        <v>#N/A</v>
      </c>
      <c r="AA413" s="111" t="e">
        <f>INDEX(df_proj_in!$B$2:$H$100, MATCH(TEXT(AA$379,"##"), df_proj_in!$A$2:$A$100, 0), MATCH($A413, df_proj_in!$B$1:$H$1,0))</f>
        <v>#N/A</v>
      </c>
      <c r="AB413" s="111" t="e">
        <f>INDEX(df_proj_in!$B$2:$H$100, MATCH(TEXT(AB$379,"##"), df_proj_in!$A$2:$A$100, 0), MATCH($A413, df_proj_in!$B$1:$H$1,0))</f>
        <v>#N/A</v>
      </c>
      <c r="AC413" s="111" t="e">
        <f>INDEX(df_proj_in!$B$2:$H$100, MATCH(TEXT(AC$379,"##"), df_proj_in!$A$2:$A$100, 0), MATCH($A413, df_proj_in!$B$1:$H$1,0))</f>
        <v>#N/A</v>
      </c>
      <c r="AD413" s="111" t="e">
        <f>INDEX(df_proj_in!$B$2:$H$100, MATCH(TEXT(AD$379,"##"), df_proj_in!$A$2:$A$100, 0), MATCH($A413, df_proj_in!$B$1:$H$1,0))</f>
        <v>#N/A</v>
      </c>
      <c r="AE413" s="111" t="e">
        <f>INDEX(df_proj_in!$B$2:$H$100, MATCH(TEXT(AE$379,"##"), df_proj_in!$A$2:$A$100, 0), MATCH($A413, df_proj_in!$B$1:$H$1,0))</f>
        <v>#N/A</v>
      </c>
      <c r="AF413" s="111" t="e">
        <f>INDEX(df_proj_in!$B$2:$H$100, MATCH(TEXT(AF$379,"##"), df_proj_in!$A$2:$A$100, 0), MATCH($A413, df_proj_in!$B$1:$H$1,0))</f>
        <v>#N/A</v>
      </c>
      <c r="AG413" s="111" t="e">
        <f>INDEX(df_proj_in!$B$2:$H$100, MATCH(TEXT(AG$379,"##"), df_proj_in!$A$2:$A$100, 0), MATCH($A413, df_proj_in!$B$1:$H$1,0))</f>
        <v>#N/A</v>
      </c>
      <c r="AH413" s="111" t="e">
        <f>INDEX(df_proj_in!$B$2:$H$100, MATCH(TEXT(AH$379,"##"), df_proj_in!$A$2:$A$100, 0), MATCH($A413, df_proj_in!$B$1:$H$1,0))</f>
        <v>#N/A</v>
      </c>
      <c r="AI413" s="111" t="e">
        <f>INDEX(df_proj_in!$B$2:$H$100, MATCH(TEXT(AI$379,"##"), df_proj_in!$A$2:$A$100, 0), MATCH($A413, df_proj_in!$B$1:$H$1,0))</f>
        <v>#N/A</v>
      </c>
      <c r="AJ413" s="111" t="e">
        <f>INDEX(df_proj_in!$B$2:$H$100, MATCH(TEXT(AJ$379,"##"), df_proj_in!$A$2:$A$100, 0), MATCH($A413, df_proj_in!$B$1:$H$1,0))</f>
        <v>#N/A</v>
      </c>
      <c r="AK413" s="111" t="e">
        <f>INDEX(df_proj_in!$B$2:$H$100, MATCH(TEXT(AK$379,"##"), df_proj_in!$A$2:$A$100, 0), MATCH($A413, df_proj_in!$B$1:$H$1,0))</f>
        <v>#N/A</v>
      </c>
      <c r="AL413" s="181" t="e">
        <f>INDEX(df_proj_in!$B$2:$H$100, MATCH(TEXT(AL$379,"##"), df_proj_in!$A$2:$A$100, 0), MATCH($A413, df_proj_in!$B$1:$H$1,0))</f>
        <v>#N/A</v>
      </c>
    </row>
    <row r="414" spans="1:38" ht="20.100000000000001" customHeight="1" x14ac:dyDescent="0.2">
      <c r="A414" s="223" t="s">
        <v>563</v>
      </c>
      <c r="B414" s="118" t="s">
        <v>64</v>
      </c>
      <c r="C414" s="122">
        <v>22</v>
      </c>
      <c r="D414" s="122">
        <v>23</v>
      </c>
      <c r="E414" s="113"/>
      <c r="F414" s="113"/>
      <c r="G414" s="113"/>
      <c r="H414" s="113"/>
      <c r="I414" s="113">
        <f t="array" ref="I414">IFERROR(INDEX(df_pop!$C$2:$C$1000, MATCH(1, (df_pop!$B$2:$B$1000 = $D414) * (df_pop!$F$2:$F$1000 = "Commute"), 0), 0),0) + IFERROR(INDEX(df_pop!$C$2:$C$1000, MATCH(1, (df_pop!$B$2:$B$1000 = $C414) * (df_pop!$F$2:$F$1000 = "Commute"), 0), 0),0)</f>
        <v>0</v>
      </c>
      <c r="J414" s="113"/>
      <c r="K414" s="113"/>
      <c r="L414" s="113"/>
      <c r="M414" s="113" t="e">
        <f>INDEX(df_proj_in!$B$2:$H$100, MATCH(TEXT(M$379,"##"), df_proj_in!$A$2:$A$100, 0), MATCH($A414, df_proj_in!$B$1:$H$1,0))</f>
        <v>#N/A</v>
      </c>
      <c r="N414" s="113" t="e">
        <f>INDEX(df_proj_in!$B$2:$H$100, MATCH(TEXT(N$379,"##"), df_proj_in!$A$2:$A$100, 0), MATCH($A414, df_proj_in!$B$1:$H$1,0))</f>
        <v>#N/A</v>
      </c>
      <c r="O414" s="113" t="e">
        <f>INDEX(df_proj_in!$B$2:$H$100, MATCH(TEXT(O$379,"##"), df_proj_in!$A$2:$A$100, 0), MATCH($A414, df_proj_in!$B$1:$H$1,0))</f>
        <v>#N/A</v>
      </c>
      <c r="P414" s="113" t="e">
        <f>INDEX(df_proj_in!$B$2:$H$100, MATCH(TEXT(P$379,"##"), df_proj_in!$A$2:$A$100, 0), MATCH($A414, df_proj_in!$B$1:$H$1,0))</f>
        <v>#N/A</v>
      </c>
      <c r="Q414" s="113" t="e">
        <f>INDEX(df_proj_in!$B$2:$H$100, MATCH(TEXT(Q$379,"##"), df_proj_in!$A$2:$A$100, 0), MATCH($A414, df_proj_in!$B$1:$H$1,0))</f>
        <v>#N/A</v>
      </c>
      <c r="R414" s="113" t="e">
        <f>INDEX(df_proj_in!$B$2:$H$100, MATCH(TEXT(R$379,"##"), df_proj_in!$A$2:$A$100, 0), MATCH($A414, df_proj_in!$B$1:$H$1,0))</f>
        <v>#N/A</v>
      </c>
      <c r="S414" s="113" t="e">
        <f>INDEX(df_proj_in!$B$2:$H$100, MATCH(TEXT(S$379,"##"), df_proj_in!$A$2:$A$100, 0), MATCH($A414, df_proj_in!$B$1:$H$1,0))</f>
        <v>#N/A</v>
      </c>
      <c r="T414" s="113" t="e">
        <f>INDEX(df_proj_in!$B$2:$H$100, MATCH(TEXT(T$379,"##"), df_proj_in!$A$2:$A$100, 0), MATCH($A414, df_proj_in!$B$1:$H$1,0))</f>
        <v>#N/A</v>
      </c>
      <c r="U414" s="113" t="e">
        <f>INDEX(df_proj_in!$B$2:$H$100, MATCH(TEXT(U$379,"##"), df_proj_in!$A$2:$A$100, 0), MATCH($A414, df_proj_in!$B$1:$H$1,0))</f>
        <v>#N/A</v>
      </c>
      <c r="V414" s="113" t="e">
        <f>INDEX(df_proj_in!$B$2:$H$100, MATCH(TEXT(V$379,"##"), df_proj_in!$A$2:$A$100, 0), MATCH($A414, df_proj_in!$B$1:$H$1,0))</f>
        <v>#N/A</v>
      </c>
      <c r="W414" s="113" t="e">
        <f>INDEX(df_proj_in!$B$2:$H$100, MATCH(TEXT(W$379,"##"), df_proj_in!$A$2:$A$100, 0), MATCH($A414, df_proj_in!$B$1:$H$1,0))</f>
        <v>#N/A</v>
      </c>
      <c r="X414" s="113" t="e">
        <f>INDEX(df_proj_in!$B$2:$H$100, MATCH(TEXT(X$379,"##"), df_proj_in!$A$2:$A$100, 0), MATCH($A414, df_proj_in!$B$1:$H$1,0))</f>
        <v>#N/A</v>
      </c>
      <c r="Y414" s="113" t="e">
        <f>INDEX(df_proj_in!$B$2:$H$100, MATCH(TEXT(Y$379,"##"), df_proj_in!$A$2:$A$100, 0), MATCH($A414, df_proj_in!$B$1:$H$1,0))</f>
        <v>#N/A</v>
      </c>
      <c r="Z414" s="113" t="e">
        <f>INDEX(df_proj_in!$B$2:$H$100, MATCH(TEXT(Z$379,"##"), df_proj_in!$A$2:$A$100, 0), MATCH($A414, df_proj_in!$B$1:$H$1,0))</f>
        <v>#N/A</v>
      </c>
      <c r="AA414" s="113" t="e">
        <f>INDEX(df_proj_in!$B$2:$H$100, MATCH(TEXT(AA$379,"##"), df_proj_in!$A$2:$A$100, 0), MATCH($A414, df_proj_in!$B$1:$H$1,0))</f>
        <v>#N/A</v>
      </c>
      <c r="AB414" s="113" t="e">
        <f>INDEX(df_proj_in!$B$2:$H$100, MATCH(TEXT(AB$379,"##"), df_proj_in!$A$2:$A$100, 0), MATCH($A414, df_proj_in!$B$1:$H$1,0))</f>
        <v>#N/A</v>
      </c>
      <c r="AC414" s="113" t="e">
        <f>INDEX(df_proj_in!$B$2:$H$100, MATCH(TEXT(AC$379,"##"), df_proj_in!$A$2:$A$100, 0), MATCH($A414, df_proj_in!$B$1:$H$1,0))</f>
        <v>#N/A</v>
      </c>
      <c r="AD414" s="113" t="e">
        <f>INDEX(df_proj_in!$B$2:$H$100, MATCH(TEXT(AD$379,"##"), df_proj_in!$A$2:$A$100, 0), MATCH($A414, df_proj_in!$B$1:$H$1,0))</f>
        <v>#N/A</v>
      </c>
      <c r="AE414" s="113" t="e">
        <f>INDEX(df_proj_in!$B$2:$H$100, MATCH(TEXT(AE$379,"##"), df_proj_in!$A$2:$A$100, 0), MATCH($A414, df_proj_in!$B$1:$H$1,0))</f>
        <v>#N/A</v>
      </c>
      <c r="AF414" s="113" t="e">
        <f>INDEX(df_proj_in!$B$2:$H$100, MATCH(TEXT(AF$379,"##"), df_proj_in!$A$2:$A$100, 0), MATCH($A414, df_proj_in!$B$1:$H$1,0))</f>
        <v>#N/A</v>
      </c>
      <c r="AG414" s="113" t="e">
        <f>INDEX(df_proj_in!$B$2:$H$100, MATCH(TEXT(AG$379,"##"), df_proj_in!$A$2:$A$100, 0), MATCH($A414, df_proj_in!$B$1:$H$1,0))</f>
        <v>#N/A</v>
      </c>
      <c r="AH414" s="113" t="e">
        <f>INDEX(df_proj_in!$B$2:$H$100, MATCH(TEXT(AH$379,"##"), df_proj_in!$A$2:$A$100, 0), MATCH($A414, df_proj_in!$B$1:$H$1,0))</f>
        <v>#N/A</v>
      </c>
      <c r="AI414" s="113" t="e">
        <f>INDEX(df_proj_in!$B$2:$H$100, MATCH(TEXT(AI$379,"##"), df_proj_in!$A$2:$A$100, 0), MATCH($A414, df_proj_in!$B$1:$H$1,0))</f>
        <v>#N/A</v>
      </c>
      <c r="AJ414" s="113" t="e">
        <f>INDEX(df_proj_in!$B$2:$H$100, MATCH(TEXT(AJ$379,"##"), df_proj_in!$A$2:$A$100, 0), MATCH($A414, df_proj_in!$B$1:$H$1,0))</f>
        <v>#N/A</v>
      </c>
      <c r="AK414" s="113" t="e">
        <f>INDEX(df_proj_in!$B$2:$H$100, MATCH(TEXT(AK$379,"##"), df_proj_in!$A$2:$A$100, 0), MATCH($A414, df_proj_in!$B$1:$H$1,0))</f>
        <v>#N/A</v>
      </c>
      <c r="AL414" s="329" t="e">
        <f>INDEX(df_proj_in!$B$2:$H$100, MATCH(TEXT(AL$379,"##"), df_proj_in!$A$2:$A$100, 0), MATCH($A414, df_proj_in!$B$1:$H$1,0))</f>
        <v>#N/A</v>
      </c>
    </row>
    <row r="415" spans="1:38" ht="20.100000000000001" customHeight="1" x14ac:dyDescent="0.2">
      <c r="A415" s="223" t="s">
        <v>557</v>
      </c>
      <c r="B415" s="158" t="s">
        <v>558</v>
      </c>
      <c r="C415" s="140">
        <v>24</v>
      </c>
      <c r="D415" s="140"/>
      <c r="E415" s="42"/>
      <c r="F415" s="42"/>
      <c r="G415" s="42"/>
      <c r="H415" s="42"/>
      <c r="I415" s="42">
        <f t="array" ref="I415">IFERROR(SUMIFS(df_pop!$C$2:$C$1000, df_pop!$B$2:$B$1000, "&gt;="&amp; $C415, df_pop!$F$2:$F$1000, "=Commute"),0)</f>
        <v>0</v>
      </c>
      <c r="J415" s="42"/>
      <c r="K415" s="42"/>
      <c r="L415" s="42"/>
      <c r="M415" s="42" t="e">
        <f>INDEX(df_proj_in!$B$2:$H$100, MATCH(TEXT(M$379,"##"), df_proj_in!$A$2:$A$100, 0), MATCH($A415, df_proj_in!$B$1:$H$1,0))</f>
        <v>#N/A</v>
      </c>
      <c r="N415" s="42" t="e">
        <f>INDEX(df_proj_in!$B$2:$H$100, MATCH(TEXT(N$379,"##"), df_proj_in!$A$2:$A$100, 0), MATCH($A415, df_proj_in!$B$1:$H$1,0))</f>
        <v>#N/A</v>
      </c>
      <c r="O415" s="42" t="e">
        <f>INDEX(df_proj_in!$B$2:$H$100, MATCH(TEXT(O$379,"##"), df_proj_in!$A$2:$A$100, 0), MATCH($A415, df_proj_in!$B$1:$H$1,0))</f>
        <v>#N/A</v>
      </c>
      <c r="P415" s="42" t="e">
        <f>INDEX(df_proj_in!$B$2:$H$100, MATCH(TEXT(P$379,"##"), df_proj_in!$A$2:$A$100, 0), MATCH($A415, df_proj_in!$B$1:$H$1,0))</f>
        <v>#N/A</v>
      </c>
      <c r="Q415" s="42" t="e">
        <f>INDEX(df_proj_in!$B$2:$H$100, MATCH(TEXT(Q$379,"##"), df_proj_in!$A$2:$A$100, 0), MATCH($A415, df_proj_in!$B$1:$H$1,0))</f>
        <v>#N/A</v>
      </c>
      <c r="R415" s="42" t="e">
        <f>INDEX(df_proj_in!$B$2:$H$100, MATCH(TEXT(R$379,"##"), df_proj_in!$A$2:$A$100, 0), MATCH($A415, df_proj_in!$B$1:$H$1,0))</f>
        <v>#N/A</v>
      </c>
      <c r="S415" s="42" t="e">
        <f>INDEX(df_proj_in!$B$2:$H$100, MATCH(TEXT(S$379,"##"), df_proj_in!$A$2:$A$100, 0), MATCH($A415, df_proj_in!$B$1:$H$1,0))</f>
        <v>#N/A</v>
      </c>
      <c r="T415" s="42" t="e">
        <f>INDEX(df_proj_in!$B$2:$H$100, MATCH(TEXT(T$379,"##"), df_proj_in!$A$2:$A$100, 0), MATCH($A415, df_proj_in!$B$1:$H$1,0))</f>
        <v>#N/A</v>
      </c>
      <c r="U415" s="42" t="e">
        <f>INDEX(df_proj_in!$B$2:$H$100, MATCH(TEXT(U$379,"##"), df_proj_in!$A$2:$A$100, 0), MATCH($A415, df_proj_in!$B$1:$H$1,0))</f>
        <v>#N/A</v>
      </c>
      <c r="V415" s="42" t="e">
        <f>INDEX(df_proj_in!$B$2:$H$100, MATCH(TEXT(V$379,"##"), df_proj_in!$A$2:$A$100, 0), MATCH($A415, df_proj_in!$B$1:$H$1,0))</f>
        <v>#N/A</v>
      </c>
      <c r="W415" s="42" t="e">
        <f>INDEX(df_proj_in!$B$2:$H$100, MATCH(TEXT(W$379,"##"), df_proj_in!$A$2:$A$100, 0), MATCH($A415, df_proj_in!$B$1:$H$1,0))</f>
        <v>#N/A</v>
      </c>
      <c r="X415" s="42" t="e">
        <f>INDEX(df_proj_in!$B$2:$H$100, MATCH(TEXT(X$379,"##"), df_proj_in!$A$2:$A$100, 0), MATCH($A415, df_proj_in!$B$1:$H$1,0))</f>
        <v>#N/A</v>
      </c>
      <c r="Y415" s="42" t="e">
        <f>INDEX(df_proj_in!$B$2:$H$100, MATCH(TEXT(Y$379,"##"), df_proj_in!$A$2:$A$100, 0), MATCH($A415, df_proj_in!$B$1:$H$1,0))</f>
        <v>#N/A</v>
      </c>
      <c r="Z415" s="42" t="e">
        <f>INDEX(df_proj_in!$B$2:$H$100, MATCH(TEXT(Z$379,"##"), df_proj_in!$A$2:$A$100, 0), MATCH($A415, df_proj_in!$B$1:$H$1,0))</f>
        <v>#N/A</v>
      </c>
      <c r="AA415" s="42" t="e">
        <f>INDEX(df_proj_in!$B$2:$H$100, MATCH(TEXT(AA$379,"##"), df_proj_in!$A$2:$A$100, 0), MATCH($A415, df_proj_in!$B$1:$H$1,0))</f>
        <v>#N/A</v>
      </c>
      <c r="AB415" s="42" t="e">
        <f>INDEX(df_proj_in!$B$2:$H$100, MATCH(TEXT(AB$379,"##"), df_proj_in!$A$2:$A$100, 0), MATCH($A415, df_proj_in!$B$1:$H$1,0))</f>
        <v>#N/A</v>
      </c>
      <c r="AC415" s="42" t="e">
        <f>INDEX(df_proj_in!$B$2:$H$100, MATCH(TEXT(AC$379,"##"), df_proj_in!$A$2:$A$100, 0), MATCH($A415, df_proj_in!$B$1:$H$1,0))</f>
        <v>#N/A</v>
      </c>
      <c r="AD415" s="42" t="e">
        <f>INDEX(df_proj_in!$B$2:$H$100, MATCH(TEXT(AD$379,"##"), df_proj_in!$A$2:$A$100, 0), MATCH($A415, df_proj_in!$B$1:$H$1,0))</f>
        <v>#N/A</v>
      </c>
      <c r="AE415" s="42" t="e">
        <f>INDEX(df_proj_in!$B$2:$H$100, MATCH(TEXT(AE$379,"##"), df_proj_in!$A$2:$A$100, 0), MATCH($A415, df_proj_in!$B$1:$H$1,0))</f>
        <v>#N/A</v>
      </c>
      <c r="AF415" s="42" t="e">
        <f>INDEX(df_proj_in!$B$2:$H$100, MATCH(TEXT(AF$379,"##"), df_proj_in!$A$2:$A$100, 0), MATCH($A415, df_proj_in!$B$1:$H$1,0))</f>
        <v>#N/A</v>
      </c>
      <c r="AG415" s="42" t="e">
        <f>INDEX(df_proj_in!$B$2:$H$100, MATCH(TEXT(AG$379,"##"), df_proj_in!$A$2:$A$100, 0), MATCH($A415, df_proj_in!$B$1:$H$1,0))</f>
        <v>#N/A</v>
      </c>
      <c r="AH415" s="42" t="e">
        <f>INDEX(df_proj_in!$B$2:$H$100, MATCH(TEXT(AH$379,"##"), df_proj_in!$A$2:$A$100, 0), MATCH($A415, df_proj_in!$B$1:$H$1,0))</f>
        <v>#N/A</v>
      </c>
      <c r="AI415" s="42" t="e">
        <f>INDEX(df_proj_in!$B$2:$H$100, MATCH(TEXT(AI$379,"##"), df_proj_in!$A$2:$A$100, 0), MATCH($A415, df_proj_in!$B$1:$H$1,0))</f>
        <v>#N/A</v>
      </c>
      <c r="AJ415" s="42" t="e">
        <f>INDEX(df_proj_in!$B$2:$H$100, MATCH(TEXT(AJ$379,"##"), df_proj_in!$A$2:$A$100, 0), MATCH($A415, df_proj_in!$B$1:$H$1,0))</f>
        <v>#N/A</v>
      </c>
      <c r="AK415" s="42" t="e">
        <f>INDEX(df_proj_in!$B$2:$H$100, MATCH(TEXT(AK$379,"##"), df_proj_in!$A$2:$A$100, 0), MATCH($A415, df_proj_in!$B$1:$H$1,0))</f>
        <v>#N/A</v>
      </c>
      <c r="AL415" s="347" t="e">
        <f>INDEX(df_proj_in!$B$2:$H$100, MATCH(TEXT(AL$379,"##"), df_proj_in!$A$2:$A$100, 0), MATCH($A415, df_proj_in!$B$1:$H$1,0))</f>
        <v>#N/A</v>
      </c>
    </row>
    <row r="416" spans="1:38" ht="20.100000000000001" customHeight="1" x14ac:dyDescent="0.2">
      <c r="A416" s="299"/>
    </row>
    <row r="417" spans="1:38" ht="20.100000000000001" customHeight="1" x14ac:dyDescent="0.2">
      <c r="A417" s="223"/>
      <c r="B417" s="77"/>
      <c r="C417" s="194">
        <v>2015</v>
      </c>
      <c r="D417" s="194">
        <v>2016</v>
      </c>
      <c r="E417" s="194">
        <v>2017</v>
      </c>
      <c r="F417" s="194">
        <v>2018</v>
      </c>
      <c r="G417" s="194">
        <v>2019</v>
      </c>
      <c r="H417" s="194">
        <v>2020</v>
      </c>
      <c r="I417" s="194">
        <v>2021</v>
      </c>
      <c r="J417" s="194">
        <v>2022</v>
      </c>
      <c r="K417" s="194">
        <v>2023</v>
      </c>
      <c r="L417" s="194">
        <v>2024</v>
      </c>
      <c r="M417" s="194">
        <v>2025</v>
      </c>
      <c r="N417" s="194">
        <v>2026</v>
      </c>
      <c r="O417" s="194">
        <v>2027</v>
      </c>
      <c r="P417" s="194">
        <v>2028</v>
      </c>
      <c r="Q417" s="194">
        <v>2029</v>
      </c>
      <c r="R417" s="194">
        <v>2030</v>
      </c>
      <c r="S417" s="194">
        <v>2031</v>
      </c>
      <c r="T417" s="194">
        <v>2032</v>
      </c>
      <c r="U417" s="194">
        <v>2033</v>
      </c>
      <c r="V417" s="194">
        <v>2034</v>
      </c>
      <c r="W417" s="194">
        <v>2035</v>
      </c>
      <c r="X417" s="194">
        <v>2036</v>
      </c>
      <c r="Y417" s="194">
        <v>2037</v>
      </c>
      <c r="Z417" s="194">
        <v>2038</v>
      </c>
      <c r="AA417" s="194">
        <v>2039</v>
      </c>
      <c r="AB417" s="194">
        <v>2040</v>
      </c>
      <c r="AC417" s="194">
        <v>2041</v>
      </c>
      <c r="AD417" s="194">
        <v>2042</v>
      </c>
      <c r="AE417" s="194">
        <v>2043</v>
      </c>
      <c r="AF417" s="194">
        <v>2044</v>
      </c>
      <c r="AG417" s="194">
        <v>2045</v>
      </c>
      <c r="AH417" s="194">
        <v>2046</v>
      </c>
      <c r="AI417" s="194">
        <v>2047</v>
      </c>
      <c r="AJ417" s="194">
        <v>2048</v>
      </c>
      <c r="AK417" s="194">
        <v>2049</v>
      </c>
      <c r="AL417" s="250">
        <v>2050</v>
      </c>
    </row>
    <row r="418" spans="1:38" ht="20.100000000000001" customHeight="1" x14ac:dyDescent="0.2">
      <c r="A418" s="223" t="s">
        <v>550</v>
      </c>
      <c r="B418" s="208" t="s">
        <v>409</v>
      </c>
      <c r="C418" s="42"/>
      <c r="D418" s="42"/>
      <c r="E418" s="42"/>
      <c r="F418" s="42"/>
      <c r="G418" s="42"/>
      <c r="H418" s="42"/>
      <c r="I418" s="42">
        <f t="array" ref="I418">SUM(I419:I424)</f>
        <v>0</v>
      </c>
      <c r="J418" s="42"/>
      <c r="K418" s="42"/>
      <c r="L418" s="42"/>
      <c r="M418" s="366" t="e">
        <f>SUM(M419:M424)</f>
        <v>#N/A</v>
      </c>
      <c r="N418" s="366" t="e">
        <f t="shared" ref="N418" si="150">SUM(N419:N424)</f>
        <v>#N/A</v>
      </c>
      <c r="O418" s="366" t="e">
        <f t="shared" ref="O418" si="151">SUM(O419:O424)</f>
        <v>#N/A</v>
      </c>
      <c r="P418" s="366" t="e">
        <f t="shared" ref="P418" si="152">SUM(P419:P424)</f>
        <v>#N/A</v>
      </c>
      <c r="Q418" s="366" t="e">
        <f t="shared" ref="Q418" si="153">SUM(Q419:Q424)</f>
        <v>#N/A</v>
      </c>
      <c r="R418" s="366" t="e">
        <f t="shared" ref="R418" si="154">SUM(R419:R424)</f>
        <v>#N/A</v>
      </c>
      <c r="S418" s="366" t="e">
        <f t="shared" ref="S418" si="155">SUM(S419:S424)</f>
        <v>#N/A</v>
      </c>
      <c r="T418" s="366" t="e">
        <f t="shared" ref="T418" si="156">SUM(T419:T424)</f>
        <v>#N/A</v>
      </c>
      <c r="U418" s="366" t="e">
        <f t="shared" ref="U418" si="157">SUM(U419:U424)</f>
        <v>#N/A</v>
      </c>
      <c r="V418" s="366" t="e">
        <f t="shared" ref="V418" si="158">SUM(V419:V424)</f>
        <v>#N/A</v>
      </c>
      <c r="W418" s="366" t="e">
        <f t="shared" ref="W418" si="159">SUM(W419:W424)</f>
        <v>#N/A</v>
      </c>
      <c r="X418" s="366" t="e">
        <f t="shared" ref="X418" si="160">SUM(X419:X424)</f>
        <v>#N/A</v>
      </c>
      <c r="Y418" s="366" t="e">
        <f t="shared" ref="Y418" si="161">SUM(Y419:Y424)</f>
        <v>#N/A</v>
      </c>
      <c r="Z418" s="366" t="e">
        <f t="shared" ref="Z418" si="162">SUM(Z419:Z424)</f>
        <v>#N/A</v>
      </c>
      <c r="AA418" s="366" t="e">
        <f t="shared" ref="AA418" si="163">SUM(AA419:AA424)</f>
        <v>#N/A</v>
      </c>
      <c r="AB418" s="366" t="e">
        <f t="shared" ref="AB418" si="164">SUM(AB419:AB424)</f>
        <v>#N/A</v>
      </c>
      <c r="AC418" s="366" t="e">
        <f t="shared" ref="AC418" si="165">SUM(AC419:AC424)</f>
        <v>#N/A</v>
      </c>
      <c r="AD418" s="366" t="e">
        <f t="shared" ref="AD418" si="166">SUM(AD419:AD424)</f>
        <v>#N/A</v>
      </c>
      <c r="AE418" s="366" t="e">
        <f t="shared" ref="AE418" si="167">SUM(AE419:AE424)</f>
        <v>#N/A</v>
      </c>
      <c r="AF418" s="366" t="e">
        <f t="shared" ref="AF418" si="168">SUM(AF419:AF424)</f>
        <v>#N/A</v>
      </c>
      <c r="AG418" s="366" t="e">
        <f t="shared" ref="AG418" si="169">SUM(AG419:AG424)</f>
        <v>#N/A</v>
      </c>
      <c r="AH418" s="366" t="e">
        <f t="shared" ref="AH418" si="170">SUM(AH419:AH424)</f>
        <v>#N/A</v>
      </c>
      <c r="AI418" s="366" t="e">
        <f t="shared" ref="AI418" si="171">SUM(AI419:AI424)</f>
        <v>#N/A</v>
      </c>
      <c r="AJ418" s="366" t="e">
        <f t="shared" ref="AJ418" si="172">SUM(AJ419:AJ424)</f>
        <v>#N/A</v>
      </c>
      <c r="AK418" s="366" t="e">
        <f t="shared" ref="AK418" si="173">SUM(AK419:AK424)</f>
        <v>#N/A</v>
      </c>
      <c r="AL418" s="233" t="e">
        <f t="shared" ref="AL418" si="174">SUM(AL419:AL424)</f>
        <v>#N/A</v>
      </c>
    </row>
    <row r="419" spans="1:38" ht="20.100000000000001" customHeight="1" x14ac:dyDescent="0.2">
      <c r="A419" s="223" t="s">
        <v>551</v>
      </c>
      <c r="B419" s="354" t="s">
        <v>60</v>
      </c>
      <c r="C419" s="137"/>
      <c r="D419" s="137"/>
      <c r="E419" s="137"/>
      <c r="F419" s="137"/>
      <c r="G419" s="137"/>
      <c r="H419" s="137"/>
      <c r="I419" s="137">
        <f t="array" ref="I419">MROUND(SUMPRODUCT(df_commute_infl!$H$2:$N$10000 * (df_commute_infl!$F$2:$F$10000 &lt; 0) * ($A419 = df_commute_infl!$H$1:$N$1)),0)</f>
        <v>0</v>
      </c>
      <c r="J419" s="137"/>
      <c r="K419" s="137"/>
      <c r="L419" s="137"/>
      <c r="M419" s="137" t="e">
        <f>IF(M410*$I419/$I410&gt;0,MROUND(M410*$I419/$I410,5),MROUND(M410*$I419/$I410,-5))</f>
        <v>#N/A</v>
      </c>
      <c r="N419" s="137" t="e">
        <f t="shared" ref="N419:AL419" si="175">IF(N410*$I419/$I410&gt;0,MROUND(N410*$I419/$I410,5),MROUND(N410*$I419/$I410,-5))</f>
        <v>#N/A</v>
      </c>
      <c r="O419" s="137" t="e">
        <f t="shared" si="175"/>
        <v>#N/A</v>
      </c>
      <c r="P419" s="137" t="e">
        <f t="shared" si="175"/>
        <v>#N/A</v>
      </c>
      <c r="Q419" s="137" t="e">
        <f t="shared" si="175"/>
        <v>#N/A</v>
      </c>
      <c r="R419" s="137" t="e">
        <f t="shared" si="175"/>
        <v>#N/A</v>
      </c>
      <c r="S419" s="137" t="e">
        <f t="shared" si="175"/>
        <v>#N/A</v>
      </c>
      <c r="T419" s="137" t="e">
        <f t="shared" si="175"/>
        <v>#N/A</v>
      </c>
      <c r="U419" s="137" t="e">
        <f t="shared" si="175"/>
        <v>#N/A</v>
      </c>
      <c r="V419" s="137" t="e">
        <f t="shared" si="175"/>
        <v>#N/A</v>
      </c>
      <c r="W419" s="137" t="e">
        <f t="shared" si="175"/>
        <v>#N/A</v>
      </c>
      <c r="X419" s="137" t="e">
        <f t="shared" si="175"/>
        <v>#N/A</v>
      </c>
      <c r="Y419" s="137" t="e">
        <f t="shared" si="175"/>
        <v>#N/A</v>
      </c>
      <c r="Z419" s="137" t="e">
        <f t="shared" si="175"/>
        <v>#N/A</v>
      </c>
      <c r="AA419" s="137" t="e">
        <f t="shared" si="175"/>
        <v>#N/A</v>
      </c>
      <c r="AB419" s="137" t="e">
        <f t="shared" si="175"/>
        <v>#N/A</v>
      </c>
      <c r="AC419" s="137" t="e">
        <f t="shared" si="175"/>
        <v>#N/A</v>
      </c>
      <c r="AD419" s="137" t="e">
        <f t="shared" si="175"/>
        <v>#N/A</v>
      </c>
      <c r="AE419" s="137" t="e">
        <f t="shared" si="175"/>
        <v>#N/A</v>
      </c>
      <c r="AF419" s="137" t="e">
        <f t="shared" si="175"/>
        <v>#N/A</v>
      </c>
      <c r="AG419" s="137" t="e">
        <f t="shared" si="175"/>
        <v>#N/A</v>
      </c>
      <c r="AH419" s="137" t="e">
        <f t="shared" si="175"/>
        <v>#N/A</v>
      </c>
      <c r="AI419" s="137" t="e">
        <f t="shared" si="175"/>
        <v>#N/A</v>
      </c>
      <c r="AJ419" s="137" t="e">
        <f t="shared" si="175"/>
        <v>#N/A</v>
      </c>
      <c r="AK419" s="137" t="e">
        <f t="shared" si="175"/>
        <v>#N/A</v>
      </c>
      <c r="AL419" s="269" t="e">
        <f t="shared" si="175"/>
        <v>#N/A</v>
      </c>
    </row>
    <row r="420" spans="1:38" ht="20.100000000000001" customHeight="1" x14ac:dyDescent="0.2">
      <c r="A420" s="223" t="s">
        <v>552</v>
      </c>
      <c r="B420" s="277" t="s">
        <v>61</v>
      </c>
      <c r="C420" s="111"/>
      <c r="D420" s="111"/>
      <c r="E420" s="111"/>
      <c r="F420" s="111"/>
      <c r="G420" s="111"/>
      <c r="H420" s="111"/>
      <c r="I420" s="111">
        <f t="array" ref="I420">MROUND(SUMPRODUCT(df_commute_infl!$H$2:$N$10000 * (df_commute_infl!$F$2:$F$10000 &lt; 0) * ($A420 = df_commute_infl!$H$1:$N$1)),-5)</f>
        <v>0</v>
      </c>
      <c r="J420" s="111"/>
      <c r="K420" s="111"/>
      <c r="L420" s="111"/>
      <c r="M420" s="111" t="e">
        <f>IF(M411*$I420/$I411&gt;0,MROUND(M411*$I420/$I411,5),MROUND(M411*$I420/$I411,-5))</f>
        <v>#N/A</v>
      </c>
      <c r="N420" s="111" t="e">
        <f t="shared" ref="N420:AK424" si="176">IF(N411*$I420/$I411&gt;0,MROUND(N411*$I420/$I411,5),MROUND(N411*$I420/$I411,-5))</f>
        <v>#N/A</v>
      </c>
      <c r="O420" s="111" t="e">
        <f t="shared" si="176"/>
        <v>#N/A</v>
      </c>
      <c r="P420" s="111" t="e">
        <f t="shared" si="176"/>
        <v>#N/A</v>
      </c>
      <c r="Q420" s="111" t="e">
        <f t="shared" si="176"/>
        <v>#N/A</v>
      </c>
      <c r="R420" s="111" t="e">
        <f t="shared" si="176"/>
        <v>#N/A</v>
      </c>
      <c r="S420" s="111" t="e">
        <f t="shared" si="176"/>
        <v>#N/A</v>
      </c>
      <c r="T420" s="111" t="e">
        <f t="shared" si="176"/>
        <v>#N/A</v>
      </c>
      <c r="U420" s="111" t="e">
        <f t="shared" si="176"/>
        <v>#N/A</v>
      </c>
      <c r="V420" s="111" t="e">
        <f t="shared" si="176"/>
        <v>#N/A</v>
      </c>
      <c r="W420" s="111" t="e">
        <f t="shared" si="176"/>
        <v>#N/A</v>
      </c>
      <c r="X420" s="111" t="e">
        <f t="shared" si="176"/>
        <v>#N/A</v>
      </c>
      <c r="Y420" s="111" t="e">
        <f t="shared" si="176"/>
        <v>#N/A</v>
      </c>
      <c r="Z420" s="111" t="e">
        <f t="shared" si="176"/>
        <v>#N/A</v>
      </c>
      <c r="AA420" s="111" t="e">
        <f t="shared" si="176"/>
        <v>#N/A</v>
      </c>
      <c r="AB420" s="111" t="e">
        <f t="shared" si="176"/>
        <v>#N/A</v>
      </c>
      <c r="AC420" s="111" t="e">
        <f t="shared" si="176"/>
        <v>#N/A</v>
      </c>
      <c r="AD420" s="111" t="e">
        <f t="shared" si="176"/>
        <v>#N/A</v>
      </c>
      <c r="AE420" s="111" t="e">
        <f t="shared" si="176"/>
        <v>#N/A</v>
      </c>
      <c r="AF420" s="111" t="e">
        <f t="shared" si="176"/>
        <v>#N/A</v>
      </c>
      <c r="AG420" s="111" t="e">
        <f t="shared" si="176"/>
        <v>#N/A</v>
      </c>
      <c r="AH420" s="111" t="e">
        <f t="shared" si="176"/>
        <v>#N/A</v>
      </c>
      <c r="AI420" s="111" t="e">
        <f t="shared" si="176"/>
        <v>#N/A</v>
      </c>
      <c r="AJ420" s="111" t="e">
        <f t="shared" si="176"/>
        <v>#N/A</v>
      </c>
      <c r="AK420" s="111" t="e">
        <f t="shared" si="176"/>
        <v>#N/A</v>
      </c>
      <c r="AL420" s="181" t="e">
        <f>IF(AL411*$I420/$I411&gt;0,MROUND(AL411*$I420/$I411,5),MROUND(AL411*$I420/$I411,-5))</f>
        <v>#N/A</v>
      </c>
    </row>
    <row r="421" spans="1:38" ht="20.100000000000001" customHeight="1" x14ac:dyDescent="0.2">
      <c r="A421" s="223" t="s">
        <v>553</v>
      </c>
      <c r="B421" s="118" t="s">
        <v>62</v>
      </c>
      <c r="C421" s="113"/>
      <c r="D421" s="113"/>
      <c r="E421" s="113"/>
      <c r="F421" s="113"/>
      <c r="G421" s="113"/>
      <c r="H421" s="113"/>
      <c r="I421" s="113">
        <f t="array" ref="I421">MROUND(SUMPRODUCT(df_commute_infl!$H$2:$N$10000 * (df_commute_infl!$F$2:$F$10000 &lt; 0) * ($A421 = df_commute_infl!$H$1:$N$1)),-5)</f>
        <v>0</v>
      </c>
      <c r="J421" s="113"/>
      <c r="K421" s="113"/>
      <c r="L421" s="113"/>
      <c r="M421" s="113" t="e">
        <f t="shared" ref="M421:AB424" si="177">IF(M412*$I421/$I412&gt;0,MROUND(M412*$I421/$I412,5),MROUND(M412*$I421/$I412,-5))</f>
        <v>#N/A</v>
      </c>
      <c r="N421" s="113" t="e">
        <f t="shared" si="177"/>
        <v>#N/A</v>
      </c>
      <c r="O421" s="113" t="e">
        <f t="shared" si="177"/>
        <v>#N/A</v>
      </c>
      <c r="P421" s="113" t="e">
        <f t="shared" si="177"/>
        <v>#N/A</v>
      </c>
      <c r="Q421" s="113" t="e">
        <f t="shared" si="177"/>
        <v>#N/A</v>
      </c>
      <c r="R421" s="113" t="e">
        <f t="shared" si="177"/>
        <v>#N/A</v>
      </c>
      <c r="S421" s="113" t="e">
        <f t="shared" si="177"/>
        <v>#N/A</v>
      </c>
      <c r="T421" s="113" t="e">
        <f t="shared" si="177"/>
        <v>#N/A</v>
      </c>
      <c r="U421" s="113" t="e">
        <f t="shared" si="177"/>
        <v>#N/A</v>
      </c>
      <c r="V421" s="113" t="e">
        <f t="shared" si="177"/>
        <v>#N/A</v>
      </c>
      <c r="W421" s="113" t="e">
        <f t="shared" si="177"/>
        <v>#N/A</v>
      </c>
      <c r="X421" s="113" t="e">
        <f t="shared" si="177"/>
        <v>#N/A</v>
      </c>
      <c r="Y421" s="113" t="e">
        <f t="shared" si="177"/>
        <v>#N/A</v>
      </c>
      <c r="Z421" s="113" t="e">
        <f t="shared" si="177"/>
        <v>#N/A</v>
      </c>
      <c r="AA421" s="113" t="e">
        <f t="shared" si="177"/>
        <v>#N/A</v>
      </c>
      <c r="AB421" s="113" t="e">
        <f t="shared" si="177"/>
        <v>#N/A</v>
      </c>
      <c r="AC421" s="113" t="e">
        <f t="shared" si="176"/>
        <v>#N/A</v>
      </c>
      <c r="AD421" s="113" t="e">
        <f t="shared" si="176"/>
        <v>#N/A</v>
      </c>
      <c r="AE421" s="113" t="e">
        <f t="shared" si="176"/>
        <v>#N/A</v>
      </c>
      <c r="AF421" s="113" t="e">
        <f t="shared" si="176"/>
        <v>#N/A</v>
      </c>
      <c r="AG421" s="113" t="e">
        <f t="shared" si="176"/>
        <v>#N/A</v>
      </c>
      <c r="AH421" s="113" t="e">
        <f t="shared" si="176"/>
        <v>#N/A</v>
      </c>
      <c r="AI421" s="113" t="e">
        <f t="shared" si="176"/>
        <v>#N/A</v>
      </c>
      <c r="AJ421" s="113" t="e">
        <f t="shared" si="176"/>
        <v>#N/A</v>
      </c>
      <c r="AK421" s="113" t="e">
        <f t="shared" si="176"/>
        <v>#N/A</v>
      </c>
      <c r="AL421" s="329" t="e">
        <f t="shared" ref="AL421" si="178">IF(AL412*$I421/$I412&gt;0,MROUND(AL412*$I421/$I412,5),MROUND(AL412*$I421/$I412,-5))</f>
        <v>#N/A</v>
      </c>
    </row>
    <row r="422" spans="1:38" ht="20.100000000000001" customHeight="1" x14ac:dyDescent="0.2">
      <c r="A422" s="223" t="s">
        <v>554</v>
      </c>
      <c r="B422" s="277" t="s">
        <v>63</v>
      </c>
      <c r="C422" s="111"/>
      <c r="D422" s="111"/>
      <c r="E422" s="111"/>
      <c r="F422" s="111"/>
      <c r="G422" s="111"/>
      <c r="H422" s="111"/>
      <c r="I422" s="111">
        <f t="array" ref="I422">MROUND(SUMPRODUCT(df_commute_infl!$H$2:$N$10000 * (df_commute_infl!$F$2:$F$10000 &lt; 0) * ($A422 = df_commute_infl!$H$1:$N$1)),-5)</f>
        <v>0</v>
      </c>
      <c r="J422" s="111"/>
      <c r="K422" s="111"/>
      <c r="L422" s="111"/>
      <c r="M422" s="111" t="e">
        <f t="shared" si="177"/>
        <v>#N/A</v>
      </c>
      <c r="N422" s="111" t="e">
        <f t="shared" si="176"/>
        <v>#N/A</v>
      </c>
      <c r="O422" s="111" t="e">
        <f t="shared" si="176"/>
        <v>#N/A</v>
      </c>
      <c r="P422" s="111" t="e">
        <f t="shared" si="176"/>
        <v>#N/A</v>
      </c>
      <c r="Q422" s="111" t="e">
        <f t="shared" si="176"/>
        <v>#N/A</v>
      </c>
      <c r="R422" s="111" t="e">
        <f t="shared" si="176"/>
        <v>#N/A</v>
      </c>
      <c r="S422" s="111" t="e">
        <f t="shared" si="176"/>
        <v>#N/A</v>
      </c>
      <c r="T422" s="111" t="e">
        <f t="shared" si="176"/>
        <v>#N/A</v>
      </c>
      <c r="U422" s="111" t="e">
        <f t="shared" si="176"/>
        <v>#N/A</v>
      </c>
      <c r="V422" s="111" t="e">
        <f t="shared" si="176"/>
        <v>#N/A</v>
      </c>
      <c r="W422" s="111" t="e">
        <f t="shared" si="176"/>
        <v>#N/A</v>
      </c>
      <c r="X422" s="111" t="e">
        <f t="shared" si="176"/>
        <v>#N/A</v>
      </c>
      <c r="Y422" s="111" t="e">
        <f t="shared" si="176"/>
        <v>#N/A</v>
      </c>
      <c r="Z422" s="111" t="e">
        <f t="shared" si="176"/>
        <v>#N/A</v>
      </c>
      <c r="AA422" s="111" t="e">
        <f t="shared" si="176"/>
        <v>#N/A</v>
      </c>
      <c r="AB422" s="111" t="e">
        <f t="shared" si="176"/>
        <v>#N/A</v>
      </c>
      <c r="AC422" s="111" t="e">
        <f t="shared" si="176"/>
        <v>#N/A</v>
      </c>
      <c r="AD422" s="111" t="e">
        <f t="shared" si="176"/>
        <v>#N/A</v>
      </c>
      <c r="AE422" s="111" t="e">
        <f t="shared" si="176"/>
        <v>#N/A</v>
      </c>
      <c r="AF422" s="111" t="e">
        <f t="shared" si="176"/>
        <v>#N/A</v>
      </c>
      <c r="AG422" s="111" t="e">
        <f t="shared" si="176"/>
        <v>#N/A</v>
      </c>
      <c r="AH422" s="111" t="e">
        <f t="shared" si="176"/>
        <v>#N/A</v>
      </c>
      <c r="AI422" s="111" t="e">
        <f t="shared" si="176"/>
        <v>#N/A</v>
      </c>
      <c r="AJ422" s="111" t="e">
        <f t="shared" si="176"/>
        <v>#N/A</v>
      </c>
      <c r="AK422" s="111" t="e">
        <f t="shared" si="176"/>
        <v>#N/A</v>
      </c>
      <c r="AL422" s="181" t="e">
        <f t="shared" ref="AL422" si="179">IF(AL413*$I422/$I413&gt;0,MROUND(AL413*$I422/$I413,5),MROUND(AL413*$I422/$I413,-5))</f>
        <v>#N/A</v>
      </c>
    </row>
    <row r="423" spans="1:38" ht="20.100000000000001" customHeight="1" x14ac:dyDescent="0.2">
      <c r="A423" s="223" t="s">
        <v>555</v>
      </c>
      <c r="B423" s="118" t="s">
        <v>64</v>
      </c>
      <c r="C423" s="113"/>
      <c r="D423" s="113"/>
      <c r="E423" s="113"/>
      <c r="F423" s="113"/>
      <c r="G423" s="113"/>
      <c r="H423" s="113"/>
      <c r="I423" s="113">
        <f t="array" ref="I423">MROUND(SUMPRODUCT(df_commute_infl!$H$2:$N$10000 * (df_commute_infl!$F$2:$F$10000 &lt; 0) * ($A423 = df_commute_infl!$H$1:$N$1)),-5)</f>
        <v>0</v>
      </c>
      <c r="J423" s="113"/>
      <c r="K423" s="113"/>
      <c r="L423" s="113"/>
      <c r="M423" s="113" t="e">
        <f t="shared" si="177"/>
        <v>#N/A</v>
      </c>
      <c r="N423" s="113" t="e">
        <f t="shared" si="176"/>
        <v>#N/A</v>
      </c>
      <c r="O423" s="113" t="e">
        <f t="shared" si="176"/>
        <v>#N/A</v>
      </c>
      <c r="P423" s="113" t="e">
        <f t="shared" si="176"/>
        <v>#N/A</v>
      </c>
      <c r="Q423" s="113" t="e">
        <f t="shared" si="176"/>
        <v>#N/A</v>
      </c>
      <c r="R423" s="113" t="e">
        <f t="shared" si="176"/>
        <v>#N/A</v>
      </c>
      <c r="S423" s="113" t="e">
        <f t="shared" si="176"/>
        <v>#N/A</v>
      </c>
      <c r="T423" s="113" t="e">
        <f t="shared" si="176"/>
        <v>#N/A</v>
      </c>
      <c r="U423" s="113" t="e">
        <f t="shared" si="176"/>
        <v>#N/A</v>
      </c>
      <c r="V423" s="113" t="e">
        <f t="shared" si="176"/>
        <v>#N/A</v>
      </c>
      <c r="W423" s="113" t="e">
        <f t="shared" si="176"/>
        <v>#N/A</v>
      </c>
      <c r="X423" s="113" t="e">
        <f t="shared" si="176"/>
        <v>#N/A</v>
      </c>
      <c r="Y423" s="113" t="e">
        <f t="shared" si="176"/>
        <v>#N/A</v>
      </c>
      <c r="Z423" s="113" t="e">
        <f t="shared" si="176"/>
        <v>#N/A</v>
      </c>
      <c r="AA423" s="113" t="e">
        <f t="shared" si="176"/>
        <v>#N/A</v>
      </c>
      <c r="AB423" s="113" t="e">
        <f t="shared" si="176"/>
        <v>#N/A</v>
      </c>
      <c r="AC423" s="113" t="e">
        <f t="shared" si="176"/>
        <v>#N/A</v>
      </c>
      <c r="AD423" s="113" t="e">
        <f t="shared" si="176"/>
        <v>#N/A</v>
      </c>
      <c r="AE423" s="113" t="e">
        <f t="shared" si="176"/>
        <v>#N/A</v>
      </c>
      <c r="AF423" s="113" t="e">
        <f t="shared" si="176"/>
        <v>#N/A</v>
      </c>
      <c r="AG423" s="113" t="e">
        <f t="shared" si="176"/>
        <v>#N/A</v>
      </c>
      <c r="AH423" s="113" t="e">
        <f t="shared" si="176"/>
        <v>#N/A</v>
      </c>
      <c r="AI423" s="113" t="e">
        <f t="shared" si="176"/>
        <v>#N/A</v>
      </c>
      <c r="AJ423" s="113" t="e">
        <f t="shared" si="176"/>
        <v>#N/A</v>
      </c>
      <c r="AK423" s="113" t="e">
        <f t="shared" si="176"/>
        <v>#N/A</v>
      </c>
      <c r="AL423" s="329" t="e">
        <f t="shared" ref="AL423" si="180">IF(AL414*$I423/$I414&gt;0,MROUND(AL414*$I423/$I414,5),MROUND(AL414*$I423/$I414,-5))</f>
        <v>#N/A</v>
      </c>
    </row>
    <row r="424" spans="1:38" ht="20.100000000000001" customHeight="1" x14ac:dyDescent="0.2">
      <c r="A424" s="223" t="s">
        <v>556</v>
      </c>
      <c r="B424" s="158" t="s">
        <v>558</v>
      </c>
      <c r="C424" s="42"/>
      <c r="D424" s="42"/>
      <c r="E424" s="42"/>
      <c r="F424" s="42"/>
      <c r="G424" s="42"/>
      <c r="H424" s="42"/>
      <c r="I424" s="42">
        <f t="array" ref="I424">MROUND(SUMPRODUCT(df_commute_infl!$H$2:$N$10000 * (df_commute_infl!$F$2:$F$10000 &lt; 0) * ($A424 = df_commute_infl!$H$1:$N$1)),-5)</f>
        <v>0</v>
      </c>
      <c r="J424" s="42"/>
      <c r="K424" s="42"/>
      <c r="L424" s="42"/>
      <c r="M424" s="42" t="e">
        <f t="shared" si="177"/>
        <v>#N/A</v>
      </c>
      <c r="N424" s="42" t="e">
        <f t="shared" si="176"/>
        <v>#N/A</v>
      </c>
      <c r="O424" s="42" t="e">
        <f t="shared" si="176"/>
        <v>#N/A</v>
      </c>
      <c r="P424" s="42" t="e">
        <f t="shared" si="176"/>
        <v>#N/A</v>
      </c>
      <c r="Q424" s="42" t="e">
        <f t="shared" si="176"/>
        <v>#N/A</v>
      </c>
      <c r="R424" s="42" t="e">
        <f t="shared" si="176"/>
        <v>#N/A</v>
      </c>
      <c r="S424" s="42" t="e">
        <f t="shared" si="176"/>
        <v>#N/A</v>
      </c>
      <c r="T424" s="42" t="e">
        <f t="shared" si="176"/>
        <v>#N/A</v>
      </c>
      <c r="U424" s="42" t="e">
        <f t="shared" si="176"/>
        <v>#N/A</v>
      </c>
      <c r="V424" s="42" t="e">
        <f t="shared" si="176"/>
        <v>#N/A</v>
      </c>
      <c r="W424" s="42" t="e">
        <f t="shared" si="176"/>
        <v>#N/A</v>
      </c>
      <c r="X424" s="42" t="e">
        <f t="shared" si="176"/>
        <v>#N/A</v>
      </c>
      <c r="Y424" s="42" t="e">
        <f t="shared" si="176"/>
        <v>#N/A</v>
      </c>
      <c r="Z424" s="42" t="e">
        <f t="shared" si="176"/>
        <v>#N/A</v>
      </c>
      <c r="AA424" s="42" t="e">
        <f t="shared" si="176"/>
        <v>#N/A</v>
      </c>
      <c r="AB424" s="42" t="e">
        <f t="shared" si="176"/>
        <v>#N/A</v>
      </c>
      <c r="AC424" s="42" t="e">
        <f t="shared" si="176"/>
        <v>#N/A</v>
      </c>
      <c r="AD424" s="42" t="e">
        <f t="shared" si="176"/>
        <v>#N/A</v>
      </c>
      <c r="AE424" s="42" t="e">
        <f t="shared" si="176"/>
        <v>#N/A</v>
      </c>
      <c r="AF424" s="42" t="e">
        <f t="shared" si="176"/>
        <v>#N/A</v>
      </c>
      <c r="AG424" s="42" t="e">
        <f t="shared" si="176"/>
        <v>#N/A</v>
      </c>
      <c r="AH424" s="42" t="e">
        <f t="shared" si="176"/>
        <v>#N/A</v>
      </c>
      <c r="AI424" s="42" t="e">
        <f t="shared" si="176"/>
        <v>#N/A</v>
      </c>
      <c r="AJ424" s="42" t="e">
        <f t="shared" si="176"/>
        <v>#N/A</v>
      </c>
      <c r="AK424" s="42" t="e">
        <f t="shared" si="176"/>
        <v>#N/A</v>
      </c>
      <c r="AL424" s="347" t="e">
        <f t="shared" ref="AL424" si="181">IF(AL415*$I424/$I415&gt;0,MROUND(AL415*$I424/$I415,5),MROUND(AL415*$I424/$I415,-5))</f>
        <v>#N/A</v>
      </c>
    </row>
    <row r="425" spans="1:38" x14ac:dyDescent="0.2">
      <c r="A425" s="223"/>
    </row>
    <row r="426" spans="1:38" ht="20.100000000000001" customHeight="1" x14ac:dyDescent="0.2">
      <c r="A426" s="223"/>
      <c r="B426" s="77"/>
      <c r="C426" s="194">
        <v>2015</v>
      </c>
      <c r="D426" s="194">
        <v>2016</v>
      </c>
      <c r="E426" s="194">
        <v>2017</v>
      </c>
      <c r="F426" s="194">
        <v>2018</v>
      </c>
      <c r="G426" s="194">
        <v>2019</v>
      </c>
      <c r="H426" s="194">
        <v>2020</v>
      </c>
      <c r="I426" s="194">
        <v>2021</v>
      </c>
      <c r="J426" s="194">
        <v>2022</v>
      </c>
      <c r="K426" s="194">
        <v>2023</v>
      </c>
      <c r="L426" s="194">
        <v>2024</v>
      </c>
      <c r="M426" s="194">
        <v>2025</v>
      </c>
      <c r="N426" s="194">
        <v>2026</v>
      </c>
      <c r="O426" s="194">
        <v>2027</v>
      </c>
      <c r="P426" s="194">
        <v>2028</v>
      </c>
      <c r="Q426" s="194">
        <v>2029</v>
      </c>
      <c r="R426" s="194">
        <v>2030</v>
      </c>
      <c r="S426" s="194">
        <v>2031</v>
      </c>
      <c r="T426" s="194">
        <v>2032</v>
      </c>
      <c r="U426" s="194">
        <v>2033</v>
      </c>
      <c r="V426" s="194">
        <v>2034</v>
      </c>
      <c r="W426" s="194">
        <v>2035</v>
      </c>
      <c r="X426" s="194">
        <v>2036</v>
      </c>
      <c r="Y426" s="194">
        <v>2037</v>
      </c>
      <c r="Z426" s="194">
        <v>2038</v>
      </c>
      <c r="AA426" s="194">
        <v>2039</v>
      </c>
      <c r="AB426" s="194">
        <v>2040</v>
      </c>
      <c r="AC426" s="194">
        <v>2041</v>
      </c>
      <c r="AD426" s="194">
        <v>2042</v>
      </c>
      <c r="AE426" s="194">
        <v>2043</v>
      </c>
      <c r="AF426" s="194">
        <v>2044</v>
      </c>
      <c r="AG426" s="194">
        <v>2045</v>
      </c>
      <c r="AH426" s="194">
        <v>2046</v>
      </c>
      <c r="AI426" s="194">
        <v>2047</v>
      </c>
      <c r="AJ426" s="194">
        <v>2048</v>
      </c>
      <c r="AK426" s="194">
        <v>2049</v>
      </c>
      <c r="AL426" s="250">
        <v>2050</v>
      </c>
    </row>
    <row r="427" spans="1:38" ht="20.100000000000001" customHeight="1" x14ac:dyDescent="0.2">
      <c r="A427" s="223" t="s">
        <v>550</v>
      </c>
      <c r="B427" s="43" t="s">
        <v>409</v>
      </c>
      <c r="C427" s="366"/>
      <c r="D427" s="366"/>
      <c r="E427" s="366"/>
      <c r="F427" s="366"/>
      <c r="G427" s="366"/>
      <c r="H427" s="366"/>
      <c r="I427" s="42">
        <f t="array" ref="I427">SUM(I428:I433)</f>
        <v>0</v>
      </c>
      <c r="J427" s="366"/>
      <c r="K427" s="366"/>
      <c r="L427" s="366"/>
      <c r="M427" s="366" t="e">
        <f>SUM(M428:M433)</f>
        <v>#N/A</v>
      </c>
      <c r="N427" s="366" t="e">
        <f t="shared" ref="N427" si="182">SUM(N428:N433)</f>
        <v>#N/A</v>
      </c>
      <c r="O427" s="366" t="e">
        <f t="shared" ref="O427" si="183">SUM(O428:O433)</f>
        <v>#N/A</v>
      </c>
      <c r="P427" s="366" t="e">
        <f t="shared" ref="P427" si="184">SUM(P428:P433)</f>
        <v>#N/A</v>
      </c>
      <c r="Q427" s="366" t="e">
        <f t="shared" ref="Q427" si="185">SUM(Q428:Q433)</f>
        <v>#N/A</v>
      </c>
      <c r="R427" s="366" t="e">
        <f t="shared" ref="R427" si="186">SUM(R428:R433)</f>
        <v>#N/A</v>
      </c>
      <c r="S427" s="366" t="e">
        <f t="shared" ref="S427" si="187">SUM(S428:S433)</f>
        <v>#N/A</v>
      </c>
      <c r="T427" s="366" t="e">
        <f t="shared" ref="T427" si="188">SUM(T428:T433)</f>
        <v>#N/A</v>
      </c>
      <c r="U427" s="366" t="e">
        <f t="shared" ref="U427" si="189">SUM(U428:U433)</f>
        <v>#N/A</v>
      </c>
      <c r="V427" s="366" t="e">
        <f t="shared" ref="V427" si="190">SUM(V428:V433)</f>
        <v>#N/A</v>
      </c>
      <c r="W427" s="366" t="e">
        <f t="shared" ref="W427" si="191">SUM(W428:W433)</f>
        <v>#N/A</v>
      </c>
      <c r="X427" s="366" t="e">
        <f t="shared" ref="X427" si="192">SUM(X428:X433)</f>
        <v>#N/A</v>
      </c>
      <c r="Y427" s="366" t="e">
        <f t="shared" ref="Y427" si="193">SUM(Y428:Y433)</f>
        <v>#N/A</v>
      </c>
      <c r="Z427" s="366" t="e">
        <f t="shared" ref="Z427" si="194">SUM(Z428:Z433)</f>
        <v>#N/A</v>
      </c>
      <c r="AA427" s="366" t="e">
        <f t="shared" ref="AA427" si="195">SUM(AA428:AA433)</f>
        <v>#N/A</v>
      </c>
      <c r="AB427" s="366" t="e">
        <f t="shared" ref="AB427" si="196">SUM(AB428:AB433)</f>
        <v>#N/A</v>
      </c>
      <c r="AC427" s="366" t="e">
        <f t="shared" ref="AC427" si="197">SUM(AC428:AC433)</f>
        <v>#N/A</v>
      </c>
      <c r="AD427" s="366" t="e">
        <f t="shared" ref="AD427" si="198">SUM(AD428:AD433)</f>
        <v>#N/A</v>
      </c>
      <c r="AE427" s="366" t="e">
        <f t="shared" ref="AE427" si="199">SUM(AE428:AE433)</f>
        <v>#N/A</v>
      </c>
      <c r="AF427" s="366" t="e">
        <f t="shared" ref="AF427" si="200">SUM(AF428:AF433)</f>
        <v>#N/A</v>
      </c>
      <c r="AG427" s="366" t="e">
        <f t="shared" ref="AG427" si="201">SUM(AG428:AG433)</f>
        <v>#N/A</v>
      </c>
      <c r="AH427" s="366" t="e">
        <f t="shared" ref="AH427" si="202">SUM(AH428:AH433)</f>
        <v>#N/A</v>
      </c>
      <c r="AI427" s="366" t="e">
        <f t="shared" ref="AI427" si="203">SUM(AI428:AI433)</f>
        <v>#N/A</v>
      </c>
      <c r="AJ427" s="366" t="e">
        <f t="shared" ref="AJ427" si="204">SUM(AJ428:AJ433)</f>
        <v>#N/A</v>
      </c>
      <c r="AK427" s="366" t="e">
        <f t="shared" ref="AK427" si="205">SUM(AK428:AK433)</f>
        <v>#N/A</v>
      </c>
      <c r="AL427" s="233" t="e">
        <f t="shared" ref="AL427" si="206">SUM(AL428:AL433)</f>
        <v>#N/A</v>
      </c>
    </row>
    <row r="428" spans="1:38" ht="20.100000000000001" customHeight="1" x14ac:dyDescent="0.2">
      <c r="A428" s="223" t="s">
        <v>551</v>
      </c>
      <c r="B428" s="354" t="s">
        <v>60</v>
      </c>
      <c r="C428" s="137"/>
      <c r="D428" s="137"/>
      <c r="E428" s="137"/>
      <c r="F428" s="137"/>
      <c r="G428" s="137"/>
      <c r="H428" s="137"/>
      <c r="I428" s="137">
        <f t="array" ref="I428">MROUND(SUMPRODUCT(df_commute_infl!$H$2:$N$10000*(df_commute_infl!$F$2:$F$10000&lt;0)*($A428=df_commute_infl!$H$1:$N$1)*(df_commute_infl!$C$2:$C$10000&gt;$A$397)),-5)</f>
        <v>0</v>
      </c>
      <c r="J428" s="137"/>
      <c r="K428" s="137"/>
      <c r="L428" s="137"/>
      <c r="M428" s="137" t="e">
        <f>IF(M410*$I428/$I410&gt;0,MROUND(M410*$I428/$I410,5),MROUND(M410*$I428/$I410,-5))</f>
        <v>#N/A</v>
      </c>
      <c r="N428" s="137" t="e">
        <f t="shared" ref="N428:AL433" si="207">IF(N410*$I428/$I410&gt;0,MROUND(N410*$I428/$I410,5),MROUND(N410*$I428/$I410,-5))</f>
        <v>#N/A</v>
      </c>
      <c r="O428" s="137" t="e">
        <f t="shared" si="207"/>
        <v>#N/A</v>
      </c>
      <c r="P428" s="137" t="e">
        <f t="shared" si="207"/>
        <v>#N/A</v>
      </c>
      <c r="Q428" s="137" t="e">
        <f t="shared" si="207"/>
        <v>#N/A</v>
      </c>
      <c r="R428" s="137" t="e">
        <f t="shared" si="207"/>
        <v>#N/A</v>
      </c>
      <c r="S428" s="137" t="e">
        <f t="shared" si="207"/>
        <v>#N/A</v>
      </c>
      <c r="T428" s="137" t="e">
        <f t="shared" si="207"/>
        <v>#N/A</v>
      </c>
      <c r="U428" s="137" t="e">
        <f t="shared" si="207"/>
        <v>#N/A</v>
      </c>
      <c r="V428" s="137" t="e">
        <f t="shared" si="207"/>
        <v>#N/A</v>
      </c>
      <c r="W428" s="137" t="e">
        <f t="shared" si="207"/>
        <v>#N/A</v>
      </c>
      <c r="X428" s="137" t="e">
        <f t="shared" si="207"/>
        <v>#N/A</v>
      </c>
      <c r="Y428" s="137" t="e">
        <f t="shared" si="207"/>
        <v>#N/A</v>
      </c>
      <c r="Z428" s="137" t="e">
        <f t="shared" si="207"/>
        <v>#N/A</v>
      </c>
      <c r="AA428" s="137" t="e">
        <f t="shared" si="207"/>
        <v>#N/A</v>
      </c>
      <c r="AB428" s="137" t="e">
        <f t="shared" si="207"/>
        <v>#N/A</v>
      </c>
      <c r="AC428" s="137" t="e">
        <f t="shared" si="207"/>
        <v>#N/A</v>
      </c>
      <c r="AD428" s="137" t="e">
        <f t="shared" si="207"/>
        <v>#N/A</v>
      </c>
      <c r="AE428" s="137" t="e">
        <f t="shared" si="207"/>
        <v>#N/A</v>
      </c>
      <c r="AF428" s="137" t="e">
        <f t="shared" si="207"/>
        <v>#N/A</v>
      </c>
      <c r="AG428" s="137" t="e">
        <f t="shared" si="207"/>
        <v>#N/A</v>
      </c>
      <c r="AH428" s="137" t="e">
        <f t="shared" si="207"/>
        <v>#N/A</v>
      </c>
      <c r="AI428" s="137" t="e">
        <f t="shared" si="207"/>
        <v>#N/A</v>
      </c>
      <c r="AJ428" s="137" t="e">
        <f t="shared" si="207"/>
        <v>#N/A</v>
      </c>
      <c r="AK428" s="137" t="e">
        <f t="shared" si="207"/>
        <v>#N/A</v>
      </c>
      <c r="AL428" s="269" t="e">
        <f t="shared" si="207"/>
        <v>#N/A</v>
      </c>
    </row>
    <row r="429" spans="1:38" ht="20.100000000000001" customHeight="1" x14ac:dyDescent="0.2">
      <c r="A429" s="223" t="s">
        <v>552</v>
      </c>
      <c r="B429" s="277" t="s">
        <v>61</v>
      </c>
      <c r="C429" s="111"/>
      <c r="D429" s="111"/>
      <c r="E429" s="111"/>
      <c r="F429" s="111"/>
      <c r="G429" s="111"/>
      <c r="H429" s="111"/>
      <c r="I429" s="111">
        <f t="array" ref="I429">MROUND(SUMPRODUCT(df_commute_infl!$H$2:$N$10000*(df_commute_infl!$F$2:$F$10000&lt;0)*($A429=df_commute_infl!$H$1:$N$1)*(df_commute_infl!$C$2:$C$10000&gt;$A$397)),-5)</f>
        <v>0</v>
      </c>
      <c r="J429" s="111"/>
      <c r="K429" s="111"/>
      <c r="L429" s="111"/>
      <c r="M429" s="111" t="e">
        <f t="shared" ref="M429:AB433" si="208">IF(M411*$I429/$I411&gt;0,MROUND(M411*$I429/$I411,5),MROUND(M411*$I429/$I411,-5))</f>
        <v>#N/A</v>
      </c>
      <c r="N429" s="111" t="e">
        <f t="shared" si="208"/>
        <v>#N/A</v>
      </c>
      <c r="O429" s="111" t="e">
        <f t="shared" si="208"/>
        <v>#N/A</v>
      </c>
      <c r="P429" s="111" t="e">
        <f t="shared" si="208"/>
        <v>#N/A</v>
      </c>
      <c r="Q429" s="111" t="e">
        <f t="shared" si="208"/>
        <v>#N/A</v>
      </c>
      <c r="R429" s="111" t="e">
        <f t="shared" si="208"/>
        <v>#N/A</v>
      </c>
      <c r="S429" s="111" t="e">
        <f t="shared" si="208"/>
        <v>#N/A</v>
      </c>
      <c r="T429" s="111" t="e">
        <f t="shared" si="208"/>
        <v>#N/A</v>
      </c>
      <c r="U429" s="111" t="e">
        <f t="shared" si="208"/>
        <v>#N/A</v>
      </c>
      <c r="V429" s="111" t="e">
        <f t="shared" si="208"/>
        <v>#N/A</v>
      </c>
      <c r="W429" s="111" t="e">
        <f t="shared" si="208"/>
        <v>#N/A</v>
      </c>
      <c r="X429" s="111" t="e">
        <f t="shared" si="208"/>
        <v>#N/A</v>
      </c>
      <c r="Y429" s="111" t="e">
        <f t="shared" si="208"/>
        <v>#N/A</v>
      </c>
      <c r="Z429" s="111" t="e">
        <f t="shared" si="208"/>
        <v>#N/A</v>
      </c>
      <c r="AA429" s="111" t="e">
        <f t="shared" si="208"/>
        <v>#N/A</v>
      </c>
      <c r="AB429" s="111" t="e">
        <f t="shared" si="208"/>
        <v>#N/A</v>
      </c>
      <c r="AC429" s="111" t="e">
        <f t="shared" si="207"/>
        <v>#N/A</v>
      </c>
      <c r="AD429" s="111" t="e">
        <f t="shared" si="207"/>
        <v>#N/A</v>
      </c>
      <c r="AE429" s="111" t="e">
        <f t="shared" si="207"/>
        <v>#N/A</v>
      </c>
      <c r="AF429" s="111" t="e">
        <f t="shared" si="207"/>
        <v>#N/A</v>
      </c>
      <c r="AG429" s="111" t="e">
        <f t="shared" si="207"/>
        <v>#N/A</v>
      </c>
      <c r="AH429" s="111" t="e">
        <f t="shared" si="207"/>
        <v>#N/A</v>
      </c>
      <c r="AI429" s="111" t="e">
        <f t="shared" si="207"/>
        <v>#N/A</v>
      </c>
      <c r="AJ429" s="111" t="e">
        <f t="shared" si="207"/>
        <v>#N/A</v>
      </c>
      <c r="AK429" s="111" t="e">
        <f t="shared" si="207"/>
        <v>#N/A</v>
      </c>
      <c r="AL429" s="181" t="e">
        <f t="shared" si="207"/>
        <v>#N/A</v>
      </c>
    </row>
    <row r="430" spans="1:38" ht="20.100000000000001" customHeight="1" x14ac:dyDescent="0.2">
      <c r="A430" s="223" t="s">
        <v>553</v>
      </c>
      <c r="B430" s="118" t="s">
        <v>62</v>
      </c>
      <c r="C430" s="113"/>
      <c r="D430" s="113"/>
      <c r="E430" s="113"/>
      <c r="F430" s="113"/>
      <c r="G430" s="113"/>
      <c r="H430" s="113"/>
      <c r="I430" s="113">
        <f t="array" ref="I430">MROUND(SUMPRODUCT(df_commute_infl!$H$2:$N$10000*(df_commute_infl!$F$2:$F$10000&lt;0)*($A430=df_commute_infl!$H$1:$N$1)*(df_commute_infl!$C$2:$C$10000&gt;$A$397)),-5)</f>
        <v>0</v>
      </c>
      <c r="J430" s="113"/>
      <c r="K430" s="113"/>
      <c r="L430" s="113"/>
      <c r="M430" s="113" t="e">
        <f t="shared" si="208"/>
        <v>#N/A</v>
      </c>
      <c r="N430" s="113" t="e">
        <f t="shared" si="207"/>
        <v>#N/A</v>
      </c>
      <c r="O430" s="113" t="e">
        <f t="shared" si="207"/>
        <v>#N/A</v>
      </c>
      <c r="P430" s="113" t="e">
        <f t="shared" si="207"/>
        <v>#N/A</v>
      </c>
      <c r="Q430" s="113" t="e">
        <f t="shared" si="207"/>
        <v>#N/A</v>
      </c>
      <c r="R430" s="113" t="e">
        <f t="shared" si="207"/>
        <v>#N/A</v>
      </c>
      <c r="S430" s="113" t="e">
        <f t="shared" si="207"/>
        <v>#N/A</v>
      </c>
      <c r="T430" s="113" t="e">
        <f t="shared" si="207"/>
        <v>#N/A</v>
      </c>
      <c r="U430" s="113" t="e">
        <f t="shared" si="207"/>
        <v>#N/A</v>
      </c>
      <c r="V430" s="113" t="e">
        <f t="shared" si="207"/>
        <v>#N/A</v>
      </c>
      <c r="W430" s="113" t="e">
        <f t="shared" si="207"/>
        <v>#N/A</v>
      </c>
      <c r="X430" s="113" t="e">
        <f t="shared" si="207"/>
        <v>#N/A</v>
      </c>
      <c r="Y430" s="113" t="e">
        <f t="shared" si="207"/>
        <v>#N/A</v>
      </c>
      <c r="Z430" s="113" t="e">
        <f t="shared" si="207"/>
        <v>#N/A</v>
      </c>
      <c r="AA430" s="113" t="e">
        <f t="shared" si="207"/>
        <v>#N/A</v>
      </c>
      <c r="AB430" s="113" t="e">
        <f t="shared" si="207"/>
        <v>#N/A</v>
      </c>
      <c r="AC430" s="113" t="e">
        <f t="shared" si="207"/>
        <v>#N/A</v>
      </c>
      <c r="AD430" s="113" t="e">
        <f t="shared" si="207"/>
        <v>#N/A</v>
      </c>
      <c r="AE430" s="113" t="e">
        <f t="shared" si="207"/>
        <v>#N/A</v>
      </c>
      <c r="AF430" s="113" t="e">
        <f t="shared" si="207"/>
        <v>#N/A</v>
      </c>
      <c r="AG430" s="113" t="e">
        <f t="shared" si="207"/>
        <v>#N/A</v>
      </c>
      <c r="AH430" s="113" t="e">
        <f t="shared" si="207"/>
        <v>#N/A</v>
      </c>
      <c r="AI430" s="113" t="e">
        <f t="shared" si="207"/>
        <v>#N/A</v>
      </c>
      <c r="AJ430" s="113" t="e">
        <f t="shared" si="207"/>
        <v>#N/A</v>
      </c>
      <c r="AK430" s="113" t="e">
        <f t="shared" si="207"/>
        <v>#N/A</v>
      </c>
      <c r="AL430" s="329" t="e">
        <f t="shared" si="207"/>
        <v>#N/A</v>
      </c>
    </row>
    <row r="431" spans="1:38" ht="20.100000000000001" customHeight="1" x14ac:dyDescent="0.2">
      <c r="A431" s="223" t="s">
        <v>554</v>
      </c>
      <c r="B431" s="277" t="s">
        <v>63</v>
      </c>
      <c r="C431" s="111"/>
      <c r="D431" s="111"/>
      <c r="E431" s="111"/>
      <c r="F431" s="111"/>
      <c r="G431" s="111"/>
      <c r="H431" s="111"/>
      <c r="I431" s="111">
        <f t="array" ref="I431">MROUND(SUMPRODUCT(df_commute_infl!$H$2:$N$10000*(df_commute_infl!$F$2:$F$10000&lt;0)*($A431=df_commute_infl!$H$1:$N$1)*(df_commute_infl!$C$2:$C$10000&gt;$A$397)),-5)</f>
        <v>0</v>
      </c>
      <c r="J431" s="111"/>
      <c r="K431" s="111"/>
      <c r="L431" s="111"/>
      <c r="M431" s="111" t="e">
        <f t="shared" si="208"/>
        <v>#N/A</v>
      </c>
      <c r="N431" s="111" t="e">
        <f t="shared" si="207"/>
        <v>#N/A</v>
      </c>
      <c r="O431" s="111" t="e">
        <f t="shared" si="207"/>
        <v>#N/A</v>
      </c>
      <c r="P431" s="111" t="e">
        <f t="shared" si="207"/>
        <v>#N/A</v>
      </c>
      <c r="Q431" s="111" t="e">
        <f t="shared" si="207"/>
        <v>#N/A</v>
      </c>
      <c r="R431" s="111" t="e">
        <f t="shared" si="207"/>
        <v>#N/A</v>
      </c>
      <c r="S431" s="111" t="e">
        <f t="shared" si="207"/>
        <v>#N/A</v>
      </c>
      <c r="T431" s="111" t="e">
        <f t="shared" si="207"/>
        <v>#N/A</v>
      </c>
      <c r="U431" s="111" t="e">
        <f t="shared" si="207"/>
        <v>#N/A</v>
      </c>
      <c r="V431" s="111" t="e">
        <f t="shared" si="207"/>
        <v>#N/A</v>
      </c>
      <c r="W431" s="111" t="e">
        <f t="shared" si="207"/>
        <v>#N/A</v>
      </c>
      <c r="X431" s="111" t="e">
        <f t="shared" si="207"/>
        <v>#N/A</v>
      </c>
      <c r="Y431" s="111" t="e">
        <f t="shared" si="207"/>
        <v>#N/A</v>
      </c>
      <c r="Z431" s="111" t="e">
        <f t="shared" si="207"/>
        <v>#N/A</v>
      </c>
      <c r="AA431" s="111" t="e">
        <f t="shared" si="207"/>
        <v>#N/A</v>
      </c>
      <c r="AB431" s="111" t="e">
        <f t="shared" si="207"/>
        <v>#N/A</v>
      </c>
      <c r="AC431" s="111" t="e">
        <f t="shared" si="207"/>
        <v>#N/A</v>
      </c>
      <c r="AD431" s="111" t="e">
        <f t="shared" si="207"/>
        <v>#N/A</v>
      </c>
      <c r="AE431" s="111" t="e">
        <f t="shared" si="207"/>
        <v>#N/A</v>
      </c>
      <c r="AF431" s="111" t="e">
        <f t="shared" si="207"/>
        <v>#N/A</v>
      </c>
      <c r="AG431" s="111" t="e">
        <f t="shared" si="207"/>
        <v>#N/A</v>
      </c>
      <c r="AH431" s="111" t="e">
        <f t="shared" si="207"/>
        <v>#N/A</v>
      </c>
      <c r="AI431" s="111" t="e">
        <f t="shared" si="207"/>
        <v>#N/A</v>
      </c>
      <c r="AJ431" s="111" t="e">
        <f t="shared" si="207"/>
        <v>#N/A</v>
      </c>
      <c r="AK431" s="111" t="e">
        <f t="shared" si="207"/>
        <v>#N/A</v>
      </c>
      <c r="AL431" s="181" t="e">
        <f t="shared" si="207"/>
        <v>#N/A</v>
      </c>
    </row>
    <row r="432" spans="1:38" ht="20.100000000000001" customHeight="1" x14ac:dyDescent="0.2">
      <c r="A432" s="223" t="s">
        <v>555</v>
      </c>
      <c r="B432" s="118" t="s">
        <v>64</v>
      </c>
      <c r="C432" s="113"/>
      <c r="D432" s="113"/>
      <c r="E432" s="113"/>
      <c r="F432" s="113"/>
      <c r="G432" s="113"/>
      <c r="H432" s="113"/>
      <c r="I432" s="113">
        <f t="array" ref="I432">MROUND(SUMPRODUCT(df_commute_infl!$H$2:$N$10000*(df_commute_infl!$F$2:$F$10000&lt;0)*($A432=df_commute_infl!$H$1:$N$1)*(df_commute_infl!$C$2:$C$10000&gt;$A$397)),-5)</f>
        <v>0</v>
      </c>
      <c r="J432" s="113"/>
      <c r="K432" s="113"/>
      <c r="L432" s="113"/>
      <c r="M432" s="113" t="e">
        <f t="shared" si="208"/>
        <v>#N/A</v>
      </c>
      <c r="N432" s="113" t="e">
        <f t="shared" si="207"/>
        <v>#N/A</v>
      </c>
      <c r="O432" s="113" t="e">
        <f t="shared" si="207"/>
        <v>#N/A</v>
      </c>
      <c r="P432" s="113" t="e">
        <f t="shared" si="207"/>
        <v>#N/A</v>
      </c>
      <c r="Q432" s="113" t="e">
        <f t="shared" si="207"/>
        <v>#N/A</v>
      </c>
      <c r="R432" s="113" t="e">
        <f t="shared" si="207"/>
        <v>#N/A</v>
      </c>
      <c r="S432" s="113" t="e">
        <f t="shared" si="207"/>
        <v>#N/A</v>
      </c>
      <c r="T432" s="113" t="e">
        <f t="shared" si="207"/>
        <v>#N/A</v>
      </c>
      <c r="U432" s="113" t="e">
        <f t="shared" si="207"/>
        <v>#N/A</v>
      </c>
      <c r="V432" s="113" t="e">
        <f t="shared" si="207"/>
        <v>#N/A</v>
      </c>
      <c r="W432" s="113" t="e">
        <f t="shared" si="207"/>
        <v>#N/A</v>
      </c>
      <c r="X432" s="113" t="e">
        <f t="shared" si="207"/>
        <v>#N/A</v>
      </c>
      <c r="Y432" s="113" t="e">
        <f t="shared" si="207"/>
        <v>#N/A</v>
      </c>
      <c r="Z432" s="113" t="e">
        <f t="shared" si="207"/>
        <v>#N/A</v>
      </c>
      <c r="AA432" s="113" t="e">
        <f t="shared" si="207"/>
        <v>#N/A</v>
      </c>
      <c r="AB432" s="113" t="e">
        <f t="shared" si="207"/>
        <v>#N/A</v>
      </c>
      <c r="AC432" s="113" t="e">
        <f t="shared" si="207"/>
        <v>#N/A</v>
      </c>
      <c r="AD432" s="113" t="e">
        <f t="shared" si="207"/>
        <v>#N/A</v>
      </c>
      <c r="AE432" s="113" t="e">
        <f t="shared" si="207"/>
        <v>#N/A</v>
      </c>
      <c r="AF432" s="113" t="e">
        <f t="shared" si="207"/>
        <v>#N/A</v>
      </c>
      <c r="AG432" s="113" t="e">
        <f t="shared" si="207"/>
        <v>#N/A</v>
      </c>
      <c r="AH432" s="113" t="e">
        <f t="shared" si="207"/>
        <v>#N/A</v>
      </c>
      <c r="AI432" s="113" t="e">
        <f t="shared" si="207"/>
        <v>#N/A</v>
      </c>
      <c r="AJ432" s="113" t="e">
        <f t="shared" si="207"/>
        <v>#N/A</v>
      </c>
      <c r="AK432" s="113" t="e">
        <f t="shared" si="207"/>
        <v>#N/A</v>
      </c>
      <c r="AL432" s="329" t="e">
        <f t="shared" si="207"/>
        <v>#N/A</v>
      </c>
    </row>
    <row r="433" spans="1:38" ht="20.100000000000001" customHeight="1" x14ac:dyDescent="0.2">
      <c r="A433" s="223" t="s">
        <v>556</v>
      </c>
      <c r="B433" s="158" t="s">
        <v>558</v>
      </c>
      <c r="C433" s="42"/>
      <c r="D433" s="42"/>
      <c r="E433" s="42"/>
      <c r="F433" s="42"/>
      <c r="G433" s="42"/>
      <c r="H433" s="42"/>
      <c r="I433" s="42">
        <f t="array" ref="I433">MROUND(SUMPRODUCT(df_commute_infl!$H$2:$N$10000*(df_commute_infl!$F$2:$F$10000&lt;0)*($A433=df_commute_infl!$H$1:$N$1)*(df_commute_infl!$C$2:$C$10000&gt;$A$397)),-5)</f>
        <v>0</v>
      </c>
      <c r="J433" s="42"/>
      <c r="K433" s="42"/>
      <c r="L433" s="42"/>
      <c r="M433" s="42" t="e">
        <f t="shared" si="208"/>
        <v>#N/A</v>
      </c>
      <c r="N433" s="42" t="e">
        <f t="shared" si="207"/>
        <v>#N/A</v>
      </c>
      <c r="O433" s="42" t="e">
        <f t="shared" si="207"/>
        <v>#N/A</v>
      </c>
      <c r="P433" s="42" t="e">
        <f t="shared" si="207"/>
        <v>#N/A</v>
      </c>
      <c r="Q433" s="42" t="e">
        <f t="shared" si="207"/>
        <v>#N/A</v>
      </c>
      <c r="R433" s="42" t="e">
        <f t="shared" si="207"/>
        <v>#N/A</v>
      </c>
      <c r="S433" s="42" t="e">
        <f t="shared" si="207"/>
        <v>#N/A</v>
      </c>
      <c r="T433" s="42" t="e">
        <f t="shared" si="207"/>
        <v>#N/A</v>
      </c>
      <c r="U433" s="42" t="e">
        <f t="shared" si="207"/>
        <v>#N/A</v>
      </c>
      <c r="V433" s="42" t="e">
        <f t="shared" si="207"/>
        <v>#N/A</v>
      </c>
      <c r="W433" s="42" t="e">
        <f t="shared" si="207"/>
        <v>#N/A</v>
      </c>
      <c r="X433" s="42" t="e">
        <f t="shared" si="207"/>
        <v>#N/A</v>
      </c>
      <c r="Y433" s="42" t="e">
        <f t="shared" si="207"/>
        <v>#N/A</v>
      </c>
      <c r="Z433" s="42" t="e">
        <f t="shared" si="207"/>
        <v>#N/A</v>
      </c>
      <c r="AA433" s="42" t="e">
        <f t="shared" si="207"/>
        <v>#N/A</v>
      </c>
      <c r="AB433" s="42" t="e">
        <f t="shared" si="207"/>
        <v>#N/A</v>
      </c>
      <c r="AC433" s="42" t="e">
        <f t="shared" si="207"/>
        <v>#N/A</v>
      </c>
      <c r="AD433" s="42" t="e">
        <f t="shared" si="207"/>
        <v>#N/A</v>
      </c>
      <c r="AE433" s="42" t="e">
        <f t="shared" si="207"/>
        <v>#N/A</v>
      </c>
      <c r="AF433" s="42" t="e">
        <f t="shared" si="207"/>
        <v>#N/A</v>
      </c>
      <c r="AG433" s="42" t="e">
        <f t="shared" si="207"/>
        <v>#N/A</v>
      </c>
      <c r="AH433" s="42" t="e">
        <f t="shared" si="207"/>
        <v>#N/A</v>
      </c>
      <c r="AI433" s="42" t="e">
        <f t="shared" si="207"/>
        <v>#N/A</v>
      </c>
      <c r="AJ433" s="42" t="e">
        <f t="shared" si="207"/>
        <v>#N/A</v>
      </c>
      <c r="AK433" s="42" t="e">
        <f t="shared" si="207"/>
        <v>#N/A</v>
      </c>
      <c r="AL433" s="347" t="e">
        <f t="shared" si="207"/>
        <v>#N/A</v>
      </c>
    </row>
    <row r="436" spans="1:38" ht="30" customHeight="1" x14ac:dyDescent="0.2">
      <c r="B436" s="175" t="s">
        <v>600</v>
      </c>
      <c r="C436" s="310"/>
      <c r="D436" s="310"/>
      <c r="E436" s="310"/>
      <c r="F436" s="310"/>
      <c r="G436" s="310"/>
      <c r="H436" s="310"/>
      <c r="I436" s="310"/>
      <c r="J436" s="310"/>
      <c r="K436" s="310"/>
      <c r="L436" s="310"/>
      <c r="M436" s="310"/>
      <c r="N436" s="310"/>
      <c r="O436" s="310"/>
      <c r="P436" s="310"/>
      <c r="Q436" s="310"/>
      <c r="R436" s="310"/>
      <c r="S436" s="310"/>
      <c r="T436" s="310"/>
      <c r="U436" s="310"/>
      <c r="V436" s="310"/>
      <c r="W436" s="310"/>
      <c r="X436" s="310"/>
      <c r="Y436" s="310"/>
      <c r="Z436" s="310"/>
      <c r="AA436" s="310"/>
      <c r="AB436" s="310"/>
      <c r="AC436" s="310"/>
      <c r="AD436" s="310"/>
      <c r="AE436" s="310"/>
      <c r="AF436" s="310"/>
    </row>
    <row r="437" spans="1:38" ht="20.100000000000001" customHeight="1" x14ac:dyDescent="0.2">
      <c r="B437" s="77"/>
      <c r="C437" s="194">
        <v>2015</v>
      </c>
      <c r="D437" s="194">
        <v>2016</v>
      </c>
      <c r="E437" s="194">
        <v>2017</v>
      </c>
      <c r="F437" s="194">
        <v>2018</v>
      </c>
      <c r="G437" s="194">
        <v>2019</v>
      </c>
      <c r="H437" s="194">
        <v>2020</v>
      </c>
      <c r="I437" s="194">
        <v>2021</v>
      </c>
      <c r="J437" s="194">
        <v>2022</v>
      </c>
      <c r="K437" s="194">
        <v>2023</v>
      </c>
      <c r="L437" s="194">
        <v>2024</v>
      </c>
      <c r="M437" s="194">
        <v>2025</v>
      </c>
      <c r="N437" s="194">
        <v>2026</v>
      </c>
      <c r="O437" s="194">
        <v>2027</v>
      </c>
      <c r="P437" s="194">
        <v>2028</v>
      </c>
      <c r="Q437" s="194">
        <v>2029</v>
      </c>
      <c r="R437" s="194">
        <v>2030</v>
      </c>
      <c r="S437" s="194">
        <v>2031</v>
      </c>
      <c r="T437" s="194">
        <v>2032</v>
      </c>
      <c r="U437" s="194">
        <v>2033</v>
      </c>
      <c r="V437" s="194">
        <v>2034</v>
      </c>
      <c r="W437" s="194">
        <v>2035</v>
      </c>
      <c r="X437" s="194">
        <v>2036</v>
      </c>
      <c r="Y437" s="194">
        <v>2037</v>
      </c>
      <c r="Z437" s="194">
        <v>2038</v>
      </c>
      <c r="AA437" s="194">
        <v>2039</v>
      </c>
      <c r="AB437" s="194">
        <v>2040</v>
      </c>
      <c r="AC437" s="194">
        <v>2041</v>
      </c>
      <c r="AD437" s="194">
        <v>2042</v>
      </c>
      <c r="AE437" s="194">
        <v>2043</v>
      </c>
      <c r="AF437" s="194">
        <v>2044</v>
      </c>
      <c r="AG437" s="194">
        <v>2045</v>
      </c>
      <c r="AH437" s="194">
        <v>2046</v>
      </c>
      <c r="AI437" s="194">
        <v>2047</v>
      </c>
      <c r="AJ437" s="194">
        <v>2048</v>
      </c>
      <c r="AK437" s="194">
        <v>2049</v>
      </c>
      <c r="AL437" s="250">
        <v>2050</v>
      </c>
    </row>
    <row r="438" spans="1:38" ht="20.100000000000001" customHeight="1" x14ac:dyDescent="0.2">
      <c r="A438" s="299"/>
    </row>
    <row r="439" spans="1:38" ht="20.100000000000001" customHeight="1" x14ac:dyDescent="0.2">
      <c r="A439" s="223"/>
      <c r="B439" s="77"/>
      <c r="C439" s="194">
        <v>2015</v>
      </c>
      <c r="D439" s="194">
        <v>2016</v>
      </c>
      <c r="E439" s="194">
        <v>2017</v>
      </c>
      <c r="F439" s="194">
        <v>2018</v>
      </c>
      <c r="G439" s="194">
        <v>2019</v>
      </c>
      <c r="H439" s="194">
        <v>2020</v>
      </c>
      <c r="I439" s="194">
        <v>2021</v>
      </c>
      <c r="J439" s="194">
        <v>2022</v>
      </c>
      <c r="K439" s="194">
        <v>2023</v>
      </c>
      <c r="L439" s="194">
        <v>2024</v>
      </c>
      <c r="M439" s="194">
        <v>2025</v>
      </c>
      <c r="N439" s="194">
        <v>2026</v>
      </c>
      <c r="O439" s="194">
        <v>2027</v>
      </c>
      <c r="P439" s="194">
        <v>2028</v>
      </c>
      <c r="Q439" s="194">
        <v>2029</v>
      </c>
      <c r="R439" s="194">
        <v>2030</v>
      </c>
      <c r="S439" s="194">
        <v>2031</v>
      </c>
      <c r="T439" s="194">
        <v>2032</v>
      </c>
      <c r="U439" s="194">
        <v>2033</v>
      </c>
      <c r="V439" s="194">
        <v>2034</v>
      </c>
      <c r="W439" s="194">
        <v>2035</v>
      </c>
      <c r="X439" s="194">
        <v>2036</v>
      </c>
      <c r="Y439" s="194">
        <v>2037</v>
      </c>
      <c r="Z439" s="194">
        <v>2038</v>
      </c>
      <c r="AA439" s="194">
        <v>2039</v>
      </c>
      <c r="AB439" s="194">
        <v>2040</v>
      </c>
      <c r="AC439" s="194">
        <v>2041</v>
      </c>
      <c r="AD439" s="194">
        <v>2042</v>
      </c>
      <c r="AE439" s="194">
        <v>2043</v>
      </c>
      <c r="AF439" s="194">
        <v>2044</v>
      </c>
      <c r="AG439" s="194">
        <v>2045</v>
      </c>
      <c r="AH439" s="194">
        <v>2046</v>
      </c>
      <c r="AI439" s="194">
        <v>2047</v>
      </c>
      <c r="AJ439" s="194">
        <v>2048</v>
      </c>
      <c r="AK439" s="194">
        <v>2049</v>
      </c>
      <c r="AL439" s="250">
        <v>2050</v>
      </c>
    </row>
    <row r="440" spans="1:38" ht="20.100000000000001" customHeight="1" x14ac:dyDescent="0.2">
      <c r="A440" s="223"/>
      <c r="B440" s="43" t="s">
        <v>409</v>
      </c>
      <c r="C440" s="366"/>
      <c r="D440" s="366"/>
      <c r="E440" s="366"/>
      <c r="F440" s="366"/>
      <c r="G440" s="366"/>
      <c r="H440" s="366"/>
      <c r="I440" s="42">
        <f>I389+I418</f>
        <v>0</v>
      </c>
      <c r="J440" s="366"/>
      <c r="K440" s="366"/>
      <c r="L440" s="366"/>
      <c r="M440" s="366" t="e">
        <f t="shared" ref="M440:AL440" si="209">M389+M418</f>
        <v>#N/A</v>
      </c>
      <c r="N440" s="366" t="e">
        <f t="shared" si="209"/>
        <v>#N/A</v>
      </c>
      <c r="O440" s="366" t="e">
        <f t="shared" si="209"/>
        <v>#N/A</v>
      </c>
      <c r="P440" s="366" t="e">
        <f t="shared" si="209"/>
        <v>#N/A</v>
      </c>
      <c r="Q440" s="366" t="e">
        <f t="shared" si="209"/>
        <v>#N/A</v>
      </c>
      <c r="R440" s="366" t="e">
        <f t="shared" si="209"/>
        <v>#N/A</v>
      </c>
      <c r="S440" s="366" t="e">
        <f t="shared" si="209"/>
        <v>#N/A</v>
      </c>
      <c r="T440" s="366" t="e">
        <f t="shared" si="209"/>
        <v>#N/A</v>
      </c>
      <c r="U440" s="366" t="e">
        <f t="shared" si="209"/>
        <v>#N/A</v>
      </c>
      <c r="V440" s="366" t="e">
        <f t="shared" si="209"/>
        <v>#N/A</v>
      </c>
      <c r="W440" s="366" t="e">
        <f t="shared" si="209"/>
        <v>#N/A</v>
      </c>
      <c r="X440" s="366" t="e">
        <f t="shared" si="209"/>
        <v>#N/A</v>
      </c>
      <c r="Y440" s="366" t="e">
        <f t="shared" si="209"/>
        <v>#N/A</v>
      </c>
      <c r="Z440" s="366" t="e">
        <f t="shared" si="209"/>
        <v>#N/A</v>
      </c>
      <c r="AA440" s="366" t="e">
        <f t="shared" si="209"/>
        <v>#N/A</v>
      </c>
      <c r="AB440" s="366" t="e">
        <f t="shared" si="209"/>
        <v>#N/A</v>
      </c>
      <c r="AC440" s="366" t="e">
        <f t="shared" si="209"/>
        <v>#N/A</v>
      </c>
      <c r="AD440" s="366" t="e">
        <f t="shared" si="209"/>
        <v>#N/A</v>
      </c>
      <c r="AE440" s="366" t="e">
        <f t="shared" si="209"/>
        <v>#N/A</v>
      </c>
      <c r="AF440" s="366" t="e">
        <f t="shared" si="209"/>
        <v>#N/A</v>
      </c>
      <c r="AG440" s="366" t="e">
        <f t="shared" si="209"/>
        <v>#N/A</v>
      </c>
      <c r="AH440" s="366" t="e">
        <f t="shared" si="209"/>
        <v>#N/A</v>
      </c>
      <c r="AI440" s="366" t="e">
        <f t="shared" si="209"/>
        <v>#N/A</v>
      </c>
      <c r="AJ440" s="366" t="e">
        <f t="shared" si="209"/>
        <v>#N/A</v>
      </c>
      <c r="AK440" s="366" t="e">
        <f t="shared" si="209"/>
        <v>#N/A</v>
      </c>
      <c r="AL440" s="233" t="e">
        <f t="shared" si="209"/>
        <v>#N/A</v>
      </c>
    </row>
    <row r="441" spans="1:38" ht="20.100000000000001" customHeight="1" x14ac:dyDescent="0.2">
      <c r="A441" s="223"/>
      <c r="B441" s="354" t="s">
        <v>60</v>
      </c>
      <c r="C441" s="137"/>
      <c r="D441" s="137"/>
      <c r="E441" s="137"/>
      <c r="F441" s="137"/>
      <c r="G441" s="137"/>
      <c r="H441" s="137"/>
      <c r="I441" s="137">
        <f>I390+I419</f>
        <v>0</v>
      </c>
      <c r="J441" s="137"/>
      <c r="K441" s="137"/>
      <c r="L441" s="137"/>
      <c r="M441" s="137" t="e">
        <f>M390+M419</f>
        <v>#N/A</v>
      </c>
      <c r="N441" s="137" t="e">
        <f t="shared" ref="N441:AL446" si="210">N390+N419</f>
        <v>#N/A</v>
      </c>
      <c r="O441" s="137" t="e">
        <f t="shared" si="210"/>
        <v>#N/A</v>
      </c>
      <c r="P441" s="137" t="e">
        <f t="shared" si="210"/>
        <v>#N/A</v>
      </c>
      <c r="Q441" s="137" t="e">
        <f t="shared" si="210"/>
        <v>#N/A</v>
      </c>
      <c r="R441" s="137" t="e">
        <f t="shared" si="210"/>
        <v>#N/A</v>
      </c>
      <c r="S441" s="137" t="e">
        <f t="shared" si="210"/>
        <v>#N/A</v>
      </c>
      <c r="T441" s="137" t="e">
        <f t="shared" si="210"/>
        <v>#N/A</v>
      </c>
      <c r="U441" s="137" t="e">
        <f t="shared" si="210"/>
        <v>#N/A</v>
      </c>
      <c r="V441" s="137" t="e">
        <f t="shared" si="210"/>
        <v>#N/A</v>
      </c>
      <c r="W441" s="137" t="e">
        <f t="shared" si="210"/>
        <v>#N/A</v>
      </c>
      <c r="X441" s="137" t="e">
        <f t="shared" si="210"/>
        <v>#N/A</v>
      </c>
      <c r="Y441" s="137" t="e">
        <f t="shared" si="210"/>
        <v>#N/A</v>
      </c>
      <c r="Z441" s="137" t="e">
        <f t="shared" si="210"/>
        <v>#N/A</v>
      </c>
      <c r="AA441" s="137" t="e">
        <f t="shared" si="210"/>
        <v>#N/A</v>
      </c>
      <c r="AB441" s="137" t="e">
        <f t="shared" si="210"/>
        <v>#N/A</v>
      </c>
      <c r="AC441" s="137" t="e">
        <f t="shared" si="210"/>
        <v>#N/A</v>
      </c>
      <c r="AD441" s="137" t="e">
        <f t="shared" si="210"/>
        <v>#N/A</v>
      </c>
      <c r="AE441" s="137" t="e">
        <f t="shared" si="210"/>
        <v>#N/A</v>
      </c>
      <c r="AF441" s="137" t="e">
        <f t="shared" si="210"/>
        <v>#N/A</v>
      </c>
      <c r="AG441" s="137" t="e">
        <f t="shared" si="210"/>
        <v>#N/A</v>
      </c>
      <c r="AH441" s="137" t="e">
        <f t="shared" si="210"/>
        <v>#N/A</v>
      </c>
      <c r="AI441" s="137" t="e">
        <f t="shared" si="210"/>
        <v>#N/A</v>
      </c>
      <c r="AJ441" s="137" t="e">
        <f t="shared" si="210"/>
        <v>#N/A</v>
      </c>
      <c r="AK441" s="137" t="e">
        <f t="shared" si="210"/>
        <v>#N/A</v>
      </c>
      <c r="AL441" s="269" t="e">
        <f t="shared" si="210"/>
        <v>#N/A</v>
      </c>
    </row>
    <row r="442" spans="1:38" ht="20.100000000000001" customHeight="1" x14ac:dyDescent="0.2">
      <c r="A442" s="223"/>
      <c r="B442" s="277" t="s">
        <v>61</v>
      </c>
      <c r="C442" s="111"/>
      <c r="D442" s="111"/>
      <c r="E442" s="111"/>
      <c r="F442" s="111"/>
      <c r="G442" s="111"/>
      <c r="H442" s="111"/>
      <c r="I442" s="111">
        <f t="shared" ref="I442:I446" si="211">I391+I420</f>
        <v>0</v>
      </c>
      <c r="J442" s="111"/>
      <c r="K442" s="111"/>
      <c r="L442" s="111"/>
      <c r="M442" s="111" t="e">
        <f t="shared" ref="M442:AB446" si="212">M391+M420</f>
        <v>#N/A</v>
      </c>
      <c r="N442" s="111" t="e">
        <f t="shared" si="212"/>
        <v>#N/A</v>
      </c>
      <c r="O442" s="111" t="e">
        <f t="shared" si="212"/>
        <v>#N/A</v>
      </c>
      <c r="P442" s="111" t="e">
        <f t="shared" si="212"/>
        <v>#N/A</v>
      </c>
      <c r="Q442" s="111" t="e">
        <f t="shared" si="212"/>
        <v>#N/A</v>
      </c>
      <c r="R442" s="111" t="e">
        <f t="shared" si="212"/>
        <v>#N/A</v>
      </c>
      <c r="S442" s="111" t="e">
        <f t="shared" si="212"/>
        <v>#N/A</v>
      </c>
      <c r="T442" s="111" t="e">
        <f t="shared" si="212"/>
        <v>#N/A</v>
      </c>
      <c r="U442" s="111" t="e">
        <f t="shared" si="212"/>
        <v>#N/A</v>
      </c>
      <c r="V442" s="111" t="e">
        <f t="shared" si="212"/>
        <v>#N/A</v>
      </c>
      <c r="W442" s="111" t="e">
        <f t="shared" si="212"/>
        <v>#N/A</v>
      </c>
      <c r="X442" s="111" t="e">
        <f t="shared" si="212"/>
        <v>#N/A</v>
      </c>
      <c r="Y442" s="111" t="e">
        <f t="shared" si="212"/>
        <v>#N/A</v>
      </c>
      <c r="Z442" s="111" t="e">
        <f t="shared" si="212"/>
        <v>#N/A</v>
      </c>
      <c r="AA442" s="111" t="e">
        <f t="shared" si="212"/>
        <v>#N/A</v>
      </c>
      <c r="AB442" s="111" t="e">
        <f t="shared" si="212"/>
        <v>#N/A</v>
      </c>
      <c r="AC442" s="111" t="e">
        <f t="shared" si="210"/>
        <v>#N/A</v>
      </c>
      <c r="AD442" s="111" t="e">
        <f t="shared" si="210"/>
        <v>#N/A</v>
      </c>
      <c r="AE442" s="111" t="e">
        <f t="shared" si="210"/>
        <v>#N/A</v>
      </c>
      <c r="AF442" s="111" t="e">
        <f t="shared" si="210"/>
        <v>#N/A</v>
      </c>
      <c r="AG442" s="111" t="e">
        <f t="shared" si="210"/>
        <v>#N/A</v>
      </c>
      <c r="AH442" s="111" t="e">
        <f t="shared" si="210"/>
        <v>#N/A</v>
      </c>
      <c r="AI442" s="111" t="e">
        <f t="shared" si="210"/>
        <v>#N/A</v>
      </c>
      <c r="AJ442" s="111" t="e">
        <f t="shared" si="210"/>
        <v>#N/A</v>
      </c>
      <c r="AK442" s="111" t="e">
        <f t="shared" si="210"/>
        <v>#N/A</v>
      </c>
      <c r="AL442" s="181" t="e">
        <f t="shared" si="210"/>
        <v>#N/A</v>
      </c>
    </row>
    <row r="443" spans="1:38" ht="20.100000000000001" customHeight="1" x14ac:dyDescent="0.2">
      <c r="A443" s="223"/>
      <c r="B443" s="118" t="s">
        <v>62</v>
      </c>
      <c r="C443" s="113"/>
      <c r="D443" s="113"/>
      <c r="E443" s="113"/>
      <c r="F443" s="113"/>
      <c r="G443" s="113"/>
      <c r="H443" s="113"/>
      <c r="I443" s="113">
        <f t="shared" si="211"/>
        <v>0</v>
      </c>
      <c r="J443" s="113"/>
      <c r="K443" s="113"/>
      <c r="L443" s="113"/>
      <c r="M443" s="113" t="e">
        <f t="shared" si="212"/>
        <v>#N/A</v>
      </c>
      <c r="N443" s="113" t="e">
        <f t="shared" si="210"/>
        <v>#N/A</v>
      </c>
      <c r="O443" s="113" t="e">
        <f t="shared" si="210"/>
        <v>#N/A</v>
      </c>
      <c r="P443" s="113" t="e">
        <f t="shared" si="210"/>
        <v>#N/A</v>
      </c>
      <c r="Q443" s="113" t="e">
        <f t="shared" si="210"/>
        <v>#N/A</v>
      </c>
      <c r="R443" s="113" t="e">
        <f t="shared" si="210"/>
        <v>#N/A</v>
      </c>
      <c r="S443" s="113" t="e">
        <f t="shared" si="210"/>
        <v>#N/A</v>
      </c>
      <c r="T443" s="113" t="e">
        <f t="shared" si="210"/>
        <v>#N/A</v>
      </c>
      <c r="U443" s="113" t="e">
        <f t="shared" si="210"/>
        <v>#N/A</v>
      </c>
      <c r="V443" s="113" t="e">
        <f t="shared" si="210"/>
        <v>#N/A</v>
      </c>
      <c r="W443" s="113" t="e">
        <f t="shared" si="210"/>
        <v>#N/A</v>
      </c>
      <c r="X443" s="113" t="e">
        <f t="shared" si="210"/>
        <v>#N/A</v>
      </c>
      <c r="Y443" s="113" t="e">
        <f t="shared" si="210"/>
        <v>#N/A</v>
      </c>
      <c r="Z443" s="113" t="e">
        <f t="shared" si="210"/>
        <v>#N/A</v>
      </c>
      <c r="AA443" s="113" t="e">
        <f t="shared" si="210"/>
        <v>#N/A</v>
      </c>
      <c r="AB443" s="113" t="e">
        <f t="shared" si="210"/>
        <v>#N/A</v>
      </c>
      <c r="AC443" s="113" t="e">
        <f t="shared" si="210"/>
        <v>#N/A</v>
      </c>
      <c r="AD443" s="113" t="e">
        <f t="shared" si="210"/>
        <v>#N/A</v>
      </c>
      <c r="AE443" s="113" t="e">
        <f t="shared" si="210"/>
        <v>#N/A</v>
      </c>
      <c r="AF443" s="113" t="e">
        <f t="shared" si="210"/>
        <v>#N/A</v>
      </c>
      <c r="AG443" s="113" t="e">
        <f t="shared" si="210"/>
        <v>#N/A</v>
      </c>
      <c r="AH443" s="113" t="e">
        <f t="shared" si="210"/>
        <v>#N/A</v>
      </c>
      <c r="AI443" s="113" t="e">
        <f t="shared" si="210"/>
        <v>#N/A</v>
      </c>
      <c r="AJ443" s="113" t="e">
        <f t="shared" si="210"/>
        <v>#N/A</v>
      </c>
      <c r="AK443" s="113" t="e">
        <f t="shared" si="210"/>
        <v>#N/A</v>
      </c>
      <c r="AL443" s="329" t="e">
        <f t="shared" si="210"/>
        <v>#N/A</v>
      </c>
    </row>
    <row r="444" spans="1:38" ht="20.100000000000001" customHeight="1" x14ac:dyDescent="0.2">
      <c r="A444" s="223"/>
      <c r="B444" s="277" t="s">
        <v>63</v>
      </c>
      <c r="C444" s="111"/>
      <c r="D444" s="111"/>
      <c r="E444" s="111"/>
      <c r="F444" s="111"/>
      <c r="G444" s="111"/>
      <c r="H444" s="111"/>
      <c r="I444" s="111">
        <f t="shared" si="211"/>
        <v>0</v>
      </c>
      <c r="J444" s="111"/>
      <c r="K444" s="111"/>
      <c r="L444" s="111"/>
      <c r="M444" s="111" t="e">
        <f t="shared" si="212"/>
        <v>#N/A</v>
      </c>
      <c r="N444" s="111" t="e">
        <f t="shared" si="210"/>
        <v>#N/A</v>
      </c>
      <c r="O444" s="111" t="e">
        <f t="shared" si="210"/>
        <v>#N/A</v>
      </c>
      <c r="P444" s="111" t="e">
        <f t="shared" si="210"/>
        <v>#N/A</v>
      </c>
      <c r="Q444" s="111" t="e">
        <f t="shared" si="210"/>
        <v>#N/A</v>
      </c>
      <c r="R444" s="111" t="e">
        <f t="shared" si="210"/>
        <v>#N/A</v>
      </c>
      <c r="S444" s="111" t="e">
        <f t="shared" si="210"/>
        <v>#N/A</v>
      </c>
      <c r="T444" s="111" t="e">
        <f t="shared" si="210"/>
        <v>#N/A</v>
      </c>
      <c r="U444" s="111" t="e">
        <f t="shared" si="210"/>
        <v>#N/A</v>
      </c>
      <c r="V444" s="111" t="e">
        <f t="shared" si="210"/>
        <v>#N/A</v>
      </c>
      <c r="W444" s="111" t="e">
        <f t="shared" si="210"/>
        <v>#N/A</v>
      </c>
      <c r="X444" s="111" t="e">
        <f t="shared" si="210"/>
        <v>#N/A</v>
      </c>
      <c r="Y444" s="111" t="e">
        <f t="shared" si="210"/>
        <v>#N/A</v>
      </c>
      <c r="Z444" s="111" t="e">
        <f t="shared" si="210"/>
        <v>#N/A</v>
      </c>
      <c r="AA444" s="111" t="e">
        <f t="shared" si="210"/>
        <v>#N/A</v>
      </c>
      <c r="AB444" s="111" t="e">
        <f t="shared" si="210"/>
        <v>#N/A</v>
      </c>
      <c r="AC444" s="111" t="e">
        <f t="shared" si="210"/>
        <v>#N/A</v>
      </c>
      <c r="AD444" s="111" t="e">
        <f t="shared" si="210"/>
        <v>#N/A</v>
      </c>
      <c r="AE444" s="111" t="e">
        <f t="shared" si="210"/>
        <v>#N/A</v>
      </c>
      <c r="AF444" s="111" t="e">
        <f t="shared" si="210"/>
        <v>#N/A</v>
      </c>
      <c r="AG444" s="111" t="e">
        <f t="shared" si="210"/>
        <v>#N/A</v>
      </c>
      <c r="AH444" s="111" t="e">
        <f t="shared" si="210"/>
        <v>#N/A</v>
      </c>
      <c r="AI444" s="111" t="e">
        <f t="shared" si="210"/>
        <v>#N/A</v>
      </c>
      <c r="AJ444" s="111" t="e">
        <f t="shared" si="210"/>
        <v>#N/A</v>
      </c>
      <c r="AK444" s="111" t="e">
        <f t="shared" si="210"/>
        <v>#N/A</v>
      </c>
      <c r="AL444" s="181" t="e">
        <f t="shared" si="210"/>
        <v>#N/A</v>
      </c>
    </row>
    <row r="445" spans="1:38" ht="20.100000000000001" customHeight="1" x14ac:dyDescent="0.2">
      <c r="A445" s="223"/>
      <c r="B445" s="118" t="s">
        <v>64</v>
      </c>
      <c r="C445" s="113"/>
      <c r="D445" s="113"/>
      <c r="E445" s="113"/>
      <c r="F445" s="113"/>
      <c r="G445" s="113"/>
      <c r="H445" s="113"/>
      <c r="I445" s="113">
        <f t="shared" si="211"/>
        <v>0</v>
      </c>
      <c r="J445" s="113"/>
      <c r="K445" s="113"/>
      <c r="L445" s="113"/>
      <c r="M445" s="113" t="e">
        <f t="shared" si="212"/>
        <v>#N/A</v>
      </c>
      <c r="N445" s="113" t="e">
        <f t="shared" si="210"/>
        <v>#N/A</v>
      </c>
      <c r="O445" s="113" t="e">
        <f t="shared" si="210"/>
        <v>#N/A</v>
      </c>
      <c r="P445" s="113" t="e">
        <f t="shared" si="210"/>
        <v>#N/A</v>
      </c>
      <c r="Q445" s="113" t="e">
        <f t="shared" si="210"/>
        <v>#N/A</v>
      </c>
      <c r="R445" s="113" t="e">
        <f t="shared" si="210"/>
        <v>#N/A</v>
      </c>
      <c r="S445" s="113" t="e">
        <f t="shared" si="210"/>
        <v>#N/A</v>
      </c>
      <c r="T445" s="113" t="e">
        <f t="shared" si="210"/>
        <v>#N/A</v>
      </c>
      <c r="U445" s="113" t="e">
        <f t="shared" si="210"/>
        <v>#N/A</v>
      </c>
      <c r="V445" s="113" t="e">
        <f t="shared" si="210"/>
        <v>#N/A</v>
      </c>
      <c r="W445" s="113" t="e">
        <f t="shared" si="210"/>
        <v>#N/A</v>
      </c>
      <c r="X445" s="113" t="e">
        <f t="shared" si="210"/>
        <v>#N/A</v>
      </c>
      <c r="Y445" s="113" t="e">
        <f t="shared" si="210"/>
        <v>#N/A</v>
      </c>
      <c r="Z445" s="113" t="e">
        <f t="shared" si="210"/>
        <v>#N/A</v>
      </c>
      <c r="AA445" s="113" t="e">
        <f t="shared" si="210"/>
        <v>#N/A</v>
      </c>
      <c r="AB445" s="113" t="e">
        <f t="shared" si="210"/>
        <v>#N/A</v>
      </c>
      <c r="AC445" s="113" t="e">
        <f t="shared" si="210"/>
        <v>#N/A</v>
      </c>
      <c r="AD445" s="113" t="e">
        <f t="shared" si="210"/>
        <v>#N/A</v>
      </c>
      <c r="AE445" s="113" t="e">
        <f t="shared" si="210"/>
        <v>#N/A</v>
      </c>
      <c r="AF445" s="113" t="e">
        <f t="shared" si="210"/>
        <v>#N/A</v>
      </c>
      <c r="AG445" s="113" t="e">
        <f t="shared" si="210"/>
        <v>#N/A</v>
      </c>
      <c r="AH445" s="113" t="e">
        <f t="shared" si="210"/>
        <v>#N/A</v>
      </c>
      <c r="AI445" s="113" t="e">
        <f t="shared" si="210"/>
        <v>#N/A</v>
      </c>
      <c r="AJ445" s="113" t="e">
        <f t="shared" si="210"/>
        <v>#N/A</v>
      </c>
      <c r="AK445" s="113" t="e">
        <f t="shared" si="210"/>
        <v>#N/A</v>
      </c>
      <c r="AL445" s="329" t="e">
        <f t="shared" si="210"/>
        <v>#N/A</v>
      </c>
    </row>
    <row r="446" spans="1:38" ht="20.100000000000001" customHeight="1" x14ac:dyDescent="0.2">
      <c r="A446" s="223"/>
      <c r="B446" s="158" t="s">
        <v>558</v>
      </c>
      <c r="C446" s="42"/>
      <c r="D446" s="42"/>
      <c r="E446" s="42"/>
      <c r="F446" s="42"/>
      <c r="G446" s="42"/>
      <c r="H446" s="42"/>
      <c r="I446" s="42">
        <f t="shared" si="211"/>
        <v>0</v>
      </c>
      <c r="J446" s="42"/>
      <c r="K446" s="42"/>
      <c r="L446" s="42"/>
      <c r="M446" s="42" t="e">
        <f t="shared" si="212"/>
        <v>#N/A</v>
      </c>
      <c r="N446" s="42" t="e">
        <f t="shared" si="210"/>
        <v>#N/A</v>
      </c>
      <c r="O446" s="42" t="e">
        <f t="shared" si="210"/>
        <v>#N/A</v>
      </c>
      <c r="P446" s="42" t="e">
        <f t="shared" si="210"/>
        <v>#N/A</v>
      </c>
      <c r="Q446" s="42" t="e">
        <f t="shared" si="210"/>
        <v>#N/A</v>
      </c>
      <c r="R446" s="42" t="e">
        <f t="shared" si="210"/>
        <v>#N/A</v>
      </c>
      <c r="S446" s="42" t="e">
        <f t="shared" si="210"/>
        <v>#N/A</v>
      </c>
      <c r="T446" s="42" t="e">
        <f t="shared" si="210"/>
        <v>#N/A</v>
      </c>
      <c r="U446" s="42" t="e">
        <f t="shared" si="210"/>
        <v>#N/A</v>
      </c>
      <c r="V446" s="42" t="e">
        <f t="shared" si="210"/>
        <v>#N/A</v>
      </c>
      <c r="W446" s="42" t="e">
        <f t="shared" si="210"/>
        <v>#N/A</v>
      </c>
      <c r="X446" s="42" t="e">
        <f t="shared" si="210"/>
        <v>#N/A</v>
      </c>
      <c r="Y446" s="42" t="e">
        <f t="shared" si="210"/>
        <v>#N/A</v>
      </c>
      <c r="Z446" s="42" t="e">
        <f t="shared" si="210"/>
        <v>#N/A</v>
      </c>
      <c r="AA446" s="42" t="e">
        <f t="shared" si="210"/>
        <v>#N/A</v>
      </c>
      <c r="AB446" s="42" t="e">
        <f t="shared" si="210"/>
        <v>#N/A</v>
      </c>
      <c r="AC446" s="42" t="e">
        <f t="shared" si="210"/>
        <v>#N/A</v>
      </c>
      <c r="AD446" s="42" t="e">
        <f t="shared" si="210"/>
        <v>#N/A</v>
      </c>
      <c r="AE446" s="42" t="e">
        <f t="shared" si="210"/>
        <v>#N/A</v>
      </c>
      <c r="AF446" s="42" t="e">
        <f t="shared" si="210"/>
        <v>#N/A</v>
      </c>
      <c r="AG446" s="42" t="e">
        <f t="shared" si="210"/>
        <v>#N/A</v>
      </c>
      <c r="AH446" s="42" t="e">
        <f t="shared" si="210"/>
        <v>#N/A</v>
      </c>
      <c r="AI446" s="42" t="e">
        <f t="shared" si="210"/>
        <v>#N/A</v>
      </c>
      <c r="AJ446" s="42" t="e">
        <f t="shared" si="210"/>
        <v>#N/A</v>
      </c>
      <c r="AK446" s="42" t="e">
        <f t="shared" si="210"/>
        <v>#N/A</v>
      </c>
      <c r="AL446" s="347" t="e">
        <f t="shared" si="210"/>
        <v>#N/A</v>
      </c>
    </row>
    <row r="447" spans="1:38" x14ac:dyDescent="0.2">
      <c r="A447" s="223"/>
    </row>
    <row r="448" spans="1:38" ht="20.100000000000001" customHeight="1" x14ac:dyDescent="0.2">
      <c r="A448" s="223"/>
      <c r="B448" s="77"/>
      <c r="C448" s="194">
        <v>2015</v>
      </c>
      <c r="D448" s="194">
        <v>2016</v>
      </c>
      <c r="E448" s="194">
        <v>2017</v>
      </c>
      <c r="F448" s="194">
        <v>2018</v>
      </c>
      <c r="G448" s="194">
        <v>2019</v>
      </c>
      <c r="H448" s="194">
        <v>2020</v>
      </c>
      <c r="I448" s="194">
        <v>2021</v>
      </c>
      <c r="J448" s="194">
        <v>2022</v>
      </c>
      <c r="K448" s="194">
        <v>2023</v>
      </c>
      <c r="L448" s="194">
        <v>2024</v>
      </c>
      <c r="M448" s="194">
        <v>2025</v>
      </c>
      <c r="N448" s="194">
        <v>2026</v>
      </c>
      <c r="O448" s="194">
        <v>2027</v>
      </c>
      <c r="P448" s="194">
        <v>2028</v>
      </c>
      <c r="Q448" s="194">
        <v>2029</v>
      </c>
      <c r="R448" s="194">
        <v>2030</v>
      </c>
      <c r="S448" s="194">
        <v>2031</v>
      </c>
      <c r="T448" s="194">
        <v>2032</v>
      </c>
      <c r="U448" s="194">
        <v>2033</v>
      </c>
      <c r="V448" s="194">
        <v>2034</v>
      </c>
      <c r="W448" s="194">
        <v>2035</v>
      </c>
      <c r="X448" s="194">
        <v>2036</v>
      </c>
      <c r="Y448" s="194">
        <v>2037</v>
      </c>
      <c r="Z448" s="194">
        <v>2038</v>
      </c>
      <c r="AA448" s="194">
        <v>2039</v>
      </c>
      <c r="AB448" s="194">
        <v>2040</v>
      </c>
      <c r="AC448" s="194">
        <v>2041</v>
      </c>
      <c r="AD448" s="194">
        <v>2042</v>
      </c>
      <c r="AE448" s="194">
        <v>2043</v>
      </c>
      <c r="AF448" s="194">
        <v>2044</v>
      </c>
      <c r="AG448" s="194">
        <v>2045</v>
      </c>
      <c r="AH448" s="194">
        <v>2046</v>
      </c>
      <c r="AI448" s="194">
        <v>2047</v>
      </c>
      <c r="AJ448" s="194">
        <v>2048</v>
      </c>
      <c r="AK448" s="194">
        <v>2049</v>
      </c>
      <c r="AL448" s="250">
        <v>2050</v>
      </c>
    </row>
    <row r="449" spans="1:38" ht="20.100000000000001" customHeight="1" x14ac:dyDescent="0.2">
      <c r="A449" s="223"/>
      <c r="B449" s="43" t="s">
        <v>409</v>
      </c>
      <c r="C449" s="366"/>
      <c r="D449" s="366"/>
      <c r="E449" s="366"/>
      <c r="F449" s="366"/>
      <c r="G449" s="366"/>
      <c r="H449" s="366"/>
      <c r="I449" s="42">
        <f>I398+I427</f>
        <v>0</v>
      </c>
      <c r="J449" s="366"/>
      <c r="K449" s="366"/>
      <c r="L449" s="366"/>
      <c r="M449" s="366" t="e">
        <f t="shared" ref="M449:AL449" si="213">M398+M427</f>
        <v>#N/A</v>
      </c>
      <c r="N449" s="366" t="e">
        <f t="shared" si="213"/>
        <v>#N/A</v>
      </c>
      <c r="O449" s="366" t="e">
        <f t="shared" si="213"/>
        <v>#N/A</v>
      </c>
      <c r="P449" s="366" t="e">
        <f t="shared" si="213"/>
        <v>#N/A</v>
      </c>
      <c r="Q449" s="366" t="e">
        <f t="shared" si="213"/>
        <v>#N/A</v>
      </c>
      <c r="R449" s="366" t="e">
        <f t="shared" si="213"/>
        <v>#N/A</v>
      </c>
      <c r="S449" s="366" t="e">
        <f t="shared" si="213"/>
        <v>#N/A</v>
      </c>
      <c r="T449" s="366" t="e">
        <f t="shared" si="213"/>
        <v>#N/A</v>
      </c>
      <c r="U449" s="366" t="e">
        <f t="shared" si="213"/>
        <v>#N/A</v>
      </c>
      <c r="V449" s="366" t="e">
        <f t="shared" si="213"/>
        <v>#N/A</v>
      </c>
      <c r="W449" s="366" t="e">
        <f t="shared" si="213"/>
        <v>#N/A</v>
      </c>
      <c r="X449" s="366" t="e">
        <f t="shared" si="213"/>
        <v>#N/A</v>
      </c>
      <c r="Y449" s="366" t="e">
        <f t="shared" si="213"/>
        <v>#N/A</v>
      </c>
      <c r="Z449" s="366" t="e">
        <f t="shared" si="213"/>
        <v>#N/A</v>
      </c>
      <c r="AA449" s="366" t="e">
        <f t="shared" si="213"/>
        <v>#N/A</v>
      </c>
      <c r="AB449" s="366" t="e">
        <f t="shared" si="213"/>
        <v>#N/A</v>
      </c>
      <c r="AC449" s="366" t="e">
        <f t="shared" si="213"/>
        <v>#N/A</v>
      </c>
      <c r="AD449" s="366" t="e">
        <f t="shared" si="213"/>
        <v>#N/A</v>
      </c>
      <c r="AE449" s="366" t="e">
        <f t="shared" si="213"/>
        <v>#N/A</v>
      </c>
      <c r="AF449" s="366" t="e">
        <f t="shared" si="213"/>
        <v>#N/A</v>
      </c>
      <c r="AG449" s="366" t="e">
        <f t="shared" si="213"/>
        <v>#N/A</v>
      </c>
      <c r="AH449" s="366" t="e">
        <f t="shared" si="213"/>
        <v>#N/A</v>
      </c>
      <c r="AI449" s="366" t="e">
        <f t="shared" si="213"/>
        <v>#N/A</v>
      </c>
      <c r="AJ449" s="366" t="e">
        <f t="shared" si="213"/>
        <v>#N/A</v>
      </c>
      <c r="AK449" s="366" t="e">
        <f t="shared" si="213"/>
        <v>#N/A</v>
      </c>
      <c r="AL449" s="233" t="e">
        <f t="shared" si="213"/>
        <v>#N/A</v>
      </c>
    </row>
    <row r="450" spans="1:38" ht="20.100000000000001" customHeight="1" x14ac:dyDescent="0.2">
      <c r="A450" s="223"/>
      <c r="B450" s="354" t="s">
        <v>60</v>
      </c>
      <c r="C450" s="137"/>
      <c r="D450" s="137"/>
      <c r="E450" s="137"/>
      <c r="F450" s="137"/>
      <c r="G450" s="137"/>
      <c r="H450" s="137"/>
      <c r="I450" s="137">
        <f>I399+I428</f>
        <v>0</v>
      </c>
      <c r="J450" s="137"/>
      <c r="K450" s="137"/>
      <c r="L450" s="137"/>
      <c r="M450" s="137" t="e">
        <f>M399+M428</f>
        <v>#N/A</v>
      </c>
      <c r="N450" s="137" t="e">
        <f t="shared" ref="N450:AL450" si="214">N399+N428</f>
        <v>#N/A</v>
      </c>
      <c r="O450" s="137" t="e">
        <f t="shared" si="214"/>
        <v>#N/A</v>
      </c>
      <c r="P450" s="137" t="e">
        <f t="shared" si="214"/>
        <v>#N/A</v>
      </c>
      <c r="Q450" s="137" t="e">
        <f t="shared" si="214"/>
        <v>#N/A</v>
      </c>
      <c r="R450" s="137" t="e">
        <f t="shared" si="214"/>
        <v>#N/A</v>
      </c>
      <c r="S450" s="137" t="e">
        <f t="shared" si="214"/>
        <v>#N/A</v>
      </c>
      <c r="T450" s="137" t="e">
        <f t="shared" si="214"/>
        <v>#N/A</v>
      </c>
      <c r="U450" s="137" t="e">
        <f t="shared" si="214"/>
        <v>#N/A</v>
      </c>
      <c r="V450" s="137" t="e">
        <f t="shared" si="214"/>
        <v>#N/A</v>
      </c>
      <c r="W450" s="137" t="e">
        <f t="shared" si="214"/>
        <v>#N/A</v>
      </c>
      <c r="X450" s="137" t="e">
        <f t="shared" si="214"/>
        <v>#N/A</v>
      </c>
      <c r="Y450" s="137" t="e">
        <f t="shared" si="214"/>
        <v>#N/A</v>
      </c>
      <c r="Z450" s="137" t="e">
        <f t="shared" si="214"/>
        <v>#N/A</v>
      </c>
      <c r="AA450" s="137" t="e">
        <f t="shared" si="214"/>
        <v>#N/A</v>
      </c>
      <c r="AB450" s="137" t="e">
        <f t="shared" si="214"/>
        <v>#N/A</v>
      </c>
      <c r="AC450" s="137" t="e">
        <f t="shared" si="214"/>
        <v>#N/A</v>
      </c>
      <c r="AD450" s="137" t="e">
        <f t="shared" si="214"/>
        <v>#N/A</v>
      </c>
      <c r="AE450" s="137" t="e">
        <f t="shared" si="214"/>
        <v>#N/A</v>
      </c>
      <c r="AF450" s="137" t="e">
        <f t="shared" si="214"/>
        <v>#N/A</v>
      </c>
      <c r="AG450" s="137" t="e">
        <f t="shared" si="214"/>
        <v>#N/A</v>
      </c>
      <c r="AH450" s="137" t="e">
        <f t="shared" si="214"/>
        <v>#N/A</v>
      </c>
      <c r="AI450" s="137" t="e">
        <f t="shared" si="214"/>
        <v>#N/A</v>
      </c>
      <c r="AJ450" s="137" t="e">
        <f t="shared" si="214"/>
        <v>#N/A</v>
      </c>
      <c r="AK450" s="137" t="e">
        <f t="shared" si="214"/>
        <v>#N/A</v>
      </c>
      <c r="AL450" s="269" t="e">
        <f t="shared" si="214"/>
        <v>#N/A</v>
      </c>
    </row>
    <row r="451" spans="1:38" ht="20.100000000000001" customHeight="1" x14ac:dyDescent="0.2">
      <c r="A451" s="223"/>
      <c r="B451" s="277" t="s">
        <v>61</v>
      </c>
      <c r="C451" s="111"/>
      <c r="D451" s="111"/>
      <c r="E451" s="111"/>
      <c r="F451" s="111"/>
      <c r="G451" s="111"/>
      <c r="H451" s="111"/>
      <c r="I451" s="111">
        <f t="shared" ref="I451:I455" si="215">I400+I429</f>
        <v>0</v>
      </c>
      <c r="J451" s="111"/>
      <c r="K451" s="111"/>
      <c r="L451" s="111"/>
      <c r="M451" s="111" t="e">
        <f t="shared" ref="M451:AL451" si="216">M400+M429</f>
        <v>#N/A</v>
      </c>
      <c r="N451" s="111" t="e">
        <f t="shared" si="216"/>
        <v>#N/A</v>
      </c>
      <c r="O451" s="111" t="e">
        <f t="shared" si="216"/>
        <v>#N/A</v>
      </c>
      <c r="P451" s="111" t="e">
        <f t="shared" si="216"/>
        <v>#N/A</v>
      </c>
      <c r="Q451" s="111" t="e">
        <f t="shared" si="216"/>
        <v>#N/A</v>
      </c>
      <c r="R451" s="111" t="e">
        <f t="shared" si="216"/>
        <v>#N/A</v>
      </c>
      <c r="S451" s="111" t="e">
        <f t="shared" si="216"/>
        <v>#N/A</v>
      </c>
      <c r="T451" s="111" t="e">
        <f t="shared" si="216"/>
        <v>#N/A</v>
      </c>
      <c r="U451" s="111" t="e">
        <f t="shared" si="216"/>
        <v>#N/A</v>
      </c>
      <c r="V451" s="111" t="e">
        <f t="shared" si="216"/>
        <v>#N/A</v>
      </c>
      <c r="W451" s="111" t="e">
        <f t="shared" si="216"/>
        <v>#N/A</v>
      </c>
      <c r="X451" s="111" t="e">
        <f t="shared" si="216"/>
        <v>#N/A</v>
      </c>
      <c r="Y451" s="111" t="e">
        <f t="shared" si="216"/>
        <v>#N/A</v>
      </c>
      <c r="Z451" s="111" t="e">
        <f t="shared" si="216"/>
        <v>#N/A</v>
      </c>
      <c r="AA451" s="111" t="e">
        <f t="shared" si="216"/>
        <v>#N/A</v>
      </c>
      <c r="AB451" s="111" t="e">
        <f t="shared" si="216"/>
        <v>#N/A</v>
      </c>
      <c r="AC451" s="111" t="e">
        <f t="shared" si="216"/>
        <v>#N/A</v>
      </c>
      <c r="AD451" s="111" t="e">
        <f t="shared" si="216"/>
        <v>#N/A</v>
      </c>
      <c r="AE451" s="111" t="e">
        <f t="shared" si="216"/>
        <v>#N/A</v>
      </c>
      <c r="AF451" s="111" t="e">
        <f t="shared" si="216"/>
        <v>#N/A</v>
      </c>
      <c r="AG451" s="111" t="e">
        <f t="shared" si="216"/>
        <v>#N/A</v>
      </c>
      <c r="AH451" s="111" t="e">
        <f t="shared" si="216"/>
        <v>#N/A</v>
      </c>
      <c r="AI451" s="111" t="e">
        <f t="shared" si="216"/>
        <v>#N/A</v>
      </c>
      <c r="AJ451" s="111" t="e">
        <f t="shared" si="216"/>
        <v>#N/A</v>
      </c>
      <c r="AK451" s="111" t="e">
        <f t="shared" si="216"/>
        <v>#N/A</v>
      </c>
      <c r="AL451" s="181" t="e">
        <f t="shared" si="216"/>
        <v>#N/A</v>
      </c>
    </row>
    <row r="452" spans="1:38" ht="20.100000000000001" customHeight="1" x14ac:dyDescent="0.2">
      <c r="A452" s="223"/>
      <c r="B452" s="118" t="s">
        <v>62</v>
      </c>
      <c r="C452" s="113"/>
      <c r="D452" s="113"/>
      <c r="E452" s="113"/>
      <c r="F452" s="113"/>
      <c r="G452" s="113"/>
      <c r="H452" s="113"/>
      <c r="I452" s="113">
        <f t="shared" si="215"/>
        <v>0</v>
      </c>
      <c r="J452" s="113"/>
      <c r="K452" s="113"/>
      <c r="L452" s="113"/>
      <c r="M452" s="113" t="e">
        <f t="shared" ref="M452:AL452" si="217">M401+M430</f>
        <v>#N/A</v>
      </c>
      <c r="N452" s="113" t="e">
        <f t="shared" si="217"/>
        <v>#N/A</v>
      </c>
      <c r="O452" s="113" t="e">
        <f t="shared" si="217"/>
        <v>#N/A</v>
      </c>
      <c r="P452" s="113" t="e">
        <f t="shared" si="217"/>
        <v>#N/A</v>
      </c>
      <c r="Q452" s="113" t="e">
        <f t="shared" si="217"/>
        <v>#N/A</v>
      </c>
      <c r="R452" s="113" t="e">
        <f t="shared" si="217"/>
        <v>#N/A</v>
      </c>
      <c r="S452" s="113" t="e">
        <f t="shared" si="217"/>
        <v>#N/A</v>
      </c>
      <c r="T452" s="113" t="e">
        <f t="shared" si="217"/>
        <v>#N/A</v>
      </c>
      <c r="U452" s="113" t="e">
        <f t="shared" si="217"/>
        <v>#N/A</v>
      </c>
      <c r="V452" s="113" t="e">
        <f t="shared" si="217"/>
        <v>#N/A</v>
      </c>
      <c r="W452" s="113" t="e">
        <f t="shared" si="217"/>
        <v>#N/A</v>
      </c>
      <c r="X452" s="113" t="e">
        <f t="shared" si="217"/>
        <v>#N/A</v>
      </c>
      <c r="Y452" s="113" t="e">
        <f t="shared" si="217"/>
        <v>#N/A</v>
      </c>
      <c r="Z452" s="113" t="e">
        <f t="shared" si="217"/>
        <v>#N/A</v>
      </c>
      <c r="AA452" s="113" t="e">
        <f t="shared" si="217"/>
        <v>#N/A</v>
      </c>
      <c r="AB452" s="113" t="e">
        <f t="shared" si="217"/>
        <v>#N/A</v>
      </c>
      <c r="AC452" s="113" t="e">
        <f t="shared" si="217"/>
        <v>#N/A</v>
      </c>
      <c r="AD452" s="113" t="e">
        <f t="shared" si="217"/>
        <v>#N/A</v>
      </c>
      <c r="AE452" s="113" t="e">
        <f t="shared" si="217"/>
        <v>#N/A</v>
      </c>
      <c r="AF452" s="113" t="e">
        <f t="shared" si="217"/>
        <v>#N/A</v>
      </c>
      <c r="AG452" s="113" t="e">
        <f t="shared" si="217"/>
        <v>#N/A</v>
      </c>
      <c r="AH452" s="113" t="e">
        <f t="shared" si="217"/>
        <v>#N/A</v>
      </c>
      <c r="AI452" s="113" t="e">
        <f t="shared" si="217"/>
        <v>#N/A</v>
      </c>
      <c r="AJ452" s="113" t="e">
        <f t="shared" si="217"/>
        <v>#N/A</v>
      </c>
      <c r="AK452" s="113" t="e">
        <f t="shared" si="217"/>
        <v>#N/A</v>
      </c>
      <c r="AL452" s="329" t="e">
        <f t="shared" si="217"/>
        <v>#N/A</v>
      </c>
    </row>
    <row r="453" spans="1:38" ht="20.100000000000001" customHeight="1" x14ac:dyDescent="0.2">
      <c r="A453" s="223"/>
      <c r="B453" s="277" t="s">
        <v>63</v>
      </c>
      <c r="C453" s="111"/>
      <c r="D453" s="111"/>
      <c r="E453" s="111"/>
      <c r="F453" s="111"/>
      <c r="G453" s="111"/>
      <c r="H453" s="111"/>
      <c r="I453" s="111">
        <f t="shared" si="215"/>
        <v>0</v>
      </c>
      <c r="J453" s="111"/>
      <c r="K453" s="111"/>
      <c r="L453" s="111"/>
      <c r="M453" s="111" t="e">
        <f t="shared" ref="M453:AL453" si="218">M402+M431</f>
        <v>#N/A</v>
      </c>
      <c r="N453" s="111" t="e">
        <f t="shared" si="218"/>
        <v>#N/A</v>
      </c>
      <c r="O453" s="111" t="e">
        <f t="shared" si="218"/>
        <v>#N/A</v>
      </c>
      <c r="P453" s="111" t="e">
        <f t="shared" si="218"/>
        <v>#N/A</v>
      </c>
      <c r="Q453" s="111" t="e">
        <f t="shared" si="218"/>
        <v>#N/A</v>
      </c>
      <c r="R453" s="111" t="e">
        <f t="shared" si="218"/>
        <v>#N/A</v>
      </c>
      <c r="S453" s="111" t="e">
        <f t="shared" si="218"/>
        <v>#N/A</v>
      </c>
      <c r="T453" s="111" t="e">
        <f t="shared" si="218"/>
        <v>#N/A</v>
      </c>
      <c r="U453" s="111" t="e">
        <f t="shared" si="218"/>
        <v>#N/A</v>
      </c>
      <c r="V453" s="111" t="e">
        <f t="shared" si="218"/>
        <v>#N/A</v>
      </c>
      <c r="W453" s="111" t="e">
        <f t="shared" si="218"/>
        <v>#N/A</v>
      </c>
      <c r="X453" s="111" t="e">
        <f t="shared" si="218"/>
        <v>#N/A</v>
      </c>
      <c r="Y453" s="111" t="e">
        <f t="shared" si="218"/>
        <v>#N/A</v>
      </c>
      <c r="Z453" s="111" t="e">
        <f t="shared" si="218"/>
        <v>#N/A</v>
      </c>
      <c r="AA453" s="111" t="e">
        <f t="shared" si="218"/>
        <v>#N/A</v>
      </c>
      <c r="AB453" s="111" t="e">
        <f t="shared" si="218"/>
        <v>#N/A</v>
      </c>
      <c r="AC453" s="111" t="e">
        <f t="shared" si="218"/>
        <v>#N/A</v>
      </c>
      <c r="AD453" s="111" t="e">
        <f t="shared" si="218"/>
        <v>#N/A</v>
      </c>
      <c r="AE453" s="111" t="e">
        <f t="shared" si="218"/>
        <v>#N/A</v>
      </c>
      <c r="AF453" s="111" t="e">
        <f t="shared" si="218"/>
        <v>#N/A</v>
      </c>
      <c r="AG453" s="111" t="e">
        <f t="shared" si="218"/>
        <v>#N/A</v>
      </c>
      <c r="AH453" s="111" t="e">
        <f t="shared" si="218"/>
        <v>#N/A</v>
      </c>
      <c r="AI453" s="111" t="e">
        <f t="shared" si="218"/>
        <v>#N/A</v>
      </c>
      <c r="AJ453" s="111" t="e">
        <f t="shared" si="218"/>
        <v>#N/A</v>
      </c>
      <c r="AK453" s="111" t="e">
        <f t="shared" si="218"/>
        <v>#N/A</v>
      </c>
      <c r="AL453" s="181" t="e">
        <f t="shared" si="218"/>
        <v>#N/A</v>
      </c>
    </row>
    <row r="454" spans="1:38" ht="20.100000000000001" customHeight="1" x14ac:dyDescent="0.2">
      <c r="A454" s="223"/>
      <c r="B454" s="118" t="s">
        <v>64</v>
      </c>
      <c r="C454" s="113"/>
      <c r="D454" s="113"/>
      <c r="E454" s="113"/>
      <c r="F454" s="113"/>
      <c r="G454" s="113"/>
      <c r="H454" s="113"/>
      <c r="I454" s="113">
        <f t="shared" si="215"/>
        <v>0</v>
      </c>
      <c r="J454" s="113"/>
      <c r="K454" s="113"/>
      <c r="L454" s="113"/>
      <c r="M454" s="113" t="e">
        <f t="shared" ref="M454:AL454" si="219">M403+M432</f>
        <v>#N/A</v>
      </c>
      <c r="N454" s="113" t="e">
        <f t="shared" si="219"/>
        <v>#N/A</v>
      </c>
      <c r="O454" s="113" t="e">
        <f t="shared" si="219"/>
        <v>#N/A</v>
      </c>
      <c r="P454" s="113" t="e">
        <f t="shared" si="219"/>
        <v>#N/A</v>
      </c>
      <c r="Q454" s="113" t="e">
        <f t="shared" si="219"/>
        <v>#N/A</v>
      </c>
      <c r="R454" s="113" t="e">
        <f t="shared" si="219"/>
        <v>#N/A</v>
      </c>
      <c r="S454" s="113" t="e">
        <f t="shared" si="219"/>
        <v>#N/A</v>
      </c>
      <c r="T454" s="113" t="e">
        <f t="shared" si="219"/>
        <v>#N/A</v>
      </c>
      <c r="U454" s="113" t="e">
        <f t="shared" si="219"/>
        <v>#N/A</v>
      </c>
      <c r="V454" s="113" t="e">
        <f t="shared" si="219"/>
        <v>#N/A</v>
      </c>
      <c r="W454" s="113" t="e">
        <f t="shared" si="219"/>
        <v>#N/A</v>
      </c>
      <c r="X454" s="113" t="e">
        <f t="shared" si="219"/>
        <v>#N/A</v>
      </c>
      <c r="Y454" s="113" t="e">
        <f t="shared" si="219"/>
        <v>#N/A</v>
      </c>
      <c r="Z454" s="113" t="e">
        <f t="shared" si="219"/>
        <v>#N/A</v>
      </c>
      <c r="AA454" s="113" t="e">
        <f t="shared" si="219"/>
        <v>#N/A</v>
      </c>
      <c r="AB454" s="113" t="e">
        <f t="shared" si="219"/>
        <v>#N/A</v>
      </c>
      <c r="AC454" s="113" t="e">
        <f t="shared" si="219"/>
        <v>#N/A</v>
      </c>
      <c r="AD454" s="113" t="e">
        <f t="shared" si="219"/>
        <v>#N/A</v>
      </c>
      <c r="AE454" s="113" t="e">
        <f t="shared" si="219"/>
        <v>#N/A</v>
      </c>
      <c r="AF454" s="113" t="e">
        <f t="shared" si="219"/>
        <v>#N/A</v>
      </c>
      <c r="AG454" s="113" t="e">
        <f t="shared" si="219"/>
        <v>#N/A</v>
      </c>
      <c r="AH454" s="113" t="e">
        <f t="shared" si="219"/>
        <v>#N/A</v>
      </c>
      <c r="AI454" s="113" t="e">
        <f t="shared" si="219"/>
        <v>#N/A</v>
      </c>
      <c r="AJ454" s="113" t="e">
        <f t="shared" si="219"/>
        <v>#N/A</v>
      </c>
      <c r="AK454" s="113" t="e">
        <f t="shared" si="219"/>
        <v>#N/A</v>
      </c>
      <c r="AL454" s="329" t="e">
        <f t="shared" si="219"/>
        <v>#N/A</v>
      </c>
    </row>
    <row r="455" spans="1:38" ht="20.100000000000001" customHeight="1" x14ac:dyDescent="0.2">
      <c r="A455" s="223"/>
      <c r="B455" s="158" t="s">
        <v>558</v>
      </c>
      <c r="C455" s="42"/>
      <c r="D455" s="42"/>
      <c r="E455" s="42"/>
      <c r="F455" s="42"/>
      <c r="G455" s="42"/>
      <c r="H455" s="42"/>
      <c r="I455" s="42">
        <f t="shared" si="215"/>
        <v>0</v>
      </c>
      <c r="J455" s="42"/>
      <c r="K455" s="42"/>
      <c r="L455" s="42"/>
      <c r="M455" s="42" t="e">
        <f t="shared" ref="M455:AL455" si="220">M404+M433</f>
        <v>#N/A</v>
      </c>
      <c r="N455" s="42" t="e">
        <f t="shared" si="220"/>
        <v>#N/A</v>
      </c>
      <c r="O455" s="42" t="e">
        <f t="shared" si="220"/>
        <v>#N/A</v>
      </c>
      <c r="P455" s="42" t="e">
        <f t="shared" si="220"/>
        <v>#N/A</v>
      </c>
      <c r="Q455" s="42" t="e">
        <f t="shared" si="220"/>
        <v>#N/A</v>
      </c>
      <c r="R455" s="42" t="e">
        <f t="shared" si="220"/>
        <v>#N/A</v>
      </c>
      <c r="S455" s="42" t="e">
        <f t="shared" si="220"/>
        <v>#N/A</v>
      </c>
      <c r="T455" s="42" t="e">
        <f t="shared" si="220"/>
        <v>#N/A</v>
      </c>
      <c r="U455" s="42" t="e">
        <f t="shared" si="220"/>
        <v>#N/A</v>
      </c>
      <c r="V455" s="42" t="e">
        <f t="shared" si="220"/>
        <v>#N/A</v>
      </c>
      <c r="W455" s="42" t="e">
        <f t="shared" si="220"/>
        <v>#N/A</v>
      </c>
      <c r="X455" s="42" t="e">
        <f t="shared" si="220"/>
        <v>#N/A</v>
      </c>
      <c r="Y455" s="42" t="e">
        <f t="shared" si="220"/>
        <v>#N/A</v>
      </c>
      <c r="Z455" s="42" t="e">
        <f t="shared" si="220"/>
        <v>#N/A</v>
      </c>
      <c r="AA455" s="42" t="e">
        <f t="shared" si="220"/>
        <v>#N/A</v>
      </c>
      <c r="AB455" s="42" t="e">
        <f t="shared" si="220"/>
        <v>#N/A</v>
      </c>
      <c r="AC455" s="42" t="e">
        <f t="shared" si="220"/>
        <v>#N/A</v>
      </c>
      <c r="AD455" s="42" t="e">
        <f t="shared" si="220"/>
        <v>#N/A</v>
      </c>
      <c r="AE455" s="42" t="e">
        <f t="shared" si="220"/>
        <v>#N/A</v>
      </c>
      <c r="AF455" s="42" t="e">
        <f t="shared" si="220"/>
        <v>#N/A</v>
      </c>
      <c r="AG455" s="42" t="e">
        <f t="shared" si="220"/>
        <v>#N/A</v>
      </c>
      <c r="AH455" s="42" t="e">
        <f t="shared" si="220"/>
        <v>#N/A</v>
      </c>
      <c r="AI455" s="42" t="e">
        <f t="shared" si="220"/>
        <v>#N/A</v>
      </c>
      <c r="AJ455" s="42" t="e">
        <f t="shared" si="220"/>
        <v>#N/A</v>
      </c>
      <c r="AK455" s="42" t="e">
        <f t="shared" si="220"/>
        <v>#N/A</v>
      </c>
      <c r="AL455" s="347" t="e">
        <f t="shared" si="220"/>
        <v>#N/A</v>
      </c>
    </row>
    <row r="456" spans="1:38" ht="20.100000000000001" customHeight="1" x14ac:dyDescent="0.2">
      <c r="M456" s="1"/>
    </row>
    <row r="457" spans="1:38" ht="20.100000000000001" customHeight="1" x14ac:dyDescent="0.2">
      <c r="B457" s="68" t="s">
        <v>627</v>
      </c>
      <c r="C457" s="130" t="s">
        <v>601</v>
      </c>
      <c r="D457" s="246" t="s">
        <v>409</v>
      </c>
      <c r="E457" s="317" t="s">
        <v>37</v>
      </c>
      <c r="M457" s="1"/>
    </row>
    <row r="458" spans="1:38" ht="20.100000000000001" customHeight="1" x14ac:dyDescent="0.2">
      <c r="B458" s="69" t="s">
        <v>628</v>
      </c>
      <c r="C458" s="157">
        <f>COUNTIFS(df_commute_infl!$F$2:$F$1000,"&gt;"&amp;0,df_commute_infl!$C$2:$C$1000,"&gt;"&amp;0.35)</f>
        <v>0</v>
      </c>
      <c r="D458" s="314">
        <f>I398</f>
        <v>0</v>
      </c>
      <c r="E458" s="108" t="str">
        <f t="array" ref="E458">IFERROR(MROUND(D458*$H$68,5),"x")</f>
        <v>x</v>
      </c>
      <c r="M458" s="1"/>
    </row>
    <row r="459" spans="1:38" ht="20.100000000000001" customHeight="1" x14ac:dyDescent="0.2">
      <c r="B459" s="95" t="s">
        <v>629</v>
      </c>
      <c r="C459" s="90">
        <f t="array" ref="C459">COUNTIFS(df_commute_infl!$F$2:$F$1000,"&lt;"&amp;0,df_commute_infl!$C$2:$C$1000,"&gt;"&amp;0.35)</f>
        <v>0</v>
      </c>
      <c r="D459" s="337">
        <f>-I427</f>
        <v>0</v>
      </c>
      <c r="E459" s="234" t="str">
        <f t="array" ref="E459">IFERROR(MROUND(D459*$H$68,5),"x")</f>
        <v>x</v>
      </c>
      <c r="M459" s="1"/>
    </row>
    <row r="460" spans="1:38" ht="20.100000000000001" customHeight="1" x14ac:dyDescent="0.2">
      <c r="B460" s="97" t="s">
        <v>630</v>
      </c>
      <c r="C460" s="411">
        <f>C458-C459</f>
        <v>0</v>
      </c>
      <c r="D460" s="38">
        <f t="shared" ref="D460:E460" si="221">D458-D459</f>
        <v>0</v>
      </c>
      <c r="E460" s="338" t="str">
        <f t="array" ref="E460">IFERROR(E458-E459,"x")</f>
        <v>x</v>
      </c>
      <c r="M460" s="1"/>
    </row>
    <row r="461" spans="1:38" ht="20.100000000000001" customHeight="1" x14ac:dyDescent="0.2"/>
    <row r="462" spans="1:38" ht="20.100000000000001" customHeight="1" x14ac:dyDescent="0.2"/>
    <row r="463" spans="1:38" ht="30" customHeight="1" x14ac:dyDescent="0.2">
      <c r="B463" s="175" t="s">
        <v>602</v>
      </c>
      <c r="C463" s="310"/>
      <c r="D463" s="310"/>
      <c r="E463" s="310"/>
      <c r="F463" s="310"/>
      <c r="G463" s="310"/>
      <c r="H463" s="310"/>
      <c r="I463" s="310"/>
      <c r="J463" s="310"/>
      <c r="K463" s="310"/>
      <c r="L463" s="310"/>
      <c r="M463" s="310"/>
      <c r="N463" s="310"/>
      <c r="O463" s="310"/>
      <c r="P463" s="310"/>
      <c r="Q463" s="310"/>
      <c r="R463" s="310"/>
      <c r="S463" s="310"/>
      <c r="T463" s="310"/>
      <c r="U463" s="310"/>
      <c r="V463" s="310"/>
      <c r="W463" s="310"/>
      <c r="X463" s="310"/>
      <c r="Y463" s="310"/>
      <c r="Z463" s="310"/>
      <c r="AA463" s="310"/>
      <c r="AB463" s="310"/>
      <c r="AC463" s="310"/>
      <c r="AD463" s="310"/>
      <c r="AE463" s="310"/>
      <c r="AF463" s="310"/>
    </row>
    <row r="465" spans="2:23" ht="20.100000000000001" customHeight="1" x14ac:dyDescent="0.2">
      <c r="B465" s="1213" t="s">
        <v>478</v>
      </c>
      <c r="C465" s="1214"/>
      <c r="D465" s="203">
        <v>2021</v>
      </c>
      <c r="E465" s="194">
        <v>2022</v>
      </c>
      <c r="F465" s="194">
        <v>2023</v>
      </c>
      <c r="G465" s="194">
        <v>2024</v>
      </c>
      <c r="H465" s="194">
        <v>2025</v>
      </c>
      <c r="I465" s="194">
        <v>2026</v>
      </c>
      <c r="J465" s="194">
        <v>2027</v>
      </c>
      <c r="K465" s="194">
        <v>2028</v>
      </c>
      <c r="L465" s="194">
        <v>2029</v>
      </c>
      <c r="M465" s="194">
        <v>2030</v>
      </c>
      <c r="N465" s="194">
        <v>2031</v>
      </c>
      <c r="O465" s="194">
        <v>2032</v>
      </c>
      <c r="P465" s="194">
        <v>2033</v>
      </c>
      <c r="Q465" s="194">
        <v>2034</v>
      </c>
      <c r="R465" s="194">
        <v>2035</v>
      </c>
      <c r="S465" s="194">
        <v>2036</v>
      </c>
      <c r="T465" s="194">
        <v>2037</v>
      </c>
      <c r="U465" s="194">
        <v>2038</v>
      </c>
      <c r="V465" s="194">
        <v>2039</v>
      </c>
      <c r="W465" s="250">
        <v>2040</v>
      </c>
    </row>
    <row r="466" spans="2:23" ht="20.100000000000001" customHeight="1" x14ac:dyDescent="0.2">
      <c r="B466" s="145" t="s">
        <v>479</v>
      </c>
      <c r="C466" s="399"/>
      <c r="D466" s="416" t="e">
        <f t="array" ref="D466:W467">D79:W80</f>
        <v>#N/A</v>
      </c>
      <c r="E466" s="160" t="e">
        <v>#N/A</v>
      </c>
      <c r="F466" s="160" t="e">
        <v>#N/A</v>
      </c>
      <c r="G466" s="160" t="e">
        <v>#N/A</v>
      </c>
      <c r="H466" s="160">
        <v>0</v>
      </c>
      <c r="I466" s="160">
        <v>0</v>
      </c>
      <c r="J466" s="160">
        <v>0</v>
      </c>
      <c r="K466" s="160">
        <v>0</v>
      </c>
      <c r="L466" s="160">
        <v>0</v>
      </c>
      <c r="M466" s="160">
        <v>0</v>
      </c>
      <c r="N466" s="160">
        <v>0</v>
      </c>
      <c r="O466" s="160">
        <v>0</v>
      </c>
      <c r="P466" s="160">
        <v>0</v>
      </c>
      <c r="Q466" s="160">
        <v>0</v>
      </c>
      <c r="R466" s="160">
        <v>0</v>
      </c>
      <c r="S466" s="160">
        <v>0</v>
      </c>
      <c r="T466" s="160">
        <v>0</v>
      </c>
      <c r="U466" s="160">
        <v>0</v>
      </c>
      <c r="V466" s="160">
        <v>0</v>
      </c>
      <c r="W466" s="119">
        <v>0</v>
      </c>
    </row>
    <row r="467" spans="2:23" ht="20.100000000000001" customHeight="1" x14ac:dyDescent="0.2">
      <c r="B467" s="76" t="s">
        <v>480</v>
      </c>
      <c r="C467" s="52"/>
      <c r="D467" s="63" t="e">
        <v>#N/A</v>
      </c>
      <c r="E467" s="404" t="e">
        <v>#N/A</v>
      </c>
      <c r="F467" s="404" t="e">
        <v>#N/A</v>
      </c>
      <c r="G467" s="404" t="e">
        <v>#N/A</v>
      </c>
      <c r="H467" s="404" t="e">
        <v>#N/A</v>
      </c>
      <c r="I467" s="404" t="e">
        <v>#N/A</v>
      </c>
      <c r="J467" s="404" t="e">
        <v>#N/A</v>
      </c>
      <c r="K467" s="404" t="e">
        <v>#N/A</v>
      </c>
      <c r="L467" s="404" t="e">
        <v>#N/A</v>
      </c>
      <c r="M467" s="404" t="e">
        <v>#N/A</v>
      </c>
      <c r="N467" s="404" t="e">
        <v>#N/A</v>
      </c>
      <c r="O467" s="404" t="e">
        <v>#N/A</v>
      </c>
      <c r="P467" s="404" t="e">
        <v>#N/A</v>
      </c>
      <c r="Q467" s="404" t="e">
        <v>#N/A</v>
      </c>
      <c r="R467" s="404" t="e">
        <v>#N/A</v>
      </c>
      <c r="S467" s="404" t="e">
        <v>#N/A</v>
      </c>
      <c r="T467" s="404" t="e">
        <v>#N/A</v>
      </c>
      <c r="U467" s="404" t="e">
        <v>#N/A</v>
      </c>
      <c r="V467" s="404" t="e">
        <v>#N/A</v>
      </c>
      <c r="W467" s="103" t="e">
        <v>#N/A</v>
      </c>
    </row>
    <row r="468" spans="2:23" ht="20.100000000000001" customHeight="1" x14ac:dyDescent="0.2">
      <c r="B468" s="145" t="s">
        <v>481</v>
      </c>
      <c r="C468" s="399"/>
      <c r="D468" s="416"/>
      <c r="E468" s="160"/>
      <c r="F468" s="160"/>
      <c r="G468" s="160"/>
      <c r="H468" s="160"/>
      <c r="I468" s="160" t="e">
        <f t="shared" ref="I468" si="222">I467-H467</f>
        <v>#N/A</v>
      </c>
      <c r="J468" s="160" t="e">
        <f t="shared" ref="J468" si="223">J467-I467</f>
        <v>#N/A</v>
      </c>
      <c r="K468" s="160" t="e">
        <f t="shared" ref="K468" si="224">K467-J467</f>
        <v>#N/A</v>
      </c>
      <c r="L468" s="160" t="e">
        <f t="shared" ref="L468" si="225">L467-K467</f>
        <v>#N/A</v>
      </c>
      <c r="M468" s="160" t="e">
        <f t="shared" ref="M468" si="226">M467-L467</f>
        <v>#N/A</v>
      </c>
      <c r="N468" s="160" t="e">
        <f t="shared" ref="N468" si="227">N467-M467</f>
        <v>#N/A</v>
      </c>
      <c r="O468" s="160" t="e">
        <f t="shared" ref="O468" si="228">O467-N467</f>
        <v>#N/A</v>
      </c>
      <c r="P468" s="160" t="e">
        <f t="shared" ref="P468" si="229">P467-O467</f>
        <v>#N/A</v>
      </c>
      <c r="Q468" s="160" t="e">
        <f t="shared" ref="Q468" si="230">Q467-P467</f>
        <v>#N/A</v>
      </c>
      <c r="R468" s="160" t="e">
        <f t="shared" ref="R468" si="231">R467-Q467</f>
        <v>#N/A</v>
      </c>
      <c r="S468" s="160" t="e">
        <f t="shared" ref="S468" si="232">S467-R467</f>
        <v>#N/A</v>
      </c>
      <c r="T468" s="160" t="e">
        <f t="shared" ref="T468" si="233">T467-S467</f>
        <v>#N/A</v>
      </c>
      <c r="U468" s="160" t="e">
        <f t="shared" ref="U468" si="234">U467-T467</f>
        <v>#N/A</v>
      </c>
      <c r="V468" s="160" t="e">
        <f t="shared" ref="V468" si="235">V467-U467</f>
        <v>#N/A</v>
      </c>
      <c r="W468" s="119" t="e">
        <f t="shared" ref="W468" si="236">W467-V467</f>
        <v>#N/A</v>
      </c>
    </row>
    <row r="469" spans="2:23" ht="20.100000000000001" customHeight="1" x14ac:dyDescent="0.2">
      <c r="B469" s="75" t="s">
        <v>483</v>
      </c>
      <c r="C469" s="284"/>
      <c r="D469" s="91"/>
      <c r="E469" s="113"/>
      <c r="F469" s="113"/>
      <c r="G469" s="113"/>
      <c r="H469" s="113">
        <v>0</v>
      </c>
      <c r="I469" s="113" t="e">
        <f t="shared" ref="I469" si="237">H469+I468</f>
        <v>#N/A</v>
      </c>
      <c r="J469" s="113" t="e">
        <f t="shared" ref="J469" si="238">I469+J468</f>
        <v>#N/A</v>
      </c>
      <c r="K469" s="113" t="e">
        <f t="shared" ref="K469" si="239">J469+K468</f>
        <v>#N/A</v>
      </c>
      <c r="L469" s="113" t="e">
        <f t="shared" ref="L469" si="240">K469+L468</f>
        <v>#N/A</v>
      </c>
      <c r="M469" s="113" t="e">
        <f t="shared" ref="M469" si="241">L469+M468</f>
        <v>#N/A</v>
      </c>
      <c r="N469" s="113" t="e">
        <f t="shared" ref="N469" si="242">M469+N468</f>
        <v>#N/A</v>
      </c>
      <c r="O469" s="113" t="e">
        <f t="shared" ref="O469" si="243">N469+O468</f>
        <v>#N/A</v>
      </c>
      <c r="P469" s="113" t="e">
        <f t="shared" ref="P469" si="244">O469+P468</f>
        <v>#N/A</v>
      </c>
      <c r="Q469" s="113" t="e">
        <f t="shared" ref="Q469" si="245">P469+Q468</f>
        <v>#N/A</v>
      </c>
      <c r="R469" s="113" t="e">
        <f t="shared" ref="R469" si="246">Q469+R468</f>
        <v>#N/A</v>
      </c>
      <c r="S469" s="113" t="e">
        <f t="shared" ref="S469" si="247">R469+S468</f>
        <v>#N/A</v>
      </c>
      <c r="T469" s="113" t="e">
        <f t="shared" ref="T469" si="248">S469+T468</f>
        <v>#N/A</v>
      </c>
      <c r="U469" s="113" t="e">
        <f t="shared" ref="U469" si="249">T469+U468</f>
        <v>#N/A</v>
      </c>
      <c r="V469" s="113" t="e">
        <f t="shared" ref="V469" si="250">U469+V468</f>
        <v>#N/A</v>
      </c>
      <c r="W469" s="329" t="e">
        <f t="shared" ref="W469" si="251">V469+W468</f>
        <v>#N/A</v>
      </c>
    </row>
    <row r="470" spans="2:23" ht="20.100000000000001" customHeight="1" x14ac:dyDescent="0.2">
      <c r="B470" s="258" t="s">
        <v>482</v>
      </c>
      <c r="C470" s="49"/>
      <c r="D470" s="148"/>
      <c r="E470" s="111"/>
      <c r="F470" s="111"/>
      <c r="G470" s="111"/>
      <c r="H470" s="111" t="e">
        <f>D72</f>
        <v>#N/A</v>
      </c>
      <c r="I470" s="111" t="e">
        <f t="shared" ref="I470" si="252">H470</f>
        <v>#N/A</v>
      </c>
      <c r="J470" s="111" t="e">
        <f t="shared" ref="J470" si="253">I470</f>
        <v>#N/A</v>
      </c>
      <c r="K470" s="111" t="e">
        <f t="shared" ref="K470" si="254">J470</f>
        <v>#N/A</v>
      </c>
      <c r="L470" s="111" t="e">
        <f t="shared" ref="L470" si="255">K470</f>
        <v>#N/A</v>
      </c>
      <c r="M470" s="111" t="e">
        <f t="shared" ref="M470" si="256">L470</f>
        <v>#N/A</v>
      </c>
      <c r="N470" s="111" t="e">
        <f t="shared" ref="N470" si="257">M470</f>
        <v>#N/A</v>
      </c>
      <c r="O470" s="111" t="e">
        <f t="shared" ref="O470" si="258">N470</f>
        <v>#N/A</v>
      </c>
      <c r="P470" s="111" t="e">
        <f t="shared" ref="P470" si="259">O470</f>
        <v>#N/A</v>
      </c>
      <c r="Q470" s="111" t="e">
        <f t="shared" ref="Q470" si="260">P470</f>
        <v>#N/A</v>
      </c>
      <c r="R470" s="111" t="e">
        <f t="shared" ref="R470" si="261">Q470</f>
        <v>#N/A</v>
      </c>
      <c r="S470" s="111" t="e">
        <f t="shared" ref="S470" si="262">R470</f>
        <v>#N/A</v>
      </c>
      <c r="T470" s="111" t="e">
        <f t="shared" ref="T470" si="263">S470</f>
        <v>#N/A</v>
      </c>
      <c r="U470" s="111" t="e">
        <f t="shared" ref="U470" si="264">T470</f>
        <v>#N/A</v>
      </c>
      <c r="V470" s="111" t="e">
        <f t="shared" ref="V470" si="265">U470</f>
        <v>#N/A</v>
      </c>
      <c r="W470" s="181" t="e">
        <f t="shared" ref="W470" si="266">V470</f>
        <v>#N/A</v>
      </c>
    </row>
    <row r="471" spans="2:23" ht="20.100000000000001" customHeight="1" x14ac:dyDescent="0.2">
      <c r="B471" s="75" t="s">
        <v>603</v>
      </c>
      <c r="C471" s="284"/>
      <c r="D471" s="91"/>
      <c r="E471" s="113"/>
      <c r="F471" s="113"/>
      <c r="G471" s="113"/>
      <c r="H471" s="113">
        <f>IFERROR(M449,0)</f>
        <v>0</v>
      </c>
      <c r="I471" s="113">
        <f t="shared" ref="I471:W471" si="267">IFERROR(N449,0)</f>
        <v>0</v>
      </c>
      <c r="J471" s="113">
        <f t="shared" si="267"/>
        <v>0</v>
      </c>
      <c r="K471" s="113">
        <f t="shared" si="267"/>
        <v>0</v>
      </c>
      <c r="L471" s="113">
        <f t="shared" si="267"/>
        <v>0</v>
      </c>
      <c r="M471" s="113">
        <f t="shared" si="267"/>
        <v>0</v>
      </c>
      <c r="N471" s="113">
        <f t="shared" si="267"/>
        <v>0</v>
      </c>
      <c r="O471" s="113">
        <f t="shared" si="267"/>
        <v>0</v>
      </c>
      <c r="P471" s="113">
        <f t="shared" si="267"/>
        <v>0</v>
      </c>
      <c r="Q471" s="113">
        <f t="shared" si="267"/>
        <v>0</v>
      </c>
      <c r="R471" s="113">
        <f t="shared" si="267"/>
        <v>0</v>
      </c>
      <c r="S471" s="113">
        <f t="shared" si="267"/>
        <v>0</v>
      </c>
      <c r="T471" s="113">
        <f t="shared" si="267"/>
        <v>0</v>
      </c>
      <c r="U471" s="113">
        <f t="shared" si="267"/>
        <v>0</v>
      </c>
      <c r="V471" s="113">
        <f t="shared" si="267"/>
        <v>0</v>
      </c>
      <c r="W471" s="329">
        <f t="shared" si="267"/>
        <v>0</v>
      </c>
    </row>
    <row r="472" spans="2:23" ht="20.100000000000001" customHeight="1" x14ac:dyDescent="0.2">
      <c r="B472" s="179" t="s">
        <v>477</v>
      </c>
      <c r="C472" s="214"/>
      <c r="D472" s="179"/>
      <c r="E472" s="229"/>
      <c r="F472" s="229"/>
      <c r="G472" s="42"/>
      <c r="H472" s="42" t="e">
        <f>SUM(H469,H470,H471)</f>
        <v>#N/A</v>
      </c>
      <c r="I472" s="42" t="e">
        <f t="shared" ref="I472:W472" si="268">SUM(I469,I470,I471)</f>
        <v>#N/A</v>
      </c>
      <c r="J472" s="42" t="e">
        <f t="shared" si="268"/>
        <v>#N/A</v>
      </c>
      <c r="K472" s="42" t="e">
        <f t="shared" si="268"/>
        <v>#N/A</v>
      </c>
      <c r="L472" s="42" t="e">
        <f t="shared" si="268"/>
        <v>#N/A</v>
      </c>
      <c r="M472" s="42" t="e">
        <f t="shared" si="268"/>
        <v>#N/A</v>
      </c>
      <c r="N472" s="42" t="e">
        <f t="shared" si="268"/>
        <v>#N/A</v>
      </c>
      <c r="O472" s="42" t="e">
        <f t="shared" si="268"/>
        <v>#N/A</v>
      </c>
      <c r="P472" s="42" t="e">
        <f t="shared" si="268"/>
        <v>#N/A</v>
      </c>
      <c r="Q472" s="42" t="e">
        <f t="shared" si="268"/>
        <v>#N/A</v>
      </c>
      <c r="R472" s="42" t="e">
        <f t="shared" si="268"/>
        <v>#N/A</v>
      </c>
      <c r="S472" s="42" t="e">
        <f t="shared" si="268"/>
        <v>#N/A</v>
      </c>
      <c r="T472" s="42" t="e">
        <f t="shared" si="268"/>
        <v>#N/A</v>
      </c>
      <c r="U472" s="42" t="e">
        <f t="shared" si="268"/>
        <v>#N/A</v>
      </c>
      <c r="V472" s="42" t="e">
        <f t="shared" si="268"/>
        <v>#N/A</v>
      </c>
      <c r="W472" s="347" t="e">
        <f t="shared" si="268"/>
        <v>#N/A</v>
      </c>
    </row>
    <row r="473" spans="2:23" ht="20.100000000000001" customHeight="1" x14ac:dyDescent="0.2">
      <c r="B473" s="75" t="s">
        <v>484</v>
      </c>
      <c r="C473" s="284"/>
      <c r="D473" s="75"/>
      <c r="E473" s="355"/>
      <c r="F473" s="355"/>
      <c r="G473" s="113"/>
      <c r="H473" s="113"/>
      <c r="I473" s="137">
        <f>MROUND(AVERAGE(dwell!$C$17:$H$17),5)</f>
        <v>0</v>
      </c>
      <c r="J473" s="137">
        <f>MROUND(AVERAGE(dwell!$C$17:$H$17),5)</f>
        <v>0</v>
      </c>
      <c r="K473" s="137">
        <f>MROUND(AVERAGE(dwell!$C$17:$H$17),5)</f>
        <v>0</v>
      </c>
      <c r="L473" s="137">
        <f>MROUND(AVERAGE(dwell!$C$17:$H$17),5)</f>
        <v>0</v>
      </c>
      <c r="M473" s="137">
        <f>MROUND(AVERAGE(dwell!$C$17:$H$17),5)</f>
        <v>0</v>
      </c>
      <c r="N473" s="137">
        <f>MROUND(AVERAGE(dwell!$C$17:$H$17),5)</f>
        <v>0</v>
      </c>
      <c r="O473" s="137">
        <f>MROUND(AVERAGE(dwell!$C$17:$H$17),5)</f>
        <v>0</v>
      </c>
      <c r="P473" s="137">
        <f>MROUND(AVERAGE(dwell!$C$17:$H$17),5)</f>
        <v>0</v>
      </c>
      <c r="Q473" s="137">
        <f>MROUND(AVERAGE(dwell!$C$17:$H$17),5)</f>
        <v>0</v>
      </c>
      <c r="R473" s="137">
        <f>MROUND(AVERAGE(dwell!$C$17:$H$17),5)</f>
        <v>0</v>
      </c>
      <c r="S473" s="137">
        <f>MROUND(AVERAGE(dwell!$C$17:$H$17),5)</f>
        <v>0</v>
      </c>
      <c r="T473" s="137">
        <f>MROUND(AVERAGE(dwell!$C$17:$H$17),5)</f>
        <v>0</v>
      </c>
      <c r="U473" s="137">
        <f>MROUND(AVERAGE(dwell!$C$17:$H$17),5)</f>
        <v>0</v>
      </c>
      <c r="V473" s="137">
        <f>MROUND(AVERAGE(dwell!$C$17:$H$17),5)</f>
        <v>0</v>
      </c>
      <c r="W473" s="269">
        <f>MROUND(AVERAGE(dwell!$C$17:$H$17),5)</f>
        <v>0</v>
      </c>
    </row>
    <row r="474" spans="2:23" ht="20.100000000000001" customHeight="1" x14ac:dyDescent="0.2">
      <c r="B474" s="258" t="s">
        <v>485</v>
      </c>
      <c r="C474" s="49"/>
      <c r="D474" s="258"/>
      <c r="E474" s="309"/>
      <c r="F474" s="309"/>
      <c r="G474" s="111"/>
      <c r="H474" s="111"/>
      <c r="I474" s="111">
        <f>I473+H474</f>
        <v>0</v>
      </c>
      <c r="J474" s="111">
        <f t="shared" ref="J474" si="269">J473+I474</f>
        <v>0</v>
      </c>
      <c r="K474" s="111">
        <f t="shared" ref="K474" si="270">K473+J474</f>
        <v>0</v>
      </c>
      <c r="L474" s="111">
        <f t="shared" ref="L474" si="271">L473+K474</f>
        <v>0</v>
      </c>
      <c r="M474" s="111">
        <f t="shared" ref="M474" si="272">M473+L474</f>
        <v>0</v>
      </c>
      <c r="N474" s="111">
        <f t="shared" ref="N474" si="273">N473+M474</f>
        <v>0</v>
      </c>
      <c r="O474" s="111">
        <f t="shared" ref="O474" si="274">O473+N474</f>
        <v>0</v>
      </c>
      <c r="P474" s="111">
        <f t="shared" ref="P474" si="275">P473+O474</f>
        <v>0</v>
      </c>
      <c r="Q474" s="111">
        <f t="shared" ref="Q474" si="276">Q473+P474</f>
        <v>0</v>
      </c>
      <c r="R474" s="111">
        <f t="shared" ref="R474" si="277">R473+Q474</f>
        <v>0</v>
      </c>
      <c r="S474" s="111">
        <f t="shared" ref="S474" si="278">S473+R474</f>
        <v>0</v>
      </c>
      <c r="T474" s="111">
        <f t="shared" ref="T474" si="279">T473+S474</f>
        <v>0</v>
      </c>
      <c r="U474" s="111">
        <f t="shared" ref="U474" si="280">U473+T474</f>
        <v>0</v>
      </c>
      <c r="V474" s="111">
        <f t="shared" ref="V474" si="281">V473+U474</f>
        <v>0</v>
      </c>
      <c r="W474" s="181">
        <f t="shared" ref="W474" si="282">W473+V474</f>
        <v>0</v>
      </c>
    </row>
    <row r="475" spans="2:23" ht="20.100000000000001" customHeight="1" x14ac:dyDescent="0.2">
      <c r="B475" s="248" t="s">
        <v>626</v>
      </c>
      <c r="C475" s="132"/>
      <c r="D475" s="248"/>
      <c r="E475" s="107"/>
      <c r="F475" s="107"/>
      <c r="G475" s="373"/>
      <c r="H475" s="373" t="e">
        <f>H472-H474</f>
        <v>#N/A</v>
      </c>
      <c r="I475" s="373" t="e">
        <f t="shared" ref="I475:W475" si="283">I472-I474</f>
        <v>#N/A</v>
      </c>
      <c r="J475" s="373" t="e">
        <f t="shared" si="283"/>
        <v>#N/A</v>
      </c>
      <c r="K475" s="373" t="e">
        <f t="shared" si="283"/>
        <v>#N/A</v>
      </c>
      <c r="L475" s="373" t="e">
        <f t="shared" si="283"/>
        <v>#N/A</v>
      </c>
      <c r="M475" s="373" t="e">
        <f t="shared" si="283"/>
        <v>#N/A</v>
      </c>
      <c r="N475" s="373" t="e">
        <f t="shared" si="283"/>
        <v>#N/A</v>
      </c>
      <c r="O475" s="373" t="e">
        <f t="shared" si="283"/>
        <v>#N/A</v>
      </c>
      <c r="P475" s="373" t="e">
        <f t="shared" si="283"/>
        <v>#N/A</v>
      </c>
      <c r="Q475" s="373" t="e">
        <f t="shared" si="283"/>
        <v>#N/A</v>
      </c>
      <c r="R475" s="373" t="e">
        <f t="shared" si="283"/>
        <v>#N/A</v>
      </c>
      <c r="S475" s="373" t="e">
        <f t="shared" si="283"/>
        <v>#N/A</v>
      </c>
      <c r="T475" s="373" t="e">
        <f t="shared" si="283"/>
        <v>#N/A</v>
      </c>
      <c r="U475" s="373" t="e">
        <f t="shared" si="283"/>
        <v>#N/A</v>
      </c>
      <c r="V475" s="373" t="e">
        <f t="shared" si="283"/>
        <v>#N/A</v>
      </c>
      <c r="W475" s="350" t="e">
        <f t="shared" si="283"/>
        <v>#N/A</v>
      </c>
    </row>
    <row r="495" spans="2:34" ht="50.1" customHeight="1" x14ac:dyDescent="0.2">
      <c r="B495" s="159" t="s">
        <v>635</v>
      </c>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351"/>
      <c r="AD495" s="351"/>
      <c r="AE495" s="351"/>
      <c r="AF495" s="351"/>
      <c r="AG495" s="351"/>
      <c r="AH495" s="351"/>
    </row>
    <row r="497" spans="1:38" ht="30" customHeight="1" x14ac:dyDescent="0.2">
      <c r="B497" s="175" t="s">
        <v>636</v>
      </c>
      <c r="C497" s="310"/>
      <c r="D497" s="310"/>
      <c r="E497" s="310"/>
      <c r="F497" s="310"/>
      <c r="G497" s="310"/>
      <c r="H497" s="310"/>
      <c r="I497" s="310"/>
      <c r="J497" s="310"/>
      <c r="K497" s="310"/>
      <c r="L497" s="310"/>
      <c r="M497" s="310"/>
      <c r="N497" s="310"/>
      <c r="O497" s="310"/>
      <c r="P497" s="310"/>
      <c r="Q497" s="310"/>
      <c r="R497" s="310"/>
      <c r="S497" s="310"/>
      <c r="T497" s="310"/>
      <c r="U497" s="310"/>
      <c r="V497" s="310"/>
      <c r="W497" s="310"/>
      <c r="X497" s="310"/>
      <c r="Y497" s="310"/>
      <c r="Z497" s="310"/>
      <c r="AA497" s="310"/>
      <c r="AB497" s="310"/>
      <c r="AC497" s="310"/>
      <c r="AD497" s="310"/>
      <c r="AE497" s="310"/>
      <c r="AF497" s="310"/>
    </row>
    <row r="498" spans="1:38" ht="20.100000000000001" customHeight="1" x14ac:dyDescent="0.2">
      <c r="B498" s="77"/>
      <c r="C498" s="194">
        <v>2015</v>
      </c>
      <c r="D498" s="194">
        <v>2016</v>
      </c>
      <c r="E498" s="194">
        <v>2017</v>
      </c>
      <c r="F498" s="194">
        <v>2018</v>
      </c>
      <c r="G498" s="194">
        <v>2019</v>
      </c>
      <c r="H498" s="194">
        <v>2020</v>
      </c>
      <c r="I498" s="194">
        <v>2021</v>
      </c>
      <c r="J498" s="194">
        <v>2022</v>
      </c>
      <c r="K498" s="194">
        <v>2023</v>
      </c>
      <c r="L498" s="194">
        <v>2024</v>
      </c>
      <c r="M498" s="194">
        <v>2025</v>
      </c>
      <c r="N498" s="194">
        <v>2026</v>
      </c>
      <c r="O498" s="194">
        <v>2027</v>
      </c>
      <c r="P498" s="194">
        <v>2028</v>
      </c>
      <c r="Q498" s="194">
        <v>2029</v>
      </c>
      <c r="R498" s="194">
        <v>2030</v>
      </c>
      <c r="S498" s="194">
        <v>2031</v>
      </c>
      <c r="T498" s="194">
        <v>2032</v>
      </c>
      <c r="U498" s="194">
        <v>2033</v>
      </c>
      <c r="V498" s="194">
        <v>2034</v>
      </c>
      <c r="W498" s="194">
        <v>2035</v>
      </c>
      <c r="X498" s="194">
        <v>2036</v>
      </c>
      <c r="Y498" s="194">
        <v>2037</v>
      </c>
      <c r="Z498" s="194">
        <v>2038</v>
      </c>
      <c r="AA498" s="194">
        <v>2039</v>
      </c>
      <c r="AB498" s="194">
        <v>2040</v>
      </c>
      <c r="AC498" s="194">
        <v>2041</v>
      </c>
      <c r="AD498" s="194">
        <v>2042</v>
      </c>
      <c r="AE498" s="194">
        <v>2043</v>
      </c>
      <c r="AF498" s="194">
        <v>2044</v>
      </c>
      <c r="AG498" s="194">
        <v>2045</v>
      </c>
      <c r="AH498" s="194">
        <v>2046</v>
      </c>
      <c r="AI498" s="194">
        <v>2047</v>
      </c>
      <c r="AJ498" s="194">
        <v>2048</v>
      </c>
      <c r="AK498" s="194">
        <v>2049</v>
      </c>
      <c r="AL498" s="250">
        <v>2050</v>
      </c>
    </row>
    <row r="499" spans="1:38" ht="20.100000000000001" customHeight="1" x14ac:dyDescent="0.2">
      <c r="A499" s="223"/>
      <c r="B499" s="43" t="s">
        <v>637</v>
      </c>
      <c r="C499" s="366"/>
      <c r="D499" s="366" t="e">
        <f>MROUND(SUM(D23:D27),5)</f>
        <v>#N/A</v>
      </c>
      <c r="E499" s="366"/>
      <c r="F499" s="366"/>
      <c r="G499" s="366"/>
      <c r="H499" s="366"/>
      <c r="I499" s="366" t="e">
        <f>MROUND(SUM(I23:I27),5)</f>
        <v>#N/A</v>
      </c>
      <c r="J499" s="366"/>
      <c r="K499" s="366"/>
      <c r="L499" s="366"/>
      <c r="M499" s="366" t="e">
        <f>MROUND(SUM(M23:M27),5)</f>
        <v>#N/A</v>
      </c>
      <c r="N499" s="366" t="e">
        <f t="shared" ref="N499:AL499" si="284">MROUND(SUM(N23:N27),5)</f>
        <v>#N/A</v>
      </c>
      <c r="O499" s="366" t="e">
        <f t="shared" si="284"/>
        <v>#N/A</v>
      </c>
      <c r="P499" s="366" t="e">
        <f t="shared" si="284"/>
        <v>#N/A</v>
      </c>
      <c r="Q499" s="366" t="e">
        <f t="shared" si="284"/>
        <v>#N/A</v>
      </c>
      <c r="R499" s="366" t="e">
        <f t="shared" si="284"/>
        <v>#N/A</v>
      </c>
      <c r="S499" s="366" t="e">
        <f t="shared" si="284"/>
        <v>#N/A</v>
      </c>
      <c r="T499" s="366" t="e">
        <f t="shared" si="284"/>
        <v>#N/A</v>
      </c>
      <c r="U499" s="366" t="e">
        <f t="shared" si="284"/>
        <v>#N/A</v>
      </c>
      <c r="V499" s="366" t="e">
        <f t="shared" si="284"/>
        <v>#N/A</v>
      </c>
      <c r="W499" s="366" t="e">
        <f t="shared" si="284"/>
        <v>#N/A</v>
      </c>
      <c r="X499" s="366" t="e">
        <f t="shared" si="284"/>
        <v>#N/A</v>
      </c>
      <c r="Y499" s="366" t="e">
        <f t="shared" si="284"/>
        <v>#N/A</v>
      </c>
      <c r="Z499" s="366" t="e">
        <f t="shared" si="284"/>
        <v>#N/A</v>
      </c>
      <c r="AA499" s="366" t="e">
        <f t="shared" si="284"/>
        <v>#N/A</v>
      </c>
      <c r="AB499" s="366" t="e">
        <f t="shared" si="284"/>
        <v>#N/A</v>
      </c>
      <c r="AC499" s="366" t="e">
        <f t="shared" si="284"/>
        <v>#N/A</v>
      </c>
      <c r="AD499" s="366" t="e">
        <f t="shared" si="284"/>
        <v>#N/A</v>
      </c>
      <c r="AE499" s="366" t="e">
        <f t="shared" si="284"/>
        <v>#N/A</v>
      </c>
      <c r="AF499" s="366" t="e">
        <f t="shared" si="284"/>
        <v>#N/A</v>
      </c>
      <c r="AG499" s="366" t="e">
        <f t="shared" si="284"/>
        <v>#N/A</v>
      </c>
      <c r="AH499" s="366" t="e">
        <f t="shared" si="284"/>
        <v>#N/A</v>
      </c>
      <c r="AI499" s="366" t="e">
        <f t="shared" si="284"/>
        <v>#N/A</v>
      </c>
      <c r="AJ499" s="366" t="e">
        <f t="shared" si="284"/>
        <v>#N/A</v>
      </c>
      <c r="AK499" s="366" t="e">
        <f t="shared" si="284"/>
        <v>#N/A</v>
      </c>
      <c r="AL499" s="233" t="e">
        <f t="shared" si="284"/>
        <v>#N/A</v>
      </c>
    </row>
    <row r="500" spans="1:38" ht="20.100000000000001" customHeight="1" x14ac:dyDescent="0.2">
      <c r="B500" s="354" t="s">
        <v>638</v>
      </c>
      <c r="C500" s="137"/>
      <c r="D500" s="137" t="e">
        <f t="array" ref="D500">MROUND(D499*(1-INDEX(df_disa!$F$2:$F$100, MATCH(1, ($C$2 = df_disa!$B$2:$B$100) * (df_disa!$D$2:$D$100 = "Total with disability") * ("65+" = df_disa!$C$2:$C$100), 0), 0)),5)</f>
        <v>#N/A</v>
      </c>
      <c r="E500" s="137"/>
      <c r="F500" s="137"/>
      <c r="G500" s="137"/>
      <c r="H500" s="137"/>
      <c r="I500" s="137" t="e">
        <f t="array" ref="I500">MROUND(I499*(1-INDEX(df_disa!$F$2:$F$100, MATCH(1, ($C$2 = df_disa!$B$2:$B$100) * (df_disa!$D$2:$D$100 = "Total with disability") * ("65+" = df_disa!$C$2:$C$100), 0), 0)),5)</f>
        <v>#N/A</v>
      </c>
      <c r="J500" s="137"/>
      <c r="K500" s="137"/>
      <c r="L500" s="137"/>
      <c r="M500" s="137" t="e">
        <f t="array" ref="M500">MROUND(M499*(1-INDEX(df_disa!$F$2:$F$100, MATCH(1, ($C$2 = df_disa!$B$2:$B$100) * (df_disa!$D$2:$D$100 = "Total with disability") * ("65+" = df_disa!$C$2:$C$100), 0), 0)),5)</f>
        <v>#N/A</v>
      </c>
      <c r="N500" s="137" t="e">
        <f t="array" ref="N500">MROUND(N499*(1-INDEX(df_disa!$F$2:$F$100, MATCH(1, ($C$2 = df_disa!$B$2:$B$100) * (df_disa!$D$2:$D$100 = "Total with disability") * ("65+" = df_disa!$C$2:$C$100), 0), 0)),5)</f>
        <v>#N/A</v>
      </c>
      <c r="O500" s="137" t="e">
        <f t="array" ref="O500">MROUND(O499*(1-INDEX(df_disa!$F$2:$F$100, MATCH(1, ($C$2 = df_disa!$B$2:$B$100) * (df_disa!$D$2:$D$100 = "Total with disability") * ("65+" = df_disa!$C$2:$C$100), 0), 0)),5)</f>
        <v>#N/A</v>
      </c>
      <c r="P500" s="137" t="e">
        <f t="array" ref="P500">MROUND(P499*(1-INDEX(df_disa!$F$2:$F$100, MATCH(1, ($C$2 = df_disa!$B$2:$B$100) * (df_disa!$D$2:$D$100 = "Total with disability") * ("65+" = df_disa!$C$2:$C$100), 0), 0)),5)</f>
        <v>#N/A</v>
      </c>
      <c r="Q500" s="137" t="e">
        <f t="array" ref="Q500">MROUND(Q499*(1-INDEX(df_disa!$F$2:$F$100, MATCH(1, ($C$2 = df_disa!$B$2:$B$100) * (df_disa!$D$2:$D$100 = "Total with disability") * ("65+" = df_disa!$C$2:$C$100), 0), 0)),5)</f>
        <v>#N/A</v>
      </c>
      <c r="R500" s="137" t="e">
        <f t="array" ref="R500">MROUND(R499*(1-INDEX(df_disa!$F$2:$F$100, MATCH(1, ($C$2 = df_disa!$B$2:$B$100) * (df_disa!$D$2:$D$100 = "Total with disability") * ("65+" = df_disa!$C$2:$C$100), 0), 0)),5)</f>
        <v>#N/A</v>
      </c>
      <c r="S500" s="137" t="e">
        <f t="array" ref="S500">MROUND(S499*(1-INDEX(df_disa!$F$2:$F$100, MATCH(1, ($C$2 = df_disa!$B$2:$B$100) * (df_disa!$D$2:$D$100 = "Total with disability") * ("65+" = df_disa!$C$2:$C$100), 0), 0)),5)</f>
        <v>#N/A</v>
      </c>
      <c r="T500" s="137" t="e">
        <f t="array" ref="T500">MROUND(T499*(1-INDEX(df_disa!$F$2:$F$100, MATCH(1, ($C$2 = df_disa!$B$2:$B$100) * (df_disa!$D$2:$D$100 = "Total with disability") * ("65+" = df_disa!$C$2:$C$100), 0), 0)),5)</f>
        <v>#N/A</v>
      </c>
      <c r="U500" s="137" t="e">
        <f t="array" ref="U500">MROUND(U499*(1-INDEX(df_disa!$F$2:$F$100, MATCH(1, ($C$2 = df_disa!$B$2:$B$100) * (df_disa!$D$2:$D$100 = "Total with disability") * ("65+" = df_disa!$C$2:$C$100), 0), 0)),5)</f>
        <v>#N/A</v>
      </c>
      <c r="V500" s="137" t="e">
        <f t="array" ref="V500">MROUND(V499*(1-INDEX(df_disa!$F$2:$F$100, MATCH(1, ($C$2 = df_disa!$B$2:$B$100) * (df_disa!$D$2:$D$100 = "Total with disability") * ("65+" = df_disa!$C$2:$C$100), 0), 0)),5)</f>
        <v>#N/A</v>
      </c>
      <c r="W500" s="137" t="e">
        <f t="array" ref="W500">MROUND(W499*(1-INDEX(df_disa!$F$2:$F$100, MATCH(1, ($C$2 = df_disa!$B$2:$B$100) * (df_disa!$D$2:$D$100 = "Total with disability") * ("65+" = df_disa!$C$2:$C$100), 0), 0)),5)</f>
        <v>#N/A</v>
      </c>
      <c r="X500" s="137" t="e">
        <f t="array" ref="X500">MROUND(X499*(1-INDEX(df_disa!$F$2:$F$100, MATCH(1, ($C$2 = df_disa!$B$2:$B$100) * (df_disa!$D$2:$D$100 = "Total with disability") * ("65+" = df_disa!$C$2:$C$100), 0), 0)),5)</f>
        <v>#N/A</v>
      </c>
      <c r="Y500" s="137" t="e">
        <f t="array" ref="Y500">MROUND(Y499*(1-INDEX(df_disa!$F$2:$F$100, MATCH(1, ($C$2 = df_disa!$B$2:$B$100) * (df_disa!$D$2:$D$100 = "Total with disability") * ("65+" = df_disa!$C$2:$C$100), 0), 0)),5)</f>
        <v>#N/A</v>
      </c>
      <c r="Z500" s="137" t="e">
        <f t="array" ref="Z500">MROUND(Z499*(1-INDEX(df_disa!$F$2:$F$100, MATCH(1, ($C$2 = df_disa!$B$2:$B$100) * (df_disa!$D$2:$D$100 = "Total with disability") * ("65+" = df_disa!$C$2:$C$100), 0), 0)),5)</f>
        <v>#N/A</v>
      </c>
      <c r="AA500" s="137" t="e">
        <f t="array" ref="AA500">MROUND(AA499*(1-INDEX(df_disa!$F$2:$F$100, MATCH(1, ($C$2 = df_disa!$B$2:$B$100) * (df_disa!$D$2:$D$100 = "Total with disability") * ("65+" = df_disa!$C$2:$C$100), 0), 0)),5)</f>
        <v>#N/A</v>
      </c>
      <c r="AB500" s="137" t="e">
        <f t="array" ref="AB500">MROUND(AB499*(1-INDEX(df_disa!$F$2:$F$100, MATCH(1, ($C$2 = df_disa!$B$2:$B$100) * (df_disa!$D$2:$D$100 = "Total with disability") * ("65+" = df_disa!$C$2:$C$100), 0), 0)),5)</f>
        <v>#N/A</v>
      </c>
      <c r="AC500" s="137" t="e">
        <f t="array" ref="AC500">MROUND(AC499*(1-INDEX(df_disa!$F$2:$F$100, MATCH(1, ($C$2 = df_disa!$B$2:$B$100) * (df_disa!$D$2:$D$100 = "Total with disability") * ("65+" = df_disa!$C$2:$C$100), 0), 0)),5)</f>
        <v>#N/A</v>
      </c>
      <c r="AD500" s="137" t="e">
        <f t="array" ref="AD500">MROUND(AD499*(1-INDEX(df_disa!$F$2:$F$100, MATCH(1, ($C$2 = df_disa!$B$2:$B$100) * (df_disa!$D$2:$D$100 = "Total with disability") * ("65+" = df_disa!$C$2:$C$100), 0), 0)),5)</f>
        <v>#N/A</v>
      </c>
      <c r="AE500" s="137" t="e">
        <f t="array" ref="AE500">MROUND(AE499*(1-INDEX(df_disa!$F$2:$F$100, MATCH(1, ($C$2 = df_disa!$B$2:$B$100) * (df_disa!$D$2:$D$100 = "Total with disability") * ("65+" = df_disa!$C$2:$C$100), 0), 0)),5)</f>
        <v>#N/A</v>
      </c>
      <c r="AF500" s="137" t="e">
        <f t="array" ref="AF500">MROUND(AF499*(1-INDEX(df_disa!$F$2:$F$100, MATCH(1, ($C$2 = df_disa!$B$2:$B$100) * (df_disa!$D$2:$D$100 = "Total with disability") * ("65+" = df_disa!$C$2:$C$100), 0), 0)),5)</f>
        <v>#N/A</v>
      </c>
      <c r="AG500" s="137" t="e">
        <f t="array" ref="AG500">MROUND(AG499*(1-INDEX(df_disa!$F$2:$F$100, MATCH(1, ($C$2 = df_disa!$B$2:$B$100) * (df_disa!$D$2:$D$100 = "Total with disability") * ("65+" = df_disa!$C$2:$C$100), 0), 0)),5)</f>
        <v>#N/A</v>
      </c>
      <c r="AH500" s="137" t="e">
        <f t="array" ref="AH500">MROUND(AH499*(1-INDEX(df_disa!$F$2:$F$100, MATCH(1, ($C$2 = df_disa!$B$2:$B$100) * (df_disa!$D$2:$D$100 = "Total with disability") * ("65+" = df_disa!$C$2:$C$100), 0), 0)),5)</f>
        <v>#N/A</v>
      </c>
      <c r="AI500" s="137" t="e">
        <f t="array" ref="AI500">MROUND(AI499*(1-INDEX(df_disa!$F$2:$F$100, MATCH(1, ($C$2 = df_disa!$B$2:$B$100) * (df_disa!$D$2:$D$100 = "Total with disability") * ("65+" = df_disa!$C$2:$C$100), 0), 0)),5)</f>
        <v>#N/A</v>
      </c>
      <c r="AJ500" s="137" t="e">
        <f t="array" ref="AJ500">MROUND(AJ499*(1-INDEX(df_disa!$F$2:$F$100, MATCH(1, ($C$2 = df_disa!$B$2:$B$100) * (df_disa!$D$2:$D$100 = "Total with disability") * ("65+" = df_disa!$C$2:$C$100), 0), 0)),5)</f>
        <v>#N/A</v>
      </c>
      <c r="AK500" s="137" t="e">
        <f t="array" ref="AK500">MROUND(AK499*(1-INDEX(df_disa!$F$2:$F$100, MATCH(1, ($C$2 = df_disa!$B$2:$B$100) * (df_disa!$D$2:$D$100 = "Total with disability") * ("65+" = df_disa!$C$2:$C$100), 0), 0)),5)</f>
        <v>#N/A</v>
      </c>
      <c r="AL500" s="269" t="e">
        <f t="array" ref="AL500">MROUND(AL499*(1-INDEX(df_disa!$F$2:$F$100, MATCH(1, ($C$2 = df_disa!$B$2:$B$100) * (df_disa!$D$2:$D$100 = "Total with disability") * ("65+" = df_disa!$C$2:$C$100), 0), 0)),5)</f>
        <v>#N/A</v>
      </c>
    </row>
    <row r="501" spans="1:38" ht="19.5" customHeight="1" x14ac:dyDescent="0.2">
      <c r="B501" s="277" t="s">
        <v>639</v>
      </c>
      <c r="C501" s="111"/>
      <c r="D501" s="111" t="e">
        <f>D499-D500</f>
        <v>#N/A</v>
      </c>
      <c r="E501" s="111"/>
      <c r="F501" s="111"/>
      <c r="G501" s="111"/>
      <c r="H501" s="111"/>
      <c r="I501" s="111" t="e">
        <f>I499-I500</f>
        <v>#N/A</v>
      </c>
      <c r="J501" s="111"/>
      <c r="K501" s="111"/>
      <c r="L501" s="111"/>
      <c r="M501" s="111" t="e">
        <f>M499-M500</f>
        <v>#N/A</v>
      </c>
      <c r="N501" s="111" t="e">
        <f t="shared" ref="N501:AL501" si="285">N499-N500</f>
        <v>#N/A</v>
      </c>
      <c r="O501" s="111" t="e">
        <f t="shared" si="285"/>
        <v>#N/A</v>
      </c>
      <c r="P501" s="111" t="e">
        <f t="shared" si="285"/>
        <v>#N/A</v>
      </c>
      <c r="Q501" s="111" t="e">
        <f t="shared" si="285"/>
        <v>#N/A</v>
      </c>
      <c r="R501" s="111" t="e">
        <f t="shared" si="285"/>
        <v>#N/A</v>
      </c>
      <c r="S501" s="111" t="e">
        <f t="shared" si="285"/>
        <v>#N/A</v>
      </c>
      <c r="T501" s="111" t="e">
        <f t="shared" si="285"/>
        <v>#N/A</v>
      </c>
      <c r="U501" s="111" t="e">
        <f t="shared" si="285"/>
        <v>#N/A</v>
      </c>
      <c r="V501" s="111" t="e">
        <f t="shared" si="285"/>
        <v>#N/A</v>
      </c>
      <c r="W501" s="111" t="e">
        <f t="shared" si="285"/>
        <v>#N/A</v>
      </c>
      <c r="X501" s="111" t="e">
        <f t="shared" si="285"/>
        <v>#N/A</v>
      </c>
      <c r="Y501" s="111" t="e">
        <f t="shared" si="285"/>
        <v>#N/A</v>
      </c>
      <c r="Z501" s="111" t="e">
        <f t="shared" si="285"/>
        <v>#N/A</v>
      </c>
      <c r="AA501" s="111" t="e">
        <f t="shared" si="285"/>
        <v>#N/A</v>
      </c>
      <c r="AB501" s="111" t="e">
        <f t="shared" si="285"/>
        <v>#N/A</v>
      </c>
      <c r="AC501" s="111" t="e">
        <f t="shared" si="285"/>
        <v>#N/A</v>
      </c>
      <c r="AD501" s="111" t="e">
        <f t="shared" si="285"/>
        <v>#N/A</v>
      </c>
      <c r="AE501" s="111" t="e">
        <f t="shared" si="285"/>
        <v>#N/A</v>
      </c>
      <c r="AF501" s="111" t="e">
        <f t="shared" si="285"/>
        <v>#N/A</v>
      </c>
      <c r="AG501" s="111" t="e">
        <f t="shared" si="285"/>
        <v>#N/A</v>
      </c>
      <c r="AH501" s="111" t="e">
        <f t="shared" si="285"/>
        <v>#N/A</v>
      </c>
      <c r="AI501" s="111" t="e">
        <f t="shared" si="285"/>
        <v>#N/A</v>
      </c>
      <c r="AJ501" s="111" t="e">
        <f t="shared" si="285"/>
        <v>#N/A</v>
      </c>
      <c r="AK501" s="111" t="e">
        <f t="shared" si="285"/>
        <v>#N/A</v>
      </c>
      <c r="AL501" s="181" t="e">
        <f t="shared" si="285"/>
        <v>#N/A</v>
      </c>
    </row>
    <row r="502" spans="1:38" ht="20.100000000000001" customHeight="1" x14ac:dyDescent="0.2">
      <c r="B502" s="124" t="s">
        <v>643</v>
      </c>
      <c r="C502" s="404"/>
      <c r="D502" s="404" t="e">
        <f t="array" ref="D502">MROUND((INDEX(df_disa!$F$2:$F$100, MATCH(1, ($C$2 = df_disa!$B$2:$B$100) * (df_disa!$D$2:$D$100 = "Very severe") * ("65+" = df_disa!$C$2:$C$100), 0), 0)) * D499,5)</f>
        <v>#N/A</v>
      </c>
      <c r="E502" s="404"/>
      <c r="F502" s="404"/>
      <c r="G502" s="404"/>
      <c r="H502" s="404"/>
      <c r="I502" s="404" t="e">
        <f t="array" ref="I502">MROUND((INDEX(df_disa!$F$2:$F$100, MATCH(1, ($C$2 = df_disa!$B$2:$B$100) * (df_disa!$D$2:$D$100 = "Very severe") * ("65+" = df_disa!$C$2:$C$100), 0), 0)) * I499,5)</f>
        <v>#N/A</v>
      </c>
      <c r="J502" s="404"/>
      <c r="K502" s="404"/>
      <c r="L502" s="404"/>
      <c r="M502" s="404" t="e">
        <f t="array" ref="M502">MROUND((INDEX(df_disa!$F$2:$F$100, MATCH(1, ($C$2 = df_disa!$B$2:$B$100) * (df_disa!$D$2:$D$100 = "Very severe") * ("65+" = df_disa!$C$2:$C$100), 0), 0)) * M499,5)</f>
        <v>#N/A</v>
      </c>
      <c r="N502" s="404" t="e">
        <f t="array" ref="N502">MROUND((INDEX(df_disa!$F$2:$F$100, MATCH(1, ($C$2 = df_disa!$B$2:$B$100) * (df_disa!$D$2:$D$100 = "Very severe") * ("65+" = df_disa!$C$2:$C$100), 0), 0)) * N499,5)</f>
        <v>#N/A</v>
      </c>
      <c r="O502" s="404" t="e">
        <f t="array" ref="O502">MROUND((INDEX(df_disa!$F$2:$F$100, MATCH(1, ($C$2 = df_disa!$B$2:$B$100) * (df_disa!$D$2:$D$100 = "Very severe") * ("65+" = df_disa!$C$2:$C$100), 0), 0)) * O499,5)</f>
        <v>#N/A</v>
      </c>
      <c r="P502" s="404" t="e">
        <f t="array" ref="P502">MROUND((INDEX(df_disa!$F$2:$F$100, MATCH(1, ($C$2 = df_disa!$B$2:$B$100) * (df_disa!$D$2:$D$100 = "Very severe") * ("65+" = df_disa!$C$2:$C$100), 0), 0)) * P499,5)</f>
        <v>#N/A</v>
      </c>
      <c r="Q502" s="404" t="e">
        <f t="array" ref="Q502">MROUND((INDEX(df_disa!$F$2:$F$100, MATCH(1, ($C$2 = df_disa!$B$2:$B$100) * (df_disa!$D$2:$D$100 = "Very severe") * ("65+" = df_disa!$C$2:$C$100), 0), 0)) * Q499,5)</f>
        <v>#N/A</v>
      </c>
      <c r="R502" s="404" t="e">
        <f t="array" ref="R502">MROUND((INDEX(df_disa!$F$2:$F$100, MATCH(1, ($C$2 = df_disa!$B$2:$B$100) * (df_disa!$D$2:$D$100 = "Very severe") * ("65+" = df_disa!$C$2:$C$100), 0), 0)) * R499,5)</f>
        <v>#N/A</v>
      </c>
      <c r="S502" s="404" t="e">
        <f t="array" ref="S502">MROUND((INDEX(df_disa!$F$2:$F$100, MATCH(1, ($C$2 = df_disa!$B$2:$B$100) * (df_disa!$D$2:$D$100 = "Very severe") * ("65+" = df_disa!$C$2:$C$100), 0), 0)) * S499,5)</f>
        <v>#N/A</v>
      </c>
      <c r="T502" s="404" t="e">
        <f t="array" ref="T502">MROUND((INDEX(df_disa!$F$2:$F$100, MATCH(1, ($C$2 = df_disa!$B$2:$B$100) * (df_disa!$D$2:$D$100 = "Very severe") * ("65+" = df_disa!$C$2:$C$100), 0), 0)) * T499,5)</f>
        <v>#N/A</v>
      </c>
      <c r="U502" s="404" t="e">
        <f t="array" ref="U502">MROUND((INDEX(df_disa!$F$2:$F$100, MATCH(1, ($C$2 = df_disa!$B$2:$B$100) * (df_disa!$D$2:$D$100 = "Very severe") * ("65+" = df_disa!$C$2:$C$100), 0), 0)) * U499,5)</f>
        <v>#N/A</v>
      </c>
      <c r="V502" s="404" t="e">
        <f t="array" ref="V502">MROUND((INDEX(df_disa!$F$2:$F$100, MATCH(1, ($C$2 = df_disa!$B$2:$B$100) * (df_disa!$D$2:$D$100 = "Very severe") * ("65+" = df_disa!$C$2:$C$100), 0), 0)) * V499,5)</f>
        <v>#N/A</v>
      </c>
      <c r="W502" s="404" t="e">
        <f t="array" ref="W502">MROUND((INDEX(df_disa!$F$2:$F$100, MATCH(1, ($C$2 = df_disa!$B$2:$B$100) * (df_disa!$D$2:$D$100 = "Very severe") * ("65+" = df_disa!$C$2:$C$100), 0), 0)) * W499,5)</f>
        <v>#N/A</v>
      </c>
      <c r="X502" s="404" t="e">
        <f t="array" ref="X502">MROUND((INDEX(df_disa!$F$2:$F$100, MATCH(1, ($C$2 = df_disa!$B$2:$B$100) * (df_disa!$D$2:$D$100 = "Very severe") * ("65+" = df_disa!$C$2:$C$100), 0), 0)) * X499,5)</f>
        <v>#N/A</v>
      </c>
      <c r="Y502" s="404" t="e">
        <f t="array" ref="Y502">MROUND((INDEX(df_disa!$F$2:$F$100, MATCH(1, ($C$2 = df_disa!$B$2:$B$100) * (df_disa!$D$2:$D$100 = "Very severe") * ("65+" = df_disa!$C$2:$C$100), 0), 0)) * Y499,5)</f>
        <v>#N/A</v>
      </c>
      <c r="Z502" s="404" t="e">
        <f t="array" ref="Z502">MROUND((INDEX(df_disa!$F$2:$F$100, MATCH(1, ($C$2 = df_disa!$B$2:$B$100) * (df_disa!$D$2:$D$100 = "Very severe") * ("65+" = df_disa!$C$2:$C$100), 0), 0)) * Z499,5)</f>
        <v>#N/A</v>
      </c>
      <c r="AA502" s="404" t="e">
        <f t="array" ref="AA502">MROUND((INDEX(df_disa!$F$2:$F$100, MATCH(1, ($C$2 = df_disa!$B$2:$B$100) * (df_disa!$D$2:$D$100 = "Very severe") * ("65+" = df_disa!$C$2:$C$100), 0), 0)) * AA499,5)</f>
        <v>#N/A</v>
      </c>
      <c r="AB502" s="404" t="e">
        <f t="array" ref="AB502">MROUND((INDEX(df_disa!$F$2:$F$100, MATCH(1, ($C$2 = df_disa!$B$2:$B$100) * (df_disa!$D$2:$D$100 = "Very severe") * ("65+" = df_disa!$C$2:$C$100), 0), 0)) * AB499,5)</f>
        <v>#N/A</v>
      </c>
      <c r="AC502" s="404" t="e">
        <f t="array" ref="AC502">MROUND((INDEX(df_disa!$F$2:$F$100, MATCH(1, ($C$2 = df_disa!$B$2:$B$100) * (df_disa!$D$2:$D$100 = "Very severe") * ("65+" = df_disa!$C$2:$C$100), 0), 0)) * AC499,5)</f>
        <v>#N/A</v>
      </c>
      <c r="AD502" s="404" t="e">
        <f t="array" ref="AD502">MROUND((INDEX(df_disa!$F$2:$F$100, MATCH(1, ($C$2 = df_disa!$B$2:$B$100) * (df_disa!$D$2:$D$100 = "Very severe") * ("65+" = df_disa!$C$2:$C$100), 0), 0)) * AD499,5)</f>
        <v>#N/A</v>
      </c>
      <c r="AE502" s="404" t="e">
        <f t="array" ref="AE502">MROUND((INDEX(df_disa!$F$2:$F$100, MATCH(1, ($C$2 = df_disa!$B$2:$B$100) * (df_disa!$D$2:$D$100 = "Very severe") * ("65+" = df_disa!$C$2:$C$100), 0), 0)) * AE499,5)</f>
        <v>#N/A</v>
      </c>
      <c r="AF502" s="404" t="e">
        <f t="array" ref="AF502">MROUND((INDEX(df_disa!$F$2:$F$100, MATCH(1, ($C$2 = df_disa!$B$2:$B$100) * (df_disa!$D$2:$D$100 = "Very severe") * ("65+" = df_disa!$C$2:$C$100), 0), 0)) * AF499,5)</f>
        <v>#N/A</v>
      </c>
      <c r="AG502" s="404" t="e">
        <f t="array" ref="AG502">MROUND((INDEX(df_disa!$F$2:$F$100, MATCH(1, ($C$2 = df_disa!$B$2:$B$100) * (df_disa!$D$2:$D$100 = "Very severe") * ("65+" = df_disa!$C$2:$C$100), 0), 0)) * AG499,5)</f>
        <v>#N/A</v>
      </c>
      <c r="AH502" s="404" t="e">
        <f t="array" ref="AH502">MROUND((INDEX(df_disa!$F$2:$F$100, MATCH(1, ($C$2 = df_disa!$B$2:$B$100) * (df_disa!$D$2:$D$100 = "Very severe") * ("65+" = df_disa!$C$2:$C$100), 0), 0)) * AH499,5)</f>
        <v>#N/A</v>
      </c>
      <c r="AI502" s="404" t="e">
        <f t="array" ref="AI502">MROUND((INDEX(df_disa!$F$2:$F$100, MATCH(1, ($C$2 = df_disa!$B$2:$B$100) * (df_disa!$D$2:$D$100 = "Very severe") * ("65+" = df_disa!$C$2:$C$100), 0), 0)) * AI499,5)</f>
        <v>#N/A</v>
      </c>
      <c r="AJ502" s="404" t="e">
        <f t="array" ref="AJ502">MROUND((INDEX(df_disa!$F$2:$F$100, MATCH(1, ($C$2 = df_disa!$B$2:$B$100) * (df_disa!$D$2:$D$100 = "Very severe") * ("65+" = df_disa!$C$2:$C$100), 0), 0)) * AJ499,5)</f>
        <v>#N/A</v>
      </c>
      <c r="AK502" s="404" t="e">
        <f t="array" ref="AK502">MROUND((INDEX(df_disa!$F$2:$F$100, MATCH(1, ($C$2 = df_disa!$B$2:$B$100) * (df_disa!$D$2:$D$100 = "Very severe") * ("65+" = df_disa!$C$2:$C$100), 0), 0)) * AK499,5)</f>
        <v>#N/A</v>
      </c>
      <c r="AL502" s="103" t="e">
        <f t="array" ref="AL502">MROUND((INDEX(df_disa!$F$2:$F$100, MATCH(1, ($C$2 = df_disa!$B$2:$B$100) * (df_disa!$D$2:$D$100 = "Very severe") * ("65+" = df_disa!$C$2:$C$100), 0), 0)) * AL499,5)</f>
        <v>#N/A</v>
      </c>
    </row>
    <row r="505" spans="1:38" ht="30" customHeight="1" x14ac:dyDescent="0.2">
      <c r="B505" s="175" t="s">
        <v>640</v>
      </c>
      <c r="C505" s="310"/>
      <c r="D505" s="310"/>
      <c r="E505" s="310"/>
      <c r="F505" s="310"/>
      <c r="G505" s="310"/>
      <c r="H505" s="310"/>
      <c r="I505" s="310"/>
      <c r="J505" s="310"/>
      <c r="K505" s="310"/>
      <c r="L505" s="310"/>
      <c r="M505" s="310"/>
      <c r="N505" s="310"/>
      <c r="O505" s="310"/>
      <c r="P505" s="310"/>
      <c r="Q505" s="310"/>
      <c r="R505" s="310"/>
      <c r="S505" s="310"/>
      <c r="T505" s="310"/>
      <c r="U505" s="310"/>
      <c r="V505" s="310"/>
      <c r="W505" s="310"/>
      <c r="X505" s="310"/>
      <c r="Y505" s="310"/>
      <c r="Z505" s="310"/>
      <c r="AA505" s="310"/>
      <c r="AB505" s="310"/>
      <c r="AC505" s="310"/>
      <c r="AD505" s="310"/>
      <c r="AE505" s="310"/>
      <c r="AF505" s="310"/>
    </row>
    <row r="507" spans="1:38" ht="20.100000000000001" customHeight="1" x14ac:dyDescent="0.2">
      <c r="B507" s="1212" t="s">
        <v>660</v>
      </c>
      <c r="C507" s="1212"/>
      <c r="D507" s="1212"/>
      <c r="E507" s="1212"/>
      <c r="F507" s="1212"/>
      <c r="G507" s="1212"/>
      <c r="H507" s="1212"/>
      <c r="J507" s="1212" t="s">
        <v>659</v>
      </c>
      <c r="K507" s="1212"/>
      <c r="L507" s="1212"/>
      <c r="M507" s="1212"/>
      <c r="N507" s="1212"/>
      <c r="O507" s="1212"/>
      <c r="P507" s="1212"/>
    </row>
    <row r="508" spans="1:38" ht="20.100000000000001" customHeight="1" x14ac:dyDescent="0.2">
      <c r="B508" s="206" t="s">
        <v>658</v>
      </c>
      <c r="C508" s="72"/>
      <c r="D508" s="128" t="s">
        <v>129</v>
      </c>
      <c r="E508" s="117" t="s">
        <v>131</v>
      </c>
      <c r="F508" s="117" t="s">
        <v>130</v>
      </c>
      <c r="G508" s="117" t="s">
        <v>132</v>
      </c>
      <c r="H508" s="302" t="s">
        <v>5</v>
      </c>
      <c r="J508" s="206"/>
      <c r="K508" s="72"/>
      <c r="L508" s="128" t="s">
        <v>129</v>
      </c>
      <c r="M508" s="117" t="s">
        <v>131</v>
      </c>
      <c r="N508" s="117" t="s">
        <v>130</v>
      </c>
      <c r="O508" s="117" t="s">
        <v>132</v>
      </c>
      <c r="P508" s="302" t="s">
        <v>5</v>
      </c>
    </row>
    <row r="509" spans="1:38" ht="20.100000000000001" customHeight="1" x14ac:dyDescent="0.2">
      <c r="B509" s="258" t="s">
        <v>641</v>
      </c>
      <c r="C509" s="292"/>
      <c r="D509" s="258" t="e">
        <f t="array" ref="D509">INDEX(df_pop!$C$2:$C$1000, MATCH(1, (df_pop!$B$2:$B$1000 = D$514) * (df_pop!$E$2:$E$1000 = 2021) * (df_pop!$A$2:$A$1000 = $C$2), 0), 0)</f>
        <v>#N/A</v>
      </c>
      <c r="E509" s="309" t="e">
        <f t="array" ref="E509">INDEX(df_pop!$C$2:$C$1000, MATCH(1, (df_pop!$B$2:$B$1000 = E$514) * (df_pop!$E$2:$E$1000 = 2021) * (df_pop!$A$2:$A$1000 = $C$2), 0), 0)</f>
        <v>#N/A</v>
      </c>
      <c r="F509" s="309" t="e">
        <f t="array" ref="F509">INDEX(df_pop!$C$2:$C$1000, MATCH(1, (df_pop!$B$2:$B$1000 = F$514) * (df_pop!$E$2:$E$1000 = 2021) * (df_pop!$A$2:$A$1000 = $C$2), 0), 0)</f>
        <v>#N/A</v>
      </c>
      <c r="G509" s="309" t="e">
        <f t="array" ref="G509">INDEX(df_pop!$C$2:$C$1000, MATCH(1, (df_pop!$B$2:$B$1000 = G$514) * (df_pop!$E$2:$E$1000 = 2021) * (df_pop!$A$2:$A$1000 = $C$2), 0), 0)</f>
        <v>#N/A</v>
      </c>
      <c r="H509" s="49" t="e">
        <f t="array" ref="H509">INDEX(df_pop!$C$2:$C$1000, MATCH(1, (df_pop!$B$2:$B$1000 = H$514) * (df_pop!$E$2:$E$1000 = 2021) * (df_pop!$A$2:$A$1000 = $C$2), 0), 0)</f>
        <v>#N/A</v>
      </c>
      <c r="J509" s="258" t="s">
        <v>644</v>
      </c>
      <c r="K509" s="292"/>
      <c r="L509" s="58" t="e">
        <f t="array" ref="L509">D509/D$509</f>
        <v>#N/A</v>
      </c>
      <c r="M509" s="199" t="e">
        <f t="array" ref="M509">E509/E$509</f>
        <v>#N/A</v>
      </c>
      <c r="N509" s="199" t="e">
        <f t="array" ref="N509">F509/F$509</f>
        <v>#N/A</v>
      </c>
      <c r="O509" s="199" t="e">
        <f t="array" ref="O509">G509/G$509</f>
        <v>#N/A</v>
      </c>
      <c r="P509" s="390" t="e">
        <f t="array" ref="P509">H509/H$509</f>
        <v>#N/A</v>
      </c>
    </row>
    <row r="510" spans="1:38" ht="20.100000000000001" customHeight="1" x14ac:dyDescent="0.2">
      <c r="B510" s="84" t="s">
        <v>631</v>
      </c>
      <c r="C510" s="173"/>
      <c r="D510" s="84" t="e">
        <f t="array" ref="D510">INDEX(df_dwell_coll!$F$2:$F$1000, MATCH(1, ($C$2 = df_dwell_coll!$C$2:$C$1000) * (df_dwell_coll!$E$2:$E$1000 = $B510) * (df_dwell_coll!$D$2:$D$1000 = D$508), 0), 0)</f>
        <v>#N/A</v>
      </c>
      <c r="E510" s="1" t="e">
        <f t="array" ref="E510">INDEX(df_dwell_coll!$F$2:$F$1000, MATCH(1, ($C$2 = df_dwell_coll!$C$2:$C$1000) * (df_dwell_coll!$E$2:$E$1000 = $B510) * (df_dwell_coll!$D$2:$D$1000 = E$508), 0), 0)</f>
        <v>#N/A</v>
      </c>
      <c r="F510" s="1" t="e">
        <f t="array" ref="F510">INDEX(df_dwell_coll!$F$2:$F$1000, MATCH(1, ($C$2 = df_dwell_coll!$C$2:$C$1000) * (df_dwell_coll!$E$2:$E$1000 = $B510) * (df_dwell_coll!$D$2:$D$1000 = F$508), 0), 0)</f>
        <v>#N/A</v>
      </c>
      <c r="G510" s="1" t="e">
        <f t="array" ref="G510">INDEX(df_dwell_coll!$F$2:$F$1000, MATCH(1, ($C$2 = df_dwell_coll!$C$2:$C$1000) * (df_dwell_coll!$E$2:$E$1000 = $B510) * (df_dwell_coll!$D$2:$D$1000 = G$508), 0), 0)</f>
        <v>#N/A</v>
      </c>
      <c r="H510" s="359" t="e">
        <f t="array" ref="H510">INDEX(df_dwell_coll!$F$2:$F$1000, MATCH(1, ($C$2 = df_dwell_coll!$C$2:$C$1000) * (df_dwell_coll!$E$2:$E$1000 = $B510) * (df_dwell_coll!$D$2:$D$1000 = H$508), 0), 0)</f>
        <v>#N/A</v>
      </c>
      <c r="J510" s="84" t="s">
        <v>631</v>
      </c>
      <c r="K510" s="173"/>
      <c r="L510" s="138" t="e">
        <f t="array" ref="L510">D510/D$509</f>
        <v>#N/A</v>
      </c>
      <c r="M510" s="262" t="e">
        <f t="array" ref="M510">E510/E$509</f>
        <v>#N/A</v>
      </c>
      <c r="N510" s="262" t="e">
        <f t="array" ref="N510">F510/F$509</f>
        <v>#N/A</v>
      </c>
      <c r="O510" s="262" t="e">
        <f t="array" ref="O510">G510/G$509</f>
        <v>#N/A</v>
      </c>
      <c r="P510" s="201" t="e">
        <f t="array" ref="P510">H510/H$509</f>
        <v>#N/A</v>
      </c>
    </row>
    <row r="511" spans="1:38" ht="20.100000000000001" customHeight="1" x14ac:dyDescent="0.2">
      <c r="B511" s="258" t="s">
        <v>632</v>
      </c>
      <c r="C511" s="292"/>
      <c r="D511" s="258" t="e">
        <f t="array" ref="D511">INDEX(df_dwell_coll!$F$2:$F$1000, MATCH(1, ($C$2 = df_dwell_coll!$C$2:$C$1000) * (df_dwell_coll!$E$2:$E$1000 = $B511) * (df_dwell_coll!$D$2:$D$1000 = D$508), 0), 0)</f>
        <v>#N/A</v>
      </c>
      <c r="E511" s="309" t="e">
        <f t="array" ref="E511">INDEX(df_dwell_coll!$F$2:$F$1000, MATCH(1, ($C$2 = df_dwell_coll!$C$2:$C$1000) * (df_dwell_coll!$E$2:$E$1000 = $B511) * (df_dwell_coll!$D$2:$D$1000 = E$508), 0), 0)</f>
        <v>#N/A</v>
      </c>
      <c r="F511" s="309" t="e">
        <f t="array" ref="F511">INDEX(df_dwell_coll!$F$2:$F$1000, MATCH(1, ($C$2 = df_dwell_coll!$C$2:$C$1000) * (df_dwell_coll!$E$2:$E$1000 = $B511) * (df_dwell_coll!$D$2:$D$1000 = F$508), 0), 0)</f>
        <v>#N/A</v>
      </c>
      <c r="G511" s="309" t="e">
        <f t="array" ref="G511">INDEX(df_dwell_coll!$F$2:$F$1000, MATCH(1, ($C$2 = df_dwell_coll!$C$2:$C$1000) * (df_dwell_coll!$E$2:$E$1000 = $B511) * (df_dwell_coll!$D$2:$D$1000 = G$508), 0), 0)</f>
        <v>#N/A</v>
      </c>
      <c r="H511" s="49" t="e">
        <f t="array" ref="H511">INDEX(df_dwell_coll!$F$2:$F$1000, MATCH(1, ($C$2 = df_dwell_coll!$C$2:$C$1000) * (df_dwell_coll!$E$2:$E$1000 = $B511) * (df_dwell_coll!$D$2:$D$1000 = H$508), 0), 0)</f>
        <v>#N/A</v>
      </c>
      <c r="J511" s="258" t="s">
        <v>632</v>
      </c>
      <c r="K511" s="292"/>
      <c r="L511" s="58" t="e">
        <f t="array" ref="L511">D511/D$509</f>
        <v>#N/A</v>
      </c>
      <c r="M511" s="199" t="e">
        <f t="array" ref="M511">E511/E$509</f>
        <v>#N/A</v>
      </c>
      <c r="N511" s="199" t="e">
        <f t="array" ref="N511">F511/F$509</f>
        <v>#N/A</v>
      </c>
      <c r="O511" s="199" t="e">
        <f t="array" ref="O511">G511/G$509</f>
        <v>#N/A</v>
      </c>
      <c r="P511" s="390" t="e">
        <f t="array" ref="P511">H511/H$509</f>
        <v>#N/A</v>
      </c>
    </row>
    <row r="512" spans="1:38" ht="20.100000000000001" customHeight="1" x14ac:dyDescent="0.2">
      <c r="B512" s="84" t="s">
        <v>633</v>
      </c>
      <c r="C512" s="173"/>
      <c r="D512" s="84" t="e">
        <f t="array" ref="D512">INDEX(df_dwell_coll!$F$2:$F$1000, MATCH(1, ($C$2 = df_dwell_coll!$C$2:$C$1000) * (df_dwell_coll!$E$2:$E$1000 = $B512) * (df_dwell_coll!$D$2:$D$1000 = D$508), 0), 0)</f>
        <v>#N/A</v>
      </c>
      <c r="E512" s="1" t="e">
        <f t="array" ref="E512">INDEX(df_dwell_coll!$F$2:$F$1000, MATCH(1, ($C$2 = df_dwell_coll!$C$2:$C$1000) * (df_dwell_coll!$E$2:$E$1000 = $B512) * (df_dwell_coll!$D$2:$D$1000 = E$508), 0), 0)</f>
        <v>#N/A</v>
      </c>
      <c r="F512" s="1" t="e">
        <f t="array" ref="F512">INDEX(df_dwell_coll!$F$2:$F$1000, MATCH(1, ($C$2 = df_dwell_coll!$C$2:$C$1000) * (df_dwell_coll!$E$2:$E$1000 = $B512) * (df_dwell_coll!$D$2:$D$1000 = F$508), 0), 0)</f>
        <v>#N/A</v>
      </c>
      <c r="G512" s="1" t="e">
        <f t="array" ref="G512">INDEX(df_dwell_coll!$F$2:$F$1000, MATCH(1, ($C$2 = df_dwell_coll!$C$2:$C$1000) * (df_dwell_coll!$E$2:$E$1000 = $B512) * (df_dwell_coll!$D$2:$D$1000 = G$508), 0), 0)</f>
        <v>#N/A</v>
      </c>
      <c r="H512" s="359" t="e">
        <f t="array" ref="H512">INDEX(df_dwell_coll!$F$2:$F$1000, MATCH(1, ($C$2 = df_dwell_coll!$C$2:$C$1000) * (df_dwell_coll!$E$2:$E$1000 = $B512) * (df_dwell_coll!$D$2:$D$1000 = H$508), 0), 0)</f>
        <v>#N/A</v>
      </c>
      <c r="J512" s="84" t="s">
        <v>633</v>
      </c>
      <c r="K512" s="173"/>
      <c r="L512" s="138" t="e">
        <f t="array" ref="L512">D512/D$509</f>
        <v>#N/A</v>
      </c>
      <c r="M512" s="262" t="e">
        <f t="array" ref="M512">E512/E$509</f>
        <v>#N/A</v>
      </c>
      <c r="N512" s="262" t="e">
        <f t="array" ref="N512">F512/F$509</f>
        <v>#N/A</v>
      </c>
      <c r="O512" s="262" t="e">
        <f t="array" ref="O512">G512/G$509</f>
        <v>#N/A</v>
      </c>
      <c r="P512" s="201" t="e">
        <f t="array" ref="P512">H512/H$509</f>
        <v>#N/A</v>
      </c>
    </row>
    <row r="513" spans="1:38" ht="20.100000000000001" customHeight="1" x14ac:dyDescent="0.2">
      <c r="B513" s="179" t="s">
        <v>634</v>
      </c>
      <c r="C513" s="39"/>
      <c r="D513" s="179" t="e">
        <f t="array" ref="D513">INDEX(df_dwell_coll!$F$2:$F$1000, MATCH(1, ($C$2 = df_dwell_coll!$C$2:$C$1000) * (df_dwell_coll!$E$2:$E$1000 = $B513) * (df_dwell_coll!$D$2:$D$1000 = D$508), 0), 0)</f>
        <v>#N/A</v>
      </c>
      <c r="E513" s="229" t="e">
        <f t="array" ref="E513">INDEX(df_dwell_coll!$F$2:$F$1000, MATCH(1, ($C$2 = df_dwell_coll!$C$2:$C$1000) * (df_dwell_coll!$E$2:$E$1000 = $B513) * (df_dwell_coll!$D$2:$D$1000 = E$508), 0), 0)</f>
        <v>#N/A</v>
      </c>
      <c r="F513" s="229" t="e">
        <f t="array" ref="F513">INDEX(df_dwell_coll!$F$2:$F$1000, MATCH(1, ($C$2 = df_dwell_coll!$C$2:$C$1000) * (df_dwell_coll!$E$2:$E$1000 = $B513) * (df_dwell_coll!$D$2:$D$1000 = F$508), 0), 0)</f>
        <v>#N/A</v>
      </c>
      <c r="G513" s="229" t="e">
        <f t="array" ref="G513">INDEX(df_dwell_coll!$F$2:$F$1000, MATCH(1, ($C$2 = df_dwell_coll!$C$2:$C$1000) * (df_dwell_coll!$E$2:$E$1000 = $B513) * (df_dwell_coll!$D$2:$D$1000 = G$508), 0), 0)</f>
        <v>#N/A</v>
      </c>
      <c r="H513" s="214" t="e">
        <f t="array" ref="H513">INDEX(df_dwell_coll!$F$2:$F$1000, MATCH(1, ($C$2 = df_dwell_coll!$C$2:$C$1000) * (df_dwell_coll!$E$2:$E$1000 = $B513) * (df_dwell_coll!$D$2:$D$1000 = H$508), 0), 0)</f>
        <v>#N/A</v>
      </c>
      <c r="J513" s="258" t="s">
        <v>634</v>
      </c>
      <c r="K513" s="292"/>
      <c r="L513" s="58" t="e">
        <f t="array" ref="L513">D513/D$509</f>
        <v>#N/A</v>
      </c>
      <c r="M513" s="199" t="e">
        <f t="array" ref="M513">E513/E$509</f>
        <v>#N/A</v>
      </c>
      <c r="N513" s="199" t="e">
        <f t="array" ref="N513">F513/F$509</f>
        <v>#N/A</v>
      </c>
      <c r="O513" s="199" t="e">
        <f t="array" ref="O513">G513/G$509</f>
        <v>#N/A</v>
      </c>
      <c r="P513" s="390" t="e">
        <f t="array" ref="P513">H513/H$509</f>
        <v>#N/A</v>
      </c>
    </row>
    <row r="514" spans="1:38" ht="20.100000000000001" customHeight="1" x14ac:dyDescent="0.2">
      <c r="D514" s="299">
        <v>25</v>
      </c>
      <c r="E514" s="299">
        <v>26</v>
      </c>
      <c r="F514" s="299">
        <v>27</v>
      </c>
      <c r="G514" s="299">
        <v>28</v>
      </c>
      <c r="H514" s="299">
        <v>29</v>
      </c>
      <c r="J514" s="206" t="s">
        <v>496</v>
      </c>
      <c r="K514" s="72"/>
      <c r="L514" s="226" t="e">
        <f>SUM(L510:L513)</f>
        <v>#N/A</v>
      </c>
      <c r="M514" s="346" t="e">
        <f t="shared" ref="M514:P514" si="286">SUM(M510:M513)</f>
        <v>#N/A</v>
      </c>
      <c r="N514" s="346" t="e">
        <f t="shared" si="286"/>
        <v>#N/A</v>
      </c>
      <c r="O514" s="346" t="e">
        <f t="shared" si="286"/>
        <v>#N/A</v>
      </c>
      <c r="P514" s="353" t="e">
        <f t="shared" si="286"/>
        <v>#N/A</v>
      </c>
    </row>
    <row r="515" spans="1:38" ht="20.100000000000001" customHeight="1" x14ac:dyDescent="0.2"/>
    <row r="516" spans="1:38" ht="20.100000000000001" customHeight="1" x14ac:dyDescent="0.2">
      <c r="B516" s="77"/>
      <c r="C516" s="194">
        <v>2015</v>
      </c>
      <c r="D516" s="194">
        <v>2016</v>
      </c>
      <c r="E516" s="194">
        <v>2017</v>
      </c>
      <c r="F516" s="194">
        <v>2018</v>
      </c>
      <c r="G516" s="194">
        <v>2019</v>
      </c>
      <c r="H516" s="194">
        <v>2020</v>
      </c>
      <c r="I516" s="194">
        <v>2021</v>
      </c>
      <c r="J516" s="194">
        <v>2022</v>
      </c>
      <c r="K516" s="194">
        <v>2023</v>
      </c>
      <c r="L516" s="194">
        <v>2024</v>
      </c>
      <c r="M516" s="194">
        <v>2025</v>
      </c>
      <c r="N516" s="194">
        <v>2026</v>
      </c>
      <c r="O516" s="194">
        <v>2027</v>
      </c>
      <c r="P516" s="194">
        <v>2028</v>
      </c>
      <c r="Q516" s="194">
        <v>2029</v>
      </c>
      <c r="R516" s="194">
        <v>2030</v>
      </c>
      <c r="S516" s="194">
        <v>2031</v>
      </c>
      <c r="T516" s="194">
        <v>2032</v>
      </c>
      <c r="U516" s="194">
        <v>2033</v>
      </c>
      <c r="V516" s="194">
        <v>2034</v>
      </c>
      <c r="W516" s="194">
        <v>2035</v>
      </c>
      <c r="X516" s="194">
        <v>2036</v>
      </c>
      <c r="Y516" s="194">
        <v>2037</v>
      </c>
      <c r="Z516" s="194">
        <v>2038</v>
      </c>
      <c r="AA516" s="194">
        <v>2039</v>
      </c>
      <c r="AB516" s="194">
        <v>2040</v>
      </c>
      <c r="AC516" s="194">
        <v>2041</v>
      </c>
      <c r="AD516" s="194">
        <v>2042</v>
      </c>
      <c r="AE516" s="194">
        <v>2043</v>
      </c>
      <c r="AF516" s="194">
        <v>2044</v>
      </c>
      <c r="AG516" s="194">
        <v>2045</v>
      </c>
      <c r="AH516" s="194">
        <v>2046</v>
      </c>
      <c r="AI516" s="194">
        <v>2047</v>
      </c>
      <c r="AJ516" s="194">
        <v>2048</v>
      </c>
      <c r="AK516" s="194">
        <v>2049</v>
      </c>
      <c r="AL516" s="250">
        <v>2050</v>
      </c>
    </row>
    <row r="517" spans="1:38" ht="20.100000000000001" customHeight="1" x14ac:dyDescent="0.2">
      <c r="A517" s="223"/>
      <c r="B517" s="43" t="s">
        <v>642</v>
      </c>
      <c r="C517" s="366"/>
      <c r="D517" s="366" t="e">
        <f>SUM(D518:D522)</f>
        <v>#N/A</v>
      </c>
      <c r="E517" s="366"/>
      <c r="F517" s="366"/>
      <c r="G517" s="366"/>
      <c r="H517" s="366"/>
      <c r="I517" s="366" t="e">
        <f>SUM(I518:I522)</f>
        <v>#N/A</v>
      </c>
      <c r="J517" s="366"/>
      <c r="K517" s="366"/>
      <c r="L517" s="366"/>
      <c r="M517" s="366" t="e">
        <f>SUM(M518:M522)</f>
        <v>#N/A</v>
      </c>
      <c r="N517" s="366" t="e">
        <f t="shared" ref="N517:AL517" si="287">SUM(N518:N522)</f>
        <v>#N/A</v>
      </c>
      <c r="O517" s="366" t="e">
        <f t="shared" si="287"/>
        <v>#N/A</v>
      </c>
      <c r="P517" s="366" t="e">
        <f t="shared" si="287"/>
        <v>#N/A</v>
      </c>
      <c r="Q517" s="366" t="e">
        <f t="shared" si="287"/>
        <v>#N/A</v>
      </c>
      <c r="R517" s="366" t="e">
        <f t="shared" si="287"/>
        <v>#N/A</v>
      </c>
      <c r="S517" s="366" t="e">
        <f t="shared" si="287"/>
        <v>#N/A</v>
      </c>
      <c r="T517" s="366" t="e">
        <f t="shared" si="287"/>
        <v>#N/A</v>
      </c>
      <c r="U517" s="366" t="e">
        <f t="shared" si="287"/>
        <v>#N/A</v>
      </c>
      <c r="V517" s="366" t="e">
        <f t="shared" si="287"/>
        <v>#N/A</v>
      </c>
      <c r="W517" s="366" t="e">
        <f t="shared" si="287"/>
        <v>#N/A</v>
      </c>
      <c r="X517" s="366" t="e">
        <f t="shared" si="287"/>
        <v>#N/A</v>
      </c>
      <c r="Y517" s="366" t="e">
        <f t="shared" si="287"/>
        <v>#N/A</v>
      </c>
      <c r="Z517" s="366" t="e">
        <f t="shared" si="287"/>
        <v>#N/A</v>
      </c>
      <c r="AA517" s="366" t="e">
        <f t="shared" si="287"/>
        <v>#N/A</v>
      </c>
      <c r="AB517" s="366" t="e">
        <f t="shared" si="287"/>
        <v>#N/A</v>
      </c>
      <c r="AC517" s="366" t="e">
        <f t="shared" si="287"/>
        <v>#N/A</v>
      </c>
      <c r="AD517" s="366" t="e">
        <f t="shared" si="287"/>
        <v>#N/A</v>
      </c>
      <c r="AE517" s="366" t="e">
        <f t="shared" si="287"/>
        <v>#N/A</v>
      </c>
      <c r="AF517" s="366" t="e">
        <f t="shared" si="287"/>
        <v>#N/A</v>
      </c>
      <c r="AG517" s="366" t="e">
        <f t="shared" si="287"/>
        <v>#N/A</v>
      </c>
      <c r="AH517" s="366" t="e">
        <f t="shared" si="287"/>
        <v>#N/A</v>
      </c>
      <c r="AI517" s="366" t="e">
        <f t="shared" si="287"/>
        <v>#N/A</v>
      </c>
      <c r="AJ517" s="366" t="e">
        <f t="shared" si="287"/>
        <v>#N/A</v>
      </c>
      <c r="AK517" s="366" t="e">
        <f t="shared" si="287"/>
        <v>#N/A</v>
      </c>
      <c r="AL517" s="233" t="e">
        <f t="shared" si="287"/>
        <v>#N/A</v>
      </c>
    </row>
    <row r="518" spans="1:38" ht="20.100000000000001" customHeight="1" x14ac:dyDescent="0.2">
      <c r="A518" s="223"/>
      <c r="B518" s="354" t="s">
        <v>129</v>
      </c>
      <c r="C518" s="137"/>
      <c r="D518" s="137" t="e">
        <f t="array" ref="D518:D522">MROUND(TRANSPOSE($L$514:$P$514) * D23:D27,5)</f>
        <v>#N/A</v>
      </c>
      <c r="E518" s="137"/>
      <c r="F518" s="137"/>
      <c r="G518" s="137"/>
      <c r="H518" s="137"/>
      <c r="I518" s="137" t="e">
        <f t="array" ref="I518:I522">MROUND(TRANSPOSE($L$514:$P$514) * I23:I27,5)</f>
        <v>#N/A</v>
      </c>
      <c r="J518" s="137"/>
      <c r="K518" s="137"/>
      <c r="L518" s="137"/>
      <c r="M518" s="137" t="e">
        <f t="array" ref="M518:M522">MROUND(TRANSPOSE($L$514:$P$514) * M23:M27,5)</f>
        <v>#N/A</v>
      </c>
      <c r="N518" s="137" t="e">
        <f t="array" ref="N518:N522">MROUND(TRANSPOSE($L$514:$P$514) * N23:N27,5)</f>
        <v>#N/A</v>
      </c>
      <c r="O518" s="137" t="e">
        <f t="array" ref="O518:O522">MROUND(TRANSPOSE($L$514:$P$514) * O23:O27,5)</f>
        <v>#N/A</v>
      </c>
      <c r="P518" s="137" t="e">
        <f t="array" ref="P518:P522">MROUND(TRANSPOSE($L$514:$P$514) * P23:P27,5)</f>
        <v>#N/A</v>
      </c>
      <c r="Q518" s="137" t="e">
        <f t="array" ref="Q518:Q522">MROUND(TRANSPOSE($L$514:$P$514) * Q23:Q27,5)</f>
        <v>#N/A</v>
      </c>
      <c r="R518" s="137" t="e">
        <f t="array" ref="R518:R522">MROUND(TRANSPOSE($L$514:$P$514) * R23:R27,5)</f>
        <v>#N/A</v>
      </c>
      <c r="S518" s="137" t="e">
        <f t="array" ref="S518:S522">MROUND(TRANSPOSE($L$514:$P$514) * S23:S27,5)</f>
        <v>#N/A</v>
      </c>
      <c r="T518" s="137" t="e">
        <f t="array" ref="T518:T522">MROUND(TRANSPOSE($L$514:$P$514) * T23:T27,5)</f>
        <v>#N/A</v>
      </c>
      <c r="U518" s="137" t="e">
        <f t="array" ref="U518:U522">MROUND(TRANSPOSE($L$514:$P$514) * U23:U27,5)</f>
        <v>#N/A</v>
      </c>
      <c r="V518" s="137" t="e">
        <f t="array" ref="V518:V522">MROUND(TRANSPOSE($L$514:$P$514) * V23:V27,5)</f>
        <v>#N/A</v>
      </c>
      <c r="W518" s="137" t="e">
        <f t="array" ref="W518:W522">MROUND(TRANSPOSE($L$514:$P$514) * W23:W27,5)</f>
        <v>#N/A</v>
      </c>
      <c r="X518" s="137" t="e">
        <f t="array" ref="X518:X522">MROUND(TRANSPOSE($L$514:$P$514) * X23:X27,5)</f>
        <v>#N/A</v>
      </c>
      <c r="Y518" s="137" t="e">
        <f t="array" ref="Y518:Y522">MROUND(TRANSPOSE($L$514:$P$514) * Y23:Y27,5)</f>
        <v>#N/A</v>
      </c>
      <c r="Z518" s="137" t="e">
        <f t="array" ref="Z518:Z522">MROUND(TRANSPOSE($L$514:$P$514) * Z23:Z27,5)</f>
        <v>#N/A</v>
      </c>
      <c r="AA518" s="137" t="e">
        <f t="array" ref="AA518:AA522">MROUND(TRANSPOSE($L$514:$P$514) * AA23:AA27,5)</f>
        <v>#N/A</v>
      </c>
      <c r="AB518" s="137" t="e">
        <f t="array" ref="AB518:AB522">MROUND(TRANSPOSE($L$514:$P$514) * AB23:AB27,5)</f>
        <v>#N/A</v>
      </c>
      <c r="AC518" s="137" t="e">
        <f t="array" ref="AC518:AC522">MROUND(TRANSPOSE($L$514:$P$514) * AC23:AC27,5)</f>
        <v>#N/A</v>
      </c>
      <c r="AD518" s="137" t="e">
        <f t="array" ref="AD518:AD522">MROUND(TRANSPOSE($L$514:$P$514) * AD23:AD27,5)</f>
        <v>#N/A</v>
      </c>
      <c r="AE518" s="137" t="e">
        <f t="array" ref="AE518:AE522">MROUND(TRANSPOSE($L$514:$P$514) * AE23:AE27,5)</f>
        <v>#N/A</v>
      </c>
      <c r="AF518" s="137" t="e">
        <f t="array" ref="AF518:AF522">MROUND(TRANSPOSE($L$514:$P$514) * AF23:AF27,5)</f>
        <v>#N/A</v>
      </c>
      <c r="AG518" s="137" t="e">
        <f t="array" ref="AG518:AG522">MROUND(TRANSPOSE($L$514:$P$514) * AG23:AG27,5)</f>
        <v>#N/A</v>
      </c>
      <c r="AH518" s="137" t="e">
        <f t="array" ref="AH518:AH522">MROUND(TRANSPOSE($L$514:$P$514) * AH23:AH27,5)</f>
        <v>#N/A</v>
      </c>
      <c r="AI518" s="137" t="e">
        <f t="array" ref="AI518:AI522">MROUND(TRANSPOSE($L$514:$P$514) * AI23:AI27,5)</f>
        <v>#N/A</v>
      </c>
      <c r="AJ518" s="137" t="e">
        <f t="array" ref="AJ518:AJ522">MROUND(TRANSPOSE($L$514:$P$514) * AJ23:AJ27,5)</f>
        <v>#N/A</v>
      </c>
      <c r="AK518" s="137" t="e">
        <f t="array" ref="AK518:AK522">MROUND(TRANSPOSE($L$514:$P$514) * AK23:AK27,5)</f>
        <v>#N/A</v>
      </c>
      <c r="AL518" s="269" t="e">
        <f t="array" ref="AL518:AL522">MROUND(TRANSPOSE($L$514:$P$514) * AL23:AL27,5)</f>
        <v>#N/A</v>
      </c>
    </row>
    <row r="519" spans="1:38" ht="20.100000000000001" customHeight="1" x14ac:dyDescent="0.2">
      <c r="A519" s="223"/>
      <c r="B519" s="277" t="s">
        <v>131</v>
      </c>
      <c r="C519" s="111"/>
      <c r="D519" s="111" t="e">
        <v>#N/A</v>
      </c>
      <c r="E519" s="111"/>
      <c r="F519" s="111"/>
      <c r="G519" s="111"/>
      <c r="H519" s="111"/>
      <c r="I519" s="111" t="e">
        <v>#N/A</v>
      </c>
      <c r="J519" s="111"/>
      <c r="K519" s="111"/>
      <c r="L519" s="111"/>
      <c r="M519" s="111" t="e">
        <v>#N/A</v>
      </c>
      <c r="N519" s="111" t="e">
        <v>#N/A</v>
      </c>
      <c r="O519" s="111" t="e">
        <v>#N/A</v>
      </c>
      <c r="P519" s="111" t="e">
        <v>#N/A</v>
      </c>
      <c r="Q519" s="111" t="e">
        <v>#N/A</v>
      </c>
      <c r="R519" s="111" t="e">
        <v>#N/A</v>
      </c>
      <c r="S519" s="111" t="e">
        <v>#N/A</v>
      </c>
      <c r="T519" s="111" t="e">
        <v>#N/A</v>
      </c>
      <c r="U519" s="111" t="e">
        <v>#N/A</v>
      </c>
      <c r="V519" s="111" t="e">
        <v>#N/A</v>
      </c>
      <c r="W519" s="111" t="e">
        <v>#N/A</v>
      </c>
      <c r="X519" s="111" t="e">
        <v>#N/A</v>
      </c>
      <c r="Y519" s="111" t="e">
        <v>#N/A</v>
      </c>
      <c r="Z519" s="111" t="e">
        <v>#N/A</v>
      </c>
      <c r="AA519" s="111" t="e">
        <v>#N/A</v>
      </c>
      <c r="AB519" s="111" t="e">
        <v>#N/A</v>
      </c>
      <c r="AC519" s="111" t="e">
        <v>#N/A</v>
      </c>
      <c r="AD519" s="111" t="e">
        <v>#N/A</v>
      </c>
      <c r="AE519" s="111" t="e">
        <v>#N/A</v>
      </c>
      <c r="AF519" s="111" t="e">
        <v>#N/A</v>
      </c>
      <c r="AG519" s="111" t="e">
        <v>#N/A</v>
      </c>
      <c r="AH519" s="111" t="e">
        <v>#N/A</v>
      </c>
      <c r="AI519" s="111" t="e">
        <v>#N/A</v>
      </c>
      <c r="AJ519" s="111" t="e">
        <v>#N/A</v>
      </c>
      <c r="AK519" s="111" t="e">
        <v>#N/A</v>
      </c>
      <c r="AL519" s="181" t="e">
        <v>#N/A</v>
      </c>
    </row>
    <row r="520" spans="1:38" ht="20.100000000000001" customHeight="1" x14ac:dyDescent="0.2">
      <c r="A520" s="223"/>
      <c r="B520" s="118" t="s">
        <v>130</v>
      </c>
      <c r="C520" s="113"/>
      <c r="D520" s="113" t="e">
        <v>#N/A</v>
      </c>
      <c r="E520" s="113"/>
      <c r="F520" s="113"/>
      <c r="G520" s="113"/>
      <c r="H520" s="113"/>
      <c r="I520" s="113" t="e">
        <v>#N/A</v>
      </c>
      <c r="J520" s="113"/>
      <c r="K520" s="113"/>
      <c r="L520" s="113"/>
      <c r="M520" s="113" t="e">
        <v>#N/A</v>
      </c>
      <c r="N520" s="113" t="e">
        <v>#N/A</v>
      </c>
      <c r="O520" s="113" t="e">
        <v>#N/A</v>
      </c>
      <c r="P520" s="113" t="e">
        <v>#N/A</v>
      </c>
      <c r="Q520" s="113" t="e">
        <v>#N/A</v>
      </c>
      <c r="R520" s="113" t="e">
        <v>#N/A</v>
      </c>
      <c r="S520" s="113" t="e">
        <v>#N/A</v>
      </c>
      <c r="T520" s="113" t="e">
        <v>#N/A</v>
      </c>
      <c r="U520" s="113" t="e">
        <v>#N/A</v>
      </c>
      <c r="V520" s="113" t="e">
        <v>#N/A</v>
      </c>
      <c r="W520" s="113" t="e">
        <v>#N/A</v>
      </c>
      <c r="X520" s="113" t="e">
        <v>#N/A</v>
      </c>
      <c r="Y520" s="113" t="e">
        <v>#N/A</v>
      </c>
      <c r="Z520" s="113" t="e">
        <v>#N/A</v>
      </c>
      <c r="AA520" s="113" t="e">
        <v>#N/A</v>
      </c>
      <c r="AB520" s="113" t="e">
        <v>#N/A</v>
      </c>
      <c r="AC520" s="113" t="e">
        <v>#N/A</v>
      </c>
      <c r="AD520" s="113" t="e">
        <v>#N/A</v>
      </c>
      <c r="AE520" s="113" t="e">
        <v>#N/A</v>
      </c>
      <c r="AF520" s="113" t="e">
        <v>#N/A</v>
      </c>
      <c r="AG520" s="113" t="e">
        <v>#N/A</v>
      </c>
      <c r="AH520" s="113" t="e">
        <v>#N/A</v>
      </c>
      <c r="AI520" s="113" t="e">
        <v>#N/A</v>
      </c>
      <c r="AJ520" s="113" t="e">
        <v>#N/A</v>
      </c>
      <c r="AK520" s="113" t="e">
        <v>#N/A</v>
      </c>
      <c r="AL520" s="329" t="e">
        <v>#N/A</v>
      </c>
    </row>
    <row r="521" spans="1:38" ht="20.100000000000001" customHeight="1" x14ac:dyDescent="0.2">
      <c r="A521" s="223"/>
      <c r="B521" s="277" t="s">
        <v>132</v>
      </c>
      <c r="C521" s="111"/>
      <c r="D521" s="111" t="e">
        <v>#N/A</v>
      </c>
      <c r="E521" s="111"/>
      <c r="F521" s="111"/>
      <c r="G521" s="111"/>
      <c r="H521" s="111"/>
      <c r="I521" s="111" t="e">
        <v>#N/A</v>
      </c>
      <c r="J521" s="111"/>
      <c r="K521" s="111"/>
      <c r="L521" s="111"/>
      <c r="M521" s="111" t="e">
        <v>#N/A</v>
      </c>
      <c r="N521" s="111" t="e">
        <v>#N/A</v>
      </c>
      <c r="O521" s="111" t="e">
        <v>#N/A</v>
      </c>
      <c r="P521" s="111" t="e">
        <v>#N/A</v>
      </c>
      <c r="Q521" s="111" t="e">
        <v>#N/A</v>
      </c>
      <c r="R521" s="111" t="e">
        <v>#N/A</v>
      </c>
      <c r="S521" s="111" t="e">
        <v>#N/A</v>
      </c>
      <c r="T521" s="111" t="e">
        <v>#N/A</v>
      </c>
      <c r="U521" s="111" t="e">
        <v>#N/A</v>
      </c>
      <c r="V521" s="111" t="e">
        <v>#N/A</v>
      </c>
      <c r="W521" s="111" t="e">
        <v>#N/A</v>
      </c>
      <c r="X521" s="111" t="e">
        <v>#N/A</v>
      </c>
      <c r="Y521" s="111" t="e">
        <v>#N/A</v>
      </c>
      <c r="Z521" s="111" t="e">
        <v>#N/A</v>
      </c>
      <c r="AA521" s="111" t="e">
        <v>#N/A</v>
      </c>
      <c r="AB521" s="111" t="e">
        <v>#N/A</v>
      </c>
      <c r="AC521" s="111" t="e">
        <v>#N/A</v>
      </c>
      <c r="AD521" s="111" t="e">
        <v>#N/A</v>
      </c>
      <c r="AE521" s="111" t="e">
        <v>#N/A</v>
      </c>
      <c r="AF521" s="111" t="e">
        <v>#N/A</v>
      </c>
      <c r="AG521" s="111" t="e">
        <v>#N/A</v>
      </c>
      <c r="AH521" s="111" t="e">
        <v>#N/A</v>
      </c>
      <c r="AI521" s="111" t="e">
        <v>#N/A</v>
      </c>
      <c r="AJ521" s="111" t="e">
        <v>#N/A</v>
      </c>
      <c r="AK521" s="111" t="e">
        <v>#N/A</v>
      </c>
      <c r="AL521" s="181" t="e">
        <v>#N/A</v>
      </c>
    </row>
    <row r="522" spans="1:38" ht="20.100000000000001" customHeight="1" x14ac:dyDescent="0.2">
      <c r="A522" s="223"/>
      <c r="B522" s="124" t="s">
        <v>5</v>
      </c>
      <c r="C522" s="404"/>
      <c r="D522" s="404" t="e">
        <v>#N/A</v>
      </c>
      <c r="E522" s="404"/>
      <c r="F522" s="404"/>
      <c r="G522" s="404"/>
      <c r="H522" s="404"/>
      <c r="I522" s="404" t="e">
        <v>#N/A</v>
      </c>
      <c r="J522" s="404"/>
      <c r="K522" s="404"/>
      <c r="L522" s="404"/>
      <c r="M522" s="404" t="e">
        <v>#N/A</v>
      </c>
      <c r="N522" s="404" t="e">
        <v>#N/A</v>
      </c>
      <c r="O522" s="404" t="e">
        <v>#N/A</v>
      </c>
      <c r="P522" s="404" t="e">
        <v>#N/A</v>
      </c>
      <c r="Q522" s="404" t="e">
        <v>#N/A</v>
      </c>
      <c r="R522" s="404" t="e">
        <v>#N/A</v>
      </c>
      <c r="S522" s="404" t="e">
        <v>#N/A</v>
      </c>
      <c r="T522" s="404" t="e">
        <v>#N/A</v>
      </c>
      <c r="U522" s="404" t="e">
        <v>#N/A</v>
      </c>
      <c r="V522" s="404" t="e">
        <v>#N/A</v>
      </c>
      <c r="W522" s="404" t="e">
        <v>#N/A</v>
      </c>
      <c r="X522" s="404" t="e">
        <v>#N/A</v>
      </c>
      <c r="Y522" s="404" t="e">
        <v>#N/A</v>
      </c>
      <c r="Z522" s="404" t="e">
        <v>#N/A</v>
      </c>
      <c r="AA522" s="404" t="e">
        <v>#N/A</v>
      </c>
      <c r="AB522" s="404" t="e">
        <v>#N/A</v>
      </c>
      <c r="AC522" s="404" t="e">
        <v>#N/A</v>
      </c>
      <c r="AD522" s="404" t="e">
        <v>#N/A</v>
      </c>
      <c r="AE522" s="404" t="e">
        <v>#N/A</v>
      </c>
      <c r="AF522" s="404" t="e">
        <v>#N/A</v>
      </c>
      <c r="AG522" s="404" t="e">
        <v>#N/A</v>
      </c>
      <c r="AH522" s="404" t="e">
        <v>#N/A</v>
      </c>
      <c r="AI522" s="404" t="e">
        <v>#N/A</v>
      </c>
      <c r="AJ522" s="404" t="e">
        <v>#N/A</v>
      </c>
      <c r="AK522" s="404" t="e">
        <v>#N/A</v>
      </c>
      <c r="AL522" s="103" t="e">
        <v>#N/A</v>
      </c>
    </row>
    <row r="525" spans="1:38" ht="30" customHeight="1" x14ac:dyDescent="0.2">
      <c r="B525" s="175" t="s">
        <v>661</v>
      </c>
      <c r="C525" s="310"/>
      <c r="D525" s="310"/>
      <c r="E525" s="310"/>
      <c r="F525" s="310"/>
      <c r="G525" s="310"/>
      <c r="H525" s="310"/>
      <c r="I525" s="310"/>
      <c r="J525" s="310"/>
      <c r="K525" s="310"/>
      <c r="L525" s="310"/>
      <c r="M525" s="310"/>
      <c r="N525" s="310"/>
      <c r="O525" s="310"/>
      <c r="P525" s="310"/>
      <c r="Q525" s="310"/>
      <c r="R525" s="310"/>
      <c r="S525" s="310"/>
      <c r="T525" s="310"/>
      <c r="U525" s="310"/>
      <c r="V525" s="310"/>
      <c r="W525" s="310"/>
      <c r="X525" s="310"/>
      <c r="Y525" s="310"/>
      <c r="Z525" s="310"/>
      <c r="AA525" s="310"/>
      <c r="AB525" s="310"/>
      <c r="AC525" s="310"/>
      <c r="AD525" s="310"/>
      <c r="AE525" s="310"/>
      <c r="AF525" s="310"/>
    </row>
    <row r="527" spans="1:38" ht="20.100000000000001" customHeight="1" x14ac:dyDescent="0.2">
      <c r="B527" s="376" t="s">
        <v>478</v>
      </c>
      <c r="C527" s="251">
        <v>2025</v>
      </c>
      <c r="D527" s="225">
        <f>C527+10</f>
        <v>2035</v>
      </c>
    </row>
    <row r="528" spans="1:38" ht="20.100000000000001" customHeight="1" x14ac:dyDescent="0.2">
      <c r="B528" s="71" t="s">
        <v>662</v>
      </c>
      <c r="C528" s="1304" t="str">
        <f t="array" ref="C528">IFERROR(INDEX($C$517:$AL$517,0,MATCH(C$527, $C$516:$AL$516,0)),"x")</f>
        <v>x</v>
      </c>
      <c r="D528" s="1305" t="str">
        <f t="array" ref="D528">IFERROR(INDEX($C$517:$AL$517,0,MATCH(D$527, $C$516:$AL$516,0)),"x")</f>
        <v>x</v>
      </c>
    </row>
    <row r="529" spans="2:4" ht="20.100000000000001" customHeight="1" x14ac:dyDescent="0.2">
      <c r="B529" s="280" t="s">
        <v>904</v>
      </c>
      <c r="C529" s="70" t="str">
        <f>IFERROR(INDEX($C$502:$AL$502,0,MATCH(C$527, $C$498:$AL$498,0)),"x")</f>
        <v>x</v>
      </c>
      <c r="D529" s="260" t="str">
        <f>IFERROR(INDEX($C$502:$AL$502,0,MATCH(D$527, $C$498:$AL$498,0)),"x")</f>
        <v>x</v>
      </c>
    </row>
    <row r="530" spans="2:4" ht="20.100000000000001" customHeight="1" x14ac:dyDescent="0.2"/>
  </sheetData>
  <mergeCells count="17">
    <mergeCell ref="Q346:T346"/>
    <mergeCell ref="U346:X346"/>
    <mergeCell ref="I346:L346"/>
    <mergeCell ref="M346:P346"/>
    <mergeCell ref="B78:C78"/>
    <mergeCell ref="B238:D238"/>
    <mergeCell ref="B239:D239"/>
    <mergeCell ref="B240:D240"/>
    <mergeCell ref="B241:D241"/>
    <mergeCell ref="C271:D271"/>
    <mergeCell ref="E271:F271"/>
    <mergeCell ref="G271:H271"/>
    <mergeCell ref="B507:H507"/>
    <mergeCell ref="J507:P507"/>
    <mergeCell ref="B465:C465"/>
    <mergeCell ref="C48:D48"/>
    <mergeCell ref="E48:E49"/>
  </mergeCells>
  <dataValidations disablePrompts="1" count="1">
    <dataValidation type="list" allowBlank="1" showInputMessage="1" showErrorMessage="1" sqref="C2" xr:uid="{9BE89463-A1C0-4563-9B4A-9647CBCD7A03}">
      <formula1>"LG,M1,M2,M3,M4,M5,M6,M7,HG,SA,FA"</formula1>
    </dataValidation>
  </dataValidations>
  <pageMargins left="0.7" right="0.7" top="0.75" bottom="0.75" header="0.3" footer="0.3"/>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2:S130"/>
  <sheetViews>
    <sheetView workbookViewId="0"/>
  </sheetViews>
  <sheetFormatPr defaultColWidth="11" defaultRowHeight="14.25" x14ac:dyDescent="0.2"/>
  <cols>
    <col min="2" max="2" width="13.375" customWidth="1"/>
    <col min="3" max="3" width="10.375" customWidth="1"/>
    <col min="5" max="5" width="17.75" customWidth="1"/>
    <col min="7" max="7" width="19.75" customWidth="1"/>
    <col min="8" max="8" width="16.875" customWidth="1"/>
    <col min="10" max="10" width="10" customWidth="1"/>
    <col min="12" max="12" width="12.5" customWidth="1"/>
    <col min="15" max="16" width="10" customWidth="1"/>
  </cols>
  <sheetData>
    <row r="2" spans="1:19" ht="20.100000000000001" customHeight="1" x14ac:dyDescent="0.25">
      <c r="B2" s="15" t="s">
        <v>915</v>
      </c>
      <c r="G2" s="15" t="s">
        <v>986</v>
      </c>
      <c r="L2" s="457" t="s">
        <v>1040</v>
      </c>
    </row>
    <row r="3" spans="1:19" ht="20.100000000000001" customHeight="1" x14ac:dyDescent="0.2">
      <c r="B3" s="427" t="s">
        <v>315</v>
      </c>
      <c r="C3" s="438" t="s">
        <v>905</v>
      </c>
      <c r="D3" s="438" t="s">
        <v>736</v>
      </c>
      <c r="E3" s="429" t="s">
        <v>35</v>
      </c>
      <c r="G3" s="427" t="s">
        <v>315</v>
      </c>
      <c r="H3" s="428" t="s">
        <v>905</v>
      </c>
      <c r="I3" s="428" t="s">
        <v>736</v>
      </c>
      <c r="J3" s="429" t="s">
        <v>35</v>
      </c>
      <c r="L3" s="427" t="s">
        <v>1034</v>
      </c>
      <c r="M3" s="429" t="s">
        <v>1035</v>
      </c>
      <c r="N3" s="429" t="s">
        <v>1036</v>
      </c>
      <c r="O3" s="429" t="s">
        <v>1037</v>
      </c>
      <c r="P3" s="429" t="s">
        <v>1038</v>
      </c>
    </row>
    <row r="4" spans="1:19" ht="20.100000000000001" customHeight="1" x14ac:dyDescent="0.2">
      <c r="B4" s="430" t="s">
        <v>906</v>
      </c>
      <c r="C4" s="439">
        <v>2016</v>
      </c>
      <c r="D4" s="441" t="s">
        <v>916</v>
      </c>
      <c r="E4" s="442" t="str">
        <f>IFERROR(popn_now!C12,"x")</f>
        <v>x</v>
      </c>
      <c r="G4" s="430" t="s">
        <v>898</v>
      </c>
      <c r="H4" s="431" t="s">
        <v>6</v>
      </c>
      <c r="I4" s="441" t="s">
        <v>916</v>
      </c>
      <c r="J4" s="442" t="str">
        <f>IFERROR(dwell!N17,"x")</f>
        <v>x</v>
      </c>
      <c r="L4" s="453" t="s">
        <v>1039</v>
      </c>
      <c r="M4" s="454" t="str">
        <f t="array" ref="M4:M8">IFERROR(TRANSPOSE(income!D97:H98),"x")</f>
        <v>x</v>
      </c>
      <c r="N4" s="473" t="str">
        <f>IFERROR(Q4*0.3/12,"x")</f>
        <v>x</v>
      </c>
      <c r="O4" s="470" t="str">
        <f t="array" ref="O4:O8">IF(income!D65:D69 = 0, "x", income!D65:D69)</f>
        <v>x</v>
      </c>
      <c r="P4" s="468" t="str">
        <f t="array" ref="P4:P8">IFERROR(N14:N18/O4:O8,"x")</f>
        <v>x</v>
      </c>
      <c r="Q4" s="472" t="e">
        <f t="array" ref="Q4:Q8">TRANSPOSE(income!D108:H108)</f>
        <v>#N/A</v>
      </c>
    </row>
    <row r="5" spans="1:19" ht="20.100000000000001" customHeight="1" x14ac:dyDescent="0.2">
      <c r="B5" s="430" t="s">
        <v>907</v>
      </c>
      <c r="C5" s="439">
        <v>2021</v>
      </c>
      <c r="D5" s="441" t="s">
        <v>916</v>
      </c>
      <c r="E5" s="442" t="str">
        <f>IFERROR(popn_now!D12,"x")</f>
        <v>x</v>
      </c>
      <c r="G5" s="433" t="s">
        <v>965</v>
      </c>
      <c r="H5" s="434" t="s">
        <v>373</v>
      </c>
      <c r="I5" s="443" t="s">
        <v>916</v>
      </c>
      <c r="J5" s="444" t="str">
        <f>IFERROR(dwell!C79,"x")</f>
        <v>x</v>
      </c>
      <c r="L5" s="455" t="s">
        <v>8</v>
      </c>
      <c r="M5" s="456" t="str">
        <v>x</v>
      </c>
      <c r="N5" s="474" t="str">
        <f>IFERROR(Q5*0.3/12,"x")</f>
        <v>x</v>
      </c>
      <c r="O5" s="471" t="str">
        <v>x</v>
      </c>
      <c r="P5" s="469" t="str">
        <v>x</v>
      </c>
      <c r="Q5" s="472" t="e">
        <v>#N/A</v>
      </c>
    </row>
    <row r="6" spans="1:19" ht="20.100000000000001" customHeight="1" x14ac:dyDescent="0.2">
      <c r="B6" s="433" t="s">
        <v>908</v>
      </c>
      <c r="C6" s="440" t="s">
        <v>6</v>
      </c>
      <c r="D6" s="443" t="s">
        <v>916</v>
      </c>
      <c r="E6" s="444" t="str">
        <f>IFERROR(E5-E4,"x")</f>
        <v>x</v>
      </c>
      <c r="G6" s="436"/>
      <c r="H6" s="434" t="s">
        <v>372</v>
      </c>
      <c r="I6" s="443" t="s">
        <v>916</v>
      </c>
      <c r="J6" s="444" t="str">
        <f>IFERROR(dwell!C80,"x")</f>
        <v>x</v>
      </c>
      <c r="L6" s="453" t="s">
        <v>99</v>
      </c>
      <c r="M6" s="454" t="str">
        <v>x</v>
      </c>
      <c r="N6" s="473" t="str">
        <f>IFERROR(Q6*0.3/12,"x")</f>
        <v>x</v>
      </c>
      <c r="O6" s="470" t="str">
        <v>x</v>
      </c>
      <c r="P6" s="468" t="str">
        <v>x</v>
      </c>
      <c r="Q6" s="472" t="e">
        <v>#N/A</v>
      </c>
    </row>
    <row r="7" spans="1:19" ht="20.100000000000001" customHeight="1" x14ac:dyDescent="0.2">
      <c r="B7" s="436"/>
      <c r="C7" s="440" t="s">
        <v>909</v>
      </c>
      <c r="D7" s="443" t="s">
        <v>916</v>
      </c>
      <c r="E7" s="423" t="str">
        <f>IFERROR(E5/E4-1,"x")</f>
        <v>x</v>
      </c>
      <c r="G7" s="436"/>
      <c r="H7" s="434" t="s">
        <v>347</v>
      </c>
      <c r="I7" s="443" t="s">
        <v>916</v>
      </c>
      <c r="J7" s="444" t="str">
        <f>IFERROR(dwell!C81,"x")</f>
        <v>x</v>
      </c>
      <c r="L7" s="455" t="s">
        <v>100</v>
      </c>
      <c r="M7" s="456" t="str">
        <v>x</v>
      </c>
      <c r="N7" s="474" t="str">
        <f>IFERROR(Q7*0.3/12,"x")</f>
        <v>x</v>
      </c>
      <c r="O7" s="471" t="str">
        <v>x</v>
      </c>
      <c r="P7" s="469" t="str">
        <v>x</v>
      </c>
      <c r="Q7" s="472" t="e">
        <v>#N/A</v>
      </c>
    </row>
    <row r="8" spans="1:19" ht="20.100000000000001" customHeight="1" x14ac:dyDescent="0.2">
      <c r="A8" s="299">
        <v>39</v>
      </c>
      <c r="B8" s="430" t="s">
        <v>910</v>
      </c>
      <c r="C8" s="439" t="s">
        <v>911</v>
      </c>
      <c r="D8" s="441" t="s">
        <v>916</v>
      </c>
      <c r="E8" s="432" t="str">
        <f t="array" ref="E8">IFERROR(IF(INDEX(df_pop!$C$2:$C$1000, MATCH(1, (cover!$C$4 = df_pop!$A$2:$A$1000) * ($A8 = df_pop!$B$2:$B$1000) * (df_pop!$E$2:$E$1000 = 2016),0),0) = 0, "x", INDEX(df_pop!$C$2:$C$1000, MATCH(1, (cover!$C$4 = df_pop!$A$2:$A$1000) * ($A8 = df_pop!$B$2:$B$1000) * (df_pop!$E$2:$E$1000 = 2016),0),0)),"x")</f>
        <v>x</v>
      </c>
      <c r="G8" s="436"/>
      <c r="H8" s="434" t="s">
        <v>966</v>
      </c>
      <c r="I8" s="443" t="s">
        <v>916</v>
      </c>
      <c r="J8" s="444" t="str">
        <f>IFERROR(dwell!C82,"x")</f>
        <v>x</v>
      </c>
      <c r="L8" s="453" t="s">
        <v>9</v>
      </c>
      <c r="M8" s="454" t="str">
        <v>x</v>
      </c>
      <c r="N8" s="473">
        <f t="shared" ref="N5:N8" si="0">Q8*0.3/12</f>
        <v>0</v>
      </c>
      <c r="O8" s="470" t="str">
        <v>x</v>
      </c>
      <c r="P8" s="468" t="str">
        <v>x</v>
      </c>
      <c r="Q8" s="472">
        <v>0</v>
      </c>
    </row>
    <row r="9" spans="1:19" ht="20.100000000000001" customHeight="1" x14ac:dyDescent="0.2">
      <c r="A9" s="299">
        <v>40</v>
      </c>
      <c r="B9" s="437"/>
      <c r="C9" s="439" t="s">
        <v>100</v>
      </c>
      <c r="D9" s="441" t="s">
        <v>916</v>
      </c>
      <c r="E9" s="432" t="str">
        <f t="array" ref="E9">IFERROR(IF(INDEX(df_pop!$C$2:$C$1000, MATCH(1, (cover!$C$4 = df_pop!$A$2:$A$1000) * ($A9 = df_pop!$B$2:$B$1000) * (df_pop!$E$2:$E$1000 = 2016),0),0) = 0, "x", INDEX(df_pop!$C$2:$C$1000, MATCH(1, (cover!$C$4 = df_pop!$A$2:$A$1000) * ($A9 = df_pop!$B$2:$B$1000) * (df_pop!$E$2:$E$1000 = 2016),0),0)),"x")</f>
        <v>x</v>
      </c>
      <c r="G9" s="436"/>
      <c r="H9" s="434" t="s">
        <v>371</v>
      </c>
      <c r="I9" s="443" t="s">
        <v>916</v>
      </c>
      <c r="J9" s="444" t="str">
        <f>IFERROR(dwell!C83,"x")</f>
        <v>x</v>
      </c>
    </row>
    <row r="10" spans="1:19" ht="20.100000000000001" customHeight="1" x14ac:dyDescent="0.2">
      <c r="B10" s="433" t="s">
        <v>912</v>
      </c>
      <c r="C10" s="440" t="s">
        <v>169</v>
      </c>
      <c r="D10" s="443" t="s">
        <v>916</v>
      </c>
      <c r="E10" s="444" t="str">
        <f>IFERROR(SUM(popn_now!D13:D15),"x")</f>
        <v>x</v>
      </c>
      <c r="G10" s="436"/>
      <c r="H10" s="434" t="s">
        <v>370</v>
      </c>
      <c r="I10" s="443" t="s">
        <v>916</v>
      </c>
      <c r="J10" s="444" t="str">
        <f>IFERROR(dwell!C84,"x")</f>
        <v>x</v>
      </c>
    </row>
    <row r="11" spans="1:19" ht="20.100000000000001" customHeight="1" x14ac:dyDescent="0.25">
      <c r="B11" s="436"/>
      <c r="C11" s="440" t="s">
        <v>913</v>
      </c>
      <c r="D11" s="443" t="s">
        <v>916</v>
      </c>
      <c r="E11" s="444" t="str">
        <f>IFERROR(SUM(popn_now!D16:D25),"x")</f>
        <v>x</v>
      </c>
      <c r="G11" s="436"/>
      <c r="H11" s="434" t="s">
        <v>967</v>
      </c>
      <c r="I11" s="443" t="s">
        <v>916</v>
      </c>
      <c r="J11" s="444" t="str">
        <f>IFERROR(dwell!C85,"x")</f>
        <v>x</v>
      </c>
      <c r="L11" s="457" t="s">
        <v>1041</v>
      </c>
    </row>
    <row r="12" spans="1:19" ht="20.100000000000001" customHeight="1" x14ac:dyDescent="0.2">
      <c r="B12" s="436"/>
      <c r="C12" s="440" t="s">
        <v>558</v>
      </c>
      <c r="D12" s="443" t="s">
        <v>916</v>
      </c>
      <c r="E12" s="444" t="str">
        <f>IFERROR(SUM(popn_now!D26:D30),"x")</f>
        <v>x</v>
      </c>
      <c r="G12" s="436"/>
      <c r="H12" s="434" t="s">
        <v>899</v>
      </c>
      <c r="I12" s="443" t="s">
        <v>916</v>
      </c>
      <c r="J12" s="444" t="str">
        <f>IFERROR(dwell!C86,"x")</f>
        <v>x</v>
      </c>
      <c r="L12" s="458" t="s">
        <v>530</v>
      </c>
      <c r="M12" s="459" t="s">
        <v>604</v>
      </c>
      <c r="N12" s="459" t="s">
        <v>6</v>
      </c>
      <c r="O12" s="459" t="s">
        <v>605</v>
      </c>
      <c r="P12" s="459" t="s">
        <v>606</v>
      </c>
      <c r="Q12" s="459" t="s">
        <v>607</v>
      </c>
      <c r="R12" s="459" t="s">
        <v>608</v>
      </c>
      <c r="S12" s="459" t="s">
        <v>609</v>
      </c>
    </row>
    <row r="13" spans="1:19" ht="20.100000000000001" customHeight="1" x14ac:dyDescent="0.2">
      <c r="B13" s="430" t="s">
        <v>914</v>
      </c>
      <c r="C13" s="439" t="s">
        <v>161</v>
      </c>
      <c r="D13" s="441" t="s">
        <v>916</v>
      </c>
      <c r="E13" s="442" t="str">
        <f>IFERROR(popn_now!D149,"x")</f>
        <v>x</v>
      </c>
      <c r="G13" s="430" t="s">
        <v>968</v>
      </c>
      <c r="H13" s="431" t="s">
        <v>969</v>
      </c>
      <c r="I13" s="441" t="s">
        <v>916</v>
      </c>
      <c r="J13" s="442">
        <f>dwell!C121</f>
        <v>0</v>
      </c>
      <c r="L13" s="460" t="s">
        <v>6</v>
      </c>
      <c r="M13" s="461"/>
      <c r="N13" s="462" t="str">
        <f t="array" ref="N13:S18">IF(need!D199:I204 = 0, "x", need!D199:I204)</f>
        <v>x</v>
      </c>
      <c r="O13" s="463" t="str">
        <v>x</v>
      </c>
      <c r="P13" s="463" t="str">
        <v>x</v>
      </c>
      <c r="Q13" s="463" t="str">
        <v>x</v>
      </c>
      <c r="R13" s="463" t="str">
        <v>x</v>
      </c>
      <c r="S13" s="463" t="str">
        <v>x</v>
      </c>
    </row>
    <row r="14" spans="1:19" ht="20.100000000000001" customHeight="1" x14ac:dyDescent="0.2">
      <c r="B14" s="437"/>
      <c r="C14" s="439" t="s">
        <v>163</v>
      </c>
      <c r="D14" s="441" t="s">
        <v>916</v>
      </c>
      <c r="E14" s="442" t="str">
        <f>IFERROR(popn_now!D151,"x")</f>
        <v>x</v>
      </c>
      <c r="G14" s="437"/>
      <c r="H14" s="431" t="s">
        <v>749</v>
      </c>
      <c r="I14" s="441" t="s">
        <v>916</v>
      </c>
      <c r="J14" s="442">
        <f>dwell!C122</f>
        <v>0</v>
      </c>
      <c r="L14" s="464" t="s">
        <v>98</v>
      </c>
      <c r="M14" s="465" t="str">
        <f t="array" ref="M14:M18">need!C200:C204</f>
        <v>x</v>
      </c>
      <c r="N14" s="466" t="str">
        <v>x</v>
      </c>
      <c r="O14" s="466" t="str">
        <v>x</v>
      </c>
      <c r="P14" s="466" t="str">
        <v>x</v>
      </c>
      <c r="Q14" s="466" t="str">
        <v>x</v>
      </c>
      <c r="R14" s="466" t="str">
        <v>x</v>
      </c>
      <c r="S14" s="466" t="str">
        <v>x</v>
      </c>
    </row>
    <row r="15" spans="1:19" ht="20.100000000000001" customHeight="1" x14ac:dyDescent="0.2">
      <c r="B15" s="437"/>
      <c r="C15" s="439" t="s">
        <v>164</v>
      </c>
      <c r="D15" s="441" t="s">
        <v>916</v>
      </c>
      <c r="E15" s="442" t="str">
        <f>IFERROR(popn_now!D152,"x")</f>
        <v>x</v>
      </c>
      <c r="G15" s="437"/>
      <c r="H15" s="431" t="s">
        <v>970</v>
      </c>
      <c r="I15" s="441" t="s">
        <v>916</v>
      </c>
      <c r="J15" s="442">
        <f>dwell!C123</f>
        <v>0</v>
      </c>
      <c r="L15" s="460" t="s">
        <v>8</v>
      </c>
      <c r="M15" s="467" t="str">
        <v>x</v>
      </c>
      <c r="N15" s="462" t="str">
        <v>x</v>
      </c>
      <c r="O15" s="463" t="str">
        <v>x</v>
      </c>
      <c r="P15" s="463" t="str">
        <v>x</v>
      </c>
      <c r="Q15" s="463" t="str">
        <v>x</v>
      </c>
      <c r="R15" s="463" t="str">
        <v>x</v>
      </c>
      <c r="S15" s="463" t="str">
        <v>x</v>
      </c>
    </row>
    <row r="16" spans="1:19" ht="20.100000000000001" customHeight="1" x14ac:dyDescent="0.2">
      <c r="G16" s="437"/>
      <c r="H16" s="431" t="s">
        <v>971</v>
      </c>
      <c r="I16" s="441" t="s">
        <v>916</v>
      </c>
      <c r="J16" s="442">
        <f>dwell!C124</f>
        <v>0</v>
      </c>
      <c r="L16" s="464" t="s">
        <v>99</v>
      </c>
      <c r="M16" s="465" t="str">
        <v>x</v>
      </c>
      <c r="N16" s="466" t="str">
        <v>x</v>
      </c>
      <c r="O16" s="466" t="str">
        <v>x</v>
      </c>
      <c r="P16" s="466" t="str">
        <v>x</v>
      </c>
      <c r="Q16" s="466" t="str">
        <v>x</v>
      </c>
      <c r="R16" s="466" t="str">
        <v>x</v>
      </c>
      <c r="S16" s="466" t="str">
        <v>x</v>
      </c>
    </row>
    <row r="17" spans="1:19" ht="20.100000000000001" customHeight="1" x14ac:dyDescent="0.2">
      <c r="G17" s="437"/>
      <c r="H17" s="431" t="s">
        <v>972</v>
      </c>
      <c r="I17" s="441" t="s">
        <v>916</v>
      </c>
      <c r="J17" s="442">
        <f>dwell!C125</f>
        <v>0</v>
      </c>
      <c r="L17" s="460" t="s">
        <v>100</v>
      </c>
      <c r="M17" s="467" t="str">
        <v>x</v>
      </c>
      <c r="N17" s="463" t="str">
        <v>x</v>
      </c>
      <c r="O17" s="463" t="str">
        <v>x</v>
      </c>
      <c r="P17" s="463" t="str">
        <v>x</v>
      </c>
      <c r="Q17" s="463" t="str">
        <v>x</v>
      </c>
      <c r="R17" s="463" t="str">
        <v>x</v>
      </c>
      <c r="S17" s="463" t="str">
        <v>x</v>
      </c>
    </row>
    <row r="18" spans="1:19" ht="20.100000000000001" customHeight="1" x14ac:dyDescent="0.2">
      <c r="B18" s="15" t="s">
        <v>919</v>
      </c>
      <c r="G18" s="433" t="s">
        <v>973</v>
      </c>
      <c r="H18" s="434" t="s">
        <v>897</v>
      </c>
      <c r="I18" s="443" t="s">
        <v>916</v>
      </c>
      <c r="J18" s="444" t="str">
        <f>IFERROR(dwell!C51,"x")</f>
        <v>x</v>
      </c>
      <c r="L18" s="464" t="s">
        <v>9</v>
      </c>
      <c r="M18" s="466" t="str">
        <v>&gt;x</v>
      </c>
      <c r="N18" s="466" t="str">
        <v>x</v>
      </c>
      <c r="O18" s="466" t="str">
        <v>x</v>
      </c>
      <c r="P18" s="466" t="str">
        <v>x</v>
      </c>
      <c r="Q18" s="466" t="str">
        <v>x</v>
      </c>
      <c r="R18" s="466" t="str">
        <v>x</v>
      </c>
      <c r="S18" s="466" t="str">
        <v>x</v>
      </c>
    </row>
    <row r="19" spans="1:19" ht="20.100000000000001" customHeight="1" x14ac:dyDescent="0.2">
      <c r="B19" s="427" t="s">
        <v>315</v>
      </c>
      <c r="C19" s="438" t="s">
        <v>905</v>
      </c>
      <c r="D19" s="438" t="s">
        <v>736</v>
      </c>
      <c r="E19" s="429" t="s">
        <v>35</v>
      </c>
      <c r="G19" s="436"/>
      <c r="H19" s="434" t="s">
        <v>974</v>
      </c>
      <c r="I19" s="443" t="s">
        <v>916</v>
      </c>
      <c r="J19" s="444" t="str">
        <f>IFERROR(dwell!C52,"x")</f>
        <v>x</v>
      </c>
    </row>
    <row r="20" spans="1:19" ht="20.100000000000001" customHeight="1" x14ac:dyDescent="0.2">
      <c r="B20" s="430" t="s">
        <v>205</v>
      </c>
      <c r="C20" s="439" t="s">
        <v>6</v>
      </c>
      <c r="D20" s="441" t="s">
        <v>916</v>
      </c>
      <c r="E20" s="442" t="str">
        <f>IFERROR(popn_now!D179,"x")</f>
        <v>x</v>
      </c>
      <c r="G20" s="436"/>
      <c r="H20" s="434" t="s">
        <v>975</v>
      </c>
      <c r="I20" s="443" t="s">
        <v>916</v>
      </c>
      <c r="J20" s="444" t="str">
        <f>IFERROR(dwell!C53,"x")</f>
        <v>x</v>
      </c>
    </row>
    <row r="21" spans="1:19" ht="20.100000000000001" customHeight="1" x14ac:dyDescent="0.25">
      <c r="B21" s="433" t="s">
        <v>896</v>
      </c>
      <c r="C21" s="440" t="s">
        <v>6</v>
      </c>
      <c r="D21" s="443" t="s">
        <v>916</v>
      </c>
      <c r="E21" s="444" t="str">
        <f>IFERROR(popn_now!D176-popn_now!D179,"x")</f>
        <v>x</v>
      </c>
      <c r="G21" s="436"/>
      <c r="H21" s="434" t="s">
        <v>976</v>
      </c>
      <c r="I21" s="443" t="s">
        <v>916</v>
      </c>
      <c r="J21" s="444" t="str">
        <f>IFERROR(dwell!C54,"x")</f>
        <v>x</v>
      </c>
      <c r="L21" s="457" t="s">
        <v>1050</v>
      </c>
    </row>
    <row r="22" spans="1:19" ht="20.100000000000001" customHeight="1" x14ac:dyDescent="0.2">
      <c r="B22" s="430" t="s">
        <v>917</v>
      </c>
      <c r="C22" s="439" t="s">
        <v>6</v>
      </c>
      <c r="D22" s="441" t="s">
        <v>916</v>
      </c>
      <c r="E22" s="442" t="str">
        <f>IFERROR(popn_now!D180,"x")</f>
        <v>x</v>
      </c>
      <c r="G22" s="436"/>
      <c r="H22" s="434" t="s">
        <v>977</v>
      </c>
      <c r="I22" s="443" t="s">
        <v>916</v>
      </c>
      <c r="J22" s="444" t="str">
        <f>IFERROR(dwell!C55,"x")</f>
        <v>x</v>
      </c>
      <c r="L22" s="427" t="s">
        <v>315</v>
      </c>
      <c r="M22" s="428" t="s">
        <v>905</v>
      </c>
      <c r="N22" s="428" t="s">
        <v>736</v>
      </c>
      <c r="O22" s="429" t="s">
        <v>35</v>
      </c>
    </row>
    <row r="23" spans="1:19" ht="20.100000000000001" customHeight="1" x14ac:dyDescent="0.2">
      <c r="B23" s="433" t="s">
        <v>918</v>
      </c>
      <c r="C23" s="440" t="s">
        <v>6</v>
      </c>
      <c r="D23" s="443" t="s">
        <v>916</v>
      </c>
      <c r="E23" s="444" t="str">
        <f>IFERROR(popn_now!D155,"x")</f>
        <v>x</v>
      </c>
      <c r="G23" s="436"/>
      <c r="H23" s="434" t="s">
        <v>978</v>
      </c>
      <c r="I23" s="443" t="s">
        <v>916</v>
      </c>
      <c r="J23" s="444" t="str">
        <f>IFERROR(dwell!C56,"x")</f>
        <v>x</v>
      </c>
      <c r="L23" s="430" t="s">
        <v>1042</v>
      </c>
      <c r="M23" s="431" t="s">
        <v>6</v>
      </c>
      <c r="N23" s="445" t="s">
        <v>1051</v>
      </c>
      <c r="O23" s="442" t="str">
        <f>IFERROR(popn_fut!L81,"x")</f>
        <v>x</v>
      </c>
    </row>
    <row r="24" spans="1:19" ht="20.100000000000001" customHeight="1" x14ac:dyDescent="0.2">
      <c r="B24" s="430" t="s">
        <v>351</v>
      </c>
      <c r="C24" s="439" t="s">
        <v>6</v>
      </c>
      <c r="D24" s="441" t="s">
        <v>916</v>
      </c>
      <c r="E24" s="442" t="str">
        <f>IFERROR(popn_now!D177,"x")</f>
        <v>x</v>
      </c>
      <c r="G24" s="436"/>
      <c r="H24" s="434" t="s">
        <v>979</v>
      </c>
      <c r="I24" s="443" t="s">
        <v>916</v>
      </c>
      <c r="J24" s="444" t="str">
        <f>IFERROR(dwell!C57,"x")</f>
        <v>x</v>
      </c>
      <c r="L24" s="433" t="s">
        <v>1043</v>
      </c>
      <c r="M24" s="434" t="s">
        <v>6</v>
      </c>
      <c r="N24" s="446" t="s">
        <v>1051</v>
      </c>
      <c r="O24" s="444" t="str">
        <f>IFERROR(popn_fut!L81-popn_fut!K81,"x")</f>
        <v>x</v>
      </c>
    </row>
    <row r="25" spans="1:19" ht="20.100000000000001" customHeight="1" x14ac:dyDescent="0.2">
      <c r="G25" s="436"/>
      <c r="H25" s="434" t="s">
        <v>980</v>
      </c>
      <c r="I25" s="443" t="s">
        <v>916</v>
      </c>
      <c r="J25" s="444" t="str">
        <f>IFERROR(dwell!C58,"x")</f>
        <v>x</v>
      </c>
      <c r="L25" s="436"/>
      <c r="M25" s="434" t="s">
        <v>909</v>
      </c>
      <c r="N25" s="446" t="s">
        <v>1051</v>
      </c>
      <c r="O25" s="451" t="str">
        <f>IFERROR(popn_fut!L81/popn_fut!K81-1,"x")</f>
        <v>x</v>
      </c>
    </row>
    <row r="26" spans="1:19" ht="20.100000000000001" customHeight="1" x14ac:dyDescent="0.2">
      <c r="G26" s="430" t="s">
        <v>981</v>
      </c>
      <c r="H26" s="431" t="s">
        <v>6</v>
      </c>
      <c r="I26" s="441" t="s">
        <v>988</v>
      </c>
      <c r="J26" s="421" t="str">
        <f>rental!D34</f>
        <v>x</v>
      </c>
      <c r="L26" s="430" t="s">
        <v>1044</v>
      </c>
      <c r="M26" s="431" t="s">
        <v>911</v>
      </c>
      <c r="N26" s="445" t="s">
        <v>105</v>
      </c>
      <c r="O26" s="419" t="str">
        <f t="array" ref="O26">IFERROR(projection!AS25,"x")</f>
        <v>x</v>
      </c>
    </row>
    <row r="27" spans="1:19" ht="20.100000000000001" customHeight="1" x14ac:dyDescent="0.2">
      <c r="B27" s="15" t="s">
        <v>939</v>
      </c>
      <c r="G27" s="437"/>
      <c r="H27" s="431" t="s">
        <v>66</v>
      </c>
      <c r="I27" s="441" t="s">
        <v>988</v>
      </c>
      <c r="J27" s="421" t="str">
        <f>rental!D35</f>
        <v>x</v>
      </c>
      <c r="L27" s="437"/>
      <c r="M27" s="431" t="s">
        <v>100</v>
      </c>
      <c r="N27" s="445" t="s">
        <v>105</v>
      </c>
      <c r="O27" s="419" t="str">
        <f t="array" ref="O27">IFERROR(projection!AS26,"x")</f>
        <v>x</v>
      </c>
    </row>
    <row r="28" spans="1:19" ht="20.100000000000001" customHeight="1" x14ac:dyDescent="0.2">
      <c r="B28" s="427" t="s">
        <v>315</v>
      </c>
      <c r="C28" s="438" t="s">
        <v>905</v>
      </c>
      <c r="D28" s="438" t="s">
        <v>736</v>
      </c>
      <c r="E28" s="429" t="s">
        <v>35</v>
      </c>
      <c r="G28" s="437"/>
      <c r="H28" s="431" t="s">
        <v>749</v>
      </c>
      <c r="I28" s="441" t="s">
        <v>988</v>
      </c>
      <c r="J28" s="421" t="str">
        <f>rental!D36</f>
        <v>x</v>
      </c>
      <c r="L28" s="433" t="s">
        <v>912</v>
      </c>
      <c r="M28" s="434" t="s">
        <v>1045</v>
      </c>
      <c r="N28" s="446" t="s">
        <v>1051</v>
      </c>
      <c r="O28" s="444" t="str">
        <f>IFERROR(SUM(popn_fut!D82:D84),"x")</f>
        <v>x</v>
      </c>
    </row>
    <row r="29" spans="1:19" ht="20.100000000000001" customHeight="1" x14ac:dyDescent="0.2">
      <c r="B29" s="430" t="s">
        <v>920</v>
      </c>
      <c r="C29" s="439">
        <v>2016</v>
      </c>
      <c r="D29" s="447" t="s">
        <v>916</v>
      </c>
      <c r="E29" s="442" t="str">
        <f t="array" ref="E29">IFERROR(IF(hh!D72 = 0, "x", hh!D72),"x")</f>
        <v>x</v>
      </c>
      <c r="G29" s="437"/>
      <c r="H29" s="431" t="s">
        <v>970</v>
      </c>
      <c r="I29" s="441" t="s">
        <v>988</v>
      </c>
      <c r="J29" s="421" t="str">
        <f>rental!D37</f>
        <v>x</v>
      </c>
      <c r="L29" s="436"/>
      <c r="M29" s="434" t="s">
        <v>1046</v>
      </c>
      <c r="N29" s="446" t="s">
        <v>1051</v>
      </c>
      <c r="O29" s="444" t="str">
        <f>IFERROR(popn_fut!D85,"x")</f>
        <v>x</v>
      </c>
    </row>
    <row r="30" spans="1:19" ht="20.100000000000001" customHeight="1" x14ac:dyDescent="0.2">
      <c r="B30" s="430" t="s">
        <v>921</v>
      </c>
      <c r="C30" s="439">
        <v>2021</v>
      </c>
      <c r="D30" s="441" t="s">
        <v>916</v>
      </c>
      <c r="E30" s="442" t="str">
        <f>IFERROR(IF(hh!E72 = 0, "x", hh!E72),"x")</f>
        <v>x</v>
      </c>
      <c r="G30" s="437"/>
      <c r="H30" s="431" t="s">
        <v>982</v>
      </c>
      <c r="I30" s="441" t="s">
        <v>988</v>
      </c>
      <c r="J30" s="421" t="str">
        <f>rental!D38</f>
        <v>x</v>
      </c>
      <c r="L30" s="436"/>
      <c r="M30" s="434" t="s">
        <v>1047</v>
      </c>
      <c r="N30" s="446" t="s">
        <v>1051</v>
      </c>
      <c r="O30" s="444" t="str">
        <f>IFERROR(popn_fut!D86,"x")</f>
        <v>x</v>
      </c>
    </row>
    <row r="31" spans="1:19" ht="20.100000000000001" customHeight="1" x14ac:dyDescent="0.2">
      <c r="A31" s="299">
        <v>252</v>
      </c>
      <c r="B31" s="433" t="s">
        <v>922</v>
      </c>
      <c r="C31" s="440" t="s">
        <v>911</v>
      </c>
      <c r="D31" s="443" t="s">
        <v>916</v>
      </c>
      <c r="E31" s="418" t="str">
        <f t="array" ref="E31">IFERROR(IF(INDEX(df_census_misc!$C$2:$C$1000, MATCH(1, (cover!$C$4 = df_census_misc!$A$2:$A$1000) * (df_census_misc!$B$2:$B$1000 = $A31), 0), 0)=0,"x", INDEX(df_census_misc!$C$2:$C$1000, MATCH(1, (cover!$C$4 = df_census_misc!$A$2:$A$1000) * (df_census_misc!$B$2:$B$1000 = $A31), 0), 0)),"x")</f>
        <v>x</v>
      </c>
      <c r="G31" s="433" t="s">
        <v>983</v>
      </c>
      <c r="H31" s="434" t="s">
        <v>6</v>
      </c>
      <c r="I31" s="443" t="s">
        <v>988</v>
      </c>
      <c r="J31" s="444">
        <f>rental!J66</f>
        <v>0</v>
      </c>
      <c r="L31" s="436"/>
      <c r="M31" s="434" t="s">
        <v>1048</v>
      </c>
      <c r="N31" s="446" t="s">
        <v>1051</v>
      </c>
      <c r="O31" s="444" t="str">
        <f>IFERROR(SUM(popn_fut!D87:D94),"x")</f>
        <v>x</v>
      </c>
    </row>
    <row r="32" spans="1:19" ht="20.100000000000001" customHeight="1" x14ac:dyDescent="0.2">
      <c r="A32" s="299">
        <v>243</v>
      </c>
      <c r="B32" s="436"/>
      <c r="C32" s="440" t="s">
        <v>100</v>
      </c>
      <c r="D32" s="443" t="s">
        <v>916</v>
      </c>
      <c r="E32" s="418" t="str">
        <f t="array" ref="E32">IFERROR(IF(INDEX(df_census_misc!$C$2:$C$1000, MATCH(1, (cover!$C$4 = df_census_misc!$A$2:$A$1000) * (df_census_misc!$B$2:$B$1000 = $A32), 0), 0)=0,"x", INDEX(df_census_misc!$C$2:$C$1000, MATCH(1, (cover!$C$4 = df_census_misc!$A$2:$A$1000) * (df_census_misc!$B$2:$B$1000 = $A32), 0), 0)),"x")</f>
        <v>x</v>
      </c>
      <c r="G32" s="430" t="s">
        <v>984</v>
      </c>
      <c r="H32" s="431" t="s">
        <v>6</v>
      </c>
      <c r="I32" s="441" t="s">
        <v>940</v>
      </c>
      <c r="J32" s="442" t="str">
        <f>rental!K66</f>
        <v>x</v>
      </c>
      <c r="L32" s="436"/>
      <c r="M32" s="434" t="s">
        <v>1049</v>
      </c>
      <c r="N32" s="446" t="s">
        <v>1051</v>
      </c>
      <c r="O32" s="444" t="str">
        <f>IFERROR(SUM(popn_fut!D95:D98),"x")</f>
        <v>x</v>
      </c>
    </row>
    <row r="33" spans="2:16" ht="20.100000000000001" customHeight="1" x14ac:dyDescent="0.2">
      <c r="B33" s="430" t="s">
        <v>923</v>
      </c>
      <c r="C33" s="439" t="s">
        <v>911</v>
      </c>
      <c r="D33" s="441" t="s">
        <v>940</v>
      </c>
      <c r="E33" s="449" t="str">
        <f>IFERROR(income!J33,"x")</f>
        <v>x</v>
      </c>
      <c r="G33" s="433" t="s">
        <v>985</v>
      </c>
      <c r="H33" s="434" t="s">
        <v>6</v>
      </c>
      <c r="I33" s="443" t="s">
        <v>987</v>
      </c>
      <c r="J33" s="444" t="str">
        <f>dwell!C256</f>
        <v>x</v>
      </c>
      <c r="L33" s="436"/>
      <c r="M33" s="434" t="s">
        <v>5</v>
      </c>
      <c r="N33" s="446" t="s">
        <v>1051</v>
      </c>
      <c r="O33" s="444" t="str">
        <f>IFERROR(popn_fut!D99,"x")</f>
        <v>x</v>
      </c>
    </row>
    <row r="34" spans="2:16" ht="20.100000000000001" customHeight="1" x14ac:dyDescent="0.2">
      <c r="B34" s="437"/>
      <c r="C34" s="439" t="s">
        <v>100</v>
      </c>
      <c r="D34" s="441" t="s">
        <v>940</v>
      </c>
      <c r="E34" s="449" t="str">
        <f>IFERROR(income!C43,"x")</f>
        <v>x</v>
      </c>
    </row>
    <row r="35" spans="2:16" ht="20.100000000000001" customHeight="1" x14ac:dyDescent="0.2">
      <c r="B35" s="433" t="s">
        <v>924</v>
      </c>
      <c r="C35" s="440" t="s">
        <v>911</v>
      </c>
      <c r="D35" s="443" t="s">
        <v>940</v>
      </c>
      <c r="E35" s="448" t="str">
        <f>IFERROR(income!J32,"x")</f>
        <v>x</v>
      </c>
    </row>
    <row r="36" spans="2:16" ht="20.100000000000001" customHeight="1" x14ac:dyDescent="0.2">
      <c r="B36" s="436"/>
      <c r="C36" s="440" t="s">
        <v>100</v>
      </c>
      <c r="D36" s="443" t="s">
        <v>940</v>
      </c>
      <c r="E36" s="448" t="str">
        <f>income!C42</f>
        <v>x</v>
      </c>
      <c r="G36" s="15" t="s">
        <v>993</v>
      </c>
      <c r="L36" s="15" t="s">
        <v>1059</v>
      </c>
    </row>
    <row r="37" spans="2:16" ht="20.100000000000001" customHeight="1" x14ac:dyDescent="0.2">
      <c r="B37" s="430" t="s">
        <v>322</v>
      </c>
      <c r="C37" s="439" t="s">
        <v>911</v>
      </c>
      <c r="D37" s="441" t="s">
        <v>916</v>
      </c>
      <c r="E37" s="432" t="str">
        <f>IFERROR(hh!D30,"x")</f>
        <v>x</v>
      </c>
      <c r="G37" s="427" t="s">
        <v>315</v>
      </c>
      <c r="H37" s="428" t="s">
        <v>905</v>
      </c>
      <c r="I37" s="428" t="s">
        <v>736</v>
      </c>
      <c r="J37" s="429" t="s">
        <v>35</v>
      </c>
      <c r="L37" s="427" t="s">
        <v>315</v>
      </c>
      <c r="M37" s="428" t="s">
        <v>905</v>
      </c>
      <c r="N37" s="428" t="s">
        <v>736</v>
      </c>
      <c r="O37" s="429" t="s">
        <v>35</v>
      </c>
    </row>
    <row r="38" spans="2:16" ht="20.100000000000001" customHeight="1" x14ac:dyDescent="0.2">
      <c r="B38" s="433" t="s">
        <v>925</v>
      </c>
      <c r="C38" s="440" t="s">
        <v>6</v>
      </c>
      <c r="D38" s="443" t="s">
        <v>916</v>
      </c>
      <c r="E38" s="444" t="str">
        <f>E30</f>
        <v>x</v>
      </c>
      <c r="G38" s="430" t="s">
        <v>989</v>
      </c>
      <c r="H38" s="431" t="s">
        <v>6</v>
      </c>
      <c r="I38" s="445" t="s">
        <v>916</v>
      </c>
      <c r="J38" s="442" t="str">
        <f t="array" ref="J38">IFERROR(dwell!D136,"x")</f>
        <v>x</v>
      </c>
      <c r="L38" s="430" t="s">
        <v>1052</v>
      </c>
      <c r="M38" s="431" t="s">
        <v>6</v>
      </c>
      <c r="N38" s="445" t="s">
        <v>1060</v>
      </c>
      <c r="O38" s="442">
        <f>projection!M31</f>
        <v>0</v>
      </c>
    </row>
    <row r="39" spans="2:16" ht="20.100000000000001" customHeight="1" x14ac:dyDescent="0.2">
      <c r="B39" s="436"/>
      <c r="C39" s="440" t="s">
        <v>83</v>
      </c>
      <c r="D39" s="443" t="s">
        <v>916</v>
      </c>
      <c r="E39" s="444" t="str">
        <f>IFERROR(hh!D25,"x")</f>
        <v>x</v>
      </c>
      <c r="G39" s="433" t="s">
        <v>990</v>
      </c>
      <c r="H39" s="434" t="s">
        <v>6</v>
      </c>
      <c r="I39" s="446" t="s">
        <v>941</v>
      </c>
      <c r="J39" s="444" t="str">
        <f>dwell!C222</f>
        <v>x</v>
      </c>
      <c r="L39" s="433" t="s">
        <v>1053</v>
      </c>
      <c r="M39" s="434" t="s">
        <v>6</v>
      </c>
      <c r="N39" s="446" t="s">
        <v>1060</v>
      </c>
      <c r="O39" s="444">
        <f>projection!W31</f>
        <v>0</v>
      </c>
    </row>
    <row r="40" spans="2:16" ht="20.100000000000001" customHeight="1" x14ac:dyDescent="0.2">
      <c r="B40" s="436"/>
      <c r="C40" s="440" t="s">
        <v>308</v>
      </c>
      <c r="D40" s="443" t="s">
        <v>916</v>
      </c>
      <c r="E40" s="444" t="str">
        <f>IFERROR(hh!D26,"x")</f>
        <v>x</v>
      </c>
      <c r="G40" s="430" t="s">
        <v>991</v>
      </c>
      <c r="H40" s="431" t="s">
        <v>6</v>
      </c>
      <c r="I40" s="445" t="s">
        <v>1394</v>
      </c>
      <c r="J40" s="442" t="str">
        <f>IFERROR(IF(dwell!D376 &gt; 0, dwell!D376, "x"),"x")</f>
        <v>-</v>
      </c>
      <c r="L40" s="430" t="s">
        <v>1054</v>
      </c>
      <c r="M40" s="431" t="s">
        <v>911</v>
      </c>
      <c r="N40" s="445" t="s">
        <v>105</v>
      </c>
      <c r="O40" s="419" t="str">
        <f>IFERROR(projection!AO37,"x")</f>
        <v>x</v>
      </c>
    </row>
    <row r="41" spans="2:16" ht="20.100000000000001" customHeight="1" x14ac:dyDescent="0.2">
      <c r="B41" s="436"/>
      <c r="C41" s="440" t="s">
        <v>309</v>
      </c>
      <c r="D41" s="443" t="s">
        <v>916</v>
      </c>
      <c r="E41" s="444" t="str">
        <f>IFERROR(hh!D27,"x")</f>
        <v>x</v>
      </c>
      <c r="G41" s="433" t="s">
        <v>992</v>
      </c>
      <c r="H41" s="434" t="s">
        <v>1393</v>
      </c>
      <c r="I41" s="446" t="s">
        <v>1394</v>
      </c>
      <c r="J41" s="444" t="str">
        <f>IFERROR(IF(SUM(dwell!C377:D381) &gt; 0, SUM(dwell!C377:D381), "x"), "x")</f>
        <v>x</v>
      </c>
      <c r="L41" s="437"/>
      <c r="M41" s="431" t="s">
        <v>100</v>
      </c>
      <c r="N41" s="445" t="s">
        <v>105</v>
      </c>
      <c r="O41" s="419" t="str">
        <f>IFERROR(projection!AO38,"x")</f>
        <v>x</v>
      </c>
    </row>
    <row r="42" spans="2:16" ht="20.100000000000001" customHeight="1" x14ac:dyDescent="0.2">
      <c r="B42" s="436"/>
      <c r="C42" s="440" t="s">
        <v>310</v>
      </c>
      <c r="D42" s="443" t="s">
        <v>916</v>
      </c>
      <c r="E42" s="444" t="str">
        <f>IFERROR(hh!D28,"x")</f>
        <v>x</v>
      </c>
      <c r="L42" s="433" t="s">
        <v>314</v>
      </c>
      <c r="M42" s="434" t="s">
        <v>1004</v>
      </c>
      <c r="N42" s="446" t="s">
        <v>1060</v>
      </c>
      <c r="O42" s="444" t="str">
        <f>IFERROR(MROUND($O$39*P42/SUM($P$42:$P$43),5),"x")</f>
        <v>x</v>
      </c>
      <c r="P42" s="472">
        <f>IFERROR(MROUND(SUM(projection!AD265:AD269),5),0)</f>
        <v>0</v>
      </c>
    </row>
    <row r="43" spans="2:16" ht="20.100000000000001" customHeight="1" x14ac:dyDescent="0.2">
      <c r="B43" s="436"/>
      <c r="C43" s="440" t="s">
        <v>926</v>
      </c>
      <c r="D43" s="443" t="s">
        <v>916</v>
      </c>
      <c r="E43" s="444" t="str">
        <f>IFERROR(hh!D29,"x")</f>
        <v>x</v>
      </c>
      <c r="L43" s="436"/>
      <c r="M43" s="434" t="s">
        <v>95</v>
      </c>
      <c r="N43" s="446" t="s">
        <v>1060</v>
      </c>
      <c r="O43" s="444" t="str">
        <f>IFERROR(MROUND($O$39*P43/SUM($P$42:$P$43),5),"x")</f>
        <v>x</v>
      </c>
      <c r="P43" s="472">
        <f>MROUND(SUM(projection!V265:V269),5)</f>
        <v>0</v>
      </c>
    </row>
    <row r="44" spans="2:16" ht="20.100000000000001" customHeight="1" x14ac:dyDescent="0.2">
      <c r="B44" s="430" t="s">
        <v>927</v>
      </c>
      <c r="C44" s="439" t="s">
        <v>6</v>
      </c>
      <c r="D44" s="441" t="s">
        <v>916</v>
      </c>
      <c r="E44" s="442" t="str">
        <f>IFERROR(hh!F11,"x")</f>
        <v>x</v>
      </c>
      <c r="G44" s="15" t="s">
        <v>1000</v>
      </c>
      <c r="L44" s="430" t="s">
        <v>1055</v>
      </c>
      <c r="M44" s="431" t="s">
        <v>6</v>
      </c>
      <c r="N44" s="445" t="s">
        <v>1060</v>
      </c>
      <c r="O44" s="442" t="str">
        <f>IFERROR(projection!H241,"x")</f>
        <v>x</v>
      </c>
    </row>
    <row r="45" spans="2:16" ht="20.100000000000001" customHeight="1" x14ac:dyDescent="0.2">
      <c r="B45" s="430" t="s">
        <v>928</v>
      </c>
      <c r="C45" s="439" t="s">
        <v>909</v>
      </c>
      <c r="D45" s="441" t="s">
        <v>916</v>
      </c>
      <c r="E45" s="450" t="str">
        <f>IFERROR(IF(E44/SUM(E44,E46) = 0, "x", E44/SUM(E44,E46)),"x")</f>
        <v>x</v>
      </c>
      <c r="G45" s="427" t="s">
        <v>315</v>
      </c>
      <c r="H45" s="428" t="s">
        <v>905</v>
      </c>
      <c r="I45" s="428" t="s">
        <v>736</v>
      </c>
      <c r="J45" s="429" t="s">
        <v>35</v>
      </c>
      <c r="L45" s="437"/>
      <c r="M45" s="431" t="s">
        <v>373</v>
      </c>
      <c r="N45" s="445" t="s">
        <v>1060</v>
      </c>
      <c r="O45" s="442" t="str">
        <f>IFERROR(MROUND(P45,5),"x")</f>
        <v>x</v>
      </c>
      <c r="P45" s="472" t="e">
        <f t="array" ref="P45:P47">projection!V284:V286</f>
        <v>#N/A</v>
      </c>
    </row>
    <row r="46" spans="2:16" ht="20.100000000000001" customHeight="1" x14ac:dyDescent="0.2">
      <c r="B46" s="433" t="s">
        <v>516</v>
      </c>
      <c r="C46" s="440" t="s">
        <v>6</v>
      </c>
      <c r="D46" s="443" t="s">
        <v>916</v>
      </c>
      <c r="E46" s="444" t="str">
        <f>IFERROR(hh!E11,"x")</f>
        <v>x</v>
      </c>
      <c r="F46" s="476">
        <v>1494</v>
      </c>
      <c r="G46" s="430" t="s">
        <v>994</v>
      </c>
      <c r="H46" s="431" t="s">
        <v>100</v>
      </c>
      <c r="I46" s="445" t="s">
        <v>916</v>
      </c>
      <c r="J46" s="452" t="str">
        <f t="array" ref="J46">IFERROR(IF(INDEX(df_census_misc!$C$2:$C$1000, MATCH(1, (cover!$C$4 = df_census_misc!$A$2:$A$1000) * (df_census_misc!$B$2:$B$1000 = $F46), 0), 0)=0,"x", INDEX(df_census_misc!$C$2:$C$1000, MATCH(1, (cover!$C$4 = df_census_misc!$A$2:$A$1000) * (df_census_misc!$B$2:$B$1000 = $F46), 0), 0)),"x")</f>
        <v>x</v>
      </c>
      <c r="L46" s="437"/>
      <c r="M46" s="431" t="s">
        <v>77</v>
      </c>
      <c r="N46" s="445" t="s">
        <v>1060</v>
      </c>
      <c r="O46" s="442" t="str">
        <f>IFERROR(MROUND(P46,5),"x")</f>
        <v>x</v>
      </c>
      <c r="P46" s="472" t="e">
        <v>#N/A</v>
      </c>
    </row>
    <row r="47" spans="2:16" ht="20.100000000000001" customHeight="1" x14ac:dyDescent="0.2">
      <c r="B47" s="436"/>
      <c r="C47" s="440" t="s">
        <v>909</v>
      </c>
      <c r="D47" s="443" t="s">
        <v>916</v>
      </c>
      <c r="E47" s="451" t="str">
        <f>IFERROR(E46/SUM(E44,E46),"x")</f>
        <v>x</v>
      </c>
      <c r="G47" s="433" t="s">
        <v>995</v>
      </c>
      <c r="H47" s="434" t="s">
        <v>6</v>
      </c>
      <c r="I47" s="446" t="s">
        <v>988</v>
      </c>
      <c r="J47" s="448" t="str">
        <f t="array" ref="J47:J51">IFERROR(IF(rental!L12:L16 = 0, "x", rental!L12:L16),"x")</f>
        <v>x</v>
      </c>
      <c r="L47" s="437"/>
      <c r="M47" s="431" t="s">
        <v>94</v>
      </c>
      <c r="N47" s="445" t="s">
        <v>1060</v>
      </c>
      <c r="O47" s="442" t="str">
        <f>IFERROR(MROUND(P47,5),"x")</f>
        <v>x</v>
      </c>
      <c r="P47" s="472" t="e">
        <v>#N/A</v>
      </c>
    </row>
    <row r="48" spans="2:16" ht="20.100000000000001" customHeight="1" x14ac:dyDescent="0.2">
      <c r="B48" s="430" t="s">
        <v>929</v>
      </c>
      <c r="C48" s="439" t="s">
        <v>909</v>
      </c>
      <c r="D48" s="441" t="s">
        <v>916</v>
      </c>
      <c r="E48" s="450" t="str">
        <f>IFERROR(dwell!D136/dwell!D135,"x")</f>
        <v>x</v>
      </c>
      <c r="G48" s="436"/>
      <c r="H48" s="434" t="s">
        <v>66</v>
      </c>
      <c r="I48" s="446" t="s">
        <v>988</v>
      </c>
      <c r="J48" s="448" t="str">
        <v>x</v>
      </c>
      <c r="L48" s="433" t="s">
        <v>1056</v>
      </c>
      <c r="M48" s="434" t="s">
        <v>6</v>
      </c>
      <c r="N48" s="446" t="s">
        <v>1060</v>
      </c>
      <c r="O48" s="444" t="str">
        <f>O44</f>
        <v>x</v>
      </c>
    </row>
    <row r="49" spans="2:16" ht="20.100000000000001" customHeight="1" x14ac:dyDescent="0.2">
      <c r="B49" s="433" t="s">
        <v>930</v>
      </c>
      <c r="C49" s="440" t="s">
        <v>6</v>
      </c>
      <c r="D49" s="443" t="s">
        <v>916</v>
      </c>
      <c r="E49" s="444" t="str">
        <f>IFERROR(hh!D22,"x")</f>
        <v>x</v>
      </c>
      <c r="G49" s="436"/>
      <c r="H49" s="434" t="s">
        <v>749</v>
      </c>
      <c r="I49" s="446" t="s">
        <v>988</v>
      </c>
      <c r="J49" s="448" t="str">
        <v>x</v>
      </c>
      <c r="L49" s="436"/>
      <c r="M49" s="434" t="s">
        <v>66</v>
      </c>
      <c r="N49" s="446" t="s">
        <v>1060</v>
      </c>
      <c r="O49" s="444" t="str">
        <f>IFERROR(MROUND(P49,5),"x")</f>
        <v>x</v>
      </c>
      <c r="P49" s="472" t="e">
        <f t="array" ref="P49:P53">projection!N265:N269</f>
        <v>#N/A</v>
      </c>
    </row>
    <row r="50" spans="2:16" ht="20.100000000000001" customHeight="1" x14ac:dyDescent="0.2">
      <c r="B50" s="436"/>
      <c r="C50" s="440" t="s">
        <v>909</v>
      </c>
      <c r="D50" s="443" t="s">
        <v>916</v>
      </c>
      <c r="E50" s="451" t="str">
        <f>IFERROR(E49/E30,"x")</f>
        <v>x</v>
      </c>
      <c r="G50" s="436"/>
      <c r="H50" s="434" t="s">
        <v>970</v>
      </c>
      <c r="I50" s="446" t="s">
        <v>988</v>
      </c>
      <c r="J50" s="448" t="str">
        <v>x</v>
      </c>
      <c r="L50" s="436"/>
      <c r="M50" s="434" t="s">
        <v>749</v>
      </c>
      <c r="N50" s="446" t="s">
        <v>1060</v>
      </c>
      <c r="O50" s="444" t="str">
        <f>IFERROR(MROUND(P50,5),"x")</f>
        <v>x</v>
      </c>
      <c r="P50" s="472" t="e">
        <v>#N/A</v>
      </c>
    </row>
    <row r="51" spans="2:16" ht="20.100000000000001" customHeight="1" x14ac:dyDescent="0.2">
      <c r="B51" s="430" t="s">
        <v>931</v>
      </c>
      <c r="C51" s="439" t="s">
        <v>6</v>
      </c>
      <c r="D51" s="441" t="s">
        <v>916</v>
      </c>
      <c r="E51" s="442" t="str">
        <f>IF(need!C175 = 0, "x", need!C175)</f>
        <v>x</v>
      </c>
      <c r="G51" s="436"/>
      <c r="H51" s="434" t="s">
        <v>982</v>
      </c>
      <c r="I51" s="446" t="s">
        <v>988</v>
      </c>
      <c r="J51" s="448" t="str">
        <v>x</v>
      </c>
      <c r="L51" s="436"/>
      <c r="M51" s="434" t="s">
        <v>970</v>
      </c>
      <c r="N51" s="446" t="s">
        <v>1060</v>
      </c>
      <c r="O51" s="444" t="str">
        <f>IFERROR(MROUND(P51,5),"x")</f>
        <v>x</v>
      </c>
      <c r="P51" s="472" t="e">
        <v>#N/A</v>
      </c>
    </row>
    <row r="52" spans="2:16" ht="20.100000000000001" customHeight="1" x14ac:dyDescent="0.2">
      <c r="B52" s="433" t="s">
        <v>932</v>
      </c>
      <c r="C52" s="440" t="s">
        <v>6</v>
      </c>
      <c r="D52" s="443" t="s">
        <v>916</v>
      </c>
      <c r="E52" s="444" t="str">
        <f>IF(need!C174-need!C175 = 0, "x", need!C174-need!C175)</f>
        <v>x</v>
      </c>
      <c r="G52" s="430" t="s">
        <v>996</v>
      </c>
      <c r="H52" s="431" t="s">
        <v>6</v>
      </c>
      <c r="I52" s="445" t="s">
        <v>988</v>
      </c>
      <c r="J52" s="452" t="str">
        <f t="array" ref="J52:J56">IFERROR(IF(rental!E12:E16 = 0, "x", rental!E12:E16),"x")</f>
        <v>x</v>
      </c>
      <c r="L52" s="436"/>
      <c r="M52" s="434" t="s">
        <v>971</v>
      </c>
      <c r="N52" s="446" t="s">
        <v>1060</v>
      </c>
      <c r="O52" s="444" t="str">
        <f>IFERROR(MROUND(P52,5),"x")</f>
        <v>x</v>
      </c>
      <c r="P52" s="472" t="e">
        <v>#N/A</v>
      </c>
    </row>
    <row r="53" spans="2:16" ht="20.100000000000001" customHeight="1" x14ac:dyDescent="0.2">
      <c r="B53" s="430" t="s">
        <v>933</v>
      </c>
      <c r="C53" s="439" t="s">
        <v>934</v>
      </c>
      <c r="D53" s="441" t="s">
        <v>941</v>
      </c>
      <c r="E53" s="442" t="str">
        <f>IF(income!D65 = 0, "x", income!D65)</f>
        <v>x</v>
      </c>
      <c r="G53" s="437"/>
      <c r="H53" s="431" t="s">
        <v>66</v>
      </c>
      <c r="I53" s="445" t="s">
        <v>988</v>
      </c>
      <c r="J53" s="452" t="str">
        <v>x</v>
      </c>
      <c r="L53" s="436"/>
      <c r="M53" s="434" t="s">
        <v>972</v>
      </c>
      <c r="N53" s="446" t="s">
        <v>1060</v>
      </c>
      <c r="O53" s="444" t="str">
        <f>IFERROR(MROUND(P53,5),"x")</f>
        <v>x</v>
      </c>
      <c r="P53" s="472" t="e">
        <v>#N/A</v>
      </c>
    </row>
    <row r="54" spans="2:16" ht="20.100000000000001" customHeight="1" x14ac:dyDescent="0.2">
      <c r="B54" s="437"/>
      <c r="C54" s="439" t="s">
        <v>935</v>
      </c>
      <c r="D54" s="441" t="s">
        <v>941</v>
      </c>
      <c r="E54" s="442" t="str">
        <f>IF(income!D66 = 0, "x", income!D66)</f>
        <v>x</v>
      </c>
      <c r="G54" s="437"/>
      <c r="H54" s="431" t="s">
        <v>749</v>
      </c>
      <c r="I54" s="445" t="s">
        <v>988</v>
      </c>
      <c r="J54" s="452" t="str">
        <v>x</v>
      </c>
      <c r="L54" s="430" t="s">
        <v>1057</v>
      </c>
      <c r="M54" s="431" t="s">
        <v>911</v>
      </c>
      <c r="N54" s="445" t="s">
        <v>1060</v>
      </c>
      <c r="O54" s="442">
        <f t="array" ref="O54:O59">projection!S325:S330</f>
        <v>0</v>
      </c>
    </row>
    <row r="55" spans="2:16" ht="20.100000000000001" customHeight="1" x14ac:dyDescent="0.2">
      <c r="B55" s="437"/>
      <c r="C55" s="439" t="s">
        <v>936</v>
      </c>
      <c r="D55" s="441" t="s">
        <v>941</v>
      </c>
      <c r="E55" s="442" t="str">
        <f>IF(income!D67 = 0, "x", income!D67)</f>
        <v>x</v>
      </c>
      <c r="G55" s="437"/>
      <c r="H55" s="431" t="s">
        <v>970</v>
      </c>
      <c r="I55" s="445" t="s">
        <v>988</v>
      </c>
      <c r="J55" s="452" t="str">
        <v>x</v>
      </c>
      <c r="L55" s="437"/>
      <c r="M55" s="431" t="s">
        <v>98</v>
      </c>
      <c r="N55" s="445" t="s">
        <v>1060</v>
      </c>
      <c r="O55" s="442" t="str">
        <v>x</v>
      </c>
    </row>
    <row r="56" spans="2:16" ht="20.100000000000001" customHeight="1" x14ac:dyDescent="0.2">
      <c r="B56" s="437"/>
      <c r="C56" s="439" t="s">
        <v>937</v>
      </c>
      <c r="D56" s="441" t="s">
        <v>941</v>
      </c>
      <c r="E56" s="442" t="str">
        <f>IF(income!D68 = 0, "x", income!D68)</f>
        <v>x</v>
      </c>
      <c r="G56" s="437"/>
      <c r="H56" s="431" t="s">
        <v>982</v>
      </c>
      <c r="I56" s="445" t="s">
        <v>988</v>
      </c>
      <c r="J56" s="452" t="str">
        <v>x</v>
      </c>
      <c r="L56" s="437"/>
      <c r="M56" s="431" t="s">
        <v>8</v>
      </c>
      <c r="N56" s="445" t="s">
        <v>1060</v>
      </c>
      <c r="O56" s="442" t="str">
        <v>x</v>
      </c>
    </row>
    <row r="57" spans="2:16" ht="20.100000000000001" customHeight="1" x14ac:dyDescent="0.2">
      <c r="B57" s="437"/>
      <c r="C57" s="439" t="s">
        <v>938</v>
      </c>
      <c r="D57" s="441" t="s">
        <v>941</v>
      </c>
      <c r="E57" s="442" t="str">
        <f>IF(income!D69 = 0, "x", income!D69)</f>
        <v>x</v>
      </c>
      <c r="G57" s="433" t="s">
        <v>997</v>
      </c>
      <c r="H57" s="434" t="s">
        <v>911</v>
      </c>
      <c r="I57" s="446" t="s">
        <v>1002</v>
      </c>
      <c r="J57" s="448" t="str">
        <f>IFERROR(IF(sales!E22 = 0, "x", sales!E22),"x")</f>
        <v>x</v>
      </c>
      <c r="L57" s="437"/>
      <c r="M57" s="431" t="s">
        <v>99</v>
      </c>
      <c r="N57" s="445" t="s">
        <v>1060</v>
      </c>
      <c r="O57" s="442" t="str">
        <v>x</v>
      </c>
    </row>
    <row r="58" spans="2:16" ht="20.100000000000001" customHeight="1" x14ac:dyDescent="0.2">
      <c r="G58" s="436"/>
      <c r="H58" s="434" t="s">
        <v>100</v>
      </c>
      <c r="I58" s="446" t="s">
        <v>1002</v>
      </c>
      <c r="J58" s="448" t="str">
        <f>IFERROR(IF(sales!E12 = 0, "x", sales!E12),"x")</f>
        <v>x</v>
      </c>
      <c r="L58" s="437"/>
      <c r="M58" s="431" t="s">
        <v>100</v>
      </c>
      <c r="N58" s="445" t="s">
        <v>1060</v>
      </c>
      <c r="O58" s="442" t="str">
        <v>x</v>
      </c>
    </row>
    <row r="59" spans="2:16" ht="20.100000000000001" customHeight="1" x14ac:dyDescent="0.2">
      <c r="G59" s="430" t="s">
        <v>998</v>
      </c>
      <c r="H59" s="431" t="s">
        <v>6</v>
      </c>
      <c r="I59" s="445" t="s">
        <v>1002</v>
      </c>
      <c r="J59" s="452" t="str">
        <f t="array" ref="J59:J63">IFERROR(sales!I34:I38,"x")</f>
        <v>x</v>
      </c>
      <c r="L59" s="437"/>
      <c r="M59" s="431" t="s">
        <v>9</v>
      </c>
      <c r="N59" s="445" t="s">
        <v>1060</v>
      </c>
      <c r="O59" s="442" t="str">
        <v>x</v>
      </c>
    </row>
    <row r="60" spans="2:16" ht="20.100000000000001" customHeight="1" x14ac:dyDescent="0.2">
      <c r="B60" s="15" t="s">
        <v>960</v>
      </c>
      <c r="G60" s="437"/>
      <c r="H60" s="431" t="s">
        <v>66</v>
      </c>
      <c r="I60" s="445" t="s">
        <v>1002</v>
      </c>
      <c r="J60" s="452" t="str">
        <v>x</v>
      </c>
      <c r="L60" s="433" t="s">
        <v>322</v>
      </c>
      <c r="M60" s="434" t="s">
        <v>6</v>
      </c>
      <c r="N60" s="446" t="s">
        <v>105</v>
      </c>
      <c r="O60" s="420" t="str">
        <f>IFERROR(projection!AK218,"x")</f>
        <v>x</v>
      </c>
    </row>
    <row r="61" spans="2:16" ht="20.100000000000001" customHeight="1" x14ac:dyDescent="0.2">
      <c r="B61" s="427" t="s">
        <v>315</v>
      </c>
      <c r="C61" s="428" t="s">
        <v>905</v>
      </c>
      <c r="D61" s="428" t="s">
        <v>736</v>
      </c>
      <c r="E61" s="429" t="s">
        <v>35</v>
      </c>
      <c r="G61" s="437"/>
      <c r="H61" s="431" t="s">
        <v>749</v>
      </c>
      <c r="I61" s="445" t="s">
        <v>1002</v>
      </c>
      <c r="J61" s="452" t="str">
        <v>x</v>
      </c>
      <c r="L61" s="430" t="s">
        <v>1058</v>
      </c>
      <c r="M61" s="431" t="s">
        <v>6</v>
      </c>
      <c r="N61" s="445"/>
      <c r="O61" s="432"/>
    </row>
    <row r="62" spans="2:16" ht="20.100000000000001" customHeight="1" x14ac:dyDescent="0.2">
      <c r="B62" s="430" t="s">
        <v>942</v>
      </c>
      <c r="C62" s="431" t="s">
        <v>6</v>
      </c>
      <c r="D62" s="445" t="s">
        <v>916</v>
      </c>
      <c r="E62" s="442" t="str">
        <f>IFERROR(econ!D11,"x")</f>
        <v>x</v>
      </c>
      <c r="G62" s="437"/>
      <c r="H62" s="431" t="s">
        <v>970</v>
      </c>
      <c r="I62" s="445" t="s">
        <v>1002</v>
      </c>
      <c r="J62" s="452" t="str">
        <v>x</v>
      </c>
      <c r="L62" s="437"/>
      <c r="M62" s="431" t="s">
        <v>1004</v>
      </c>
      <c r="N62" s="445"/>
      <c r="O62" s="432"/>
    </row>
    <row r="63" spans="2:16" ht="20.100000000000001" customHeight="1" x14ac:dyDescent="0.2">
      <c r="B63" s="433" t="s">
        <v>943</v>
      </c>
      <c r="C63" s="434" t="str">
        <f t="array" ref="C63:C72">econ!B63:B72</f>
        <v/>
      </c>
      <c r="D63" s="446" t="s">
        <v>916</v>
      </c>
      <c r="E63" s="444" t="str">
        <f t="array" ref="E63:E72">IFERROR(econ!P38:P47,"x")</f>
        <v>x</v>
      </c>
      <c r="G63" s="437"/>
      <c r="H63" s="431" t="s">
        <v>982</v>
      </c>
      <c r="I63" s="445" t="s">
        <v>1002</v>
      </c>
      <c r="J63" s="452" t="str">
        <v>x</v>
      </c>
      <c r="L63" s="437"/>
      <c r="M63" s="431" t="s">
        <v>95</v>
      </c>
      <c r="N63" s="445"/>
      <c r="O63" s="432"/>
    </row>
    <row r="64" spans="2:16" ht="20.100000000000001" customHeight="1" x14ac:dyDescent="0.2">
      <c r="B64" s="436"/>
      <c r="C64" s="434" t="str">
        <v/>
      </c>
      <c r="D64" s="446" t="s">
        <v>916</v>
      </c>
      <c r="E64" s="444" t="str">
        <v>x</v>
      </c>
      <c r="G64" s="433" t="s">
        <v>999</v>
      </c>
      <c r="H64" s="434" t="s">
        <v>6</v>
      </c>
      <c r="I64" s="446" t="s">
        <v>1002</v>
      </c>
      <c r="J64" s="448" t="str">
        <f t="array" ref="J64:J68">sales!C34:C38</f>
        <v>x</v>
      </c>
    </row>
    <row r="65" spans="1:18" ht="20.100000000000001" customHeight="1" x14ac:dyDescent="0.2">
      <c r="B65" s="436"/>
      <c r="C65" s="434" t="str">
        <v/>
      </c>
      <c r="D65" s="446" t="s">
        <v>916</v>
      </c>
      <c r="E65" s="444" t="str">
        <v>x</v>
      </c>
      <c r="G65" s="436"/>
      <c r="H65" s="434" t="s">
        <v>66</v>
      </c>
      <c r="I65" s="446" t="s">
        <v>1002</v>
      </c>
      <c r="J65" s="448" t="str">
        <v>x</v>
      </c>
    </row>
    <row r="66" spans="1:18" ht="20.100000000000001" customHeight="1" x14ac:dyDescent="0.25">
      <c r="B66" s="436"/>
      <c r="C66" s="434" t="str">
        <v/>
      </c>
      <c r="D66" s="446" t="s">
        <v>916</v>
      </c>
      <c r="E66" s="444" t="str">
        <v>x</v>
      </c>
      <c r="G66" s="436"/>
      <c r="H66" s="434" t="s">
        <v>749</v>
      </c>
      <c r="I66" s="446" t="s">
        <v>1002</v>
      </c>
      <c r="J66" s="448" t="str">
        <v>x</v>
      </c>
      <c r="L66" s="457" t="s">
        <v>1061</v>
      </c>
    </row>
    <row r="67" spans="1:18" ht="20.100000000000001" customHeight="1" x14ac:dyDescent="0.2">
      <c r="B67" s="436"/>
      <c r="C67" s="434" t="str">
        <v/>
      </c>
      <c r="D67" s="446" t="s">
        <v>916</v>
      </c>
      <c r="E67" s="444" t="str">
        <v>x</v>
      </c>
      <c r="G67" s="436"/>
      <c r="H67" s="434" t="s">
        <v>970</v>
      </c>
      <c r="I67" s="446" t="s">
        <v>1002</v>
      </c>
      <c r="J67" s="448" t="str">
        <v>x</v>
      </c>
      <c r="L67" s="458" t="s">
        <v>530</v>
      </c>
      <c r="M67" s="459" t="s">
        <v>6</v>
      </c>
      <c r="N67" s="459" t="s">
        <v>605</v>
      </c>
      <c r="O67" s="459" t="s">
        <v>606</v>
      </c>
      <c r="P67" s="459" t="s">
        <v>607</v>
      </c>
      <c r="Q67" s="459" t="s">
        <v>608</v>
      </c>
      <c r="R67" s="459" t="s">
        <v>609</v>
      </c>
    </row>
    <row r="68" spans="1:18" ht="20.100000000000001" customHeight="1" x14ac:dyDescent="0.2">
      <c r="B68" s="436"/>
      <c r="C68" s="434" t="str">
        <v/>
      </c>
      <c r="D68" s="446" t="s">
        <v>916</v>
      </c>
      <c r="E68" s="444" t="str">
        <v>x</v>
      </c>
      <c r="G68" s="436"/>
      <c r="H68" s="434" t="s">
        <v>982</v>
      </c>
      <c r="I68" s="446" t="s">
        <v>1002</v>
      </c>
      <c r="J68" s="448" t="str">
        <v>x</v>
      </c>
      <c r="L68" s="460" t="s">
        <v>6</v>
      </c>
      <c r="M68" s="462">
        <f t="array" ref="M68:R73">projection!S325:X330</f>
        <v>0</v>
      </c>
      <c r="N68" s="462" t="str">
        <v>x</v>
      </c>
      <c r="O68" s="462" t="str">
        <v>x</v>
      </c>
      <c r="P68" s="462" t="str">
        <v>x</v>
      </c>
      <c r="Q68" s="462" t="str">
        <v>x</v>
      </c>
      <c r="R68" s="462" t="str">
        <v>x</v>
      </c>
    </row>
    <row r="69" spans="1:18" ht="20.100000000000001" customHeight="1" x14ac:dyDescent="0.2">
      <c r="B69" s="436"/>
      <c r="C69" s="434" t="str">
        <v/>
      </c>
      <c r="D69" s="446" t="s">
        <v>916</v>
      </c>
      <c r="E69" s="444" t="str">
        <v>x</v>
      </c>
      <c r="L69" s="464" t="s">
        <v>98</v>
      </c>
      <c r="M69" s="466" t="str">
        <v>x</v>
      </c>
      <c r="N69" s="466" t="str">
        <v>x</v>
      </c>
      <c r="O69" s="466" t="str">
        <v>x</v>
      </c>
      <c r="P69" s="466" t="str">
        <v>x</v>
      </c>
      <c r="Q69" s="466" t="str">
        <v>x</v>
      </c>
      <c r="R69" s="466" t="str">
        <v>x</v>
      </c>
    </row>
    <row r="70" spans="1:18" ht="20.100000000000001" customHeight="1" x14ac:dyDescent="0.2">
      <c r="B70" s="436"/>
      <c r="C70" s="434" t="str">
        <v/>
      </c>
      <c r="D70" s="446" t="s">
        <v>916</v>
      </c>
      <c r="E70" s="444" t="str">
        <v>x</v>
      </c>
      <c r="L70" s="460" t="s">
        <v>8</v>
      </c>
      <c r="M70" s="462" t="str">
        <v>x</v>
      </c>
      <c r="N70" s="462" t="str">
        <v>x</v>
      </c>
      <c r="O70" s="463" t="str">
        <v>x</v>
      </c>
      <c r="P70" s="463" t="str">
        <v>x</v>
      </c>
      <c r="Q70" s="463" t="str">
        <v>x</v>
      </c>
      <c r="R70" s="463" t="str">
        <v>x</v>
      </c>
    </row>
    <row r="71" spans="1:18" ht="20.100000000000001" customHeight="1" x14ac:dyDescent="0.2">
      <c r="B71" s="436"/>
      <c r="C71" s="434" t="str">
        <v/>
      </c>
      <c r="D71" s="446" t="s">
        <v>916</v>
      </c>
      <c r="E71" s="444" t="str">
        <v>x</v>
      </c>
      <c r="G71" s="15" t="s">
        <v>1010</v>
      </c>
      <c r="J71" s="426">
        <v>45839</v>
      </c>
      <c r="L71" s="464" t="s">
        <v>99</v>
      </c>
      <c r="M71" s="475" t="str">
        <v>x</v>
      </c>
      <c r="N71" s="475" t="str">
        <v>x</v>
      </c>
      <c r="O71" s="475" t="str">
        <v>x</v>
      </c>
      <c r="P71" s="466" t="str">
        <v>x</v>
      </c>
      <c r="Q71" s="466" t="str">
        <v>x</v>
      </c>
      <c r="R71" s="466" t="str">
        <v>x</v>
      </c>
    </row>
    <row r="72" spans="1:18" ht="20.100000000000001" customHeight="1" x14ac:dyDescent="0.2">
      <c r="B72" s="436"/>
      <c r="C72" s="434" t="str">
        <v/>
      </c>
      <c r="D72" s="446" t="s">
        <v>916</v>
      </c>
      <c r="E72" s="444" t="str">
        <v>x</v>
      </c>
      <c r="G72" s="427" t="s">
        <v>315</v>
      </c>
      <c r="H72" s="428" t="s">
        <v>905</v>
      </c>
      <c r="I72" s="428" t="s">
        <v>736</v>
      </c>
      <c r="J72" s="429" t="s">
        <v>35</v>
      </c>
      <c r="L72" s="460" t="s">
        <v>100</v>
      </c>
      <c r="M72" s="462" t="str">
        <v>x</v>
      </c>
      <c r="N72" s="462" t="str">
        <v>x</v>
      </c>
      <c r="O72" s="462" t="str">
        <v>x</v>
      </c>
      <c r="P72" s="463" t="str">
        <v>x</v>
      </c>
      <c r="Q72" s="463" t="str">
        <v>x</v>
      </c>
      <c r="R72" s="463" t="str">
        <v>x</v>
      </c>
    </row>
    <row r="73" spans="1:18" ht="20.100000000000001" customHeight="1" x14ac:dyDescent="0.2">
      <c r="B73" s="430" t="s">
        <v>944</v>
      </c>
      <c r="C73" s="431" t="s">
        <v>909</v>
      </c>
      <c r="D73" s="445" t="s">
        <v>916</v>
      </c>
      <c r="E73" s="421" t="str">
        <f>econ!C26</f>
        <v>x</v>
      </c>
      <c r="G73" s="430" t="s">
        <v>1003</v>
      </c>
      <c r="H73" s="431" t="s">
        <v>1004</v>
      </c>
      <c r="I73" s="445" t="s">
        <v>1011</v>
      </c>
      <c r="J73" s="432" t="s">
        <v>342</v>
      </c>
      <c r="L73" s="464" t="s">
        <v>9</v>
      </c>
      <c r="M73" s="475" t="str">
        <v>x</v>
      </c>
      <c r="N73" s="466" t="str">
        <v>x</v>
      </c>
      <c r="O73" s="475" t="str">
        <v>x</v>
      </c>
      <c r="P73" s="475" t="str">
        <v>x</v>
      </c>
      <c r="Q73" s="475" t="str">
        <v>x</v>
      </c>
      <c r="R73" s="475" t="str">
        <v>x</v>
      </c>
    </row>
    <row r="74" spans="1:18" ht="20.100000000000001" customHeight="1" x14ac:dyDescent="0.2">
      <c r="B74" s="433" t="s">
        <v>945</v>
      </c>
      <c r="C74" s="434" t="s">
        <v>909</v>
      </c>
      <c r="D74" s="446" t="s">
        <v>916</v>
      </c>
      <c r="E74" s="423" t="str">
        <f>econ!C24</f>
        <v>x</v>
      </c>
      <c r="G74" s="430" t="s">
        <v>928</v>
      </c>
      <c r="H74" s="431" t="s">
        <v>95</v>
      </c>
      <c r="I74" s="445" t="s">
        <v>1011</v>
      </c>
      <c r="J74" s="432" t="s">
        <v>342</v>
      </c>
    </row>
    <row r="75" spans="1:18" ht="20.100000000000001" customHeight="1" x14ac:dyDescent="0.2">
      <c r="A75" s="299">
        <v>2239</v>
      </c>
      <c r="B75" s="430" t="s">
        <v>946</v>
      </c>
      <c r="C75" s="431" t="s">
        <v>6</v>
      </c>
      <c r="D75" s="445" t="s">
        <v>916</v>
      </c>
      <c r="E75" s="442" t="str">
        <f t="array" ref="E75">IFERROR(INDEX(df_lf!$C$2:$C$1000, MATCH(1, (cover!$C$4 = df_lf!$A$2:$A$1000) * ($A75 = df_lf!$B$2:$B$1000), 0), 0),"x")</f>
        <v>x</v>
      </c>
      <c r="F75" s="476" t="s">
        <v>1069</v>
      </c>
      <c r="G75" s="433" t="s">
        <v>1005</v>
      </c>
      <c r="H75" s="434" t="s">
        <v>6</v>
      </c>
      <c r="I75" s="446" t="s">
        <v>1066</v>
      </c>
      <c r="J75" s="435" t="str">
        <f t="array" ref="J75">IFERROR(INDEX(df_cmhc_scss!$D$2:$AB$1000, MATCH(1, (cover!$C$4 = df_cmhc_scss!$A$2:$A$1000) * (df_cmhc_scss!$C$2:$C$1000 = "completions") * (df_cmhc_scss!$B$2:$B$1000 = federal_req!$J$71), 0), MATCH(federal_req!$F75, df_cmhc_scss!$D$1:$AB$1,0)),"x")</f>
        <v>x</v>
      </c>
    </row>
    <row r="76" spans="1:18" ht="20.100000000000001" customHeight="1" x14ac:dyDescent="0.2">
      <c r="A76" s="299">
        <v>2240</v>
      </c>
      <c r="B76" s="437"/>
      <c r="C76" s="431" t="s">
        <v>947</v>
      </c>
      <c r="D76" s="445" t="s">
        <v>916</v>
      </c>
      <c r="E76" s="442" t="str">
        <f t="array" ref="E76">IFERROR(INDEX(df_lf!$C$2:$C$1000, MATCH(1, (cover!$C$4 = df_lf!$A$2:$A$1000) * ($A76 = df_lf!$B$2:$B$1000), 0), 0),"x")</f>
        <v>x</v>
      </c>
      <c r="F76" s="476" t="s">
        <v>1070</v>
      </c>
      <c r="G76" s="436"/>
      <c r="H76" s="434" t="s">
        <v>76</v>
      </c>
      <c r="I76" s="446" t="s">
        <v>1066</v>
      </c>
      <c r="J76" s="435" t="str">
        <f t="array" ref="J76">IFERROR(INDEX(df_cmhc_scss!$D$2:$AB$1000, MATCH(1, (cover!$C$4 = df_cmhc_scss!$A$2:$A$1000) * (df_cmhc_scss!$C$2:$C$1000 = "completions") * (df_cmhc_scss!$B$2:$B$1000 = federal_req!$J$71), 0), MATCH(federal_req!$F76, df_cmhc_scss!$D$1:$AB$1,0)),"x")</f>
        <v>x</v>
      </c>
    </row>
    <row r="77" spans="1:18" ht="20.100000000000001" customHeight="1" x14ac:dyDescent="0.2">
      <c r="A77" s="299">
        <v>2241</v>
      </c>
      <c r="B77" s="437"/>
      <c r="C77" s="431" t="s">
        <v>948</v>
      </c>
      <c r="D77" s="445" t="s">
        <v>916</v>
      </c>
      <c r="E77" s="442" t="str">
        <f t="array" ref="E77">IFERROR(INDEX(df_lf!$C$2:$C$1000, MATCH(1, (cover!$C$4 = df_lf!$A$2:$A$1000) * ($A77 = df_lf!$B$2:$B$1000), 0), 0),"x")</f>
        <v>x</v>
      </c>
      <c r="F77" s="476" t="s">
        <v>1071</v>
      </c>
      <c r="G77" s="436"/>
      <c r="H77" s="434" t="s">
        <v>372</v>
      </c>
      <c r="I77" s="446" t="s">
        <v>1066</v>
      </c>
      <c r="J77" s="435" t="str">
        <f t="array" ref="J77">IFERROR(INDEX(df_cmhc_scss!$D$2:$AB$1000, MATCH(1, (cover!$C$4 = df_cmhc_scss!$A$2:$A$1000) * (df_cmhc_scss!$C$2:$C$1000 = "completions") * (df_cmhc_scss!$B$2:$B$1000 = federal_req!$J$71), 0), MATCH(federal_req!$F77, df_cmhc_scss!$D$1:$AB$1,0)),"x")</f>
        <v>x</v>
      </c>
    </row>
    <row r="78" spans="1:18" ht="20.100000000000001" customHeight="1" x14ac:dyDescent="0.2">
      <c r="A78" s="299">
        <v>2242</v>
      </c>
      <c r="B78" s="437"/>
      <c r="C78" s="431" t="s">
        <v>949</v>
      </c>
      <c r="D78" s="445" t="s">
        <v>916</v>
      </c>
      <c r="E78" s="442" t="str">
        <f t="array" ref="E78">IFERROR(INDEX(df_lf!$C$2:$C$1000, MATCH(1, (cover!$C$4 = df_lf!$A$2:$A$1000) * ($A78 = df_lf!$B$2:$B$1000), 0), 0),"x")</f>
        <v>x</v>
      </c>
      <c r="F78" s="476" t="s">
        <v>1072</v>
      </c>
      <c r="G78" s="436"/>
      <c r="H78" s="434" t="s">
        <v>332</v>
      </c>
      <c r="I78" s="446" t="s">
        <v>1066</v>
      </c>
      <c r="J78" s="435" t="str">
        <f t="array" ref="J78">IFERROR(INDEX(df_cmhc_scss!$D$2:$AB$1000, MATCH(1, (cover!$C$4 = df_cmhc_scss!$A$2:$A$1000) * (df_cmhc_scss!$C$2:$C$1000 = "completions") * (df_cmhc_scss!$B$2:$B$1000 = federal_req!$J$71), 0), MATCH(federal_req!$F78, df_cmhc_scss!$D$1:$AB$1,0)),"x")</f>
        <v>x</v>
      </c>
    </row>
    <row r="79" spans="1:18" ht="20.100000000000001" customHeight="1" x14ac:dyDescent="0.2">
      <c r="A79" s="299">
        <v>2243</v>
      </c>
      <c r="B79" s="437"/>
      <c r="C79" s="431" t="s">
        <v>950</v>
      </c>
      <c r="D79" s="445" t="s">
        <v>916</v>
      </c>
      <c r="E79" s="442" t="str">
        <f t="array" ref="E79">IFERROR(INDEX(df_lf!$C$2:$C$1000, MATCH(1, (cover!$C$4 = df_lf!$A$2:$A$1000) * ($A79 = df_lf!$B$2:$B$1000), 0), 0),"x")</f>
        <v>x</v>
      </c>
      <c r="F79" s="476" t="s">
        <v>1073</v>
      </c>
      <c r="G79" s="436"/>
      <c r="H79" s="434" t="s">
        <v>77</v>
      </c>
      <c r="I79" s="446" t="s">
        <v>1066</v>
      </c>
      <c r="J79" s="435" t="str">
        <f t="array" ref="J79">IFERROR(INDEX(df_cmhc_scss!$D$2:$AB$1000, MATCH(1, (cover!$C$4 = df_cmhc_scss!$A$2:$A$1000) * (df_cmhc_scss!$C$2:$C$1000 = "completions") * (df_cmhc_scss!$B$2:$B$1000 = federal_req!$J$71), 0), MATCH(federal_req!$F79, df_cmhc_scss!$D$1:$AB$1,0)),"x")</f>
        <v>x</v>
      </c>
    </row>
    <row r="80" spans="1:18" ht="20.100000000000001" customHeight="1" x14ac:dyDescent="0.2">
      <c r="A80" s="299">
        <v>2244</v>
      </c>
      <c r="B80" s="437"/>
      <c r="C80" s="431" t="s">
        <v>951</v>
      </c>
      <c r="D80" s="445" t="s">
        <v>916</v>
      </c>
      <c r="E80" s="442" t="str">
        <f t="array" ref="E80">IFERROR(INDEX(df_lf!$C$2:$C$1000, MATCH(1, (cover!$C$4 = df_lf!$A$2:$A$1000) * ($A80 = df_lf!$B$2:$B$1000), 0), 0),"x")</f>
        <v>x</v>
      </c>
      <c r="F80" s="476" t="s">
        <v>1075</v>
      </c>
      <c r="G80" s="430" t="s">
        <v>1006</v>
      </c>
      <c r="H80" s="431" t="s">
        <v>1004</v>
      </c>
      <c r="I80" s="445" t="s">
        <v>1066</v>
      </c>
      <c r="J80" s="417" t="str">
        <f t="array" ref="J80">IFERROR(INDEX(df_cmhc_scss!$D$2:$AB$1000, MATCH(1, (cover!$C$4 = df_cmhc_scss!$A$2:$A$1000) * (df_cmhc_scss!$C$2:$C$1000 = "completions") * (df_cmhc_scss!$B$2:$B$1000 = federal_req!$J$71), 0), MATCH(federal_req!$F80, df_cmhc_scss!$D$1:$AB$1,0)),"x")</f>
        <v>x</v>
      </c>
    </row>
    <row r="81" spans="1:17" ht="20.100000000000001" customHeight="1" x14ac:dyDescent="0.2">
      <c r="A81" s="299">
        <v>2245</v>
      </c>
      <c r="B81" s="437"/>
      <c r="C81" s="431" t="s">
        <v>952</v>
      </c>
      <c r="D81" s="445" t="s">
        <v>916</v>
      </c>
      <c r="E81" s="442" t="str">
        <f t="array" ref="E81">IFERROR(INDEX(df_lf!$C$2:$C$1000, MATCH(1, (cover!$C$4 = df_lf!$A$2:$A$1000) * ($A81 = df_lf!$B$2:$B$1000), 0), 0),"x")</f>
        <v>x</v>
      </c>
      <c r="F81" s="476" t="s">
        <v>1074</v>
      </c>
      <c r="G81" s="437"/>
      <c r="H81" s="431" t="s">
        <v>95</v>
      </c>
      <c r="I81" s="445" t="s">
        <v>1066</v>
      </c>
      <c r="J81" s="417" t="str">
        <f t="array" ref="J81">IFERROR(INDEX(df_cmhc_scss!$D$2:$AB$1000, MATCH(1, (cover!$C$4 = df_cmhc_scss!$A$2:$A$1000) * (df_cmhc_scss!$C$2:$C$1000 = "completions") * (df_cmhc_scss!$B$2:$B$1000 = federal_req!$J$71), 0), MATCH(federal_req!$F81, df_cmhc_scss!$D$1:$AB$1,0)),"x")</f>
        <v>x</v>
      </c>
    </row>
    <row r="82" spans="1:17" ht="20.100000000000001" customHeight="1" x14ac:dyDescent="0.2">
      <c r="A82" s="299">
        <v>2599</v>
      </c>
      <c r="B82" s="433" t="s">
        <v>953</v>
      </c>
      <c r="C82" s="434" t="s">
        <v>954</v>
      </c>
      <c r="D82" s="446" t="s">
        <v>916</v>
      </c>
      <c r="E82" s="444" t="str">
        <f>IFERROR(INDEX(df_lf!$C$2:$C$1000, MATCH(1, (cover!$C$4 = df_lf!$A$2:$A$1000) * ($A82 = df_lf!$B$2:$B$1000), 0), 0),"x")</f>
        <v>x</v>
      </c>
      <c r="F82" s="476" t="s">
        <v>1076</v>
      </c>
      <c r="G82" s="437"/>
      <c r="H82" s="431" t="s">
        <v>1007</v>
      </c>
      <c r="I82" s="445" t="s">
        <v>1066</v>
      </c>
      <c r="J82" s="417" t="str">
        <f t="array" ref="J82">IFERROR(INDEX(df_cmhc_scss!$D$2:$AB$1000, MATCH(1, (cover!$C$4 = df_cmhc_scss!$A$2:$A$1000) * (df_cmhc_scss!$C$2:$C$1000 = "completions") * (df_cmhc_scss!$B$2:$B$1000 = federal_req!$J$71), 0), MATCH(federal_req!$F82, df_cmhc_scss!$D$1:$AB$1,0)),"x")</f>
        <v>x</v>
      </c>
    </row>
    <row r="83" spans="1:17" ht="20.100000000000001" customHeight="1" x14ac:dyDescent="0.2">
      <c r="A83" s="299">
        <v>2600</v>
      </c>
      <c r="B83" s="436"/>
      <c r="C83" s="434" t="s">
        <v>955</v>
      </c>
      <c r="D83" s="446" t="s">
        <v>916</v>
      </c>
      <c r="E83" s="444" t="str">
        <f>IFERROR(INDEX(df_lf!$C$2:$C$1000, MATCH(1, (cover!$C$4 = df_lf!$A$2:$A$1000) * ($A83 = df_lf!$B$2:$B$1000), 0), 0),"x")</f>
        <v>x</v>
      </c>
      <c r="F83" s="476" t="s">
        <v>1077</v>
      </c>
      <c r="G83" s="437"/>
      <c r="H83" s="431" t="s">
        <v>1008</v>
      </c>
      <c r="I83" s="445" t="s">
        <v>1066</v>
      </c>
      <c r="J83" s="417" t="str">
        <f t="array" ref="J83">IFERROR(INDEX(df_cmhc_scss!$D$2:$AB$1000, MATCH(1, (cover!$C$4 = df_cmhc_scss!$A$2:$A$1000) * (df_cmhc_scss!$C$2:$C$1000 = "completions") * (df_cmhc_scss!$B$2:$B$1000 = federal_req!$J$71), 0), MATCH(federal_req!$F83, df_cmhc_scss!$D$1:$AB$1,0)),"x")</f>
        <v>x</v>
      </c>
    </row>
    <row r="84" spans="1:17" ht="20.100000000000001" customHeight="1" x14ac:dyDescent="0.2">
      <c r="A84" s="299">
        <v>2601</v>
      </c>
      <c r="B84" s="436"/>
      <c r="C84" s="434" t="s">
        <v>956</v>
      </c>
      <c r="D84" s="446" t="s">
        <v>916</v>
      </c>
      <c r="E84" s="444" t="str">
        <f>IFERROR(INDEX(df_lf!$C$2:$C$1000, MATCH(1, (cover!$C$4 = df_lf!$A$2:$A$1000) * ($A84 = df_lf!$B$2:$B$1000), 0), 0),"x")</f>
        <v>x</v>
      </c>
      <c r="F84" s="476" t="s">
        <v>1075</v>
      </c>
      <c r="G84" s="433" t="s">
        <v>1009</v>
      </c>
      <c r="H84" s="434" t="s">
        <v>1004</v>
      </c>
      <c r="I84" s="446" t="s">
        <v>1066</v>
      </c>
      <c r="J84" s="435" t="str">
        <f t="array" ref="J84">IFERROR(INDEX(df_cmhc_scss!$D$2:$AB$1000, MATCH(1, (cover!$C$4 = df_cmhc_scss!$A$2:$A$1000) * (df_cmhc_scss!$C$2:$C$1000 = "starts") * (df_cmhc_scss!$B$2:$B$1000 = federal_req!$J$71), 0), MATCH(federal_req!$F84, df_cmhc_scss!$D$1:$AB$1,0)),"x")</f>
        <v>x</v>
      </c>
    </row>
    <row r="85" spans="1:17" ht="20.100000000000001" customHeight="1" x14ac:dyDescent="0.2">
      <c r="A85" s="299">
        <v>2602</v>
      </c>
      <c r="B85" s="436"/>
      <c r="C85" s="434" t="s">
        <v>957</v>
      </c>
      <c r="D85" s="446" t="s">
        <v>916</v>
      </c>
      <c r="E85" s="444" t="str">
        <f>IFERROR(INDEX(df_lf!$C$2:$C$1000, MATCH(1, (cover!$C$4 = df_lf!$A$2:$A$1000) * ($A85 = df_lf!$B$2:$B$1000), 0), 0),"x")</f>
        <v>x</v>
      </c>
      <c r="F85" s="476" t="s">
        <v>1074</v>
      </c>
      <c r="G85" s="436"/>
      <c r="H85" s="434" t="s">
        <v>95</v>
      </c>
      <c r="I85" s="446" t="s">
        <v>1066</v>
      </c>
      <c r="J85" s="435" t="str">
        <f t="array" ref="J85">IFERROR(INDEX(df_cmhc_scss!$D$2:$AB$1000, MATCH(1, (cover!$C$4 = df_cmhc_scss!$A$2:$A$1000) * (df_cmhc_scss!$C$2:$C$1000 = "starts") * (df_cmhc_scss!$B$2:$B$1000 = federal_req!$J$71), 0), MATCH(federal_req!$F85, df_cmhc_scss!$D$1:$AB$1,0)),"x")</f>
        <v>x</v>
      </c>
    </row>
    <row r="86" spans="1:17" ht="20.100000000000001" customHeight="1" x14ac:dyDescent="0.2">
      <c r="A86" s="299">
        <v>2604</v>
      </c>
      <c r="B86" s="430" t="s">
        <v>958</v>
      </c>
      <c r="C86" s="431" t="s">
        <v>959</v>
      </c>
      <c r="D86" s="445" t="s">
        <v>916</v>
      </c>
      <c r="E86" s="442" t="str">
        <f>IFERROR(INDEX(df_lf!$C$2:$C$1000, MATCH(1, (cover!$C$4 = df_lf!$A$2:$A$1000) * ($A86 = df_lf!$B$2:$B$1000), 0), 0),"x")</f>
        <v>x</v>
      </c>
      <c r="F86" s="476" t="s">
        <v>1076</v>
      </c>
      <c r="G86" s="436"/>
      <c r="H86" s="434" t="s">
        <v>1007</v>
      </c>
      <c r="I86" s="446" t="s">
        <v>1066</v>
      </c>
      <c r="J86" s="435" t="str">
        <f t="array" ref="J86">IFERROR(INDEX(df_cmhc_scss!$D$2:$AB$1000, MATCH(1, (cover!$C$4 = df_cmhc_scss!$A$2:$A$1000) * (df_cmhc_scss!$C$2:$C$1000 = "starts") * (df_cmhc_scss!$B$2:$B$1000 = federal_req!$J$71), 0), MATCH(federal_req!$F86, df_cmhc_scss!$D$1:$AB$1,0)),"x")</f>
        <v>x</v>
      </c>
    </row>
    <row r="87" spans="1:17" ht="20.100000000000001" customHeight="1" x14ac:dyDescent="0.2">
      <c r="A87" s="299">
        <v>2607</v>
      </c>
      <c r="B87" s="437"/>
      <c r="C87" s="431" t="s">
        <v>961</v>
      </c>
      <c r="D87" s="445" t="s">
        <v>916</v>
      </c>
      <c r="E87" s="442" t="str">
        <f>IFERROR(INDEX(df_lf!$C$2:$C$1000, MATCH(1, (cover!$C$4 = df_lf!$A$2:$A$1000) * ($A87 = df_lf!$B$2:$B$1000), 0), 0),"x")</f>
        <v>x</v>
      </c>
      <c r="F87" s="476" t="s">
        <v>1077</v>
      </c>
      <c r="G87" s="436"/>
      <c r="H87" s="434" t="s">
        <v>1008</v>
      </c>
      <c r="I87" s="446" t="s">
        <v>1066</v>
      </c>
      <c r="J87" s="435" t="str">
        <f t="array" ref="J87">IFERROR(INDEX(df_cmhc_scss!$D$2:$AB$1000, MATCH(1, (cover!$C$4 = df_cmhc_scss!$A$2:$A$1000) * (df_cmhc_scss!$C$2:$C$1000 = "starts") * (df_cmhc_scss!$B$2:$B$1000 = federal_req!$J$71), 0), MATCH(federal_req!$F87, df_cmhc_scss!$D$1:$AB$1,0)),"x")</f>
        <v>x</v>
      </c>
    </row>
    <row r="88" spans="1:17" ht="20.100000000000001" customHeight="1" x14ac:dyDescent="0.2">
      <c r="A88" s="299">
        <v>2608</v>
      </c>
      <c r="B88" s="437"/>
      <c r="C88" s="431" t="s">
        <v>962</v>
      </c>
      <c r="D88" s="445" t="s">
        <v>916</v>
      </c>
      <c r="E88" s="442" t="str">
        <f>IFERROR(INDEX(df_lf!$C$2:$C$1000, MATCH(1, (cover!$C$4 = df_lf!$A$2:$A$1000) * ($A88 = df_lf!$B$2:$B$1000), 0), 0),"x")</f>
        <v>x</v>
      </c>
    </row>
    <row r="89" spans="1:17" ht="20.100000000000001" customHeight="1" x14ac:dyDescent="0.2">
      <c r="A89" s="299">
        <v>2609</v>
      </c>
      <c r="B89" s="437"/>
      <c r="C89" s="431" t="s">
        <v>963</v>
      </c>
      <c r="D89" s="445" t="s">
        <v>916</v>
      </c>
      <c r="E89" s="442" t="str">
        <f>IFERROR(INDEX(df_lf!$C$2:$C$1000, MATCH(1, (cover!$C$4 = df_lf!$A$2:$A$1000) * ($A89 = df_lf!$B$2:$B$1000), 0), 0),"x")</f>
        <v>x</v>
      </c>
    </row>
    <row r="90" spans="1:17" ht="20.100000000000001" customHeight="1" x14ac:dyDescent="0.2">
      <c r="A90" s="299">
        <v>2610</v>
      </c>
      <c r="B90" s="437"/>
      <c r="C90" s="431" t="s">
        <v>964</v>
      </c>
      <c r="D90" s="445" t="s">
        <v>916</v>
      </c>
      <c r="E90" s="442" t="str">
        <f>IFERROR(INDEX(df_lf!$C$2:$C$1000, MATCH(1, (cover!$C$4 = df_lf!$A$2:$A$1000) * ($A90 = df_lf!$B$2:$B$1000), 0), 0),"x")</f>
        <v>x</v>
      </c>
      <c r="G90" s="15" t="s">
        <v>1033</v>
      </c>
    </row>
    <row r="91" spans="1:17" ht="20.100000000000001" customHeight="1" x14ac:dyDescent="0.2">
      <c r="G91" s="427" t="s">
        <v>315</v>
      </c>
      <c r="H91" s="428" t="s">
        <v>905</v>
      </c>
      <c r="I91" s="428" t="s">
        <v>736</v>
      </c>
      <c r="J91" s="429" t="s">
        <v>35</v>
      </c>
      <c r="L91" s="476" t="s">
        <v>6</v>
      </c>
      <c r="M91" s="476" t="s">
        <v>95</v>
      </c>
      <c r="N91" s="476" t="s">
        <v>96</v>
      </c>
    </row>
    <row r="92" spans="1:17" ht="20.100000000000001" customHeight="1" x14ac:dyDescent="0.2">
      <c r="G92" s="430" t="s">
        <v>1012</v>
      </c>
      <c r="H92" s="431" t="s">
        <v>6</v>
      </c>
      <c r="I92" s="445" t="s">
        <v>1089</v>
      </c>
      <c r="J92" s="442" t="str">
        <f>IFERROR(MROUND(J93*$O$96,5),"x")</f>
        <v>x</v>
      </c>
      <c r="L92" s="422" t="e">
        <f>hh!D11</f>
        <v>#N/A</v>
      </c>
      <c r="M92" s="422" t="e">
        <f>hh!E11</f>
        <v>#N/A</v>
      </c>
      <c r="N92" s="422" t="e">
        <f>hh!F11</f>
        <v>#N/A</v>
      </c>
    </row>
    <row r="93" spans="1:17" ht="20.100000000000001" customHeight="1" x14ac:dyDescent="0.2">
      <c r="G93" s="437"/>
      <c r="H93" s="431" t="s">
        <v>909</v>
      </c>
      <c r="I93" s="445" t="s">
        <v>1089</v>
      </c>
      <c r="J93" s="421" t="str">
        <f>need!C109</f>
        <v>x</v>
      </c>
    </row>
    <row r="94" spans="1:17" ht="20.100000000000001" customHeight="1" x14ac:dyDescent="0.2">
      <c r="G94" s="433" t="s">
        <v>1013</v>
      </c>
      <c r="H94" s="434" t="s">
        <v>6</v>
      </c>
      <c r="I94" s="446" t="s">
        <v>941</v>
      </c>
      <c r="J94" s="425" t="str">
        <f>IFERROR(IF(O107=0,"x",O107),"x")</f>
        <v>x</v>
      </c>
    </row>
    <row r="95" spans="1:17" ht="20.100000000000001" customHeight="1" x14ac:dyDescent="0.2">
      <c r="G95" s="436"/>
      <c r="H95" s="434" t="s">
        <v>909</v>
      </c>
      <c r="I95" s="446" t="s">
        <v>941</v>
      </c>
      <c r="J95" s="423" t="str">
        <f>IFERROR(IF(O107/O97=0,"x",O107/O97),"x")</f>
        <v>x</v>
      </c>
      <c r="O95" s="476" t="s">
        <v>496</v>
      </c>
      <c r="P95" s="476" t="s">
        <v>497</v>
      </c>
      <c r="Q95" s="476" t="s">
        <v>498</v>
      </c>
    </row>
    <row r="96" spans="1:17" ht="20.100000000000001" customHeight="1" x14ac:dyDescent="0.2">
      <c r="G96" s="430" t="s">
        <v>1014</v>
      </c>
      <c r="H96" s="431" t="s">
        <v>6</v>
      </c>
      <c r="I96" s="445" t="s">
        <v>1089</v>
      </c>
      <c r="J96" s="442" t="str">
        <f>IFERROR(MROUND(J97*$Q$96,5),"x")</f>
        <v>x</v>
      </c>
      <c r="L96" s="477" t="s">
        <v>384</v>
      </c>
      <c r="O96" s="476" t="str">
        <f t="array" ref="O96">IFERROR(INDEX(df_chn_hart!$D$2:$M$1000, MATCH(1, (cover!$C$4 = df_chn_hart!$A$2:$A$1000) * ($L96 = df_chn_hart!$C$2:$C$1000) * (df_chn_hart!$B$2:$B$1000 = "Total private households"), 0), MATCH(O$95, df_chn_hart!$D$1:$M$1, 0)),"x")</f>
        <v>x</v>
      </c>
      <c r="P96" s="476" t="str">
        <f t="array" ref="P96">IFERROR(INDEX(df_chn_hart!$D$2:$M$1000, MATCH(1, (cover!$C$4 = df_chn_hart!$A$2:$A$1000) * ($L96 = df_chn_hart!$C$2:$C$1000) * (df_chn_hart!$B$2:$B$1000 = "Total private households"), 0), MATCH(P$95, df_chn_hart!$D$1:$M$1, 0)),"x")</f>
        <v>x</v>
      </c>
      <c r="Q96" s="476" t="str">
        <f t="array" ref="Q96">IFERROR(INDEX(df_chn_hart!$D$2:$M$1000, MATCH(1, (cover!$C$4 = df_chn_hart!$A$2:$A$1000) * ($L96 = df_chn_hart!$C$2:$C$1000) * (df_chn_hart!$B$2:$B$1000 = "Total private households"), 0), MATCH(Q$95, df_chn_hart!$D$1:$M$1, 0)),"x")</f>
        <v>x</v>
      </c>
    </row>
    <row r="97" spans="7:17" ht="20.100000000000001" customHeight="1" x14ac:dyDescent="0.2">
      <c r="G97" s="437"/>
      <c r="H97" s="431" t="s">
        <v>909</v>
      </c>
      <c r="I97" s="445" t="s">
        <v>1089</v>
      </c>
      <c r="J97" s="421" t="str">
        <f>need!E109</f>
        <v>x</v>
      </c>
      <c r="L97" s="424" t="s">
        <v>1067</v>
      </c>
      <c r="O97" s="476" t="str">
        <f t="array" ref="O97">IFERROR(INDEX(df_chn_hart!$D$2:$M$1000, MATCH(1, (cover!$C$4 = df_chn_hart!$A$2:$A$1000) * ($L97 = df_chn_hart!$C$2:$C$1000) * (df_chn_hart!$B$2:$B$1000 = "Total private households"), 0), MATCH(O$95, df_chn_hart!$D$1:$M$1, 0)),"x")</f>
        <v>x</v>
      </c>
      <c r="P97" s="476" t="str">
        <f t="array" ref="P97">IFERROR(INDEX(df_chn_hart!$D$2:$M$1000, MATCH(1, (cover!$C$4 = df_chn_hart!$A$2:$A$1000) * ($L97 = df_chn_hart!$C$2:$C$1000) * (df_chn_hart!$B$2:$B$1000 = "Total private households"), 0), MATCH(P$95, df_chn_hart!$D$1:$M$1, 0)),"x")</f>
        <v>x</v>
      </c>
      <c r="Q97" s="476" t="str">
        <f t="array" ref="Q97">IFERROR(INDEX(df_chn_hart!$D$2:$M$1000, MATCH(1, (cover!$C$4 = df_chn_hart!$A$2:$A$1000) * ($L97 = df_chn_hart!$C$2:$C$1000) * (df_chn_hart!$B$2:$B$1000 = "Total private households"), 0), MATCH(Q$95, df_chn_hart!$D$1:$M$1, 0)),"x")</f>
        <v>x</v>
      </c>
    </row>
    <row r="98" spans="7:17" ht="20.100000000000001" customHeight="1" x14ac:dyDescent="0.2">
      <c r="G98" s="433" t="s">
        <v>1015</v>
      </c>
      <c r="H98" s="434" t="s">
        <v>6</v>
      </c>
      <c r="I98" s="446" t="s">
        <v>941</v>
      </c>
      <c r="J98" s="425" t="str">
        <f>IFERROR(IF(Q107=0,"x",Q107),"x")</f>
        <v>x</v>
      </c>
      <c r="L98" s="424" t="s">
        <v>1068</v>
      </c>
      <c r="O98" s="476" t="str">
        <f t="array" ref="O98">IFERROR(INDEX(df_chn_hart!$D$2:$M$1000, MATCH(1, (cover!$C$4 = df_chn_hart!$A$2:$A$1000) * ($L98 = df_chn_hart!$C$2:$C$1000) * (df_chn_hart!$B$2:$B$1000 = "Total private households"), 0), MATCH(O$95, df_chn_hart!$D$1:$M$1, 0)),"x")</f>
        <v>x</v>
      </c>
      <c r="P98" s="476" t="str">
        <f t="array" ref="P98">IFERROR(INDEX(df_chn_hart!$D$2:$M$1000, MATCH(1, (cover!$C$4 = df_chn_hart!$A$2:$A$1000) * ($L98 = df_chn_hart!$C$2:$C$1000) * (df_chn_hart!$B$2:$B$1000 = "Total private households"), 0), MATCH(P$95, df_chn_hart!$D$1:$M$1, 0)),"x")</f>
        <v>x</v>
      </c>
      <c r="Q98" s="476" t="str">
        <f t="array" ref="Q98">IFERROR(INDEX(df_chn_hart!$D$2:$M$1000, MATCH(1, (cover!$C$4 = df_chn_hart!$A$2:$A$1000) * ($L98 = df_chn_hart!$C$2:$C$1000) * (df_chn_hart!$B$2:$B$1000 = "Total private households"), 0), MATCH(Q$95, df_chn_hart!$D$1:$M$1, 0)),"x")</f>
        <v>x</v>
      </c>
    </row>
    <row r="99" spans="7:17" ht="20.100000000000001" customHeight="1" x14ac:dyDescent="0.2">
      <c r="G99" s="436"/>
      <c r="H99" s="434" t="s">
        <v>909</v>
      </c>
      <c r="I99" s="446" t="s">
        <v>941</v>
      </c>
      <c r="J99" s="423" t="str">
        <f>IFERROR(IF(Q107/Q97=0,"x",Q107/Q97),"x")</f>
        <v>x</v>
      </c>
      <c r="L99" s="424" t="s">
        <v>1078</v>
      </c>
      <c r="O99" s="476" t="str">
        <f t="array" ref="O99">IFERROR(INDEX(df_chn_hart!$D$2:$M$1000, MATCH(1, (cover!$C$4 = df_chn_hart!$A$2:$A$1000) * ($L99 = df_chn_hart!$C$2:$C$1000) * (df_chn_hart!$B$2:$B$1000 = "Total private households"), 0), MATCH(O$95, df_chn_hart!$D$1:$M$1, 0)),"x")</f>
        <v>x</v>
      </c>
      <c r="P99" s="476" t="str">
        <f t="array" ref="P99">IFERROR(INDEX(df_chn_hart!$D$2:$M$1000, MATCH(1, (cover!$C$4 = df_chn_hart!$A$2:$A$1000) * ($L99 = df_chn_hart!$C$2:$C$1000) * (df_chn_hart!$B$2:$B$1000 = "Total private households"), 0), MATCH(P$95, df_chn_hart!$D$1:$M$1, 0)),"x")</f>
        <v>x</v>
      </c>
      <c r="Q99" s="476" t="str">
        <f t="array" ref="Q99">IFERROR(INDEX(df_chn_hart!$D$2:$M$1000, MATCH(1, (cover!$C$4 = df_chn_hart!$A$2:$A$1000) * ($L99 = df_chn_hart!$C$2:$C$1000) * (df_chn_hart!$B$2:$B$1000 = "Total private households"), 0), MATCH(Q$95, df_chn_hart!$D$1:$M$1, 0)),"x")</f>
        <v>x</v>
      </c>
    </row>
    <row r="100" spans="7:17" ht="20.100000000000001" customHeight="1" x14ac:dyDescent="0.2">
      <c r="G100" s="430" t="s">
        <v>1016</v>
      </c>
      <c r="H100" s="431" t="s">
        <v>6</v>
      </c>
      <c r="I100" s="445" t="s">
        <v>1089</v>
      </c>
      <c r="J100" s="442" t="str">
        <f>IFERROR(MROUND(J101*$P$96,5),"x")</f>
        <v>x</v>
      </c>
      <c r="L100" s="424" t="s">
        <v>1079</v>
      </c>
      <c r="O100" s="476" t="str">
        <f t="array" ref="O100">IFERROR(INDEX(df_chn_hart!$D$2:$M$1000, MATCH(1, (cover!$C$4 = df_chn_hart!$A$2:$A$1000) * ($L100 = df_chn_hart!$C$2:$C$1000) * (df_chn_hart!$B$2:$B$1000 = "Total private households"), 0), MATCH(O$95, df_chn_hart!$D$1:$M$1, 0)),"x")</f>
        <v>x</v>
      </c>
      <c r="P100" s="476" t="str">
        <f t="array" ref="P100">IFERROR(INDEX(df_chn_hart!$D$2:$M$1000, MATCH(1, (cover!$C$4 = df_chn_hart!$A$2:$A$1000) * ($L100 = df_chn_hart!$C$2:$C$1000) * (df_chn_hart!$B$2:$B$1000 = "Total private households"), 0), MATCH(P$95, df_chn_hart!$D$1:$M$1, 0)),"x")</f>
        <v>x</v>
      </c>
      <c r="Q100" s="476" t="str">
        <f t="array" ref="Q100">IFERROR(INDEX(df_chn_hart!$D$2:$M$1000, MATCH(1, (cover!$C$4 = df_chn_hart!$A$2:$A$1000) * ($L100 = df_chn_hart!$C$2:$C$1000) * (df_chn_hart!$B$2:$B$1000 = "Total private households"), 0), MATCH(Q$95, df_chn_hart!$D$1:$M$1, 0)),"x")</f>
        <v>x</v>
      </c>
    </row>
    <row r="101" spans="7:17" ht="20.100000000000001" customHeight="1" x14ac:dyDescent="0.2">
      <c r="G101" s="437"/>
      <c r="H101" s="431" t="s">
        <v>909</v>
      </c>
      <c r="I101" s="445" t="s">
        <v>1089</v>
      </c>
      <c r="J101" s="421" t="str">
        <f>need!D109</f>
        <v>x</v>
      </c>
      <c r="L101" s="424" t="s">
        <v>1080</v>
      </c>
      <c r="O101" s="476" t="str">
        <f t="array" ref="O101">IFERROR(INDEX(df_chn_hart!$D$2:$M$1000, MATCH(1, (cover!$C$4 = df_chn_hart!$A$2:$A$1000) * ($L101 = df_chn_hart!$C$2:$C$1000) * (df_chn_hart!$B$2:$B$1000 = "Total private households"), 0), MATCH(O$95, df_chn_hart!$D$1:$M$1, 0)),"x")</f>
        <v>x</v>
      </c>
      <c r="P101" s="476" t="str">
        <f t="array" ref="P101">IFERROR(INDEX(df_chn_hart!$D$2:$M$1000, MATCH(1, (cover!$C$4 = df_chn_hart!$A$2:$A$1000) * ($L101 = df_chn_hart!$C$2:$C$1000) * (df_chn_hart!$B$2:$B$1000 = "Total private households"), 0), MATCH(P$95, df_chn_hart!$D$1:$M$1, 0)),"x")</f>
        <v>x</v>
      </c>
      <c r="Q101" s="476" t="str">
        <f t="array" ref="Q101">IFERROR(INDEX(df_chn_hart!$D$2:$M$1000, MATCH(1, (cover!$C$4 = df_chn_hart!$A$2:$A$1000) * ($L101 = df_chn_hart!$C$2:$C$1000) * (df_chn_hart!$B$2:$B$1000 = "Total private households"), 0), MATCH(Q$95, df_chn_hart!$D$1:$M$1, 0)),"x")</f>
        <v>x</v>
      </c>
    </row>
    <row r="102" spans="7:17" ht="20.100000000000001" customHeight="1" x14ac:dyDescent="0.2">
      <c r="G102" s="433" t="s">
        <v>1017</v>
      </c>
      <c r="H102" s="434" t="s">
        <v>6</v>
      </c>
      <c r="I102" s="446" t="s">
        <v>941</v>
      </c>
      <c r="J102" s="425" t="str">
        <f>IFERROR(IF(P107=0,"x",P107),"x")</f>
        <v>x</v>
      </c>
      <c r="L102" s="424" t="s">
        <v>1081</v>
      </c>
      <c r="O102" s="476" t="str">
        <f t="array" ref="O102">IFERROR(INDEX(df_chn_hart!$D$2:$M$1000, MATCH(1, (cover!$C$4 = df_chn_hart!$A$2:$A$1000) * ($L102 = df_chn_hart!$C$2:$C$1000) * (df_chn_hart!$B$2:$B$1000 = "Total private households"), 0), MATCH(O$95, df_chn_hart!$D$1:$M$1, 0)),"x")</f>
        <v>x</v>
      </c>
      <c r="P102" s="476" t="str">
        <f t="array" ref="P102">IFERROR(INDEX(df_chn_hart!$D$2:$M$1000, MATCH(1, (cover!$C$4 = df_chn_hart!$A$2:$A$1000) * ($L102 = df_chn_hart!$C$2:$C$1000) * (df_chn_hart!$B$2:$B$1000 = "Total private households"), 0), MATCH(P$95, df_chn_hart!$D$1:$M$1, 0)),"x")</f>
        <v>x</v>
      </c>
      <c r="Q102" s="476" t="str">
        <f t="array" ref="Q102">IFERROR(INDEX(df_chn_hart!$D$2:$M$1000, MATCH(1, (cover!$C$4 = df_chn_hart!$A$2:$A$1000) * ($L102 = df_chn_hart!$C$2:$C$1000) * (df_chn_hart!$B$2:$B$1000 = "Total private households"), 0), MATCH(Q$95, df_chn_hart!$D$1:$M$1, 0)),"x")</f>
        <v>x</v>
      </c>
    </row>
    <row r="103" spans="7:17" ht="20.100000000000001" customHeight="1" x14ac:dyDescent="0.2">
      <c r="G103" s="436"/>
      <c r="H103" s="434" t="s">
        <v>909</v>
      </c>
      <c r="I103" s="446" t="s">
        <v>941</v>
      </c>
      <c r="J103" s="423" t="str">
        <f>IFERROR(IF(P107/P97=0,"x",P107/P97),"x")</f>
        <v>x</v>
      </c>
      <c r="L103" s="424" t="s">
        <v>1082</v>
      </c>
      <c r="O103" s="476" t="str">
        <f t="array" ref="O103">IFERROR(INDEX(df_chn_hart!$D$2:$M$1000, MATCH(1, (cover!$C$4 = df_chn_hart!$A$2:$A$1000) * ($L103 = df_chn_hart!$C$2:$C$1000) * (df_chn_hart!$B$2:$B$1000 = "Total private households"), 0), MATCH(O$95, df_chn_hart!$D$1:$M$1, 0)),"x")</f>
        <v>x</v>
      </c>
      <c r="P103" s="476" t="str">
        <f t="array" ref="P103">IFERROR(INDEX(df_chn_hart!$D$2:$M$1000, MATCH(1, (cover!$C$4 = df_chn_hart!$A$2:$A$1000) * ($L103 = df_chn_hart!$C$2:$C$1000) * (df_chn_hart!$B$2:$B$1000 = "Total private households"), 0), MATCH(P$95, df_chn_hart!$D$1:$M$1, 0)),"x")</f>
        <v>x</v>
      </c>
      <c r="Q103" s="476" t="str">
        <f t="array" ref="Q103">IFERROR(INDEX(df_chn_hart!$D$2:$M$1000, MATCH(1, (cover!$C$4 = df_chn_hart!$A$2:$A$1000) * ($L103 = df_chn_hart!$C$2:$C$1000) * (df_chn_hart!$B$2:$B$1000 = "Total private households"), 0), MATCH(Q$95, df_chn_hart!$D$1:$M$1, 0)),"x")</f>
        <v>x</v>
      </c>
    </row>
    <row r="104" spans="7:17" ht="20.100000000000001" customHeight="1" x14ac:dyDescent="0.2">
      <c r="G104" s="430" t="s">
        <v>1018</v>
      </c>
      <c r="H104" s="431" t="s">
        <v>6</v>
      </c>
      <c r="I104" s="445" t="s">
        <v>1090</v>
      </c>
      <c r="J104" s="442" t="str">
        <f>IFERROR(MROUND(J105*$L$92,5),"x")</f>
        <v>x</v>
      </c>
      <c r="L104" s="424" t="s">
        <v>1083</v>
      </c>
      <c r="O104" s="476" t="str">
        <f t="array" ref="O104">IFERROR(INDEX(df_chn_hart!$D$2:$M$1000, MATCH(1, (cover!$C$4 = df_chn_hart!$A$2:$A$1000) * ($L104 = df_chn_hart!$C$2:$C$1000) * (df_chn_hart!$B$2:$B$1000 = "Total private households"), 0), MATCH(O$95, df_chn_hart!$D$1:$M$1, 0)),"x")</f>
        <v>x</v>
      </c>
      <c r="P104" s="476" t="str">
        <f t="array" ref="P104">IFERROR(INDEX(df_chn_hart!$D$2:$M$1000, MATCH(1, (cover!$C$4 = df_chn_hart!$A$2:$A$1000) * ($L104 = df_chn_hart!$C$2:$C$1000) * (df_chn_hart!$B$2:$B$1000 = "Total private households"), 0), MATCH(P$95, df_chn_hart!$D$1:$M$1, 0)),"x")</f>
        <v>x</v>
      </c>
      <c r="Q104" s="476" t="str">
        <f t="array" ref="Q104">IFERROR(INDEX(df_chn_hart!$D$2:$M$1000, MATCH(1, (cover!$C$4 = df_chn_hart!$A$2:$A$1000) * ($L104 = df_chn_hart!$C$2:$C$1000) * (df_chn_hart!$B$2:$B$1000 = "Total private households"), 0), MATCH(Q$95, df_chn_hart!$D$1:$M$1, 0)),"x")</f>
        <v>x</v>
      </c>
    </row>
    <row r="105" spans="7:17" ht="20.100000000000001" customHeight="1" x14ac:dyDescent="0.2">
      <c r="G105" s="437"/>
      <c r="H105" s="431" t="s">
        <v>909</v>
      </c>
      <c r="I105" s="445" t="s">
        <v>1090</v>
      </c>
      <c r="J105" s="421" t="str">
        <f>IF(need!C108=0,"x",need!C108)</f>
        <v>x</v>
      </c>
      <c r="L105" s="424" t="s">
        <v>1084</v>
      </c>
      <c r="O105" s="476" t="str">
        <f t="array" ref="O105">IFERROR(INDEX(df_chn_hart!$D$2:$M$1000, MATCH(1, (cover!$C$4 = df_chn_hart!$A$2:$A$1000) * ($L105 = df_chn_hart!$C$2:$C$1000) * (df_chn_hart!$B$2:$B$1000 = "Total private households"), 0), MATCH(O$95, df_chn_hart!$D$1:$M$1, 0)),"x")</f>
        <v>x</v>
      </c>
      <c r="P105" s="476" t="str">
        <f t="array" ref="P105">IFERROR(INDEX(df_chn_hart!$D$2:$M$1000, MATCH(1, (cover!$C$4 = df_chn_hart!$A$2:$A$1000) * ($L105 = df_chn_hart!$C$2:$C$1000) * (df_chn_hart!$B$2:$B$1000 = "Total private households"), 0), MATCH(P$95, df_chn_hart!$D$1:$M$1, 0)),"x")</f>
        <v>x</v>
      </c>
      <c r="Q105" s="476" t="str">
        <f t="array" ref="Q105">IFERROR(INDEX(df_chn_hart!$D$2:$M$1000, MATCH(1, (cover!$C$4 = df_chn_hart!$A$2:$A$1000) * ($L105 = df_chn_hart!$C$2:$C$1000) * (df_chn_hart!$B$2:$B$1000 = "Total private households"), 0), MATCH(Q$95, df_chn_hart!$D$1:$M$1, 0)),"x")</f>
        <v>x</v>
      </c>
    </row>
    <row r="106" spans="7:17" ht="20.100000000000001" customHeight="1" x14ac:dyDescent="0.2">
      <c r="G106" s="433" t="s">
        <v>1019</v>
      </c>
      <c r="H106" s="434" t="s">
        <v>6</v>
      </c>
      <c r="I106" s="446" t="s">
        <v>941</v>
      </c>
      <c r="J106" s="425" t="str">
        <f>IFERROR(IF(O108=0,"x",O108),"x")</f>
        <v>x</v>
      </c>
      <c r="L106" s="424" t="s">
        <v>1085</v>
      </c>
      <c r="O106" s="476" t="str">
        <f t="array" ref="O106">IFERROR(INDEX(df_chn_hart!$D$2:$M$1000, MATCH(1, (cover!$C$4 = df_chn_hart!$A$2:$A$1000) * ($L106 = df_chn_hart!$C$2:$C$1000) * (df_chn_hart!$B$2:$B$1000 = "Total private households"), 0), MATCH(O$95, df_chn_hart!$D$1:$M$1, 0)),"x")</f>
        <v>x</v>
      </c>
      <c r="P106" s="476" t="str">
        <f t="array" ref="P106">IFERROR(INDEX(df_chn_hart!$D$2:$M$1000, MATCH(1, (cover!$C$4 = df_chn_hart!$A$2:$A$1000) * ($L106 = df_chn_hart!$C$2:$C$1000) * (df_chn_hart!$B$2:$B$1000 = "Total private households"), 0), MATCH(P$95, df_chn_hart!$D$1:$M$1, 0)),"x")</f>
        <v>x</v>
      </c>
      <c r="Q106" s="476" t="str">
        <f t="array" ref="Q106">IFERROR(INDEX(df_chn_hart!$D$2:$M$1000, MATCH(1, (cover!$C$4 = df_chn_hart!$A$2:$A$1000) * ($L106 = df_chn_hart!$C$2:$C$1000) * (df_chn_hart!$B$2:$B$1000 = "Total private households"), 0), MATCH(Q$95, df_chn_hart!$D$1:$M$1, 0)),"x")</f>
        <v>x</v>
      </c>
    </row>
    <row r="107" spans="7:17" ht="20.100000000000001" customHeight="1" x14ac:dyDescent="0.2">
      <c r="G107" s="436"/>
      <c r="H107" s="434" t="s">
        <v>909</v>
      </c>
      <c r="I107" s="446" t="s">
        <v>941</v>
      </c>
      <c r="J107" s="423" t="str">
        <f>IFERROR(IF(O108/O97=0,"x",O108/O97),"x")</f>
        <v>x</v>
      </c>
      <c r="L107" s="424" t="s">
        <v>1086</v>
      </c>
      <c r="O107" s="476" t="str">
        <f t="array" ref="O107">IFERROR(INDEX(df_chn_hart!$D$2:$M$1000, MATCH(1, (cover!$C$4 = df_chn_hart!$A$2:$A$1000) * ($L107 = df_chn_hart!$C$2:$C$1000) * (df_chn_hart!$B$2:$B$1000 = "Total private households"), 0), MATCH(O$95, df_chn_hart!$D$1:$M$1, 0)),"x")</f>
        <v>x</v>
      </c>
      <c r="P107" s="476" t="str">
        <f t="array" ref="P107">IFERROR(INDEX(df_chn_hart!$D$2:$M$1000, MATCH(1, (cover!$C$4 = df_chn_hart!$A$2:$A$1000) * ($L107 = df_chn_hart!$C$2:$C$1000) * (df_chn_hart!$B$2:$B$1000 = "Total private households"), 0), MATCH(P$95, df_chn_hart!$D$1:$M$1, 0)),"x")</f>
        <v>x</v>
      </c>
      <c r="Q107" s="476" t="str">
        <f t="array" ref="Q107">IFERROR(INDEX(df_chn_hart!$D$2:$M$1000, MATCH(1, (cover!$C$4 = df_chn_hart!$A$2:$A$1000) * ($L107 = df_chn_hart!$C$2:$C$1000) * (df_chn_hart!$B$2:$B$1000 = "Total private households"), 0), MATCH(Q$95, df_chn_hart!$D$1:$M$1, 0)),"x")</f>
        <v>x</v>
      </c>
    </row>
    <row r="108" spans="7:17" ht="20.100000000000001" customHeight="1" x14ac:dyDescent="0.2">
      <c r="G108" s="430" t="s">
        <v>1020</v>
      </c>
      <c r="H108" s="431" t="s">
        <v>6</v>
      </c>
      <c r="I108" s="445" t="s">
        <v>1090</v>
      </c>
      <c r="J108" s="442" t="str">
        <f>IFERROR(MROUND(J109*$N$92,5),"x")</f>
        <v>x</v>
      </c>
      <c r="L108" s="424" t="s">
        <v>1088</v>
      </c>
      <c r="O108" s="476" t="str">
        <f t="array" ref="O108">IFERROR(INDEX(df_chn_hart!$D$2:$M$1000, MATCH(1, (cover!$C$4 = df_chn_hart!$A$2:$A$1000) * ($L108 = df_chn_hart!$C$2:$C$1000) * (df_chn_hart!$B$2:$B$1000 = "Total private households"), 0), MATCH(O$95, df_chn_hart!$D$1:$M$1, 0)),"x")</f>
        <v>x</v>
      </c>
      <c r="P108" s="476" t="str">
        <f t="array" ref="P108">IFERROR(INDEX(df_chn_hart!$D$2:$M$1000, MATCH(1, (cover!$C$4 = df_chn_hart!$A$2:$A$1000) * ($L108 = df_chn_hart!$C$2:$C$1000) * (df_chn_hart!$B$2:$B$1000 = "Total private households"), 0), MATCH(P$95, df_chn_hart!$D$1:$M$1, 0)),"x")</f>
        <v>x</v>
      </c>
      <c r="Q108" s="476" t="str">
        <f t="array" ref="Q108">IFERROR(INDEX(df_chn_hart!$D$2:$M$1000, MATCH(1, (cover!$C$4 = df_chn_hart!$A$2:$A$1000) * ($L108 = df_chn_hart!$C$2:$C$1000) * (df_chn_hart!$B$2:$B$1000 = "Total private households"), 0), MATCH(Q$95, df_chn_hart!$D$1:$M$1, 0)),"x")</f>
        <v>x</v>
      </c>
    </row>
    <row r="109" spans="7:17" ht="20.100000000000001" customHeight="1" x14ac:dyDescent="0.2">
      <c r="G109" s="437"/>
      <c r="H109" s="431" t="s">
        <v>909</v>
      </c>
      <c r="I109" s="445" t="s">
        <v>1090</v>
      </c>
      <c r="J109" s="421" t="str">
        <f>need!E108</f>
        <v>x</v>
      </c>
      <c r="L109" s="424" t="s">
        <v>1087</v>
      </c>
      <c r="O109" s="476" t="str">
        <f t="array" ref="O109">IFERROR(INDEX(df_chn_hart!$D$2:$M$1000, MATCH(1, (cover!$C$4 = df_chn_hart!$A$2:$A$1000) * ($L109 = df_chn_hart!$C$2:$C$1000) * (df_chn_hart!$B$2:$B$1000 = "Total private households"), 0), MATCH(O$95, df_chn_hart!$D$1:$M$1, 0)),"x")</f>
        <v>x</v>
      </c>
      <c r="P109" s="476" t="str">
        <f t="array" ref="P109">IFERROR(INDEX(df_chn_hart!$D$2:$M$1000, MATCH(1, (cover!$C$4 = df_chn_hart!$A$2:$A$1000) * ($L109 = df_chn_hart!$C$2:$C$1000) * (df_chn_hart!$B$2:$B$1000 = "Total private households"), 0), MATCH(P$95, df_chn_hart!$D$1:$M$1, 0)),"x")</f>
        <v>x</v>
      </c>
      <c r="Q109" s="476" t="str">
        <f t="array" ref="Q109">IFERROR(INDEX(df_chn_hart!$D$2:$M$1000, MATCH(1, (cover!$C$4 = df_chn_hart!$A$2:$A$1000) * ($L109 = df_chn_hart!$C$2:$C$1000) * (df_chn_hart!$B$2:$B$1000 = "Total private households"), 0), MATCH(Q$95, df_chn_hart!$D$1:$M$1, 0)),"x")</f>
        <v>x</v>
      </c>
    </row>
    <row r="110" spans="7:17" ht="20.100000000000001" customHeight="1" x14ac:dyDescent="0.2">
      <c r="G110" s="433" t="s">
        <v>1021</v>
      </c>
      <c r="H110" s="434" t="s">
        <v>6</v>
      </c>
      <c r="I110" s="446" t="s">
        <v>941</v>
      </c>
      <c r="J110" s="425" t="str">
        <f>IFERROR(IF(Q108=0,"x",Q108),"x")</f>
        <v>x</v>
      </c>
    </row>
    <row r="111" spans="7:17" ht="20.100000000000001" customHeight="1" x14ac:dyDescent="0.2">
      <c r="G111" s="436"/>
      <c r="H111" s="434" t="s">
        <v>909</v>
      </c>
      <c r="I111" s="446" t="s">
        <v>941</v>
      </c>
      <c r="J111" s="423" t="str">
        <f>IFERROR(IF(Q108/Q97=0,"x",Q108/Q97),"x")</f>
        <v>x</v>
      </c>
    </row>
    <row r="112" spans="7:17" ht="20.100000000000001" customHeight="1" x14ac:dyDescent="0.2">
      <c r="G112" s="430" t="s">
        <v>1022</v>
      </c>
      <c r="H112" s="431" t="s">
        <v>6</v>
      </c>
      <c r="I112" s="445" t="s">
        <v>1090</v>
      </c>
      <c r="J112" s="442" t="str">
        <f>IFERROR(MROUND(J113*$M$92,5),"x")</f>
        <v>x</v>
      </c>
    </row>
    <row r="113" spans="7:10" ht="20.100000000000001" customHeight="1" x14ac:dyDescent="0.2">
      <c r="G113" s="437"/>
      <c r="H113" s="431" t="s">
        <v>909</v>
      </c>
      <c r="I113" s="445" t="s">
        <v>1090</v>
      </c>
      <c r="J113" s="421" t="str">
        <f>need!D108</f>
        <v>x</v>
      </c>
    </row>
    <row r="114" spans="7:10" ht="20.100000000000001" customHeight="1" x14ac:dyDescent="0.2">
      <c r="G114" s="433" t="s">
        <v>1023</v>
      </c>
      <c r="H114" s="434" t="s">
        <v>6</v>
      </c>
      <c r="I114" s="446" t="s">
        <v>941</v>
      </c>
      <c r="J114" s="425" t="str">
        <f>IFERROR(IF(P108=0,"x",P108),"x")</f>
        <v>x</v>
      </c>
    </row>
    <row r="115" spans="7:10" ht="20.100000000000001" customHeight="1" x14ac:dyDescent="0.2">
      <c r="G115" s="436"/>
      <c r="H115" s="434" t="s">
        <v>909</v>
      </c>
      <c r="I115" s="446" t="s">
        <v>941</v>
      </c>
      <c r="J115" s="423" t="str">
        <f>IFERROR(IF(P108/P97=0,"x",P108/P97),"x")</f>
        <v>x</v>
      </c>
    </row>
    <row r="116" spans="7:10" ht="20.100000000000001" customHeight="1" x14ac:dyDescent="0.2">
      <c r="G116" s="430" t="s">
        <v>1024</v>
      </c>
      <c r="H116" s="431" t="s">
        <v>6</v>
      </c>
      <c r="I116" s="445" t="s">
        <v>1090</v>
      </c>
      <c r="J116" s="442" t="str">
        <f>IFERROR(MROUND(J117*$L$92,5),"x")</f>
        <v>x</v>
      </c>
    </row>
    <row r="117" spans="7:10" ht="20.100000000000001" customHeight="1" x14ac:dyDescent="0.2">
      <c r="G117" s="437"/>
      <c r="H117" s="431" t="s">
        <v>909</v>
      </c>
      <c r="I117" s="445" t="s">
        <v>1090</v>
      </c>
      <c r="J117" s="421" t="str">
        <f>need!C107</f>
        <v>x</v>
      </c>
    </row>
    <row r="118" spans="7:10" ht="20.100000000000001" customHeight="1" x14ac:dyDescent="0.2">
      <c r="G118" s="433" t="s">
        <v>1025</v>
      </c>
      <c r="H118" s="434" t="s">
        <v>6</v>
      </c>
      <c r="I118" s="446" t="s">
        <v>941</v>
      </c>
      <c r="J118" s="425" t="str">
        <f>IFERROR(IF(O109=0,"x",O109),"x")</f>
        <v>x</v>
      </c>
    </row>
    <row r="119" spans="7:10" ht="20.100000000000001" customHeight="1" x14ac:dyDescent="0.2">
      <c r="G119" s="436"/>
      <c r="H119" s="434" t="s">
        <v>909</v>
      </c>
      <c r="I119" s="446" t="s">
        <v>941</v>
      </c>
      <c r="J119" s="423" t="str">
        <f>IFERROR(IF(O109/O97=0,"x",O109/O97),"x")</f>
        <v>x</v>
      </c>
    </row>
    <row r="120" spans="7:10" ht="20.100000000000001" customHeight="1" x14ac:dyDescent="0.2">
      <c r="G120" s="430" t="s">
        <v>1026</v>
      </c>
      <c r="H120" s="431" t="s">
        <v>6</v>
      </c>
      <c r="I120" s="445" t="s">
        <v>1090</v>
      </c>
      <c r="J120" s="442" t="str">
        <f>IFERROR(MROUND(J121*$N$92,5),"x")</f>
        <v>x</v>
      </c>
    </row>
    <row r="121" spans="7:10" ht="20.100000000000001" customHeight="1" x14ac:dyDescent="0.2">
      <c r="G121" s="437"/>
      <c r="H121" s="431" t="s">
        <v>909</v>
      </c>
      <c r="I121" s="445" t="s">
        <v>1090</v>
      </c>
      <c r="J121" s="421" t="str">
        <f>need!E107</f>
        <v>x</v>
      </c>
    </row>
    <row r="122" spans="7:10" ht="20.100000000000001" customHeight="1" x14ac:dyDescent="0.2">
      <c r="G122" s="433" t="s">
        <v>1027</v>
      </c>
      <c r="H122" s="434" t="s">
        <v>6</v>
      </c>
      <c r="I122" s="446" t="s">
        <v>941</v>
      </c>
      <c r="J122" s="425" t="str">
        <f>IFERROR(IF(Q109=0,"x",Q109),"x")</f>
        <v>x</v>
      </c>
    </row>
    <row r="123" spans="7:10" ht="20.100000000000001" customHeight="1" x14ac:dyDescent="0.2">
      <c r="G123" s="436"/>
      <c r="H123" s="434" t="s">
        <v>909</v>
      </c>
      <c r="I123" s="446" t="s">
        <v>941</v>
      </c>
      <c r="J123" s="423" t="str">
        <f>IFERROR(IF(Q109/Q97=0,"x",Q109/Q97),"x")</f>
        <v>x</v>
      </c>
    </row>
    <row r="124" spans="7:10" ht="20.100000000000001" customHeight="1" x14ac:dyDescent="0.2">
      <c r="G124" s="430" t="s">
        <v>1028</v>
      </c>
      <c r="H124" s="431" t="s">
        <v>6</v>
      </c>
      <c r="I124" s="445" t="s">
        <v>1090</v>
      </c>
      <c r="J124" s="442" t="str">
        <f>IFERROR(MROUND(J125*$M$92,5),"x")</f>
        <v>x</v>
      </c>
    </row>
    <row r="125" spans="7:10" ht="20.100000000000001" customHeight="1" x14ac:dyDescent="0.2">
      <c r="G125" s="437"/>
      <c r="H125" s="431" t="s">
        <v>909</v>
      </c>
      <c r="I125" s="445" t="s">
        <v>1090</v>
      </c>
      <c r="J125" s="421" t="str">
        <f>need!D107</f>
        <v>x</v>
      </c>
    </row>
    <row r="126" spans="7:10" ht="20.100000000000001" customHeight="1" x14ac:dyDescent="0.2">
      <c r="G126" s="433" t="s">
        <v>1029</v>
      </c>
      <c r="H126" s="434" t="s">
        <v>6</v>
      </c>
      <c r="I126" s="446" t="s">
        <v>941</v>
      </c>
      <c r="J126" s="425" t="str">
        <f>IFERROR(IF(P109=0,"x",P109),"x")</f>
        <v>x</v>
      </c>
    </row>
    <row r="127" spans="7:10" ht="20.100000000000001" customHeight="1" x14ac:dyDescent="0.2">
      <c r="G127" s="436"/>
      <c r="H127" s="434" t="s">
        <v>909</v>
      </c>
      <c r="I127" s="446" t="s">
        <v>941</v>
      </c>
      <c r="J127" s="423" t="str">
        <f>IFERROR(IF(P109/P97=0,"x",P109/P97),"x")</f>
        <v>x</v>
      </c>
    </row>
    <row r="128" spans="7:10" ht="20.100000000000001" customHeight="1" x14ac:dyDescent="0.2">
      <c r="G128" s="430" t="s">
        <v>1030</v>
      </c>
      <c r="H128" s="431" t="s">
        <v>6</v>
      </c>
      <c r="I128" s="445" t="s">
        <v>1089</v>
      </c>
      <c r="J128" s="442" t="str">
        <f>IFERROR(IF(need!P29*need!D29 = 0, "x", need!P29*need!D29),"x")</f>
        <v>x</v>
      </c>
    </row>
    <row r="129" spans="7:10" ht="20.100000000000001" customHeight="1" x14ac:dyDescent="0.2">
      <c r="G129" s="433" t="s">
        <v>1031</v>
      </c>
      <c r="H129" s="434" t="s">
        <v>909</v>
      </c>
      <c r="I129" s="446" t="s">
        <v>1089</v>
      </c>
      <c r="J129" s="423" t="str">
        <f>need!E111</f>
        <v>x</v>
      </c>
    </row>
    <row r="130" spans="7:10" ht="20.100000000000001" customHeight="1" x14ac:dyDescent="0.2">
      <c r="G130" s="430" t="s">
        <v>1032</v>
      </c>
      <c r="H130" s="431" t="s">
        <v>909</v>
      </c>
      <c r="I130" s="445" t="s">
        <v>1089</v>
      </c>
      <c r="J130" s="421" t="str">
        <f>need!D111</f>
        <v>x</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AA202"/>
  <sheetViews>
    <sheetView zoomScale="85" zoomScaleNormal="85" workbookViewId="0">
      <pane ySplit="2" topLeftCell="A3" activePane="bottomLeft" state="frozen"/>
      <selection pane="bottomLeft" activeCell="A3" sqref="A3"/>
    </sheetView>
  </sheetViews>
  <sheetFormatPr defaultColWidth="11" defaultRowHeight="14.25" x14ac:dyDescent="0.2"/>
  <sheetData>
    <row r="1" spans="1:26" ht="20.100000000000001" customHeight="1" x14ac:dyDescent="0.2">
      <c r="A1" s="2" t="s">
        <v>181</v>
      </c>
      <c r="B1" s="2" t="s">
        <v>182</v>
      </c>
      <c r="C1" s="2" t="s">
        <v>183</v>
      </c>
      <c r="D1" s="186" t="s">
        <v>7</v>
      </c>
    </row>
    <row r="2" spans="1:26" ht="20.100000000000001" customHeight="1" x14ac:dyDescent="0.2">
      <c r="A2" s="2">
        <f>df_geo!A2</f>
        <v>1000000</v>
      </c>
      <c r="B2" s="99">
        <f>_xlfn.NUMBERVALUE(LEFT(A2,4))</f>
        <v>1000</v>
      </c>
      <c r="C2" s="2">
        <f>_xlfn.NUMBERVALUE(LEFT(B2,2))</f>
        <v>10</v>
      </c>
      <c r="D2" s="186" t="e">
        <f>popn_fut!D2</f>
        <v>#N/A</v>
      </c>
      <c r="E2" s="1"/>
      <c r="F2" s="1"/>
      <c r="G2" s="1"/>
      <c r="H2" s="1"/>
      <c r="I2" s="1"/>
      <c r="J2" s="1"/>
      <c r="K2" s="1"/>
      <c r="L2" s="1"/>
      <c r="M2" s="1"/>
      <c r="N2" s="1"/>
      <c r="O2" s="1"/>
      <c r="P2" s="1"/>
      <c r="Q2" s="1"/>
      <c r="R2" s="1"/>
      <c r="S2" s="1"/>
      <c r="T2" s="1"/>
      <c r="U2" s="1"/>
      <c r="V2" s="1"/>
    </row>
    <row r="3" spans="1:26" ht="20.100000000000001" customHeight="1" x14ac:dyDescent="0.2">
      <c r="A3" s="1"/>
      <c r="B3" s="2"/>
      <c r="C3" s="1"/>
      <c r="D3" s="1"/>
      <c r="E3" s="1"/>
      <c r="F3" s="1"/>
      <c r="G3" s="1"/>
      <c r="H3" s="1"/>
      <c r="I3" s="1"/>
      <c r="J3" s="1"/>
      <c r="K3" s="1"/>
      <c r="L3" s="1"/>
      <c r="M3" s="1"/>
      <c r="N3" s="1"/>
      <c r="O3" s="1"/>
      <c r="P3" s="1"/>
      <c r="Q3" s="1"/>
      <c r="R3" s="1"/>
      <c r="S3" s="1"/>
      <c r="T3" s="1"/>
      <c r="U3" s="1"/>
      <c r="V3" s="1"/>
    </row>
    <row r="4" spans="1:26" ht="50.1" customHeight="1" x14ac:dyDescent="0.2">
      <c r="B4" s="159" t="s">
        <v>1263</v>
      </c>
      <c r="C4" s="59"/>
      <c r="D4" s="59"/>
      <c r="E4" s="59"/>
      <c r="F4" s="59"/>
      <c r="G4" s="59"/>
      <c r="H4" s="59"/>
      <c r="I4" s="59"/>
      <c r="J4" s="59"/>
      <c r="K4" s="59"/>
      <c r="L4" s="59"/>
      <c r="M4" s="59"/>
      <c r="N4" s="59"/>
    </row>
    <row r="5" spans="1:26" ht="20.100000000000001" customHeight="1" x14ac:dyDescent="0.2">
      <c r="A5" s="1"/>
      <c r="B5" s="2"/>
      <c r="C5" s="1"/>
      <c r="D5" s="1"/>
      <c r="E5" s="1"/>
      <c r="F5" s="1"/>
      <c r="G5" s="1"/>
      <c r="H5" s="1"/>
      <c r="I5" s="1"/>
      <c r="J5" s="1"/>
      <c r="K5" s="1"/>
      <c r="L5" s="1"/>
      <c r="M5" s="1"/>
      <c r="N5" s="1"/>
      <c r="O5" s="1"/>
      <c r="P5" s="1"/>
      <c r="Q5" s="1"/>
      <c r="R5" s="1"/>
      <c r="S5" s="1"/>
      <c r="T5" s="1"/>
      <c r="U5" s="1"/>
      <c r="V5" s="1"/>
    </row>
    <row r="6" spans="1:26" ht="30" customHeight="1" x14ac:dyDescent="0.2">
      <c r="A6" s="560"/>
      <c r="B6" s="175" t="s">
        <v>1216</v>
      </c>
      <c r="C6" s="310"/>
      <c r="D6" s="310"/>
      <c r="E6" s="310"/>
      <c r="F6" s="310"/>
      <c r="G6" s="310"/>
      <c r="H6" s="310"/>
      <c r="I6" s="310"/>
      <c r="J6" s="310"/>
      <c r="K6" s="310"/>
      <c r="L6" s="310"/>
      <c r="M6" s="310"/>
      <c r="N6" s="310"/>
    </row>
    <row r="7" spans="1:26" ht="20.100000000000001" customHeight="1" x14ac:dyDescent="0.2">
      <c r="A7" s="1"/>
      <c r="B7" s="2"/>
      <c r="C7" s="1"/>
      <c r="D7" s="1"/>
      <c r="E7" s="1"/>
      <c r="F7" s="1"/>
      <c r="G7" s="1"/>
      <c r="H7" s="1"/>
      <c r="I7" s="1"/>
      <c r="J7" s="1"/>
      <c r="K7" s="1"/>
      <c r="L7" s="1"/>
      <c r="M7" s="1"/>
      <c r="N7" s="1"/>
      <c r="O7" s="1"/>
      <c r="P7" s="1"/>
      <c r="Q7" s="1"/>
      <c r="R7" s="1"/>
      <c r="S7" s="1"/>
      <c r="T7" s="1"/>
      <c r="U7" s="1"/>
      <c r="V7" s="1"/>
    </row>
    <row r="8" spans="1:26" ht="20.100000000000001" customHeight="1" x14ac:dyDescent="0.2">
      <c r="A8" s="1"/>
      <c r="B8" s="1240" t="s">
        <v>177</v>
      </c>
      <c r="C8" s="1240"/>
      <c r="D8" s="1240"/>
      <c r="E8" s="1240"/>
      <c r="F8" s="1240"/>
      <c r="G8" s="1240"/>
      <c r="H8" s="1"/>
      <c r="I8" s="1240" t="s">
        <v>178</v>
      </c>
      <c r="J8" s="1240"/>
      <c r="K8" s="1240"/>
      <c r="L8" s="1240"/>
      <c r="M8" s="1240"/>
      <c r="N8" s="1240"/>
      <c r="O8" s="1"/>
      <c r="P8" s="1"/>
      <c r="Y8" s="1"/>
      <c r="Z8" s="1"/>
    </row>
    <row r="9" spans="1:26" ht="20.100000000000001" customHeight="1" x14ac:dyDescent="0.2">
      <c r="O9" s="1"/>
      <c r="P9" s="1"/>
      <c r="Y9" s="1"/>
      <c r="Z9" s="1"/>
    </row>
    <row r="10" spans="1:26" ht="20.100000000000001" customHeight="1" x14ac:dyDescent="0.2">
      <c r="B10" s="487"/>
      <c r="C10" s="1238" t="s">
        <v>181</v>
      </c>
      <c r="D10" s="1241"/>
      <c r="E10" s="1239"/>
      <c r="F10" s="1238" t="s">
        <v>182</v>
      </c>
      <c r="G10" s="1239"/>
      <c r="I10" s="487"/>
      <c r="J10" s="1242" t="s">
        <v>181</v>
      </c>
      <c r="K10" s="1242"/>
      <c r="L10" s="1242"/>
      <c r="M10" s="1238" t="s">
        <v>182</v>
      </c>
      <c r="N10" s="1239"/>
      <c r="O10" s="1238" t="s">
        <v>183</v>
      </c>
      <c r="P10" s="1239"/>
      <c r="Y10" s="239"/>
      <c r="Z10" s="239"/>
    </row>
    <row r="11" spans="1:26" ht="20.100000000000001" customHeight="1" x14ac:dyDescent="0.2">
      <c r="A11" s="1"/>
      <c r="B11" s="500" t="s">
        <v>107</v>
      </c>
      <c r="C11" s="206">
        <v>2016</v>
      </c>
      <c r="D11" s="563">
        <v>2021</v>
      </c>
      <c r="E11" s="562">
        <v>2025</v>
      </c>
      <c r="F11" s="206">
        <v>2016</v>
      </c>
      <c r="G11" s="562">
        <v>2021</v>
      </c>
      <c r="H11" s="1"/>
      <c r="I11" s="500" t="s">
        <v>107</v>
      </c>
      <c r="J11" s="206">
        <v>2016</v>
      </c>
      <c r="K11" s="563">
        <v>2021</v>
      </c>
      <c r="L11" s="562">
        <v>2025</v>
      </c>
      <c r="M11" s="206">
        <v>2021</v>
      </c>
      <c r="N11" s="562">
        <v>2025</v>
      </c>
      <c r="O11" s="206">
        <v>2021</v>
      </c>
      <c r="P11" s="562">
        <v>2025</v>
      </c>
      <c r="Y11" s="239"/>
      <c r="Z11" s="239"/>
    </row>
    <row r="12" spans="1:26" ht="20.100000000000001" customHeight="1" x14ac:dyDescent="0.2">
      <c r="A12" s="299">
        <v>8</v>
      </c>
      <c r="B12" s="500" t="s">
        <v>6</v>
      </c>
      <c r="C12" s="564" t="e">
        <f t="array" ref="C12">INDEX(df_pop!$C$2:$C$100, MATCH(1, (df_pop!$B$2:$B$100 = $A12) * (df_pop!$E$2:$E$100 = C$11) * (df_pop!$A$2:$A$100 = $A$2), 0), 0)</f>
        <v>#N/A</v>
      </c>
      <c r="D12" s="565" t="e">
        <f t="array" ref="D12">INDEX(df_pop!$C$2:$C$10000, MATCH(1, (df_pop!$B$2:$B$10000 = $A12) * (df_pop!$E$2:$E$10000 = D$11) * (df_pop!$A$2:$A$10000 = $A$2), 0), 0)</f>
        <v>#N/A</v>
      </c>
      <c r="E12" s="566" t="e">
        <f t="array" ref="E12">INDEX(df_proj!$E$2:$AD$1000, MATCH(1, ($A$2 = df_proj!$A$2:$A$1000) * (df_proj!$B$2:$B$1000 = $B12) * (df_proj!$C$2:$C$1000 = $D$2), 0), MATCH(TEXT(E$11, "####"), df_proj!$E$1:$AD$1,0))</f>
        <v>#N/A</v>
      </c>
      <c r="F12" s="564" t="e">
        <f t="array" ref="F12">INDEX(df_pop!$C$2:$C$10000, MATCH(1, (df_pop!$B$2:$B$10000 = $A12) * (df_pop!$E$2:$E$10000 = F$11) * (df_pop!$A$2:$A$10000 = $B$2), 0), 0)</f>
        <v>#N/A</v>
      </c>
      <c r="G12" s="566" t="e">
        <f t="array" ref="G12">INDEX(df_pop!$C$2:$C$10000, MATCH(1, (df_pop!$B$2:$B$10000 = $A12) * (df_pop!$E$2:$E$10000 = G$11) * (df_pop!$A$2:$A$10000 = $B$2), 0), 0)</f>
        <v>#N/A</v>
      </c>
      <c r="H12" s="299">
        <v>1</v>
      </c>
      <c r="I12" s="500" t="s">
        <v>6</v>
      </c>
      <c r="J12" s="564" t="e">
        <f>INDEX(df_est_csd!$C$2:$BA$10, MATCH($A$2, df_est_csd!$B$2:$B$10, 0), MATCH(TEXT(C$11, "####"),  df_est_csd!$C$1:$BA$1, 0))</f>
        <v>#N/A</v>
      </c>
      <c r="K12" s="565" t="e">
        <f>INDEX(df_est_csd!$C$2:$BA$10, MATCH($A$2, df_est_csd!$B$2:$B$10, 0), MATCH(TEXT(D$11, "####"),  df_est_csd!$C$1:$BA$1, 0))</f>
        <v>#N/A</v>
      </c>
      <c r="L12" s="566" t="e">
        <f>IFERROR(INDEX(df_proj!$F$2:$AE$1000, MATCH(1, ($A$2 = df_proj!$B$2:$B$1000) * (df_proj!$E$2:$E$1000 = $H12) * (df_proj!$D$2:$D$1000 = $D$2), 0), MATCH(TEXT(E$11, "####"), df_proj!$F$1:$AE$1,0)),popn_fut!C81)</f>
        <v>#N/A</v>
      </c>
      <c r="M12" s="564">
        <f>INDEX(df_est_cd!$D$2:$AB$100, MATCH("Total", df_est_cd!$C$2:$C$100, 0), MATCH(TEXT(M$11, "####"), df_est_cd!$D$1:$AB$1, 0))</f>
        <v>38239864</v>
      </c>
      <c r="N12" s="566">
        <f>INDEX(df_est_cd!$D$2:$AB$100, MATCH("Total", df_est_cd!$C$2:$C$100, 0), MATCH(TEXT(N$11, "####"), df_est_cd!$D$1:$AB$1, 0))</f>
        <v>41651653</v>
      </c>
      <c r="O12" s="564" t="e">
        <f>INDEX(df_est_pr!$D$2:$AB$100, MATCH("Total", df_est_pr!$C$2:$C$100, 0), MATCH(TEXT(O$11, "####"), df_est_pr!$D$1:$AB$1, 0))</f>
        <v>#N/A</v>
      </c>
      <c r="P12" s="566" t="e">
        <f>INDEX(df_est_pr!$D$2:$AB$100, MATCH("Total", df_est_pr!$C$2:$C$100, 0), MATCH(TEXT(P$11, "####"), df_est_pr!$D$1:$AB$1, 0))</f>
        <v>#N/A</v>
      </c>
      <c r="Y12" s="239"/>
      <c r="Z12" s="239"/>
    </row>
    <row r="13" spans="1:26" ht="20.100000000000001" customHeight="1" x14ac:dyDescent="0.2">
      <c r="A13" s="299">
        <v>10</v>
      </c>
      <c r="B13" s="495" t="s">
        <v>159</v>
      </c>
      <c r="C13" s="557" t="e">
        <f t="array" ref="C13">INDEX(df_pop!$C$2:$C$100, MATCH(1, (df_pop!$B$2:$B$100 = $A13) * (df_pop!$E$2:$E$100 = C$11) * (df_pop!$A$2:$A$100 = $A$2), 0), 0)</f>
        <v>#N/A</v>
      </c>
      <c r="D13" s="555" t="e">
        <f t="array" ref="D13">INDEX(df_pop!$C$2:$C$1000, MATCH(1, (df_pop!$B$2:$B$1000 = $A13) * (df_pop!$E$2:$E$1000 = D$11) * (df_pop!$A$2:$A$1000 = $A$2), 0), 0)</f>
        <v>#N/A</v>
      </c>
      <c r="E13" s="556" t="e">
        <f t="array" ref="E13">INDEX(df_proj!$E$2:$AD$1000, MATCH(1, ($A$2 = df_proj!$A$2:$A$1000) * (df_proj!$B$2:$B$1000 = $B13) * (df_proj!$C$2:$C$1000 = $D$2), 0), MATCH(TEXT(E$11, "####"), df_proj!$E$1:$AD$1,0))</f>
        <v>#N/A</v>
      </c>
      <c r="F13" s="557" t="e">
        <f t="array" ref="F13">INDEX(df_pop!$C$2:$C$10000, MATCH(1, (df_pop!$B$2:$B$10000 = $A13) * (df_pop!$E$2:$E$10000 = F$11) * (df_pop!$A$2:$A$10000 = $B$2), 0), 0)</f>
        <v>#N/A</v>
      </c>
      <c r="G13" s="556" t="e">
        <f t="array" ref="G13">INDEX(df_pop!$C$2:$C$10000, MATCH(1, (df_pop!$B$2:$B$10000 = $A13) * (df_pop!$E$2:$E$10000 = G$11) * (df_pop!$A$2:$A$10000 = $B$2), 0), 0)</f>
        <v>#N/A</v>
      </c>
      <c r="H13" s="299">
        <v>2</v>
      </c>
      <c r="I13" s="495" t="s">
        <v>159</v>
      </c>
      <c r="J13" s="557" t="e">
        <f t="shared" ref="J13:J30" si="0">ROUND(J$12/C$12*C13,0)</f>
        <v>#N/A</v>
      </c>
      <c r="K13" s="555" t="e">
        <f t="shared" ref="K13:K30" si="1">ROUND(K$12/D$12*D13,0)</f>
        <v>#N/A</v>
      </c>
      <c r="L13" s="556" t="e">
        <f>IFERROR(INDEX(df_proj!$F$2:$AE$1000, MATCH(1, ($A$2 = df_proj!$B$2:$B$1000) * (df_proj!$E$2:$E$1000 = $H13) * (df_proj!$D$2:$D$1000 = $D$2), 0), MATCH(TEXT(E$11, "####"), df_proj!$F$1:$AE$1,0)),popn_fut!C82)</f>
        <v>#N/A</v>
      </c>
      <c r="M13" s="557">
        <f>INDEX(df_est_cd!$D$2:$AB$100, MATCH(TEXT($Q13 * 5 + 4, "####"), df_est_cd!$C$2:$C$100, 0), MATCH(TEXT(M$11, "####"), df_est_cd!$D$1:$AB$1, 0)) + INDEX(df_est_cd!$D$2:$AB$100, MATCH(TEXT($Q13 * 5 + 3, "####"), df_est_cd!$C$2:$C$100, 0), MATCH(TEXT(M$11, "####"), df_est_cd!$D$1:$AB$1, 0)) + INDEX(df_est_cd!$D$2:$AB$100, MATCH(TEXT($Q13 * 5 + 2, "####"), df_est_cd!$C$2:$C$100, 0), MATCH(TEXT(M$11, "####"), df_est_cd!$D$1:$AB$1, 0)) + INDEX(df_est_cd!$D$2:$AB$100, MATCH(TEXT($Q13 * 5 + 1, "####"), df_est_cd!$C$2:$C$100, 0), MATCH(TEXT(M$11, "####"), df_est_cd!$D$1:$AB$1, 0)) + INDEX(df_est_cd!$D$2:$AB$100, MATCH("0", df_est_cd!$C$2:$C$100, 0), MATCH(TEXT(M$11, "####"), df_est_cd!$D$1:$AB$1, 0))</f>
        <v>1902883</v>
      </c>
      <c r="N13" s="556">
        <f>INDEX(df_est_cd!$D$2:$AB$100, MATCH(TEXT($Q13 * 5 + 4, "####"), df_est_cd!$C$2:$C$100, 0), MATCH(TEXT(N$11, "####"), df_est_cd!$D$1:$AB$1, 0)) + INDEX(df_est_cd!$D$2:$AB$100, MATCH(TEXT($Q13 * 5 + 3, "####"), df_est_cd!$C$2:$C$100, 0), MATCH(TEXT(N$11, "####"), df_est_cd!$D$1:$AB$1, 0)) + INDEX(df_est_cd!$D$2:$AB$100, MATCH(TEXT($Q13 * 5 + 2, "####"), df_est_cd!$C$2:$C$100, 0), MATCH(TEXT(N$11, "####"), df_est_cd!$D$1:$AB$1, 0)) + INDEX(df_est_cd!$D$2:$AB$100, MATCH(TEXT($Q13 * 5 + 1, "####"), df_est_cd!$C$2:$C$100, 0), MATCH(TEXT(N$11, "####"), df_est_cd!$D$1:$AB$1, 0)) + INDEX(df_est_cd!$D$2:$AB$100, MATCH("0", df_est_cd!$C$2:$C$100, 0), MATCH(TEXT(N$11, "####"), df_est_cd!$D$1:$AB$1, 0))</f>
        <v>1871184</v>
      </c>
      <c r="O13" s="557" t="e">
        <f>INDEX(df_est_pr!$D$2:$AB$100, MATCH(TEXT($Q13 * 5 + 4, "####"), df_est_pr!$C$2:$C$100, 0), MATCH(TEXT(O$11, "####"), df_est_pr!$D$1:$AB$1, 0)) + INDEX(df_est_pr!$D$2:$AB$100, MATCH(TEXT($Q13 * 5 + 3, "####"), df_est_pr!$C$2:$C$100, 0), MATCH(TEXT(O$11, "####"), df_est_pr!$D$1:$AB$1, 0)) + INDEX(df_est_pr!$D$2:$AB$100, MATCH(TEXT($Q13 * 5 + 2, "####"), df_est_pr!$C$2:$C$100, 0), MATCH(TEXT(O$11, "####"), df_est_pr!$D$1:$AB$1, 0)) + INDEX(df_est_pr!$D$2:$AB$100, MATCH(TEXT($Q13 * 5 + 1, "####"), df_est_pr!$C$2:$C$100, 0), MATCH(TEXT(O$11, "####"), df_est_pr!$D$1:$AB$1, 0)) + INDEX(df_est_pr!$D$2:$AB$100, MATCH("0", df_est_pr!$C$2:$C$100, 0), MATCH(TEXT(O$11, "####"), df_est_pr!$D$1:$AB$1, 0))</f>
        <v>#N/A</v>
      </c>
      <c r="P13" s="556" t="e">
        <f>INDEX(df_est_pr!$D$2:$AB$100, MATCH(TEXT($Q13 * 5 + 4, "####"), df_est_pr!$C$2:$C$100, 0), MATCH(TEXT(P$11, "####"), df_est_pr!$D$1:$AB$1, 0)) + INDEX(df_est_pr!$D$2:$AB$100, MATCH(TEXT($Q13 * 5 + 3, "####"), df_est_pr!$C$2:$C$100, 0), MATCH(TEXT(P$11, "####"), df_est_pr!$D$1:$AB$1, 0)) + INDEX(df_est_pr!$D$2:$AB$100, MATCH(TEXT($Q13 * 5 + 2, "####"), df_est_pr!$C$2:$C$100, 0), MATCH(TEXT(P$11, "####"), df_est_pr!$D$1:$AB$1, 0)) + INDEX(df_est_pr!$D$2:$AB$100, MATCH(TEXT($Q13 * 5 + 1, "####"), df_est_pr!$C$2:$C$100, 0), MATCH(TEXT(P$11, "####"), df_est_pr!$D$1:$AB$1, 0)) + INDEX(df_est_pr!$D$2:$AB$100, MATCH("0", df_est_pr!$C$2:$C$100, 0), MATCH(TEXT(P$11, "####"), df_est_pr!$D$1:$AB$1, 0))</f>
        <v>#N/A</v>
      </c>
      <c r="Q13" s="477">
        <v>0</v>
      </c>
      <c r="Y13" s="239"/>
      <c r="Z13" s="239"/>
    </row>
    <row r="14" spans="1:26" ht="20.100000000000001" customHeight="1" x14ac:dyDescent="0.2">
      <c r="A14" s="299">
        <v>11</v>
      </c>
      <c r="B14" s="496" t="s">
        <v>160</v>
      </c>
      <c r="C14" s="558" t="e">
        <f t="array" ref="C14">INDEX(df_pop!$C$2:$C$100, MATCH(1, (df_pop!$B$2:$B$100 = $A14) * (df_pop!$E$2:$E$100 = C$11) * (df_pop!$A$2:$A$100 = $A$2), 0), 0)</f>
        <v>#N/A</v>
      </c>
      <c r="D14" s="239" t="e">
        <f t="array" ref="D14">INDEX(df_pop!$C$2:$C$1000, MATCH(1, (df_pop!$B$2:$B$1000 = $A14) * (df_pop!$E$2:$E$1000 = D$11) * (df_pop!$A$2:$A$1000 = $A$2), 0), 0)</f>
        <v>#N/A</v>
      </c>
      <c r="E14" s="552" t="e">
        <f t="array" ref="E14">INDEX(df_proj!$E$2:$AD$1000, MATCH(1, ($A$2 = df_proj!$A$2:$A$1000) * (df_proj!$B$2:$B$1000 = $B14) * (df_proj!$C$2:$C$1000 = $D$2), 0), MATCH(TEXT(E$11, "####"), df_proj!$E$1:$AD$1,0))</f>
        <v>#N/A</v>
      </c>
      <c r="F14" s="558" t="e">
        <f t="array" ref="F14">INDEX(df_pop!$C$2:$C$10000, MATCH(1, (df_pop!$B$2:$B$10000 = $A14) * (df_pop!$E$2:$E$10000 = F$11) * (df_pop!$A$2:$A$10000 = $B$2), 0), 0)</f>
        <v>#N/A</v>
      </c>
      <c r="G14" s="552" t="e">
        <f t="array" ref="G14">INDEX(df_pop!$C$2:$C$10000, MATCH(1, (df_pop!$B$2:$B$10000 = $A14) * (df_pop!$E$2:$E$10000 = G$11) * (df_pop!$A$2:$A$10000 = $B$2), 0), 0)</f>
        <v>#N/A</v>
      </c>
      <c r="H14" s="299">
        <v>3</v>
      </c>
      <c r="I14" s="496" t="s">
        <v>160</v>
      </c>
      <c r="J14" s="558" t="e">
        <f t="shared" si="0"/>
        <v>#N/A</v>
      </c>
      <c r="K14" s="239" t="e">
        <f t="shared" si="1"/>
        <v>#N/A</v>
      </c>
      <c r="L14" s="552" t="e">
        <f>IFERROR(INDEX(df_proj!$F$2:$AE$1000, MATCH(1, ($A$2 = df_proj!$B$2:$B$1000) * (df_proj!$E$2:$E$1000 = $H14) * (df_proj!$D$2:$D$1000 = $D$2), 0), MATCH(TEXT(E$11, "####"), df_proj!$F$1:$AE$1,0)),popn_fut!C83)</f>
        <v>#N/A</v>
      </c>
      <c r="M14" s="558">
        <f>INDEX(df_est_cd!$D$2:$AB$100, MATCH(TEXT($Q14 * 5 + 4, "####"), df_est_cd!$C$2:$C$100, 0), MATCH(TEXT(M$11, "####"), df_est_cd!$D$1:$AB$1, 0)) + INDEX(df_est_cd!$D$2:$AB$100, MATCH(TEXT($Q14 * 5 + 3, "####"), df_est_cd!$C$2:$C$100, 0), MATCH(TEXT(M$11, "####"), df_est_cd!$D$1:$AB$1, 0)) + INDEX(df_est_cd!$D$2:$AB$100, MATCH(TEXT($Q14 * 5 + 2, "####"), df_est_cd!$C$2:$C$100, 0), MATCH(TEXT(M$11, "####"), df_est_cd!$D$1:$AB$1, 0)) + INDEX(df_est_cd!$D$2:$AB$100, MATCH(TEXT($Q14 * 5 + 1, "####"), df_est_cd!$C$2:$C$100, 0), MATCH(TEXT(M$11, "####"), df_est_cd!$D$1:$AB$1, 0)) + INDEX(df_est_cd!$D$2:$AB$100, MATCH(TEXT($Q14 * 5, "####"), df_est_cd!$C$2:$C$100, 0), MATCH(TEXT(M$11, "####"), df_est_cd!$D$1:$AB$1, 0))</f>
        <v>2072565</v>
      </c>
      <c r="N14" s="552">
        <f>INDEX(df_est_cd!$D$2:$AB$100, MATCH(TEXT($Q14 * 5 + 4, "####"), df_est_cd!$C$2:$C$100, 0), MATCH(TEXT(N$11, "####"), df_est_cd!$D$1:$AB$1, 0)) + INDEX(df_est_cd!$D$2:$AB$100, MATCH(TEXT($Q14 * 5 + 3, "####"), df_est_cd!$C$2:$C$100, 0), MATCH(TEXT(N$11, "####"), df_est_cd!$D$1:$AB$1, 0)) + INDEX(df_est_cd!$D$2:$AB$100, MATCH(TEXT($Q14 * 5 + 2, "####"), df_est_cd!$C$2:$C$100, 0), MATCH(TEXT(N$11, "####"), df_est_cd!$D$1:$AB$1, 0)) + INDEX(df_est_cd!$D$2:$AB$100, MATCH(TEXT($Q14 * 5 + 1, "####"), df_est_cd!$C$2:$C$100, 0), MATCH(TEXT(N$11, "####"), df_est_cd!$D$1:$AB$1, 0)) + INDEX(df_est_cd!$D$2:$AB$100, MATCH(TEXT($Q14 * 5, "####"), df_est_cd!$C$2:$C$100, 0), MATCH(TEXT(N$11, "####"), df_est_cd!$D$1:$AB$1, 0))</f>
        <v>2138350</v>
      </c>
      <c r="O14" s="558" t="e">
        <f>INDEX(df_est_pr!$D$2:$AB$100, MATCH(TEXT($Q14 * 5 + 4, "####"), df_est_pr!$C$2:$C$100, 0), MATCH(TEXT(O$11, "####"), df_est_pr!$D$1:$AB$1, 0)) + INDEX(df_est_pr!$D$2:$AB$100, MATCH(TEXT($Q14 * 5 + 3, "####"), df_est_pr!$C$2:$C$100, 0), MATCH(TEXT(O$11, "####"), df_est_pr!$D$1:$AB$1, 0)) + INDEX(df_est_pr!$D$2:$AB$100, MATCH(TEXT($Q14 * 5 + 2, "####"), df_est_pr!$C$2:$C$100, 0), MATCH(TEXT(O$11, "####"), df_est_pr!$D$1:$AB$1, 0)) + INDEX(df_est_pr!$D$2:$AB$100, MATCH(TEXT($Q14 * 5 + 1, "####"), df_est_pr!$C$2:$C$100, 0), MATCH(TEXT(O$11, "####"), df_est_pr!$D$1:$AB$1, 0)) + INDEX(df_est_pr!$D$2:$AB$100, MATCH(TEXT($Q14 * 5, "####"), df_est_pr!$C$2:$C$100, 0), MATCH(TEXT(O$11, "####"), df_est_pr!$D$1:$AB$1, 0))</f>
        <v>#N/A</v>
      </c>
      <c r="P14" s="552" t="e">
        <f>INDEX(df_est_pr!$D$2:$AB$100, MATCH(TEXT($Q14 * 5 + 4, "####"), df_est_pr!$C$2:$C$100, 0), MATCH(TEXT(P$11, "####"), df_est_pr!$D$1:$AB$1, 0)) + INDEX(df_est_pr!$D$2:$AB$100, MATCH(TEXT($Q14 * 5 + 3, "####"), df_est_pr!$C$2:$C$100, 0), MATCH(TEXT(P$11, "####"), df_est_pr!$D$1:$AB$1, 0)) + INDEX(df_est_pr!$D$2:$AB$100, MATCH(TEXT($Q14 * 5 + 2, "####"), df_est_pr!$C$2:$C$100, 0), MATCH(TEXT(P$11, "####"), df_est_pr!$D$1:$AB$1, 0)) + INDEX(df_est_pr!$D$2:$AB$100, MATCH(TEXT($Q14 * 5 + 1, "####"), df_est_pr!$C$2:$C$100, 0), MATCH(TEXT(P$11, "####"), df_est_pr!$D$1:$AB$1, 0)) + INDEX(df_est_pr!$D$2:$AB$100, MATCH(TEXT($Q14 * 5, "####"), df_est_pr!$C$2:$C$100, 0), MATCH(TEXT(P$11, "####"), df_est_pr!$D$1:$AB$1, 0))</f>
        <v>#N/A</v>
      </c>
      <c r="Q14" s="477">
        <v>1</v>
      </c>
      <c r="Y14" s="239"/>
      <c r="Z14" s="239"/>
    </row>
    <row r="15" spans="1:26" ht="20.100000000000001" customHeight="1" x14ac:dyDescent="0.2">
      <c r="A15" s="299">
        <v>12</v>
      </c>
      <c r="B15" s="496" t="s">
        <v>118</v>
      </c>
      <c r="C15" s="558" t="e">
        <f t="array" ref="C15">INDEX(df_pop!$C$2:$C$100, MATCH(1, (df_pop!$B$2:$B$100 = $A15) * (df_pop!$E$2:$E$100 = C$11) * (df_pop!$A$2:$A$100 = $A$2), 0), 0)</f>
        <v>#N/A</v>
      </c>
      <c r="D15" s="239" t="e">
        <f t="array" ref="D15">INDEX(df_pop!$C$2:$C$1000, MATCH(1, (df_pop!$B$2:$B$1000 = $A15) * (df_pop!$E$2:$E$1000 = D$11) * (df_pop!$A$2:$A$1000 = $A$2), 0), 0)</f>
        <v>#N/A</v>
      </c>
      <c r="E15" s="552" t="e">
        <f t="array" ref="E15">INDEX(df_proj!$E$2:$AD$1000, MATCH(1, ($A$2 = df_proj!$A$2:$A$1000) * (df_proj!$B$2:$B$1000 = $B15) * (df_proj!$C$2:$C$1000 = $D$2), 0), MATCH(TEXT(E$11, "####"), df_proj!$E$1:$AD$1,0))</f>
        <v>#N/A</v>
      </c>
      <c r="F15" s="558" t="e">
        <f t="array" ref="F15">INDEX(df_pop!$C$2:$C$10000, MATCH(1, (df_pop!$B$2:$B$10000 = $A15) * (df_pop!$E$2:$E$10000 = F$11) * (df_pop!$A$2:$A$10000 = $B$2), 0), 0)</f>
        <v>#N/A</v>
      </c>
      <c r="G15" s="552" t="e">
        <f t="array" ref="G15">INDEX(df_pop!$C$2:$C$10000, MATCH(1, (df_pop!$B$2:$B$10000 = $A15) * (df_pop!$E$2:$E$10000 = G$11) * (df_pop!$A$2:$A$10000 = $B$2), 0), 0)</f>
        <v>#N/A</v>
      </c>
      <c r="H15" s="299">
        <v>4</v>
      </c>
      <c r="I15" s="496" t="s">
        <v>118</v>
      </c>
      <c r="J15" s="558" t="e">
        <f t="shared" si="0"/>
        <v>#N/A</v>
      </c>
      <c r="K15" s="239" t="e">
        <f t="shared" si="1"/>
        <v>#N/A</v>
      </c>
      <c r="L15" s="552" t="e">
        <f>IFERROR(INDEX(df_proj!$F$2:$AE$1000, MATCH(1, ($A$2 = df_proj!$B$2:$B$1000) * (df_proj!$E$2:$E$1000 = $H15) * (df_proj!$D$2:$D$1000 = $D$2), 0), MATCH(TEXT(E$11, "####"), df_proj!$F$1:$AE$1,0)),popn_fut!C84)</f>
        <v>#N/A</v>
      </c>
      <c r="M15" s="558">
        <f>INDEX(df_est_cd!$D$2:$AB$100, MATCH(TEXT($Q15 * 5 + 4, "####"), df_est_cd!$C$2:$C$100, 0), MATCH(TEXT(M$11, "####"), df_est_cd!$D$1:$AB$1, 0)) + INDEX(df_est_cd!$D$2:$AB$100, MATCH(TEXT($Q15 * 5 + 3, "####"), df_est_cd!$C$2:$C$100, 0), MATCH(TEXT(M$11, "####"), df_est_cd!$D$1:$AB$1, 0)) + INDEX(df_est_cd!$D$2:$AB$100, MATCH(TEXT($Q15 * 5 + 2, "####"), df_est_cd!$C$2:$C$100, 0), MATCH(TEXT(M$11, "####"), df_est_cd!$D$1:$AB$1, 0)) + INDEX(df_est_cd!$D$2:$AB$100, MATCH(TEXT($Q15 * 5 + 1, "####"), df_est_cd!$C$2:$C$100, 0), MATCH(TEXT(M$11, "####"), df_est_cd!$D$1:$AB$1, 0)) + INDEX(df_est_cd!$D$2:$AB$100, MATCH(TEXT($Q15 * 5, "####"), df_est_cd!$C$2:$C$100, 0), MATCH(TEXT(M$11, "####"), df_est_cd!$D$1:$AB$1, 0))</f>
        <v>2114016</v>
      </c>
      <c r="N15" s="552">
        <f>INDEX(df_est_cd!$D$2:$AB$100, MATCH(TEXT($Q15 * 5 + 4, "####"), df_est_cd!$C$2:$C$100, 0), MATCH(TEXT(N$11, "####"), df_est_cd!$D$1:$AB$1, 0)) + INDEX(df_est_cd!$D$2:$AB$100, MATCH(TEXT($Q15 * 5 + 3, "####"), df_est_cd!$C$2:$C$100, 0), MATCH(TEXT(N$11, "####"), df_est_cd!$D$1:$AB$1, 0)) + INDEX(df_est_cd!$D$2:$AB$100, MATCH(TEXT($Q15 * 5 + 2, "####"), df_est_cd!$C$2:$C$100, 0), MATCH(TEXT(N$11, "####"), df_est_cd!$D$1:$AB$1, 0)) + INDEX(df_est_cd!$D$2:$AB$100, MATCH(TEXT($Q15 * 5 + 1, "####"), df_est_cd!$C$2:$C$100, 0), MATCH(TEXT(N$11, "####"), df_est_cd!$D$1:$AB$1, 0)) + INDEX(df_est_cd!$D$2:$AB$100, MATCH(TEXT($Q15 * 5, "####"), df_est_cd!$C$2:$C$100, 0), MATCH(TEXT(N$11, "####"), df_est_cd!$D$1:$AB$1, 0))</f>
        <v>2251628</v>
      </c>
      <c r="O15" s="558" t="e">
        <f>INDEX(df_est_pr!$D$2:$AB$100, MATCH(TEXT($Q15 * 5 + 4, "####"), df_est_pr!$C$2:$C$100, 0), MATCH(TEXT(O$11, "####"), df_est_pr!$D$1:$AB$1, 0)) + INDEX(df_est_pr!$D$2:$AB$100, MATCH(TEXT($Q15 * 5 + 3, "####"), df_est_pr!$C$2:$C$100, 0), MATCH(TEXT(O$11, "####"), df_est_pr!$D$1:$AB$1, 0)) + INDEX(df_est_pr!$D$2:$AB$100, MATCH(TEXT($Q15 * 5 + 2, "####"), df_est_pr!$C$2:$C$100, 0), MATCH(TEXT(O$11, "####"), df_est_pr!$D$1:$AB$1, 0)) + INDEX(df_est_pr!$D$2:$AB$100, MATCH(TEXT($Q15 * 5 + 1, "####"), df_est_pr!$C$2:$C$100, 0), MATCH(TEXT(O$11, "####"), df_est_pr!$D$1:$AB$1, 0)) + INDEX(df_est_pr!$D$2:$AB$100, MATCH(TEXT($Q15 * 5, "####"), df_est_pr!$C$2:$C$100, 0), MATCH(TEXT(O$11, "####"), df_est_pr!$D$1:$AB$1, 0))</f>
        <v>#N/A</v>
      </c>
      <c r="P15" s="552" t="e">
        <f>INDEX(df_est_pr!$D$2:$AB$100, MATCH(TEXT($Q15 * 5 + 4, "####"), df_est_pr!$C$2:$C$100, 0), MATCH(TEXT(P$11, "####"), df_est_pr!$D$1:$AB$1, 0)) + INDEX(df_est_pr!$D$2:$AB$100, MATCH(TEXT($Q15 * 5 + 3, "####"), df_est_pr!$C$2:$C$100, 0), MATCH(TEXT(P$11, "####"), df_est_pr!$D$1:$AB$1, 0)) + INDEX(df_est_pr!$D$2:$AB$100, MATCH(TEXT($Q15 * 5 + 2, "####"), df_est_pr!$C$2:$C$100, 0), MATCH(TEXT(P$11, "####"), df_est_pr!$D$1:$AB$1, 0)) + INDEX(df_est_pr!$D$2:$AB$100, MATCH(TEXT($Q15 * 5 + 1, "####"), df_est_pr!$C$2:$C$100, 0), MATCH(TEXT(P$11, "####"), df_est_pr!$D$1:$AB$1, 0)) + INDEX(df_est_pr!$D$2:$AB$100, MATCH(TEXT($Q15 * 5, "####"), df_est_pr!$C$2:$C$100, 0), MATCH(TEXT(P$11, "####"), df_est_pr!$D$1:$AB$1, 0))</f>
        <v>#N/A</v>
      </c>
      <c r="Q15" s="477">
        <v>2</v>
      </c>
      <c r="Y15" s="239"/>
      <c r="Z15" s="239"/>
    </row>
    <row r="16" spans="1:26" ht="20.100000000000001" customHeight="1" x14ac:dyDescent="0.2">
      <c r="A16" s="299">
        <v>14</v>
      </c>
      <c r="B16" s="496" t="s">
        <v>119</v>
      </c>
      <c r="C16" s="558" t="e">
        <f t="array" ref="C16">INDEX(df_pop!$C$2:$C$100, MATCH(1, (df_pop!$B$2:$B$100 = $A16) * (df_pop!$E$2:$E$100 = C$11) * (df_pop!$A$2:$A$100 = $A$2), 0), 0)</f>
        <v>#N/A</v>
      </c>
      <c r="D16" s="239" t="e">
        <f t="array" ref="D16">INDEX(df_pop!$C$2:$C$1000, MATCH(1, (df_pop!$B$2:$B$1000 = $A16) * (df_pop!$E$2:$E$1000 = D$11) * (df_pop!$A$2:$A$1000 = $A$2), 0), 0)</f>
        <v>#N/A</v>
      </c>
      <c r="E16" s="552" t="e">
        <f t="array" ref="E16">INDEX(df_proj!$E$2:$AD$1000, MATCH(1, ($A$2 = df_proj!$A$2:$A$1000) * (df_proj!$B$2:$B$1000 = $B16) * (df_proj!$C$2:$C$1000 = $D$2), 0), MATCH(TEXT(E$11, "####"), df_proj!$E$1:$AD$1,0))</f>
        <v>#N/A</v>
      </c>
      <c r="F16" s="558" t="e">
        <f t="array" ref="F16">INDEX(df_pop!$C$2:$C$10000, MATCH(1, (df_pop!$B$2:$B$10000 = $A16) * (df_pop!$E$2:$E$10000 = F$11) * (df_pop!$A$2:$A$10000 = $B$2), 0), 0)</f>
        <v>#N/A</v>
      </c>
      <c r="G16" s="552" t="e">
        <f t="array" ref="G16">INDEX(df_pop!$C$2:$C$10000, MATCH(1, (df_pop!$B$2:$B$10000 = $A16) * (df_pop!$E$2:$E$10000 = G$11) * (df_pop!$A$2:$A$10000 = $B$2), 0), 0)</f>
        <v>#N/A</v>
      </c>
      <c r="H16" s="299">
        <v>5</v>
      </c>
      <c r="I16" s="496" t="s">
        <v>119</v>
      </c>
      <c r="J16" s="558" t="e">
        <f t="shared" si="0"/>
        <v>#N/A</v>
      </c>
      <c r="K16" s="239" t="e">
        <f t="shared" si="1"/>
        <v>#N/A</v>
      </c>
      <c r="L16" s="552" t="e">
        <f>IFERROR(INDEX(df_proj!$F$2:$AE$1000, MATCH(1, ($A$2 = df_proj!$B$2:$B$1000) * (df_proj!$E$2:$E$1000 = $H16) * (df_proj!$D$2:$D$1000 = $D$2), 0), MATCH(TEXT(E$11, "####"), df_proj!$F$1:$AE$1,0)),popn_fut!C85)</f>
        <v>#N/A</v>
      </c>
      <c r="M16" s="558">
        <f>INDEX(df_est_cd!$D$2:$AB$100, MATCH(TEXT($Q16 * 5 + 4, "####"), df_est_cd!$C$2:$C$100, 0), MATCH(TEXT(M$11, "####"), df_est_cd!$D$1:$AB$1, 0)) + INDEX(df_est_cd!$D$2:$AB$100, MATCH(TEXT($Q16 * 5 + 3, "####"), df_est_cd!$C$2:$C$100, 0), MATCH(TEXT(M$11, "####"), df_est_cd!$D$1:$AB$1, 0)) + INDEX(df_est_cd!$D$2:$AB$100, MATCH(TEXT($Q16 * 5 + 2, "####"), df_est_cd!$C$2:$C$100, 0), MATCH(TEXT(M$11, "####"), df_est_cd!$D$1:$AB$1, 0)) + INDEX(df_est_cd!$D$2:$AB$100, MATCH(TEXT($Q16 * 5 + 1, "####"), df_est_cd!$C$2:$C$100, 0), MATCH(TEXT(M$11, "####"), df_est_cd!$D$1:$AB$1, 0)) + INDEX(df_est_cd!$D$2:$AB$100, MATCH(TEXT($Q16 * 5, "####"), df_est_cd!$C$2:$C$100, 0), MATCH(TEXT(M$11, "####"), df_est_cd!$D$1:$AB$1, 0))</f>
        <v>2059975</v>
      </c>
      <c r="N16" s="552">
        <f>INDEX(df_est_cd!$D$2:$AB$100, MATCH(TEXT($Q16 * 5 + 4, "####"), df_est_cd!$C$2:$C$100, 0), MATCH(TEXT(N$11, "####"), df_est_cd!$D$1:$AB$1, 0)) + INDEX(df_est_cd!$D$2:$AB$100, MATCH(TEXT($Q16 * 5 + 3, "####"), df_est_cd!$C$2:$C$100, 0), MATCH(TEXT(N$11, "####"), df_est_cd!$D$1:$AB$1, 0)) + INDEX(df_est_cd!$D$2:$AB$100, MATCH(TEXT($Q16 * 5 + 2, "####"), df_est_cd!$C$2:$C$100, 0), MATCH(TEXT(N$11, "####"), df_est_cd!$D$1:$AB$1, 0)) + INDEX(df_est_cd!$D$2:$AB$100, MATCH(TEXT($Q16 * 5 + 1, "####"), df_est_cd!$C$2:$C$100, 0), MATCH(TEXT(N$11, "####"), df_est_cd!$D$1:$AB$1, 0)) + INDEX(df_est_cd!$D$2:$AB$100, MATCH(TEXT($Q16 * 5, "####"), df_est_cd!$C$2:$C$100, 0), MATCH(TEXT(N$11, "####"), df_est_cd!$D$1:$AB$1, 0))</f>
        <v>2319393</v>
      </c>
      <c r="O16" s="558" t="e">
        <f>INDEX(df_est_pr!$D$2:$AB$100, MATCH(TEXT($Q16 * 5 + 4, "####"), df_est_pr!$C$2:$C$100, 0), MATCH(TEXT(O$11, "####"), df_est_pr!$D$1:$AB$1, 0)) + INDEX(df_est_pr!$D$2:$AB$100, MATCH(TEXT($Q16 * 5 + 3, "####"), df_est_pr!$C$2:$C$100, 0), MATCH(TEXT(O$11, "####"), df_est_pr!$D$1:$AB$1, 0)) + INDEX(df_est_pr!$D$2:$AB$100, MATCH(TEXT($Q16 * 5 + 2, "####"), df_est_pr!$C$2:$C$100, 0), MATCH(TEXT(O$11, "####"), df_est_pr!$D$1:$AB$1, 0)) + INDEX(df_est_pr!$D$2:$AB$100, MATCH(TEXT($Q16 * 5 + 1, "####"), df_est_pr!$C$2:$C$100, 0), MATCH(TEXT(O$11, "####"), df_est_pr!$D$1:$AB$1, 0)) + INDEX(df_est_pr!$D$2:$AB$100, MATCH(TEXT($Q16 * 5, "####"), df_est_pr!$C$2:$C$100, 0), MATCH(TEXT(O$11, "####"), df_est_pr!$D$1:$AB$1, 0))</f>
        <v>#N/A</v>
      </c>
      <c r="P16" s="552" t="e">
        <f>INDEX(df_est_pr!$D$2:$AB$100, MATCH(TEXT($Q16 * 5 + 4, "####"), df_est_pr!$C$2:$C$100, 0), MATCH(TEXT(P$11, "####"), df_est_pr!$D$1:$AB$1, 0)) + INDEX(df_est_pr!$D$2:$AB$100, MATCH(TEXT($Q16 * 5 + 3, "####"), df_est_pr!$C$2:$C$100, 0), MATCH(TEXT(P$11, "####"), df_est_pr!$D$1:$AB$1, 0)) + INDEX(df_est_pr!$D$2:$AB$100, MATCH(TEXT($Q16 * 5 + 2, "####"), df_est_pr!$C$2:$C$100, 0), MATCH(TEXT(P$11, "####"), df_est_pr!$D$1:$AB$1, 0)) + INDEX(df_est_pr!$D$2:$AB$100, MATCH(TEXT($Q16 * 5 + 1, "####"), df_est_pr!$C$2:$C$100, 0), MATCH(TEXT(P$11, "####"), df_est_pr!$D$1:$AB$1, 0)) + INDEX(df_est_pr!$D$2:$AB$100, MATCH(TEXT($Q16 * 5, "####"), df_est_pr!$C$2:$C$100, 0), MATCH(TEXT(P$11, "####"), df_est_pr!$D$1:$AB$1, 0))</f>
        <v>#N/A</v>
      </c>
      <c r="Q16" s="477">
        <v>3</v>
      </c>
      <c r="Y16" s="239"/>
      <c r="Z16" s="239"/>
    </row>
    <row r="17" spans="1:26" ht="20.100000000000001" customHeight="1" x14ac:dyDescent="0.2">
      <c r="A17" s="299">
        <v>15</v>
      </c>
      <c r="B17" s="496" t="s">
        <v>120</v>
      </c>
      <c r="C17" s="558" t="e">
        <f t="array" ref="C17">INDEX(df_pop!$C$2:$C$100, MATCH(1, (df_pop!$B$2:$B$100 = $A17) * (df_pop!$E$2:$E$100 = C$11) * (df_pop!$A$2:$A$100 = $A$2), 0), 0)</f>
        <v>#N/A</v>
      </c>
      <c r="D17" s="239" t="e">
        <f t="array" ref="D17">INDEX(df_pop!$C$2:$C$1000, MATCH(1, (df_pop!$B$2:$B$1000 = $A17) * (df_pop!$E$2:$E$1000 = D$11) * (df_pop!$A$2:$A$1000 = $A$2), 0), 0)</f>
        <v>#N/A</v>
      </c>
      <c r="E17" s="552" t="e">
        <f t="array" ref="E17">INDEX(df_proj!$E$2:$AD$1000, MATCH(1, ($A$2 = df_proj!$A$2:$A$1000) * (df_proj!$B$2:$B$1000 = $B17) * (df_proj!$C$2:$C$1000 = $D$2), 0), MATCH(TEXT(E$11, "####"), df_proj!$E$1:$AD$1,0))</f>
        <v>#N/A</v>
      </c>
      <c r="F17" s="558" t="e">
        <f t="array" ref="F17">INDEX(df_pop!$C$2:$C$10000, MATCH(1, (df_pop!$B$2:$B$10000 = $A17) * (df_pop!$E$2:$E$10000 = F$11) * (df_pop!$A$2:$A$10000 = $B$2), 0), 0)</f>
        <v>#N/A</v>
      </c>
      <c r="G17" s="552" t="e">
        <f t="array" ref="G17">INDEX(df_pop!$C$2:$C$10000, MATCH(1, (df_pop!$B$2:$B$10000 = $A17) * (df_pop!$E$2:$E$10000 = G$11) * (df_pop!$A$2:$A$10000 = $B$2), 0), 0)</f>
        <v>#N/A</v>
      </c>
      <c r="H17" s="299">
        <v>6</v>
      </c>
      <c r="I17" s="496" t="s">
        <v>120</v>
      </c>
      <c r="J17" s="558" t="e">
        <f t="shared" si="0"/>
        <v>#N/A</v>
      </c>
      <c r="K17" s="239" t="e">
        <f t="shared" si="1"/>
        <v>#N/A</v>
      </c>
      <c r="L17" s="552" t="e">
        <f>IFERROR(INDEX(df_proj!$F$2:$AE$1000, MATCH(1, ($A$2 = df_proj!$B$2:$B$1000) * (df_proj!$E$2:$E$1000 = $H17) * (df_proj!$D$2:$D$1000 = $D$2), 0), MATCH(TEXT(E$11, "####"), df_proj!$F$1:$AE$1,0)),popn_fut!C86)</f>
        <v>#N/A</v>
      </c>
      <c r="M17" s="558">
        <f>INDEX(df_est_cd!$D$2:$AB$100, MATCH(TEXT($Q17 * 5 + 4, "####"), df_est_cd!$C$2:$C$100, 0), MATCH(TEXT(M$11, "####"), df_est_cd!$D$1:$AB$1, 0)) + INDEX(df_est_cd!$D$2:$AB$100, MATCH(TEXT($Q17 * 5 + 3, "####"), df_est_cd!$C$2:$C$100, 0), MATCH(TEXT(M$11, "####"), df_est_cd!$D$1:$AB$1, 0)) + INDEX(df_est_cd!$D$2:$AB$100, MATCH(TEXT($Q17 * 5 + 2, "####"), df_est_cd!$C$2:$C$100, 0), MATCH(TEXT(M$11, "####"), df_est_cd!$D$1:$AB$1, 0)) + INDEX(df_est_cd!$D$2:$AB$100, MATCH(TEXT($Q17 * 5 + 1, "####"), df_est_cd!$C$2:$C$100, 0), MATCH(TEXT(M$11, "####"), df_est_cd!$D$1:$AB$1, 0)) + INDEX(df_est_cd!$D$2:$AB$100, MATCH(TEXT($Q17 * 5, "####"), df_est_cd!$C$2:$C$100, 0), MATCH(TEXT(M$11, "####"), df_est_cd!$D$1:$AB$1, 0))</f>
        <v>2404398</v>
      </c>
      <c r="N17" s="552">
        <f>INDEX(df_est_cd!$D$2:$AB$100, MATCH(TEXT($Q17 * 5 + 4, "####"), df_est_cd!$C$2:$C$100, 0), MATCH(TEXT(N$11, "####"), df_est_cd!$D$1:$AB$1, 0)) + INDEX(df_est_cd!$D$2:$AB$100, MATCH(TEXT($Q17 * 5 + 3, "####"), df_est_cd!$C$2:$C$100, 0), MATCH(TEXT(N$11, "####"), df_est_cd!$D$1:$AB$1, 0)) + INDEX(df_est_cd!$D$2:$AB$100, MATCH(TEXT($Q17 * 5 + 2, "####"), df_est_cd!$C$2:$C$100, 0), MATCH(TEXT(N$11, "####"), df_est_cd!$D$1:$AB$1, 0)) + INDEX(df_est_cd!$D$2:$AB$100, MATCH(TEXT($Q17 * 5 + 1, "####"), df_est_cd!$C$2:$C$100, 0), MATCH(TEXT(N$11, "####"), df_est_cd!$D$1:$AB$1, 0)) + INDEX(df_est_cd!$D$2:$AB$100, MATCH(TEXT($Q17 * 5, "####"), df_est_cd!$C$2:$C$100, 0), MATCH(TEXT(N$11, "####"), df_est_cd!$D$1:$AB$1, 0))</f>
        <v>2703780</v>
      </c>
      <c r="O17" s="558" t="e">
        <f>INDEX(df_est_pr!$D$2:$AB$100, MATCH(TEXT($Q17 * 5 + 4, "####"), df_est_pr!$C$2:$C$100, 0), MATCH(TEXT(O$11, "####"), df_est_pr!$D$1:$AB$1, 0)) + INDEX(df_est_pr!$D$2:$AB$100, MATCH(TEXT($Q17 * 5 + 3, "####"), df_est_pr!$C$2:$C$100, 0), MATCH(TEXT(O$11, "####"), df_est_pr!$D$1:$AB$1, 0)) + INDEX(df_est_pr!$D$2:$AB$100, MATCH(TEXT($Q17 * 5 + 2, "####"), df_est_pr!$C$2:$C$100, 0), MATCH(TEXT(O$11, "####"), df_est_pr!$D$1:$AB$1, 0)) + INDEX(df_est_pr!$D$2:$AB$100, MATCH(TEXT($Q17 * 5 + 1, "####"), df_est_pr!$C$2:$C$100, 0), MATCH(TEXT(O$11, "####"), df_est_pr!$D$1:$AB$1, 0)) + INDEX(df_est_pr!$D$2:$AB$100, MATCH(TEXT($Q17 * 5, "####"), df_est_pr!$C$2:$C$100, 0), MATCH(TEXT(O$11, "####"), df_est_pr!$D$1:$AB$1, 0))</f>
        <v>#N/A</v>
      </c>
      <c r="P17" s="552" t="e">
        <f>INDEX(df_est_pr!$D$2:$AB$100, MATCH(TEXT($Q17 * 5 + 4, "####"), df_est_pr!$C$2:$C$100, 0), MATCH(TEXT(P$11, "####"), df_est_pr!$D$1:$AB$1, 0)) + INDEX(df_est_pr!$D$2:$AB$100, MATCH(TEXT($Q17 * 5 + 3, "####"), df_est_pr!$C$2:$C$100, 0), MATCH(TEXT(P$11, "####"), df_est_pr!$D$1:$AB$1, 0)) + INDEX(df_est_pr!$D$2:$AB$100, MATCH(TEXT($Q17 * 5 + 2, "####"), df_est_pr!$C$2:$C$100, 0), MATCH(TEXT(P$11, "####"), df_est_pr!$D$1:$AB$1, 0)) + INDEX(df_est_pr!$D$2:$AB$100, MATCH(TEXT($Q17 * 5 + 1, "####"), df_est_pr!$C$2:$C$100, 0), MATCH(TEXT(P$11, "####"), df_est_pr!$D$1:$AB$1, 0)) + INDEX(df_est_pr!$D$2:$AB$100, MATCH(TEXT($Q17 * 5, "####"), df_est_pr!$C$2:$C$100, 0), MATCH(TEXT(P$11, "####"), df_est_pr!$D$1:$AB$1, 0))</f>
        <v>#N/A</v>
      </c>
      <c r="Q17" s="477">
        <v>4</v>
      </c>
      <c r="Y17" s="239"/>
      <c r="Z17" s="239"/>
    </row>
    <row r="18" spans="1:26" ht="20.100000000000001" customHeight="1" x14ac:dyDescent="0.2">
      <c r="A18" s="299">
        <v>16</v>
      </c>
      <c r="B18" s="496" t="s">
        <v>121</v>
      </c>
      <c r="C18" s="558" t="e">
        <f t="array" ref="C18">INDEX(df_pop!$C$2:$C$100, MATCH(1, (df_pop!$B$2:$B$100 = $A18) * (df_pop!$E$2:$E$100 = C$11) * (df_pop!$A$2:$A$100 = $A$2), 0), 0)</f>
        <v>#N/A</v>
      </c>
      <c r="D18" s="239" t="e">
        <f t="array" ref="D18">INDEX(df_pop!$C$2:$C$1000, MATCH(1, (df_pop!$B$2:$B$1000 = $A18) * (df_pop!$E$2:$E$1000 = D$11) * (df_pop!$A$2:$A$1000 = $A$2), 0), 0)</f>
        <v>#N/A</v>
      </c>
      <c r="E18" s="552" t="e">
        <f t="array" ref="E18">INDEX(df_proj!$E$2:$AD$1000, MATCH(1, ($A$2 = df_proj!$A$2:$A$1000) * (df_proj!$B$2:$B$1000 = $B18) * (df_proj!$C$2:$C$1000 = $D$2), 0), MATCH(TEXT(E$11, "####"), df_proj!$E$1:$AD$1,0))</f>
        <v>#N/A</v>
      </c>
      <c r="F18" s="558" t="e">
        <f t="array" ref="F18">INDEX(df_pop!$C$2:$C$10000, MATCH(1, (df_pop!$B$2:$B$10000 = $A18) * (df_pop!$E$2:$E$10000 = F$11) * (df_pop!$A$2:$A$10000 = $B$2), 0), 0)</f>
        <v>#N/A</v>
      </c>
      <c r="G18" s="552" t="e">
        <f t="array" ref="G18">INDEX(df_pop!$C$2:$C$10000, MATCH(1, (df_pop!$B$2:$B$10000 = $A18) * (df_pop!$E$2:$E$10000 = G$11) * (df_pop!$A$2:$A$10000 = $B$2), 0), 0)</f>
        <v>#N/A</v>
      </c>
      <c r="H18" s="299">
        <v>7</v>
      </c>
      <c r="I18" s="496" t="s">
        <v>121</v>
      </c>
      <c r="J18" s="558" t="e">
        <f t="shared" si="0"/>
        <v>#N/A</v>
      </c>
      <c r="K18" s="239" t="e">
        <f t="shared" si="1"/>
        <v>#N/A</v>
      </c>
      <c r="L18" s="552" t="e">
        <f>IFERROR(INDEX(df_proj!$F$2:$AE$1000, MATCH(1, ($A$2 = df_proj!$B$2:$B$1000) * (df_proj!$E$2:$E$1000 = $H18) * (df_proj!$D$2:$D$1000 = $D$2), 0), MATCH(TEXT(E$11, "####"), df_proj!$F$1:$AE$1,0)),popn_fut!C87)</f>
        <v>#N/A</v>
      </c>
      <c r="M18" s="558">
        <f>INDEX(df_est_cd!$D$2:$AB$100, MATCH(TEXT($Q18 * 5 + 4, "####"), df_est_cd!$C$2:$C$100, 0), MATCH(TEXT(M$11, "####"), df_est_cd!$D$1:$AB$1, 0)) + INDEX(df_est_cd!$D$2:$AB$100, MATCH(TEXT($Q18 * 5 + 3, "####"), df_est_cd!$C$2:$C$100, 0), MATCH(TEXT(M$11, "####"), df_est_cd!$D$1:$AB$1, 0)) + INDEX(df_est_cd!$D$2:$AB$100, MATCH(TEXT($Q18 * 5 + 2, "####"), df_est_cd!$C$2:$C$100, 0), MATCH(TEXT(M$11, "####"), df_est_cd!$D$1:$AB$1, 0)) + INDEX(df_est_cd!$D$2:$AB$100, MATCH(TEXT($Q18 * 5 + 1, "####"), df_est_cd!$C$2:$C$100, 0), MATCH(TEXT(M$11, "####"), df_est_cd!$D$1:$AB$1, 0)) + INDEX(df_est_cd!$D$2:$AB$100, MATCH(TEXT($Q18 * 5, "####"), df_est_cd!$C$2:$C$100, 0), MATCH(TEXT(M$11, "####"), df_est_cd!$D$1:$AB$1, 0))</f>
        <v>2674655</v>
      </c>
      <c r="N18" s="552">
        <f>INDEX(df_est_cd!$D$2:$AB$100, MATCH(TEXT($Q18 * 5 + 4, "####"), df_est_cd!$C$2:$C$100, 0), MATCH(TEXT(N$11, "####"), df_est_cd!$D$1:$AB$1, 0)) + INDEX(df_est_cd!$D$2:$AB$100, MATCH(TEXT($Q18 * 5 + 3, "####"), df_est_cd!$C$2:$C$100, 0), MATCH(TEXT(N$11, "####"), df_est_cd!$D$1:$AB$1, 0)) + INDEX(df_est_cd!$D$2:$AB$100, MATCH(TEXT($Q18 * 5 + 2, "####"), df_est_cd!$C$2:$C$100, 0), MATCH(TEXT(N$11, "####"), df_est_cd!$D$1:$AB$1, 0)) + INDEX(df_est_cd!$D$2:$AB$100, MATCH(TEXT($Q18 * 5 + 1, "####"), df_est_cd!$C$2:$C$100, 0), MATCH(TEXT(N$11, "####"), df_est_cd!$D$1:$AB$1, 0)) + INDEX(df_est_cd!$D$2:$AB$100, MATCH(TEXT($Q18 * 5, "####"), df_est_cd!$C$2:$C$100, 0), MATCH(TEXT(N$11, "####"), df_est_cd!$D$1:$AB$1, 0))</f>
        <v>2995647</v>
      </c>
      <c r="O18" s="558" t="e">
        <f>INDEX(df_est_pr!$D$2:$AB$100, MATCH(TEXT($Q18 * 5 + 4, "####"), df_est_pr!$C$2:$C$100, 0), MATCH(TEXT(O$11, "####"), df_est_pr!$D$1:$AB$1, 0)) + INDEX(df_est_pr!$D$2:$AB$100, MATCH(TEXT($Q18 * 5 + 3, "####"), df_est_pr!$C$2:$C$100, 0), MATCH(TEXT(O$11, "####"), df_est_pr!$D$1:$AB$1, 0)) + INDEX(df_est_pr!$D$2:$AB$100, MATCH(TEXT($Q18 * 5 + 2, "####"), df_est_pr!$C$2:$C$100, 0), MATCH(TEXT(O$11, "####"), df_est_pr!$D$1:$AB$1, 0)) + INDEX(df_est_pr!$D$2:$AB$100, MATCH(TEXT($Q18 * 5 + 1, "####"), df_est_pr!$C$2:$C$100, 0), MATCH(TEXT(O$11, "####"), df_est_pr!$D$1:$AB$1, 0)) + INDEX(df_est_pr!$D$2:$AB$100, MATCH(TEXT($Q18 * 5, "####"), df_est_pr!$C$2:$C$100, 0), MATCH(TEXT(O$11, "####"), df_est_pr!$D$1:$AB$1, 0))</f>
        <v>#N/A</v>
      </c>
      <c r="P18" s="552" t="e">
        <f>INDEX(df_est_pr!$D$2:$AB$100, MATCH(TEXT($Q18 * 5 + 4, "####"), df_est_pr!$C$2:$C$100, 0), MATCH(TEXT(P$11, "####"), df_est_pr!$D$1:$AB$1, 0)) + INDEX(df_est_pr!$D$2:$AB$100, MATCH(TEXT($Q18 * 5 + 3, "####"), df_est_pr!$C$2:$C$100, 0), MATCH(TEXT(P$11, "####"), df_est_pr!$D$1:$AB$1, 0)) + INDEX(df_est_pr!$D$2:$AB$100, MATCH(TEXT($Q18 * 5 + 2, "####"), df_est_pr!$C$2:$C$100, 0), MATCH(TEXT(P$11, "####"), df_est_pr!$D$1:$AB$1, 0)) + INDEX(df_est_pr!$D$2:$AB$100, MATCH(TEXT($Q18 * 5 + 1, "####"), df_est_pr!$C$2:$C$100, 0), MATCH(TEXT(P$11, "####"), df_est_pr!$D$1:$AB$1, 0)) + INDEX(df_est_pr!$D$2:$AB$100, MATCH(TEXT($Q18 * 5, "####"), df_est_pr!$C$2:$C$100, 0), MATCH(TEXT(P$11, "####"), df_est_pr!$D$1:$AB$1, 0))</f>
        <v>#N/A</v>
      </c>
      <c r="Q18" s="477">
        <v>5</v>
      </c>
      <c r="Y18" s="239"/>
      <c r="Z18" s="239"/>
    </row>
    <row r="19" spans="1:26" ht="20.100000000000001" customHeight="1" x14ac:dyDescent="0.2">
      <c r="A19" s="299">
        <v>17</v>
      </c>
      <c r="B19" s="496" t="s">
        <v>122</v>
      </c>
      <c r="C19" s="558" t="e">
        <f t="array" ref="C19">INDEX(df_pop!$C$2:$C$100, MATCH(1, (df_pop!$B$2:$B$100 = $A19) * (df_pop!$E$2:$E$100 = C$11) * (df_pop!$A$2:$A$100 = $A$2), 0), 0)</f>
        <v>#N/A</v>
      </c>
      <c r="D19" s="239" t="e">
        <f t="array" ref="D19">INDEX(df_pop!$C$2:$C$1000, MATCH(1, (df_pop!$B$2:$B$1000 = $A19) * (df_pop!$E$2:$E$1000 = D$11) * (df_pop!$A$2:$A$1000 = $A$2), 0), 0)</f>
        <v>#N/A</v>
      </c>
      <c r="E19" s="552" t="e">
        <f t="array" ref="E19">INDEX(df_proj!$E$2:$AD$1000, MATCH(1, ($A$2 = df_proj!$A$2:$A$1000) * (df_proj!$B$2:$B$1000 = $B19) * (df_proj!$C$2:$C$1000 = $D$2), 0), MATCH(TEXT(E$11, "####"), df_proj!$E$1:$AD$1,0))</f>
        <v>#N/A</v>
      </c>
      <c r="F19" s="558" t="e">
        <f t="array" ref="F19">INDEX(df_pop!$C$2:$C$10000, MATCH(1, (df_pop!$B$2:$B$10000 = $A19) * (df_pop!$E$2:$E$10000 = F$11) * (df_pop!$A$2:$A$10000 = $B$2), 0), 0)</f>
        <v>#N/A</v>
      </c>
      <c r="G19" s="552" t="e">
        <f t="array" ref="G19">INDEX(df_pop!$C$2:$C$10000, MATCH(1, (df_pop!$B$2:$B$10000 = $A19) * (df_pop!$E$2:$E$10000 = G$11) * (df_pop!$A$2:$A$10000 = $B$2), 0), 0)</f>
        <v>#N/A</v>
      </c>
      <c r="H19" s="299">
        <v>8</v>
      </c>
      <c r="I19" s="496" t="s">
        <v>122</v>
      </c>
      <c r="J19" s="558" t="e">
        <f t="shared" si="0"/>
        <v>#N/A</v>
      </c>
      <c r="K19" s="239" t="e">
        <f t="shared" si="1"/>
        <v>#N/A</v>
      </c>
      <c r="L19" s="552" t="e">
        <f>IFERROR(INDEX(df_proj!$F$2:$AE$1000, MATCH(1, ($A$2 = df_proj!$B$2:$B$1000) * (df_proj!$E$2:$E$1000 = $H19) * (df_proj!$D$2:$D$1000 = $D$2), 0), MATCH(TEXT(E$11, "####"), df_proj!$F$1:$AE$1,0)),popn_fut!C88)</f>
        <v>#N/A</v>
      </c>
      <c r="M19" s="558">
        <f>INDEX(df_est_cd!$D$2:$AB$100, MATCH(TEXT($Q19 * 5 + 4, "####"), df_est_cd!$C$2:$C$100, 0), MATCH(TEXT(M$11, "####"), df_est_cd!$D$1:$AB$1, 0)) + INDEX(df_est_cd!$D$2:$AB$100, MATCH(TEXT($Q19 * 5 + 3, "####"), df_est_cd!$C$2:$C$100, 0), MATCH(TEXT(M$11, "####"), df_est_cd!$D$1:$AB$1, 0)) + INDEX(df_est_cd!$D$2:$AB$100, MATCH(TEXT($Q19 * 5 + 2, "####"), df_est_cd!$C$2:$C$100, 0), MATCH(TEXT(M$11, "####"), df_est_cd!$D$1:$AB$1, 0)) + INDEX(df_est_cd!$D$2:$AB$100, MATCH(TEXT($Q19 * 5 + 1, "####"), df_est_cd!$C$2:$C$100, 0), MATCH(TEXT(M$11, "####"), df_est_cd!$D$1:$AB$1, 0)) + INDEX(df_est_cd!$D$2:$AB$100, MATCH(TEXT($Q19 * 5, "####"), df_est_cd!$C$2:$C$100, 0), MATCH(TEXT(M$11, "####"), df_est_cd!$D$1:$AB$1, 0))</f>
        <v>2704004</v>
      </c>
      <c r="N19" s="552">
        <f>INDEX(df_est_cd!$D$2:$AB$100, MATCH(TEXT($Q19 * 5 + 4, "####"), df_est_cd!$C$2:$C$100, 0), MATCH(TEXT(N$11, "####"), df_est_cd!$D$1:$AB$1, 0)) + INDEX(df_est_cd!$D$2:$AB$100, MATCH(TEXT($Q19 * 5 + 3, "####"), df_est_cd!$C$2:$C$100, 0), MATCH(TEXT(N$11, "####"), df_est_cd!$D$1:$AB$1, 0)) + INDEX(df_est_cd!$D$2:$AB$100, MATCH(TEXT($Q19 * 5 + 2, "####"), df_est_cd!$C$2:$C$100, 0), MATCH(TEXT(N$11, "####"), df_est_cd!$D$1:$AB$1, 0)) + INDEX(df_est_cd!$D$2:$AB$100, MATCH(TEXT($Q19 * 5 + 1, "####"), df_est_cd!$C$2:$C$100, 0), MATCH(TEXT(N$11, "####"), df_est_cd!$D$1:$AB$1, 0)) + INDEX(df_est_cd!$D$2:$AB$100, MATCH(TEXT($Q19 * 5, "####"), df_est_cd!$C$2:$C$100, 0), MATCH(TEXT(N$11, "####"), df_est_cd!$D$1:$AB$1, 0))</f>
        <v>3175724</v>
      </c>
      <c r="O19" s="558" t="e">
        <f>INDEX(df_est_pr!$D$2:$AB$100, MATCH(TEXT($Q19 * 5 + 4, "####"), df_est_pr!$C$2:$C$100, 0), MATCH(TEXT(O$11, "####"), df_est_pr!$D$1:$AB$1, 0)) + INDEX(df_est_pr!$D$2:$AB$100, MATCH(TEXT($Q19 * 5 + 3, "####"), df_est_pr!$C$2:$C$100, 0), MATCH(TEXT(O$11, "####"), df_est_pr!$D$1:$AB$1, 0)) + INDEX(df_est_pr!$D$2:$AB$100, MATCH(TEXT($Q19 * 5 + 2, "####"), df_est_pr!$C$2:$C$100, 0), MATCH(TEXT(O$11, "####"), df_est_pr!$D$1:$AB$1, 0)) + INDEX(df_est_pr!$D$2:$AB$100, MATCH(TEXT($Q19 * 5 + 1, "####"), df_est_pr!$C$2:$C$100, 0), MATCH(TEXT(O$11, "####"), df_est_pr!$D$1:$AB$1, 0)) + INDEX(df_est_pr!$D$2:$AB$100, MATCH(TEXT($Q19 * 5, "####"), df_est_pr!$C$2:$C$100, 0), MATCH(TEXT(O$11, "####"), df_est_pr!$D$1:$AB$1, 0))</f>
        <v>#N/A</v>
      </c>
      <c r="P19" s="552" t="e">
        <f>INDEX(df_est_pr!$D$2:$AB$100, MATCH(TEXT($Q19 * 5 + 4, "####"), df_est_pr!$C$2:$C$100, 0), MATCH(TEXT(P$11, "####"), df_est_pr!$D$1:$AB$1, 0)) + INDEX(df_est_pr!$D$2:$AB$100, MATCH(TEXT($Q19 * 5 + 3, "####"), df_est_pr!$C$2:$C$100, 0), MATCH(TEXT(P$11, "####"), df_est_pr!$D$1:$AB$1, 0)) + INDEX(df_est_pr!$D$2:$AB$100, MATCH(TEXT($Q19 * 5 + 2, "####"), df_est_pr!$C$2:$C$100, 0), MATCH(TEXT(P$11, "####"), df_est_pr!$D$1:$AB$1, 0)) + INDEX(df_est_pr!$D$2:$AB$100, MATCH(TEXT($Q19 * 5 + 1, "####"), df_est_pr!$C$2:$C$100, 0), MATCH(TEXT(P$11, "####"), df_est_pr!$D$1:$AB$1, 0)) + INDEX(df_est_pr!$D$2:$AB$100, MATCH(TEXT($Q19 * 5, "####"), df_est_pr!$C$2:$C$100, 0), MATCH(TEXT(P$11, "####"), df_est_pr!$D$1:$AB$1, 0))</f>
        <v>#N/A</v>
      </c>
      <c r="Q19" s="477">
        <v>6</v>
      </c>
    </row>
    <row r="20" spans="1:26" ht="20.100000000000001" customHeight="1" x14ac:dyDescent="0.2">
      <c r="A20" s="299">
        <v>18</v>
      </c>
      <c r="B20" s="496" t="s">
        <v>123</v>
      </c>
      <c r="C20" s="558" t="e">
        <f t="array" ref="C20">INDEX(df_pop!$C$2:$C$100, MATCH(1, (df_pop!$B$2:$B$100 = $A20) * (df_pop!$E$2:$E$100 = C$11) * (df_pop!$A$2:$A$100 = $A$2), 0), 0)</f>
        <v>#N/A</v>
      </c>
      <c r="D20" s="239" t="e">
        <f t="array" ref="D20">INDEX(df_pop!$C$2:$C$1000, MATCH(1, (df_pop!$B$2:$B$1000 = $A20) * (df_pop!$E$2:$E$1000 = D$11) * (df_pop!$A$2:$A$1000 = $A$2), 0), 0)</f>
        <v>#N/A</v>
      </c>
      <c r="E20" s="552" t="e">
        <f t="array" ref="E20">INDEX(df_proj!$E$2:$AD$1000, MATCH(1, ($A$2 = df_proj!$A$2:$A$1000) * (df_proj!$B$2:$B$1000 = $B20) * (df_proj!$C$2:$C$1000 = $D$2), 0), MATCH(TEXT(E$11, "####"), df_proj!$E$1:$AD$1,0))</f>
        <v>#N/A</v>
      </c>
      <c r="F20" s="558" t="e">
        <f t="array" ref="F20">INDEX(df_pop!$C$2:$C$10000, MATCH(1, (df_pop!$B$2:$B$10000 = $A20) * (df_pop!$E$2:$E$10000 = F$11) * (df_pop!$A$2:$A$10000 = $B$2), 0), 0)</f>
        <v>#N/A</v>
      </c>
      <c r="G20" s="552" t="e">
        <f t="array" ref="G20">INDEX(df_pop!$C$2:$C$10000, MATCH(1, (df_pop!$B$2:$B$10000 = $A20) * (df_pop!$E$2:$E$10000 = G$11) * (df_pop!$A$2:$A$10000 = $B$2), 0), 0)</f>
        <v>#N/A</v>
      </c>
      <c r="H20" s="299">
        <v>9</v>
      </c>
      <c r="I20" s="496" t="s">
        <v>123</v>
      </c>
      <c r="J20" s="558" t="e">
        <f t="shared" si="0"/>
        <v>#N/A</v>
      </c>
      <c r="K20" s="239" t="e">
        <f t="shared" si="1"/>
        <v>#N/A</v>
      </c>
      <c r="L20" s="552" t="e">
        <f>IFERROR(INDEX(df_proj!$F$2:$AE$1000, MATCH(1, ($A$2 = df_proj!$B$2:$B$1000) * (df_proj!$E$2:$E$1000 = $H20) * (df_proj!$D$2:$D$1000 = $D$2), 0), MATCH(TEXT(E$11, "####"), df_proj!$F$1:$AE$1,0)),popn_fut!C89)</f>
        <v>#N/A</v>
      </c>
      <c r="M20" s="558">
        <f>INDEX(df_est_cd!$D$2:$AB$100, MATCH(TEXT($Q20 * 5 + 4, "####"), df_est_cd!$C$2:$C$100, 0), MATCH(TEXT(M$11, "####"), df_est_cd!$D$1:$AB$1, 0)) + INDEX(df_est_cd!$D$2:$AB$100, MATCH(TEXT($Q20 * 5 + 3, "####"), df_est_cd!$C$2:$C$100, 0), MATCH(TEXT(M$11, "####"), df_est_cd!$D$1:$AB$1, 0)) + INDEX(df_est_cd!$D$2:$AB$100, MATCH(TEXT($Q20 * 5 + 2, "####"), df_est_cd!$C$2:$C$100, 0), MATCH(TEXT(M$11, "####"), df_est_cd!$D$1:$AB$1, 0)) + INDEX(df_est_cd!$D$2:$AB$100, MATCH(TEXT($Q20 * 5 + 1, "####"), df_est_cd!$C$2:$C$100, 0), MATCH(TEXT(M$11, "####"), df_est_cd!$D$1:$AB$1, 0)) + INDEX(df_est_cd!$D$2:$AB$100, MATCH(TEXT($Q20 * 5, "####"), df_est_cd!$C$2:$C$100, 0), MATCH(TEXT(M$11, "####"), df_est_cd!$D$1:$AB$1, 0))</f>
        <v>2643161</v>
      </c>
      <c r="N20" s="552">
        <f>INDEX(df_est_cd!$D$2:$AB$100, MATCH(TEXT($Q20 * 5 + 4, "####"), df_est_cd!$C$2:$C$100, 0), MATCH(TEXT(N$11, "####"), df_est_cd!$D$1:$AB$1, 0)) + INDEX(df_est_cd!$D$2:$AB$100, MATCH(TEXT($Q20 * 5 + 3, "####"), df_est_cd!$C$2:$C$100, 0), MATCH(TEXT(N$11, "####"), df_est_cd!$D$1:$AB$1, 0)) + INDEX(df_est_cd!$D$2:$AB$100, MATCH(TEXT($Q20 * 5 + 2, "####"), df_est_cd!$C$2:$C$100, 0), MATCH(TEXT(N$11, "####"), df_est_cd!$D$1:$AB$1, 0)) + INDEX(df_est_cd!$D$2:$AB$100, MATCH(TEXT($Q20 * 5 + 1, "####"), df_est_cd!$C$2:$C$100, 0), MATCH(TEXT(N$11, "####"), df_est_cd!$D$1:$AB$1, 0)) + INDEX(df_est_cd!$D$2:$AB$100, MATCH(TEXT($Q20 * 5, "####"), df_est_cd!$C$2:$C$100, 0), MATCH(TEXT(N$11, "####"), df_est_cd!$D$1:$AB$1, 0))</f>
        <v>3032523</v>
      </c>
      <c r="O20" s="558" t="e">
        <f>INDEX(df_est_pr!$D$2:$AB$100, MATCH(TEXT($Q20 * 5 + 4, "####"), df_est_pr!$C$2:$C$100, 0), MATCH(TEXT(O$11, "####"), df_est_pr!$D$1:$AB$1, 0)) + INDEX(df_est_pr!$D$2:$AB$100, MATCH(TEXT($Q20 * 5 + 3, "####"), df_est_pr!$C$2:$C$100, 0), MATCH(TEXT(O$11, "####"), df_est_pr!$D$1:$AB$1, 0)) + INDEX(df_est_pr!$D$2:$AB$100, MATCH(TEXT($Q20 * 5 + 2, "####"), df_est_pr!$C$2:$C$100, 0), MATCH(TEXT(O$11, "####"), df_est_pr!$D$1:$AB$1, 0)) + INDEX(df_est_pr!$D$2:$AB$100, MATCH(TEXT($Q20 * 5 + 1, "####"), df_est_pr!$C$2:$C$100, 0), MATCH(TEXT(O$11, "####"), df_est_pr!$D$1:$AB$1, 0)) + INDEX(df_est_pr!$D$2:$AB$100, MATCH(TEXT($Q20 * 5, "####"), df_est_pr!$C$2:$C$100, 0), MATCH(TEXT(O$11, "####"), df_est_pr!$D$1:$AB$1, 0))</f>
        <v>#N/A</v>
      </c>
      <c r="P20" s="552" t="e">
        <f>INDEX(df_est_pr!$D$2:$AB$100, MATCH(TEXT($Q20 * 5 + 4, "####"), df_est_pr!$C$2:$C$100, 0), MATCH(TEXT(P$11, "####"), df_est_pr!$D$1:$AB$1, 0)) + INDEX(df_est_pr!$D$2:$AB$100, MATCH(TEXT($Q20 * 5 + 3, "####"), df_est_pr!$C$2:$C$100, 0), MATCH(TEXT(P$11, "####"), df_est_pr!$D$1:$AB$1, 0)) + INDEX(df_est_pr!$D$2:$AB$100, MATCH(TEXT($Q20 * 5 + 2, "####"), df_est_pr!$C$2:$C$100, 0), MATCH(TEXT(P$11, "####"), df_est_pr!$D$1:$AB$1, 0)) + INDEX(df_est_pr!$D$2:$AB$100, MATCH(TEXT($Q20 * 5 + 1, "####"), df_est_pr!$C$2:$C$100, 0), MATCH(TEXT(P$11, "####"), df_est_pr!$D$1:$AB$1, 0)) + INDEX(df_est_pr!$D$2:$AB$100, MATCH(TEXT($Q20 * 5, "####"), df_est_pr!$C$2:$C$100, 0), MATCH(TEXT(P$11, "####"), df_est_pr!$D$1:$AB$1, 0))</f>
        <v>#N/A</v>
      </c>
      <c r="Q20" s="477">
        <v>7</v>
      </c>
    </row>
    <row r="21" spans="1:26" ht="20.100000000000001" customHeight="1" x14ac:dyDescent="0.2">
      <c r="A21" s="299">
        <v>19</v>
      </c>
      <c r="B21" s="496" t="s">
        <v>124</v>
      </c>
      <c r="C21" s="558" t="e">
        <f t="array" ref="C21">INDEX(df_pop!$C$2:$C$100, MATCH(1, (df_pop!$B$2:$B$100 = $A21) * (df_pop!$E$2:$E$100 = C$11) * (df_pop!$A$2:$A$100 = $A$2), 0), 0)</f>
        <v>#N/A</v>
      </c>
      <c r="D21" s="239" t="e">
        <f t="array" ref="D21">INDEX(df_pop!$C$2:$C$1000, MATCH(1, (df_pop!$B$2:$B$1000 = $A21) * (df_pop!$E$2:$E$1000 = D$11) * (df_pop!$A$2:$A$1000 = $A$2), 0), 0)</f>
        <v>#N/A</v>
      </c>
      <c r="E21" s="552" t="e">
        <f t="array" ref="E21">INDEX(df_proj!$E$2:$AD$1000, MATCH(1, ($A$2 = df_proj!$A$2:$A$1000) * (df_proj!$B$2:$B$1000 = $B21) * (df_proj!$C$2:$C$1000 = $D$2), 0), MATCH(TEXT(E$11, "####"), df_proj!$E$1:$AD$1,0))</f>
        <v>#N/A</v>
      </c>
      <c r="F21" s="558" t="e">
        <f t="array" ref="F21">INDEX(df_pop!$C$2:$C$10000, MATCH(1, (df_pop!$B$2:$B$10000 = $A21) * (df_pop!$E$2:$E$10000 = F$11) * (df_pop!$A$2:$A$10000 = $B$2), 0), 0)</f>
        <v>#N/A</v>
      </c>
      <c r="G21" s="552" t="e">
        <f t="array" ref="G21">INDEX(df_pop!$C$2:$C$10000, MATCH(1, (df_pop!$B$2:$B$10000 = $A21) * (df_pop!$E$2:$E$10000 = G$11) * (df_pop!$A$2:$A$10000 = $B$2), 0), 0)</f>
        <v>#N/A</v>
      </c>
      <c r="H21" s="299">
        <v>10</v>
      </c>
      <c r="I21" s="496" t="s">
        <v>124</v>
      </c>
      <c r="J21" s="558" t="e">
        <f t="shared" si="0"/>
        <v>#N/A</v>
      </c>
      <c r="K21" s="239" t="e">
        <f t="shared" si="1"/>
        <v>#N/A</v>
      </c>
      <c r="L21" s="552" t="e">
        <f>IFERROR(INDEX(df_proj!$F$2:$AE$1000, MATCH(1, ($A$2 = df_proj!$B$2:$B$1000) * (df_proj!$E$2:$E$1000 = $H21) * (df_proj!$D$2:$D$1000 = $D$2), 0), MATCH(TEXT(E$11, "####"), df_proj!$F$1:$AE$1,0)),popn_fut!C90)</f>
        <v>#N/A</v>
      </c>
      <c r="M21" s="558">
        <f>INDEX(df_est_cd!$D$2:$AB$100, MATCH(TEXT($Q21 * 5 + 4, "####"), df_est_cd!$C$2:$C$100, 0), MATCH(TEXT(M$11, "####"), df_est_cd!$D$1:$AB$1, 0)) + INDEX(df_est_cd!$D$2:$AB$100, MATCH(TEXT($Q21 * 5 + 3, "####"), df_est_cd!$C$2:$C$100, 0), MATCH(TEXT(M$11, "####"), df_est_cd!$D$1:$AB$1, 0)) + INDEX(df_est_cd!$D$2:$AB$100, MATCH(TEXT($Q21 * 5 + 2, "####"), df_est_cd!$C$2:$C$100, 0), MATCH(TEXT(M$11, "####"), df_est_cd!$D$1:$AB$1, 0)) + INDEX(df_est_cd!$D$2:$AB$100, MATCH(TEXT($Q21 * 5 + 1, "####"), df_est_cd!$C$2:$C$100, 0), MATCH(TEXT(M$11, "####"), df_est_cd!$D$1:$AB$1, 0)) + INDEX(df_est_cd!$D$2:$AB$100, MATCH(TEXT($Q21 * 5, "####"), df_est_cd!$C$2:$C$100, 0), MATCH(TEXT(M$11, "####"), df_est_cd!$D$1:$AB$1, 0))</f>
        <v>2505252</v>
      </c>
      <c r="N21" s="552">
        <f>INDEX(df_est_cd!$D$2:$AB$100, MATCH(TEXT($Q21 * 5 + 4, "####"), df_est_cd!$C$2:$C$100, 0), MATCH(TEXT(N$11, "####"), df_est_cd!$D$1:$AB$1, 0)) + INDEX(df_est_cd!$D$2:$AB$100, MATCH(TEXT($Q21 * 5 + 3, "####"), df_est_cd!$C$2:$C$100, 0), MATCH(TEXT(N$11, "####"), df_est_cd!$D$1:$AB$1, 0)) + INDEX(df_est_cd!$D$2:$AB$100, MATCH(TEXT($Q21 * 5 + 2, "####"), df_est_cd!$C$2:$C$100, 0), MATCH(TEXT(N$11, "####"), df_est_cd!$D$1:$AB$1, 0)) + INDEX(df_est_cd!$D$2:$AB$100, MATCH(TEXT($Q21 * 5 + 1, "####"), df_est_cd!$C$2:$C$100, 0), MATCH(TEXT(N$11, "####"), df_est_cd!$D$1:$AB$1, 0)) + INDEX(df_est_cd!$D$2:$AB$100, MATCH(TEXT($Q21 * 5, "####"), df_est_cd!$C$2:$C$100, 0), MATCH(TEXT(N$11, "####"), df_est_cd!$D$1:$AB$1, 0))</f>
        <v>2859631</v>
      </c>
      <c r="O21" s="558" t="e">
        <f>INDEX(df_est_pr!$D$2:$AB$100, MATCH(TEXT($Q21 * 5 + 4, "####"), df_est_pr!$C$2:$C$100, 0), MATCH(TEXT(O$11, "####"), df_est_pr!$D$1:$AB$1, 0)) + INDEX(df_est_pr!$D$2:$AB$100, MATCH(TEXT($Q21 * 5 + 3, "####"), df_est_pr!$C$2:$C$100, 0), MATCH(TEXT(O$11, "####"), df_est_pr!$D$1:$AB$1, 0)) + INDEX(df_est_pr!$D$2:$AB$100, MATCH(TEXT($Q21 * 5 + 2, "####"), df_est_pr!$C$2:$C$100, 0), MATCH(TEXT(O$11, "####"), df_est_pr!$D$1:$AB$1, 0)) + INDEX(df_est_pr!$D$2:$AB$100, MATCH(TEXT($Q21 * 5 + 1, "####"), df_est_pr!$C$2:$C$100, 0), MATCH(TEXT(O$11, "####"), df_est_pr!$D$1:$AB$1, 0)) + INDEX(df_est_pr!$D$2:$AB$100, MATCH(TEXT($Q21 * 5, "####"), df_est_pr!$C$2:$C$100, 0), MATCH(TEXT(O$11, "####"), df_est_pr!$D$1:$AB$1, 0))</f>
        <v>#N/A</v>
      </c>
      <c r="P21" s="552" t="e">
        <f>INDEX(df_est_pr!$D$2:$AB$100, MATCH(TEXT($Q21 * 5 + 4, "####"), df_est_pr!$C$2:$C$100, 0), MATCH(TEXT(P$11, "####"), df_est_pr!$D$1:$AB$1, 0)) + INDEX(df_est_pr!$D$2:$AB$100, MATCH(TEXT($Q21 * 5 + 3, "####"), df_est_pr!$C$2:$C$100, 0), MATCH(TEXT(P$11, "####"), df_est_pr!$D$1:$AB$1, 0)) + INDEX(df_est_pr!$D$2:$AB$100, MATCH(TEXT($Q21 * 5 + 2, "####"), df_est_pr!$C$2:$C$100, 0), MATCH(TEXT(P$11, "####"), df_est_pr!$D$1:$AB$1, 0)) + INDEX(df_est_pr!$D$2:$AB$100, MATCH(TEXT($Q21 * 5 + 1, "####"), df_est_pr!$C$2:$C$100, 0), MATCH(TEXT(P$11, "####"), df_est_pr!$D$1:$AB$1, 0)) + INDEX(df_est_pr!$D$2:$AB$100, MATCH(TEXT($Q21 * 5, "####"), df_est_pr!$C$2:$C$100, 0), MATCH(TEXT(P$11, "####"), df_est_pr!$D$1:$AB$1, 0))</f>
        <v>#N/A</v>
      </c>
      <c r="Q21" s="477">
        <v>8</v>
      </c>
    </row>
    <row r="22" spans="1:26" ht="20.100000000000001" customHeight="1" x14ac:dyDescent="0.2">
      <c r="A22" s="299">
        <v>20</v>
      </c>
      <c r="B22" s="496" t="s">
        <v>125</v>
      </c>
      <c r="C22" s="558" t="e">
        <f t="array" ref="C22">INDEX(df_pop!$C$2:$C$100, MATCH(1, (df_pop!$B$2:$B$100 = $A22) * (df_pop!$E$2:$E$100 = C$11) * (df_pop!$A$2:$A$100 = $A$2), 0), 0)</f>
        <v>#N/A</v>
      </c>
      <c r="D22" s="239" t="e">
        <f t="array" ref="D22">INDEX(df_pop!$C$2:$C$1000, MATCH(1, (df_pop!$B$2:$B$1000 = $A22) * (df_pop!$E$2:$E$1000 = D$11) * (df_pop!$A$2:$A$1000 = $A$2), 0), 0)</f>
        <v>#N/A</v>
      </c>
      <c r="E22" s="552" t="e">
        <f t="array" ref="E22">INDEX(df_proj!$E$2:$AD$1000, MATCH(1, ($A$2 = df_proj!$A$2:$A$1000) * (df_proj!$B$2:$B$1000 = $B22) * (df_proj!$C$2:$C$1000 = $D$2), 0), MATCH(TEXT(E$11, "####"), df_proj!$E$1:$AD$1,0))</f>
        <v>#N/A</v>
      </c>
      <c r="F22" s="558" t="e">
        <f t="array" ref="F22">INDEX(df_pop!$C$2:$C$10000, MATCH(1, (df_pop!$B$2:$B$10000 = $A22) * (df_pop!$E$2:$E$10000 = F$11) * (df_pop!$A$2:$A$10000 = $B$2), 0), 0)</f>
        <v>#N/A</v>
      </c>
      <c r="G22" s="552" t="e">
        <f t="array" ref="G22">INDEX(df_pop!$C$2:$C$10000, MATCH(1, (df_pop!$B$2:$B$10000 = $A22) * (df_pop!$E$2:$E$10000 = G$11) * (df_pop!$A$2:$A$10000 = $B$2), 0), 0)</f>
        <v>#N/A</v>
      </c>
      <c r="H22" s="299">
        <v>11</v>
      </c>
      <c r="I22" s="496" t="s">
        <v>125</v>
      </c>
      <c r="J22" s="558" t="e">
        <f t="shared" si="0"/>
        <v>#N/A</v>
      </c>
      <c r="K22" s="239" t="e">
        <f t="shared" si="1"/>
        <v>#N/A</v>
      </c>
      <c r="L22" s="552" t="e">
        <f>IFERROR(INDEX(df_proj!$F$2:$AE$1000, MATCH(1, ($A$2 = df_proj!$B$2:$B$1000) * (df_proj!$E$2:$E$1000 = $H22) * (df_proj!$D$2:$D$1000 = $D$2), 0), MATCH(TEXT(E$11, "####"), df_proj!$F$1:$AE$1,0)),popn_fut!C91)</f>
        <v>#N/A</v>
      </c>
      <c r="M22" s="558">
        <f>INDEX(df_est_cd!$D$2:$AB$100, MATCH(TEXT($Q22 * 5 + 4, "####"), df_est_cd!$C$2:$C$100, 0), MATCH(TEXT(M$11, "####"), df_est_cd!$D$1:$AB$1, 0)) + INDEX(df_est_cd!$D$2:$AB$100, MATCH(TEXT($Q22 * 5 + 3, "####"), df_est_cd!$C$2:$C$100, 0), MATCH(TEXT(M$11, "####"), df_est_cd!$D$1:$AB$1, 0)) + INDEX(df_est_cd!$D$2:$AB$100, MATCH(TEXT($Q22 * 5 + 2, "####"), df_est_cd!$C$2:$C$100, 0), MATCH(TEXT(M$11, "####"), df_est_cd!$D$1:$AB$1, 0)) + INDEX(df_est_cd!$D$2:$AB$100, MATCH(TEXT($Q22 * 5 + 1, "####"), df_est_cd!$C$2:$C$100, 0), MATCH(TEXT(M$11, "####"), df_est_cd!$D$1:$AB$1, 0)) + INDEX(df_est_cd!$D$2:$AB$100, MATCH(TEXT($Q22 * 5, "####"), df_est_cd!$C$2:$C$100, 0), MATCH(TEXT(M$11, "####"), df_est_cd!$D$1:$AB$1, 0))</f>
        <v>2381758</v>
      </c>
      <c r="N22" s="552">
        <f>INDEX(df_est_cd!$D$2:$AB$100, MATCH(TEXT($Q22 * 5 + 4, "####"), df_est_cd!$C$2:$C$100, 0), MATCH(TEXT(N$11, "####"), df_est_cd!$D$1:$AB$1, 0)) + INDEX(df_est_cd!$D$2:$AB$100, MATCH(TEXT($Q22 * 5 + 3, "####"), df_est_cd!$C$2:$C$100, 0), MATCH(TEXT(N$11, "####"), df_est_cd!$D$1:$AB$1, 0)) + INDEX(df_est_cd!$D$2:$AB$100, MATCH(TEXT($Q22 * 5 + 2, "####"), df_est_cd!$C$2:$C$100, 0), MATCH(TEXT(N$11, "####"), df_est_cd!$D$1:$AB$1, 0)) + INDEX(df_est_cd!$D$2:$AB$100, MATCH(TEXT($Q22 * 5 + 1, "####"), df_est_cd!$C$2:$C$100, 0), MATCH(TEXT(N$11, "####"), df_est_cd!$D$1:$AB$1, 0)) + INDEX(df_est_cd!$D$2:$AB$100, MATCH(TEXT($Q22 * 5, "####"), df_est_cd!$C$2:$C$100, 0), MATCH(TEXT(N$11, "####"), df_est_cd!$D$1:$AB$1, 0))</f>
        <v>2593361</v>
      </c>
      <c r="O22" s="558" t="e">
        <f>INDEX(df_est_pr!$D$2:$AB$100, MATCH(TEXT($Q22 * 5 + 4, "####"), df_est_pr!$C$2:$C$100, 0), MATCH(TEXT(O$11, "####"), df_est_pr!$D$1:$AB$1, 0)) + INDEX(df_est_pr!$D$2:$AB$100, MATCH(TEXT($Q22 * 5 + 3, "####"), df_est_pr!$C$2:$C$100, 0), MATCH(TEXT(O$11, "####"), df_est_pr!$D$1:$AB$1, 0)) + INDEX(df_est_pr!$D$2:$AB$100, MATCH(TEXT($Q22 * 5 + 2, "####"), df_est_pr!$C$2:$C$100, 0), MATCH(TEXT(O$11, "####"), df_est_pr!$D$1:$AB$1, 0)) + INDEX(df_est_pr!$D$2:$AB$100, MATCH(TEXT($Q22 * 5 + 1, "####"), df_est_pr!$C$2:$C$100, 0), MATCH(TEXT(O$11, "####"), df_est_pr!$D$1:$AB$1, 0)) + INDEX(df_est_pr!$D$2:$AB$100, MATCH(TEXT($Q22 * 5, "####"), df_est_pr!$C$2:$C$100, 0), MATCH(TEXT(O$11, "####"), df_est_pr!$D$1:$AB$1, 0))</f>
        <v>#N/A</v>
      </c>
      <c r="P22" s="552" t="e">
        <f>INDEX(df_est_pr!$D$2:$AB$100, MATCH(TEXT($Q22 * 5 + 4, "####"), df_est_pr!$C$2:$C$100, 0), MATCH(TEXT(P$11, "####"), df_est_pr!$D$1:$AB$1, 0)) + INDEX(df_est_pr!$D$2:$AB$100, MATCH(TEXT($Q22 * 5 + 3, "####"), df_est_pr!$C$2:$C$100, 0), MATCH(TEXT(P$11, "####"), df_est_pr!$D$1:$AB$1, 0)) + INDEX(df_est_pr!$D$2:$AB$100, MATCH(TEXT($Q22 * 5 + 2, "####"), df_est_pr!$C$2:$C$100, 0), MATCH(TEXT(P$11, "####"), df_est_pr!$D$1:$AB$1, 0)) + INDEX(df_est_pr!$D$2:$AB$100, MATCH(TEXT($Q22 * 5 + 1, "####"), df_est_pr!$C$2:$C$100, 0), MATCH(TEXT(P$11, "####"), df_est_pr!$D$1:$AB$1, 0)) + INDEX(df_est_pr!$D$2:$AB$100, MATCH(TEXT($Q22 * 5, "####"), df_est_pr!$C$2:$C$100, 0), MATCH(TEXT(P$11, "####"), df_est_pr!$D$1:$AB$1, 0))</f>
        <v>#N/A</v>
      </c>
      <c r="Q22" s="477">
        <v>9</v>
      </c>
    </row>
    <row r="23" spans="1:26" ht="20.100000000000001" customHeight="1" x14ac:dyDescent="0.2">
      <c r="A23" s="299">
        <v>21</v>
      </c>
      <c r="B23" s="496" t="s">
        <v>126</v>
      </c>
      <c r="C23" s="558" t="e">
        <f t="array" ref="C23">INDEX(df_pop!$C$2:$C$100, MATCH(1, (df_pop!$B$2:$B$100 = $A23) * (df_pop!$E$2:$E$100 = C$11) * (df_pop!$A$2:$A$100 = $A$2), 0), 0)</f>
        <v>#N/A</v>
      </c>
      <c r="D23" s="239" t="e">
        <f t="array" ref="D23">INDEX(df_pop!$C$2:$C$1000, MATCH(1, (df_pop!$B$2:$B$1000 = $A23) * (df_pop!$E$2:$E$1000 = D$11) * (df_pop!$A$2:$A$1000 = $A$2), 0), 0)</f>
        <v>#N/A</v>
      </c>
      <c r="E23" s="552" t="e">
        <f t="array" ref="E23">INDEX(df_proj!$E$2:$AD$1000, MATCH(1, ($A$2 = df_proj!$A$2:$A$1000) * (df_proj!$B$2:$B$1000 = $B23) * (df_proj!$C$2:$C$1000 = $D$2), 0), MATCH(TEXT(E$11, "####"), df_proj!$E$1:$AD$1,0))</f>
        <v>#N/A</v>
      </c>
      <c r="F23" s="558" t="e">
        <f t="array" ref="F23">INDEX(df_pop!$C$2:$C$10000, MATCH(1, (df_pop!$B$2:$B$10000 = $A23) * (df_pop!$E$2:$E$10000 = F$11) * (df_pop!$A$2:$A$10000 = $B$2), 0), 0)</f>
        <v>#N/A</v>
      </c>
      <c r="G23" s="552" t="e">
        <f t="array" ref="G23">INDEX(df_pop!$C$2:$C$10000, MATCH(1, (df_pop!$B$2:$B$10000 = $A23) * (df_pop!$E$2:$E$10000 = G$11) * (df_pop!$A$2:$A$10000 = $B$2), 0), 0)</f>
        <v>#N/A</v>
      </c>
      <c r="H23" s="299">
        <v>12</v>
      </c>
      <c r="I23" s="496" t="s">
        <v>126</v>
      </c>
      <c r="J23" s="558" t="e">
        <f t="shared" si="0"/>
        <v>#N/A</v>
      </c>
      <c r="K23" s="239" t="e">
        <f t="shared" si="1"/>
        <v>#N/A</v>
      </c>
      <c r="L23" s="552" t="e">
        <f>IFERROR(INDEX(df_proj!$F$2:$AE$1000, MATCH(1, ($A$2 = df_proj!$B$2:$B$1000) * (df_proj!$E$2:$E$1000 = $H23) * (df_proj!$D$2:$D$1000 = $D$2), 0), MATCH(TEXT(E$11, "####"), df_proj!$F$1:$AE$1,0)),popn_fut!C92)</f>
        <v>#N/A</v>
      </c>
      <c r="M23" s="558">
        <f>INDEX(df_est_cd!$D$2:$AB$100, MATCH(TEXT($Q23 * 5 + 4, "####"), df_est_cd!$C$2:$C$100, 0), MATCH(TEXT(M$11, "####"), df_est_cd!$D$1:$AB$1, 0)) + INDEX(df_est_cd!$D$2:$AB$100, MATCH(TEXT($Q23 * 5 + 3, "####"), df_est_cd!$C$2:$C$100, 0), MATCH(TEXT(M$11, "####"), df_est_cd!$D$1:$AB$1, 0)) + INDEX(df_est_cd!$D$2:$AB$100, MATCH(TEXT($Q23 * 5 + 2, "####"), df_est_cd!$C$2:$C$100, 0), MATCH(TEXT(M$11, "####"), df_est_cd!$D$1:$AB$1, 0)) + INDEX(df_est_cd!$D$2:$AB$100, MATCH(TEXT($Q23 * 5 + 1, "####"), df_est_cd!$C$2:$C$100, 0), MATCH(TEXT(M$11, "####"), df_est_cd!$D$1:$AB$1, 0)) + INDEX(df_est_cd!$D$2:$AB$100, MATCH(TEXT($Q23 * 5, "####"), df_est_cd!$C$2:$C$100, 0), MATCH(TEXT(M$11, "####"), df_est_cd!$D$1:$AB$1, 0))</f>
        <v>2427770</v>
      </c>
      <c r="N23" s="552">
        <f>INDEX(df_est_cd!$D$2:$AB$100, MATCH(TEXT($Q23 * 5 + 4, "####"), df_est_cd!$C$2:$C$100, 0), MATCH(TEXT(N$11, "####"), df_est_cd!$D$1:$AB$1, 0)) + INDEX(df_est_cd!$D$2:$AB$100, MATCH(TEXT($Q23 * 5 + 3, "####"), df_est_cd!$C$2:$C$100, 0), MATCH(TEXT(N$11, "####"), df_est_cd!$D$1:$AB$1, 0)) + INDEX(df_est_cd!$D$2:$AB$100, MATCH(TEXT($Q23 * 5 + 2, "####"), df_est_cd!$C$2:$C$100, 0), MATCH(TEXT(N$11, "####"), df_est_cd!$D$1:$AB$1, 0)) + INDEX(df_est_cd!$D$2:$AB$100, MATCH(TEXT($Q23 * 5 + 1, "####"), df_est_cd!$C$2:$C$100, 0), MATCH(TEXT(N$11, "####"), df_est_cd!$D$1:$AB$1, 0)) + INDEX(df_est_cd!$D$2:$AB$100, MATCH(TEXT($Q23 * 5, "####"), df_est_cd!$C$2:$C$100, 0), MATCH(TEXT(N$11, "####"), df_est_cd!$D$1:$AB$1, 0))</f>
        <v>2447311</v>
      </c>
      <c r="O23" s="558" t="e">
        <f>INDEX(df_est_pr!$D$2:$AB$100, MATCH(TEXT($Q23 * 5 + 4, "####"), df_est_pr!$C$2:$C$100, 0), MATCH(TEXT(O$11, "####"), df_est_pr!$D$1:$AB$1, 0)) + INDEX(df_est_pr!$D$2:$AB$100, MATCH(TEXT($Q23 * 5 + 3, "####"), df_est_pr!$C$2:$C$100, 0), MATCH(TEXT(O$11, "####"), df_est_pr!$D$1:$AB$1, 0)) + INDEX(df_est_pr!$D$2:$AB$100, MATCH(TEXT($Q23 * 5 + 2, "####"), df_est_pr!$C$2:$C$100, 0), MATCH(TEXT(O$11, "####"), df_est_pr!$D$1:$AB$1, 0)) + INDEX(df_est_pr!$D$2:$AB$100, MATCH(TEXT($Q23 * 5 + 1, "####"), df_est_pr!$C$2:$C$100, 0), MATCH(TEXT(O$11, "####"), df_est_pr!$D$1:$AB$1, 0)) + INDEX(df_est_pr!$D$2:$AB$100, MATCH(TEXT($Q23 * 5, "####"), df_est_pr!$C$2:$C$100, 0), MATCH(TEXT(O$11, "####"), df_est_pr!$D$1:$AB$1, 0))</f>
        <v>#N/A</v>
      </c>
      <c r="P23" s="552" t="e">
        <f>INDEX(df_est_pr!$D$2:$AB$100, MATCH(TEXT($Q23 * 5 + 4, "####"), df_est_pr!$C$2:$C$100, 0), MATCH(TEXT(P$11, "####"), df_est_pr!$D$1:$AB$1, 0)) + INDEX(df_est_pr!$D$2:$AB$100, MATCH(TEXT($Q23 * 5 + 3, "####"), df_est_pr!$C$2:$C$100, 0), MATCH(TEXT(P$11, "####"), df_est_pr!$D$1:$AB$1, 0)) + INDEX(df_est_pr!$D$2:$AB$100, MATCH(TEXT($Q23 * 5 + 2, "####"), df_est_pr!$C$2:$C$100, 0), MATCH(TEXT(P$11, "####"), df_est_pr!$D$1:$AB$1, 0)) + INDEX(df_est_pr!$D$2:$AB$100, MATCH(TEXT($Q23 * 5 + 1, "####"), df_est_pr!$C$2:$C$100, 0), MATCH(TEXT(P$11, "####"), df_est_pr!$D$1:$AB$1, 0)) + INDEX(df_est_pr!$D$2:$AB$100, MATCH(TEXT($Q23 * 5, "####"), df_est_pr!$C$2:$C$100, 0), MATCH(TEXT(P$11, "####"), df_est_pr!$D$1:$AB$1, 0))</f>
        <v>#N/A</v>
      </c>
      <c r="Q23" s="477">
        <v>10</v>
      </c>
    </row>
    <row r="24" spans="1:26" ht="20.100000000000001" customHeight="1" x14ac:dyDescent="0.2">
      <c r="A24" s="299">
        <v>22</v>
      </c>
      <c r="B24" s="496" t="s">
        <v>127</v>
      </c>
      <c r="C24" s="558" t="e">
        <f t="array" ref="C24">INDEX(df_pop!$C$2:$C$100, MATCH(1, (df_pop!$B$2:$B$100 = $A24) * (df_pop!$E$2:$E$100 = C$11) * (df_pop!$A$2:$A$100 = $A$2), 0), 0)</f>
        <v>#N/A</v>
      </c>
      <c r="D24" s="239" t="e">
        <f t="array" ref="D24">INDEX(df_pop!$C$2:$C$1000, MATCH(1, (df_pop!$B$2:$B$1000 = $A24) * (df_pop!$E$2:$E$1000 = D$11) * (df_pop!$A$2:$A$1000 = $A$2), 0), 0)</f>
        <v>#N/A</v>
      </c>
      <c r="E24" s="552" t="e">
        <f t="array" ref="E24">INDEX(df_proj!$E$2:$AD$1000, MATCH(1, ($A$2 = df_proj!$A$2:$A$1000) * (df_proj!$B$2:$B$1000 = $B24) * (df_proj!$C$2:$C$1000 = $D$2), 0), MATCH(TEXT(E$11, "####"), df_proj!$E$1:$AD$1,0))</f>
        <v>#N/A</v>
      </c>
      <c r="F24" s="558" t="e">
        <f t="array" ref="F24">INDEX(df_pop!$C$2:$C$10000, MATCH(1, (df_pop!$B$2:$B$10000 = $A24) * (df_pop!$E$2:$E$10000 = F$11) * (df_pop!$A$2:$A$10000 = $B$2), 0), 0)</f>
        <v>#N/A</v>
      </c>
      <c r="G24" s="552" t="e">
        <f t="array" ref="G24">INDEX(df_pop!$C$2:$C$10000, MATCH(1, (df_pop!$B$2:$B$10000 = $A24) * (df_pop!$E$2:$E$10000 = G$11) * (df_pop!$A$2:$A$10000 = $B$2), 0), 0)</f>
        <v>#N/A</v>
      </c>
      <c r="H24" s="299">
        <v>13</v>
      </c>
      <c r="I24" s="496" t="s">
        <v>127</v>
      </c>
      <c r="J24" s="558" t="e">
        <f t="shared" si="0"/>
        <v>#N/A</v>
      </c>
      <c r="K24" s="239" t="e">
        <f t="shared" si="1"/>
        <v>#N/A</v>
      </c>
      <c r="L24" s="552" t="e">
        <f>IFERROR(INDEX(df_proj!$F$2:$AE$1000, MATCH(1, ($A$2 = df_proj!$B$2:$B$1000) * (df_proj!$E$2:$E$1000 = $H24) * (df_proj!$D$2:$D$1000 = $D$2), 0), MATCH(TEXT(E$11, "####"), df_proj!$F$1:$AE$1,0)),popn_fut!C93)</f>
        <v>#N/A</v>
      </c>
      <c r="M24" s="558">
        <f>INDEX(df_est_cd!$D$2:$AB$100, MATCH(TEXT($Q24 * 5 + 4, "####"), df_est_cd!$C$2:$C$100, 0), MATCH(TEXT(M$11, "####"), df_est_cd!$D$1:$AB$1, 0)) + INDEX(df_est_cd!$D$2:$AB$100, MATCH(TEXT($Q24 * 5 + 3, "####"), df_est_cd!$C$2:$C$100, 0), MATCH(TEXT(M$11, "####"), df_est_cd!$D$1:$AB$1, 0)) + INDEX(df_est_cd!$D$2:$AB$100, MATCH(TEXT($Q24 * 5 + 2, "####"), df_est_cd!$C$2:$C$100, 0), MATCH(TEXT(M$11, "####"), df_est_cd!$D$1:$AB$1, 0)) + INDEX(df_est_cd!$D$2:$AB$100, MATCH(TEXT($Q24 * 5 + 1, "####"), df_est_cd!$C$2:$C$100, 0), MATCH(TEXT(M$11, "####"), df_est_cd!$D$1:$AB$1, 0)) + INDEX(df_est_cd!$D$2:$AB$100, MATCH(TEXT($Q24 * 5, "####"), df_est_cd!$C$2:$C$100, 0), MATCH(TEXT(M$11, "####"), df_est_cd!$D$1:$AB$1, 0))</f>
        <v>2690509</v>
      </c>
      <c r="N24" s="552">
        <f>INDEX(df_est_cd!$D$2:$AB$100, MATCH(TEXT($Q24 * 5 + 4, "####"), df_est_cd!$C$2:$C$100, 0), MATCH(TEXT(N$11, "####"), df_est_cd!$D$1:$AB$1, 0)) + INDEX(df_est_cd!$D$2:$AB$100, MATCH(TEXT($Q24 * 5 + 3, "####"), df_est_cd!$C$2:$C$100, 0), MATCH(TEXT(N$11, "####"), df_est_cd!$D$1:$AB$1, 0)) + INDEX(df_est_cd!$D$2:$AB$100, MATCH(TEXT($Q24 * 5 + 2, "####"), df_est_cd!$C$2:$C$100, 0), MATCH(TEXT(N$11, "####"), df_est_cd!$D$1:$AB$1, 0)) + INDEX(df_est_cd!$D$2:$AB$100, MATCH(TEXT($Q24 * 5 + 1, "####"), df_est_cd!$C$2:$C$100, 0), MATCH(TEXT(N$11, "####"), df_est_cd!$D$1:$AB$1, 0)) + INDEX(df_est_cd!$D$2:$AB$100, MATCH(TEXT($Q24 * 5, "####"), df_est_cd!$C$2:$C$100, 0), MATCH(TEXT(N$11, "####"), df_est_cd!$D$1:$AB$1, 0))</f>
        <v>2446446</v>
      </c>
      <c r="O24" s="558" t="e">
        <f>INDEX(df_est_pr!$D$2:$AB$100, MATCH(TEXT($Q24 * 5 + 4, "####"), df_est_pr!$C$2:$C$100, 0), MATCH(TEXT(O$11, "####"), df_est_pr!$D$1:$AB$1, 0)) + INDEX(df_est_pr!$D$2:$AB$100, MATCH(TEXT($Q24 * 5 + 3, "####"), df_est_pr!$C$2:$C$100, 0), MATCH(TEXT(O$11, "####"), df_est_pr!$D$1:$AB$1, 0)) + INDEX(df_est_pr!$D$2:$AB$100, MATCH(TEXT($Q24 * 5 + 2, "####"), df_est_pr!$C$2:$C$100, 0), MATCH(TEXT(O$11, "####"), df_est_pr!$D$1:$AB$1, 0)) + INDEX(df_est_pr!$D$2:$AB$100, MATCH(TEXT($Q24 * 5 + 1, "####"), df_est_pr!$C$2:$C$100, 0), MATCH(TEXT(O$11, "####"), df_est_pr!$D$1:$AB$1, 0)) + INDEX(df_est_pr!$D$2:$AB$100, MATCH(TEXT($Q24 * 5, "####"), df_est_pr!$C$2:$C$100, 0), MATCH(TEXT(O$11, "####"), df_est_pr!$D$1:$AB$1, 0))</f>
        <v>#N/A</v>
      </c>
      <c r="P24" s="552" t="e">
        <f>INDEX(df_est_pr!$D$2:$AB$100, MATCH(TEXT($Q24 * 5 + 4, "####"), df_est_pr!$C$2:$C$100, 0), MATCH(TEXT(P$11, "####"), df_est_pr!$D$1:$AB$1, 0)) + INDEX(df_est_pr!$D$2:$AB$100, MATCH(TEXT($Q24 * 5 + 3, "####"), df_est_pr!$C$2:$C$100, 0), MATCH(TEXT(P$11, "####"), df_est_pr!$D$1:$AB$1, 0)) + INDEX(df_est_pr!$D$2:$AB$100, MATCH(TEXT($Q24 * 5 + 2, "####"), df_est_pr!$C$2:$C$100, 0), MATCH(TEXT(P$11, "####"), df_est_pr!$D$1:$AB$1, 0)) + INDEX(df_est_pr!$D$2:$AB$100, MATCH(TEXT($Q24 * 5 + 1, "####"), df_est_pr!$C$2:$C$100, 0), MATCH(TEXT(P$11, "####"), df_est_pr!$D$1:$AB$1, 0)) + INDEX(df_est_pr!$D$2:$AB$100, MATCH(TEXT($Q24 * 5, "####"), df_est_pr!$C$2:$C$100, 0), MATCH(TEXT(P$11, "####"), df_est_pr!$D$1:$AB$1, 0))</f>
        <v>#N/A</v>
      </c>
      <c r="Q24" s="477">
        <v>11</v>
      </c>
    </row>
    <row r="25" spans="1:26" ht="20.100000000000001" customHeight="1" x14ac:dyDescent="0.2">
      <c r="A25" s="299">
        <v>23</v>
      </c>
      <c r="B25" s="496" t="s">
        <v>128</v>
      </c>
      <c r="C25" s="558" t="e">
        <f t="array" ref="C25">INDEX(df_pop!$C$2:$C$100, MATCH(1, (df_pop!$B$2:$B$100 = $A25) * (df_pop!$E$2:$E$100 = C$11) * (df_pop!$A$2:$A$100 = $A$2), 0), 0)</f>
        <v>#N/A</v>
      </c>
      <c r="D25" s="239" t="e">
        <f t="array" ref="D25">INDEX(df_pop!$C$2:$C$1000, MATCH(1, (df_pop!$B$2:$B$1000 = $A25) * (df_pop!$E$2:$E$1000 = D$11) * (df_pop!$A$2:$A$1000 = $A$2), 0), 0)</f>
        <v>#N/A</v>
      </c>
      <c r="E25" s="552" t="e">
        <f t="array" ref="E25">INDEX(df_proj!$E$2:$AD$1000, MATCH(1, ($A$2 = df_proj!$A$2:$A$1000) * (df_proj!$B$2:$B$1000 = $B25) * (df_proj!$C$2:$C$1000 = $D$2), 0), MATCH(TEXT(E$11, "####"), df_proj!$E$1:$AD$1,0))</f>
        <v>#N/A</v>
      </c>
      <c r="F25" s="558" t="e">
        <f t="array" ref="F25">INDEX(df_pop!$C$2:$C$10000, MATCH(1, (df_pop!$B$2:$B$10000 = $A25) * (df_pop!$E$2:$E$10000 = F$11) * (df_pop!$A$2:$A$10000 = $B$2), 0), 0)</f>
        <v>#N/A</v>
      </c>
      <c r="G25" s="552" t="e">
        <f t="array" ref="G25">INDEX(df_pop!$C$2:$C$10000, MATCH(1, (df_pop!$B$2:$B$10000 = $A25) * (df_pop!$E$2:$E$10000 = G$11) * (df_pop!$A$2:$A$10000 = $B$2), 0), 0)</f>
        <v>#N/A</v>
      </c>
      <c r="H25" s="299">
        <v>14</v>
      </c>
      <c r="I25" s="496" t="s">
        <v>128</v>
      </c>
      <c r="J25" s="558" t="e">
        <f t="shared" si="0"/>
        <v>#N/A</v>
      </c>
      <c r="K25" s="239" t="e">
        <f t="shared" si="1"/>
        <v>#N/A</v>
      </c>
      <c r="L25" s="552" t="e">
        <f>IFERROR(INDEX(df_proj!$F$2:$AE$1000, MATCH(1, ($A$2 = df_proj!$B$2:$B$1000) * (df_proj!$E$2:$E$1000 = $H25) * (df_proj!$D$2:$D$1000 = $D$2), 0), MATCH(TEXT(E$11, "####"), df_proj!$F$1:$AE$1,0)),popn_fut!C94)</f>
        <v>#N/A</v>
      </c>
      <c r="M25" s="558">
        <f>INDEX(df_est_cd!$D$2:$AB$100, MATCH(TEXT($Q25 * 5 + 4, "####"), df_est_cd!$C$2:$C$100, 0), MATCH(TEXT(M$11, "####"), df_est_cd!$D$1:$AB$1, 0)) + INDEX(df_est_cd!$D$2:$AB$100, MATCH(TEXT($Q25 * 5 + 3, "####"), df_est_cd!$C$2:$C$100, 0), MATCH(TEXT(M$11, "####"), df_est_cd!$D$1:$AB$1, 0)) + INDEX(df_est_cd!$D$2:$AB$100, MATCH(TEXT($Q25 * 5 + 2, "####"), df_est_cd!$C$2:$C$100, 0), MATCH(TEXT(M$11, "####"), df_est_cd!$D$1:$AB$1, 0)) + INDEX(df_est_cd!$D$2:$AB$100, MATCH(TEXT($Q25 * 5 + 1, "####"), df_est_cd!$C$2:$C$100, 0), MATCH(TEXT(M$11, "####"), df_est_cd!$D$1:$AB$1, 0)) + INDEX(df_est_cd!$D$2:$AB$100, MATCH(TEXT($Q25 * 5, "####"), df_est_cd!$C$2:$C$100, 0), MATCH(TEXT(M$11, "####"), df_est_cd!$D$1:$AB$1, 0))</f>
        <v>2612928</v>
      </c>
      <c r="N25" s="552">
        <f>INDEX(df_est_cd!$D$2:$AB$100, MATCH(TEXT($Q25 * 5 + 4, "####"), df_est_cd!$C$2:$C$100, 0), MATCH(TEXT(N$11, "####"), df_est_cd!$D$1:$AB$1, 0)) + INDEX(df_est_cd!$D$2:$AB$100, MATCH(TEXT($Q25 * 5 + 3, "####"), df_est_cd!$C$2:$C$100, 0), MATCH(TEXT(N$11, "####"), df_est_cd!$D$1:$AB$1, 0)) + INDEX(df_est_cd!$D$2:$AB$100, MATCH(TEXT($Q25 * 5 + 2, "####"), df_est_cd!$C$2:$C$100, 0), MATCH(TEXT(N$11, "####"), df_est_cd!$D$1:$AB$1, 0)) + INDEX(df_est_cd!$D$2:$AB$100, MATCH(TEXT($Q25 * 5 + 1, "####"), df_est_cd!$C$2:$C$100, 0), MATCH(TEXT(N$11, "####"), df_est_cd!$D$1:$AB$1, 0)) + INDEX(df_est_cd!$D$2:$AB$100, MATCH(TEXT($Q25 * 5, "####"), df_est_cd!$C$2:$C$100, 0), MATCH(TEXT(N$11, "####"), df_est_cd!$D$1:$AB$1, 0))</f>
        <v>2708208</v>
      </c>
      <c r="O25" s="558" t="e">
        <f>INDEX(df_est_pr!$D$2:$AB$100, MATCH(TEXT($Q25 * 5 + 4, "####"), df_est_pr!$C$2:$C$100, 0), MATCH(TEXT(O$11, "####"), df_est_pr!$D$1:$AB$1, 0)) + INDEX(df_est_pr!$D$2:$AB$100, MATCH(TEXT($Q25 * 5 + 3, "####"), df_est_pr!$C$2:$C$100, 0), MATCH(TEXT(O$11, "####"), df_est_pr!$D$1:$AB$1, 0)) + INDEX(df_est_pr!$D$2:$AB$100, MATCH(TEXT($Q25 * 5 + 2, "####"), df_est_pr!$C$2:$C$100, 0), MATCH(TEXT(O$11, "####"), df_est_pr!$D$1:$AB$1, 0)) + INDEX(df_est_pr!$D$2:$AB$100, MATCH(TEXT($Q25 * 5 + 1, "####"), df_est_pr!$C$2:$C$100, 0), MATCH(TEXT(O$11, "####"), df_est_pr!$D$1:$AB$1, 0)) + INDEX(df_est_pr!$D$2:$AB$100, MATCH(TEXT($Q25 * 5, "####"), df_est_pr!$C$2:$C$100, 0), MATCH(TEXT(O$11, "####"), df_est_pr!$D$1:$AB$1, 0))</f>
        <v>#N/A</v>
      </c>
      <c r="P25" s="552" t="e">
        <f>INDEX(df_est_pr!$D$2:$AB$100, MATCH(TEXT($Q25 * 5 + 4, "####"), df_est_pr!$C$2:$C$100, 0), MATCH(TEXT(P$11, "####"), df_est_pr!$D$1:$AB$1, 0)) + INDEX(df_est_pr!$D$2:$AB$100, MATCH(TEXT($Q25 * 5 + 3, "####"), df_est_pr!$C$2:$C$100, 0), MATCH(TEXT(P$11, "####"), df_est_pr!$D$1:$AB$1, 0)) + INDEX(df_est_pr!$D$2:$AB$100, MATCH(TEXT($Q25 * 5 + 2, "####"), df_est_pr!$C$2:$C$100, 0), MATCH(TEXT(P$11, "####"), df_est_pr!$D$1:$AB$1, 0)) + INDEX(df_est_pr!$D$2:$AB$100, MATCH(TEXT($Q25 * 5 + 1, "####"), df_est_pr!$C$2:$C$100, 0), MATCH(TEXT(P$11, "####"), df_est_pr!$D$1:$AB$1, 0)) + INDEX(df_est_pr!$D$2:$AB$100, MATCH(TEXT($Q25 * 5, "####"), df_est_pr!$C$2:$C$100, 0), MATCH(TEXT(P$11, "####"), df_est_pr!$D$1:$AB$1, 0))</f>
        <v>#N/A</v>
      </c>
      <c r="Q25" s="477">
        <v>12</v>
      </c>
    </row>
    <row r="26" spans="1:26" ht="20.100000000000001" customHeight="1" x14ac:dyDescent="0.2">
      <c r="A26" s="299">
        <v>25</v>
      </c>
      <c r="B26" s="496" t="s">
        <v>129</v>
      </c>
      <c r="C26" s="558" t="e">
        <f t="array" ref="C26">INDEX(df_pop!$C$2:$C$100, MATCH(1, (df_pop!$B$2:$B$100 = $A26) * (df_pop!$E$2:$E$100 = C$11) * (df_pop!$A$2:$A$100 = $A$2), 0), 0)</f>
        <v>#N/A</v>
      </c>
      <c r="D26" s="239" t="e">
        <f t="array" ref="D26">INDEX(df_pop!$C$2:$C$1000, MATCH(1, (df_pop!$B$2:$B$1000 = $A26) * (df_pop!$E$2:$E$1000 = D$11) * (df_pop!$A$2:$A$1000 = $A$2), 0), 0)</f>
        <v>#N/A</v>
      </c>
      <c r="E26" s="552" t="e">
        <f t="array" ref="E26">INDEX(df_proj!$E$2:$AD$1000, MATCH(1, ($A$2 = df_proj!$A$2:$A$1000) * (df_proj!$B$2:$B$1000 = $B26) * (df_proj!$C$2:$C$1000 = $D$2), 0), MATCH(TEXT(E$11, "####"), df_proj!$E$1:$AD$1,0))</f>
        <v>#N/A</v>
      </c>
      <c r="F26" s="558" t="e">
        <f t="array" ref="F26">INDEX(df_pop!$C$2:$C$10000, MATCH(1, (df_pop!$B$2:$B$10000 = $A26) * (df_pop!$E$2:$E$10000 = F$11) * (df_pop!$A$2:$A$10000 = $B$2), 0), 0)</f>
        <v>#N/A</v>
      </c>
      <c r="G26" s="552" t="e">
        <f t="array" ref="G26">INDEX(df_pop!$C$2:$C$10000, MATCH(1, (df_pop!$B$2:$B$10000 = $A26) * (df_pop!$E$2:$E$10000 = G$11) * (df_pop!$A$2:$A$10000 = $B$2), 0), 0)</f>
        <v>#N/A</v>
      </c>
      <c r="H26" s="299">
        <v>15</v>
      </c>
      <c r="I26" s="496" t="s">
        <v>129</v>
      </c>
      <c r="J26" s="558" t="e">
        <f t="shared" si="0"/>
        <v>#N/A</v>
      </c>
      <c r="K26" s="239" t="e">
        <f t="shared" si="1"/>
        <v>#N/A</v>
      </c>
      <c r="L26" s="552" t="e">
        <f>IFERROR(INDEX(df_proj!$F$2:$AE$1000, MATCH(1, ($A$2 = df_proj!$B$2:$B$1000) * (df_proj!$E$2:$E$1000 = $H26) * (df_proj!$D$2:$D$1000 = $D$2), 0), MATCH(TEXT(E$11, "####"), df_proj!$F$1:$AE$1,0)),popn_fut!C95)</f>
        <v>#N/A</v>
      </c>
      <c r="M26" s="558">
        <f>INDEX(df_est_cd!$D$2:$AB$100, MATCH(TEXT($Q26 * 5 + 4, "####"), df_est_cd!$C$2:$C$100, 0), MATCH(TEXT(M$11, "####"), df_est_cd!$D$1:$AB$1, 0)) + INDEX(df_est_cd!$D$2:$AB$100, MATCH(TEXT($Q26 * 5 + 3, "####"), df_est_cd!$C$2:$C$100, 0), MATCH(TEXT(M$11, "####"), df_est_cd!$D$1:$AB$1, 0)) + INDEX(df_est_cd!$D$2:$AB$100, MATCH(TEXT($Q26 * 5 + 2, "####"), df_est_cd!$C$2:$C$100, 0), MATCH(TEXT(M$11, "####"), df_est_cd!$D$1:$AB$1, 0)) + INDEX(df_est_cd!$D$2:$AB$100, MATCH(TEXT($Q26 * 5 + 1, "####"), df_est_cd!$C$2:$C$100, 0), MATCH(TEXT(M$11, "####"), df_est_cd!$D$1:$AB$1, 0)) + INDEX(df_est_cd!$D$2:$AB$100, MATCH(TEXT($Q26 * 5, "####"), df_est_cd!$C$2:$C$100, 0), MATCH(TEXT(M$11, "####"), df_est_cd!$D$1:$AB$1, 0))</f>
        <v>2226492</v>
      </c>
      <c r="N26" s="552">
        <f>INDEX(df_est_cd!$D$2:$AB$100, MATCH(TEXT($Q26 * 5 + 4, "####"), df_est_cd!$C$2:$C$100, 0), MATCH(TEXT(N$11, "####"), df_est_cd!$D$1:$AB$1, 0)) + INDEX(df_est_cd!$D$2:$AB$100, MATCH(TEXT($Q26 * 5 + 3, "####"), df_est_cd!$C$2:$C$100, 0), MATCH(TEXT(N$11, "####"), df_est_cd!$D$1:$AB$1, 0)) + INDEX(df_est_cd!$D$2:$AB$100, MATCH(TEXT($Q26 * 5 + 2, "####"), df_est_cd!$C$2:$C$100, 0), MATCH(TEXT(N$11, "####"), df_est_cd!$D$1:$AB$1, 0)) + INDEX(df_est_cd!$D$2:$AB$100, MATCH(TEXT($Q26 * 5 + 1, "####"), df_est_cd!$C$2:$C$100, 0), MATCH(TEXT(N$11, "####"), df_est_cd!$D$1:$AB$1, 0)) + INDEX(df_est_cd!$D$2:$AB$100, MATCH(TEXT($Q26 * 5, "####"), df_est_cd!$C$2:$C$100, 0), MATCH(TEXT(N$11, "####"), df_est_cd!$D$1:$AB$1, 0))</f>
        <v>2494286</v>
      </c>
      <c r="O26" s="558" t="e">
        <f>INDEX(df_est_pr!$D$2:$AB$100, MATCH(TEXT($Q26 * 5 + 4, "####"), df_est_pr!$C$2:$C$100, 0), MATCH(TEXT(O$11, "####"), df_est_pr!$D$1:$AB$1, 0)) + INDEX(df_est_pr!$D$2:$AB$100, MATCH(TEXT($Q26 * 5 + 3, "####"), df_est_pr!$C$2:$C$100, 0), MATCH(TEXT(O$11, "####"), df_est_pr!$D$1:$AB$1, 0)) + INDEX(df_est_pr!$D$2:$AB$100, MATCH(TEXT($Q26 * 5 + 2, "####"), df_est_pr!$C$2:$C$100, 0), MATCH(TEXT(O$11, "####"), df_est_pr!$D$1:$AB$1, 0)) + INDEX(df_est_pr!$D$2:$AB$100, MATCH(TEXT($Q26 * 5 + 1, "####"), df_est_pr!$C$2:$C$100, 0), MATCH(TEXT(O$11, "####"), df_est_pr!$D$1:$AB$1, 0)) + INDEX(df_est_pr!$D$2:$AB$100, MATCH(TEXT($Q26 * 5, "####"), df_est_pr!$C$2:$C$100, 0), MATCH(TEXT(O$11, "####"), df_est_pr!$D$1:$AB$1, 0))</f>
        <v>#N/A</v>
      </c>
      <c r="P26" s="552" t="e">
        <f>INDEX(df_est_pr!$D$2:$AB$100, MATCH(TEXT($Q26 * 5 + 4, "####"), df_est_pr!$C$2:$C$100, 0), MATCH(TEXT(P$11, "####"), df_est_pr!$D$1:$AB$1, 0)) + INDEX(df_est_pr!$D$2:$AB$100, MATCH(TEXT($Q26 * 5 + 3, "####"), df_est_pr!$C$2:$C$100, 0), MATCH(TEXT(P$11, "####"), df_est_pr!$D$1:$AB$1, 0)) + INDEX(df_est_pr!$D$2:$AB$100, MATCH(TEXT($Q26 * 5 + 2, "####"), df_est_pr!$C$2:$C$100, 0), MATCH(TEXT(P$11, "####"), df_est_pr!$D$1:$AB$1, 0)) + INDEX(df_est_pr!$D$2:$AB$100, MATCH(TEXT($Q26 * 5 + 1, "####"), df_est_pr!$C$2:$C$100, 0), MATCH(TEXT(P$11, "####"), df_est_pr!$D$1:$AB$1, 0)) + INDEX(df_est_pr!$D$2:$AB$100, MATCH(TEXT($Q26 * 5, "####"), df_est_pr!$C$2:$C$100, 0), MATCH(TEXT(P$11, "####"), df_est_pr!$D$1:$AB$1, 0))</f>
        <v>#N/A</v>
      </c>
      <c r="Q26" s="477">
        <v>13</v>
      </c>
    </row>
    <row r="27" spans="1:26" ht="20.100000000000001" customHeight="1" x14ac:dyDescent="0.2">
      <c r="A27" s="299">
        <v>26</v>
      </c>
      <c r="B27" s="496" t="s">
        <v>131</v>
      </c>
      <c r="C27" s="558" t="e">
        <f t="array" ref="C27">INDEX(df_pop!$C$2:$C$100, MATCH(1, (df_pop!$B$2:$B$100 = $A27) * (df_pop!$E$2:$E$100 = C$11) * (df_pop!$A$2:$A$100 = $A$2), 0), 0)</f>
        <v>#N/A</v>
      </c>
      <c r="D27" s="239" t="e">
        <f t="array" ref="D27">INDEX(df_pop!$C$2:$C$1000, MATCH(1, (df_pop!$B$2:$B$1000 = $A27) * (df_pop!$E$2:$E$1000 = D$11) * (df_pop!$A$2:$A$1000 = $A$2), 0), 0)</f>
        <v>#N/A</v>
      </c>
      <c r="E27" s="552" t="e">
        <f t="array" ref="E27">INDEX(df_proj!$E$2:$AD$1000, MATCH(1, ($A$2 = df_proj!$A$2:$A$1000) * (df_proj!$B$2:$B$1000 = $B27) * (df_proj!$C$2:$C$1000 = $D$2), 0), MATCH(TEXT(E$11, "####"), df_proj!$E$1:$AD$1,0))</f>
        <v>#N/A</v>
      </c>
      <c r="F27" s="558" t="e">
        <f t="array" ref="F27">INDEX(df_pop!$C$2:$C$10000, MATCH(1, (df_pop!$B$2:$B$10000 = $A27) * (df_pop!$E$2:$E$10000 = F$11) * (df_pop!$A$2:$A$10000 = $B$2), 0), 0)</f>
        <v>#N/A</v>
      </c>
      <c r="G27" s="552" t="e">
        <f t="array" ref="G27">INDEX(df_pop!$C$2:$C$10000, MATCH(1, (df_pop!$B$2:$B$10000 = $A27) * (df_pop!$E$2:$E$10000 = G$11) * (df_pop!$A$2:$A$10000 = $B$2), 0), 0)</f>
        <v>#N/A</v>
      </c>
      <c r="H27" s="299">
        <v>16</v>
      </c>
      <c r="I27" s="496" t="s">
        <v>131</v>
      </c>
      <c r="J27" s="558" t="e">
        <f t="shared" si="0"/>
        <v>#N/A</v>
      </c>
      <c r="K27" s="239" t="e">
        <f t="shared" si="1"/>
        <v>#N/A</v>
      </c>
      <c r="L27" s="552" t="e">
        <f>IFERROR(INDEX(df_proj!$F$2:$AE$1000, MATCH(1, ($A$2 = df_proj!$B$2:$B$1000) * (df_proj!$E$2:$E$1000 = $H27) * (df_proj!$D$2:$D$1000 = $D$2), 0), MATCH(TEXT(E$11, "####"), df_proj!$F$1:$AE$1,0)),popn_fut!C96)</f>
        <v>#N/A</v>
      </c>
      <c r="M27" s="558">
        <f>INDEX(df_est_cd!$D$2:$AB$100, MATCH(TEXT($Q27 * 5 + 4, "####"), df_est_cd!$C$2:$C$100, 0), MATCH(TEXT(M$11, "####"), df_est_cd!$D$1:$AB$1, 0)) + INDEX(df_est_cd!$D$2:$AB$100, MATCH(TEXT($Q27 * 5 + 3, "####"), df_est_cd!$C$2:$C$100, 0), MATCH(TEXT(M$11, "####"), df_est_cd!$D$1:$AB$1, 0)) + INDEX(df_est_cd!$D$2:$AB$100, MATCH(TEXT($Q27 * 5 + 2, "####"), df_est_cd!$C$2:$C$100, 0), MATCH(TEXT(M$11, "####"), df_est_cd!$D$1:$AB$1, 0)) + INDEX(df_est_cd!$D$2:$AB$100, MATCH(TEXT($Q27 * 5 + 1, "####"), df_est_cd!$C$2:$C$100, 0), MATCH(TEXT(M$11, "####"), df_est_cd!$D$1:$AB$1, 0)) + INDEX(df_est_cd!$D$2:$AB$100, MATCH(TEXT($Q27 * 5, "####"), df_est_cd!$C$2:$C$100, 0), MATCH(TEXT(M$11, "####"), df_est_cd!$D$1:$AB$1, 0))</f>
        <v>1845779</v>
      </c>
      <c r="N27" s="552">
        <f>INDEX(df_est_cd!$D$2:$AB$100, MATCH(TEXT($Q27 * 5 + 4, "####"), df_est_cd!$C$2:$C$100, 0), MATCH(TEXT(N$11, "####"), df_est_cd!$D$1:$AB$1, 0)) + INDEX(df_est_cd!$D$2:$AB$100, MATCH(TEXT($Q27 * 5 + 3, "####"), df_est_cd!$C$2:$C$100, 0), MATCH(TEXT(N$11, "####"), df_est_cd!$D$1:$AB$1, 0)) + INDEX(df_est_cd!$D$2:$AB$100, MATCH(TEXT($Q27 * 5 + 2, "####"), df_est_cd!$C$2:$C$100, 0), MATCH(TEXT(N$11, "####"), df_est_cd!$D$1:$AB$1, 0)) + INDEX(df_est_cd!$D$2:$AB$100, MATCH(TEXT($Q27 * 5 + 1, "####"), df_est_cd!$C$2:$C$100, 0), MATCH(TEXT(N$11, "####"), df_est_cd!$D$1:$AB$1, 0)) + INDEX(df_est_cd!$D$2:$AB$100, MATCH(TEXT($Q27 * 5, "####"), df_est_cd!$C$2:$C$100, 0), MATCH(TEXT(N$11, "####"), df_est_cd!$D$1:$AB$1, 0))</f>
        <v>2044533</v>
      </c>
      <c r="O27" s="558" t="e">
        <f>INDEX(df_est_pr!$D$2:$AB$100, MATCH(TEXT($Q27 * 5 + 4, "####"), df_est_pr!$C$2:$C$100, 0), MATCH(TEXT(O$11, "####"), df_est_pr!$D$1:$AB$1, 0)) + INDEX(df_est_pr!$D$2:$AB$100, MATCH(TEXT($Q27 * 5 + 3, "####"), df_est_pr!$C$2:$C$100, 0), MATCH(TEXT(O$11, "####"), df_est_pr!$D$1:$AB$1, 0)) + INDEX(df_est_pr!$D$2:$AB$100, MATCH(TEXT($Q27 * 5 + 2, "####"), df_est_pr!$C$2:$C$100, 0), MATCH(TEXT(O$11, "####"), df_est_pr!$D$1:$AB$1, 0)) + INDEX(df_est_pr!$D$2:$AB$100, MATCH(TEXT($Q27 * 5 + 1, "####"), df_est_pr!$C$2:$C$100, 0), MATCH(TEXT(O$11, "####"), df_est_pr!$D$1:$AB$1, 0)) + INDEX(df_est_pr!$D$2:$AB$100, MATCH(TEXT($Q27 * 5, "####"), df_est_pr!$C$2:$C$100, 0), MATCH(TEXT(O$11, "####"), df_est_pr!$D$1:$AB$1, 0))</f>
        <v>#N/A</v>
      </c>
      <c r="P27" s="552" t="e">
        <f>INDEX(df_est_pr!$D$2:$AB$100, MATCH(TEXT($Q27 * 5 + 4, "####"), df_est_pr!$C$2:$C$100, 0), MATCH(TEXT(P$11, "####"), df_est_pr!$D$1:$AB$1, 0)) + INDEX(df_est_pr!$D$2:$AB$100, MATCH(TEXT($Q27 * 5 + 3, "####"), df_est_pr!$C$2:$C$100, 0), MATCH(TEXT(P$11, "####"), df_est_pr!$D$1:$AB$1, 0)) + INDEX(df_est_pr!$D$2:$AB$100, MATCH(TEXT($Q27 * 5 + 2, "####"), df_est_pr!$C$2:$C$100, 0), MATCH(TEXT(P$11, "####"), df_est_pr!$D$1:$AB$1, 0)) + INDEX(df_est_pr!$D$2:$AB$100, MATCH(TEXT($Q27 * 5 + 1, "####"), df_est_pr!$C$2:$C$100, 0), MATCH(TEXT(P$11, "####"), df_est_pr!$D$1:$AB$1, 0)) + INDEX(df_est_pr!$D$2:$AB$100, MATCH(TEXT($Q27 * 5, "####"), df_est_pr!$C$2:$C$100, 0), MATCH(TEXT(P$11, "####"), df_est_pr!$D$1:$AB$1, 0))</f>
        <v>#N/A</v>
      </c>
      <c r="Q27" s="477">
        <v>14</v>
      </c>
    </row>
    <row r="28" spans="1:26" ht="20.100000000000001" customHeight="1" x14ac:dyDescent="0.2">
      <c r="A28" s="299">
        <v>27</v>
      </c>
      <c r="B28" s="496" t="s">
        <v>130</v>
      </c>
      <c r="C28" s="558" t="e">
        <f t="array" ref="C28">INDEX(df_pop!$C$2:$C$100, MATCH(1, (df_pop!$B$2:$B$100 = $A28) * (df_pop!$E$2:$E$100 = C$11) * (df_pop!$A$2:$A$100 = $A$2), 0), 0)</f>
        <v>#N/A</v>
      </c>
      <c r="D28" s="239" t="e">
        <f t="array" ref="D28">INDEX(df_pop!$C$2:$C$1000, MATCH(1, (df_pop!$B$2:$B$1000 = $A28) * (df_pop!$E$2:$E$1000 = D$11) * (df_pop!$A$2:$A$1000 = $A$2), 0), 0)</f>
        <v>#N/A</v>
      </c>
      <c r="E28" s="552" t="e">
        <f t="array" ref="E28">INDEX(df_proj!$E$2:$AD$1000, MATCH(1, ($A$2 = df_proj!$A$2:$A$1000) * (df_proj!$B$2:$B$1000 = $B28) * (df_proj!$C$2:$C$1000 = $D$2), 0), MATCH(TEXT(E$11, "####"), df_proj!$E$1:$AD$1,0))</f>
        <v>#N/A</v>
      </c>
      <c r="F28" s="558" t="e">
        <f t="array" ref="F28">INDEX(df_pop!$C$2:$C$10000, MATCH(1, (df_pop!$B$2:$B$10000 = $A28) * (df_pop!$E$2:$E$10000 = F$11) * (df_pop!$A$2:$A$10000 = $B$2), 0), 0)</f>
        <v>#N/A</v>
      </c>
      <c r="G28" s="552" t="e">
        <f t="array" ref="G28">INDEX(df_pop!$C$2:$C$10000, MATCH(1, (df_pop!$B$2:$B$10000 = $A28) * (df_pop!$E$2:$E$10000 = G$11) * (df_pop!$A$2:$A$10000 = $B$2), 0), 0)</f>
        <v>#N/A</v>
      </c>
      <c r="H28" s="299">
        <v>17</v>
      </c>
      <c r="I28" s="496" t="s">
        <v>130</v>
      </c>
      <c r="J28" s="558" t="e">
        <f t="shared" si="0"/>
        <v>#N/A</v>
      </c>
      <c r="K28" s="239" t="e">
        <f t="shared" si="1"/>
        <v>#N/A</v>
      </c>
      <c r="L28" s="552" t="e">
        <f>IFERROR(INDEX(df_proj!$F$2:$AE$1000, MATCH(1, ($A$2 = df_proj!$B$2:$B$1000) * (df_proj!$E$2:$E$1000 = $H28) * (df_proj!$D$2:$D$1000 = $D$2), 0), MATCH(TEXT(E$11, "####"), df_proj!$F$1:$AE$1,0)),popn_fut!C97)</f>
        <v>#N/A</v>
      </c>
      <c r="M28" s="558">
        <f>INDEX(df_est_cd!$D$2:$AB$100, MATCH(TEXT($Q28 * 5 + 4, "####"), df_est_cd!$C$2:$C$100, 0), MATCH(TEXT(M$11, "####"), df_est_cd!$D$1:$AB$1, 0)) + INDEX(df_est_cd!$D$2:$AB$100, MATCH(TEXT($Q28 * 5 + 3, "####"), df_est_cd!$C$2:$C$100, 0), MATCH(TEXT(M$11, "####"), df_est_cd!$D$1:$AB$1, 0)) + INDEX(df_est_cd!$D$2:$AB$100, MATCH(TEXT($Q28 * 5 + 2, "####"), df_est_cd!$C$2:$C$100, 0), MATCH(TEXT(M$11, "####"), df_est_cd!$D$1:$AB$1, 0)) + INDEX(df_est_cd!$D$2:$AB$100, MATCH(TEXT($Q28 * 5 + 1, "####"), df_est_cd!$C$2:$C$100, 0), MATCH(TEXT(M$11, "####"), df_est_cd!$D$1:$AB$1, 0)) + INDEX(df_est_cd!$D$2:$AB$100, MATCH(TEXT($Q28 * 5, "####"), df_est_cd!$C$2:$C$100, 0), MATCH(TEXT(M$11, "####"), df_est_cd!$D$1:$AB$1, 0))</f>
        <v>1272339</v>
      </c>
      <c r="N28" s="552">
        <f>INDEX(df_est_cd!$D$2:$AB$100, MATCH(TEXT($Q28 * 5 + 4, "####"), df_est_cd!$C$2:$C$100, 0), MATCH(TEXT(N$11, "####"), df_est_cd!$D$1:$AB$1, 0)) + INDEX(df_est_cd!$D$2:$AB$100, MATCH(TEXT($Q28 * 5 + 3, "####"), df_est_cd!$C$2:$C$100, 0), MATCH(TEXT(N$11, "####"), df_est_cd!$D$1:$AB$1, 0)) + INDEX(df_est_cd!$D$2:$AB$100, MATCH(TEXT($Q28 * 5 + 2, "####"), df_est_cd!$C$2:$C$100, 0), MATCH(TEXT(N$11, "####"), df_est_cd!$D$1:$AB$1, 0)) + INDEX(df_est_cd!$D$2:$AB$100, MATCH(TEXT($Q28 * 5 + 1, "####"), df_est_cd!$C$2:$C$100, 0), MATCH(TEXT(N$11, "####"), df_est_cd!$D$1:$AB$1, 0)) + INDEX(df_est_cd!$D$2:$AB$100, MATCH(TEXT($Q28 * 5, "####"), df_est_cd!$C$2:$C$100, 0), MATCH(TEXT(N$11, "####"), df_est_cd!$D$1:$AB$1, 0))</f>
        <v>1609542</v>
      </c>
      <c r="O28" s="558" t="e">
        <f>INDEX(df_est_pr!$D$2:$AB$100, MATCH(TEXT($Q28 * 5 + 4, "####"), df_est_pr!$C$2:$C$100, 0), MATCH(TEXT(O$11, "####"), df_est_pr!$D$1:$AB$1, 0)) + INDEX(df_est_pr!$D$2:$AB$100, MATCH(TEXT($Q28 * 5 + 3, "####"), df_est_pr!$C$2:$C$100, 0), MATCH(TEXT(O$11, "####"), df_est_pr!$D$1:$AB$1, 0)) + INDEX(df_est_pr!$D$2:$AB$100, MATCH(TEXT($Q28 * 5 + 2, "####"), df_est_pr!$C$2:$C$100, 0), MATCH(TEXT(O$11, "####"), df_est_pr!$D$1:$AB$1, 0)) + INDEX(df_est_pr!$D$2:$AB$100, MATCH(TEXT($Q28 * 5 + 1, "####"), df_est_pr!$C$2:$C$100, 0), MATCH(TEXT(O$11, "####"), df_est_pr!$D$1:$AB$1, 0)) + INDEX(df_est_pr!$D$2:$AB$100, MATCH(TEXT($Q28 * 5, "####"), df_est_pr!$C$2:$C$100, 0), MATCH(TEXT(O$11, "####"), df_est_pr!$D$1:$AB$1, 0))</f>
        <v>#N/A</v>
      </c>
      <c r="P28" s="552" t="e">
        <f>INDEX(df_est_pr!$D$2:$AB$100, MATCH(TEXT($Q28 * 5 + 4, "####"), df_est_pr!$C$2:$C$100, 0), MATCH(TEXT(P$11, "####"), df_est_pr!$D$1:$AB$1, 0)) + INDEX(df_est_pr!$D$2:$AB$100, MATCH(TEXT($Q28 * 5 + 3, "####"), df_est_pr!$C$2:$C$100, 0), MATCH(TEXT(P$11, "####"), df_est_pr!$D$1:$AB$1, 0)) + INDEX(df_est_pr!$D$2:$AB$100, MATCH(TEXT($Q28 * 5 + 2, "####"), df_est_pr!$C$2:$C$100, 0), MATCH(TEXT(P$11, "####"), df_est_pr!$D$1:$AB$1, 0)) + INDEX(df_est_pr!$D$2:$AB$100, MATCH(TEXT($Q28 * 5 + 1, "####"), df_est_pr!$C$2:$C$100, 0), MATCH(TEXT(P$11, "####"), df_est_pr!$D$1:$AB$1, 0)) + INDEX(df_est_pr!$D$2:$AB$100, MATCH(TEXT($Q28 * 5, "####"), df_est_pr!$C$2:$C$100, 0), MATCH(TEXT(P$11, "####"), df_est_pr!$D$1:$AB$1, 0))</f>
        <v>#N/A</v>
      </c>
      <c r="Q28" s="477">
        <v>15</v>
      </c>
    </row>
    <row r="29" spans="1:26" ht="20.100000000000001" customHeight="1" x14ac:dyDescent="0.2">
      <c r="A29" s="299">
        <v>28</v>
      </c>
      <c r="B29" s="496" t="s">
        <v>132</v>
      </c>
      <c r="C29" s="558" t="e">
        <f t="array" ref="C29">INDEX(df_pop!$C$2:$C$100, MATCH(1, (df_pop!$B$2:$B$100 = $A29) * (df_pop!$E$2:$E$100 = C$11) * (df_pop!$A$2:$A$100 = $A$2), 0), 0)</f>
        <v>#N/A</v>
      </c>
      <c r="D29" s="239" t="e">
        <f t="array" ref="D29">INDEX(df_pop!$C$2:$C$1000, MATCH(1, (df_pop!$B$2:$B$1000 = $A29) * (df_pop!$E$2:$E$1000 = D$11) * (df_pop!$A$2:$A$1000 = $A$2), 0), 0)</f>
        <v>#N/A</v>
      </c>
      <c r="E29" s="552" t="e">
        <f t="array" ref="E29">INDEX(df_proj!$E$2:$AD$1000, MATCH(1, ($A$2 = df_proj!$A$2:$A$1000) * (df_proj!$B$2:$B$1000 = $B29) * (df_proj!$C$2:$C$1000 = $D$2), 0), MATCH(TEXT(E$11, "####"), df_proj!$E$1:$AD$1,0))</f>
        <v>#N/A</v>
      </c>
      <c r="F29" s="558" t="e">
        <f t="array" ref="F29">INDEX(df_pop!$C$2:$C$10000, MATCH(1, (df_pop!$B$2:$B$10000 = $A29) * (df_pop!$E$2:$E$10000 = F$11) * (df_pop!$A$2:$A$10000 = $B$2), 0), 0)</f>
        <v>#N/A</v>
      </c>
      <c r="G29" s="552" t="e">
        <f t="array" ref="G29">INDEX(df_pop!$C$2:$C$10000, MATCH(1, (df_pop!$B$2:$B$10000 = $A29) * (df_pop!$E$2:$E$10000 = G$11) * (df_pop!$A$2:$A$10000 = $B$2), 0), 0)</f>
        <v>#N/A</v>
      </c>
      <c r="H29" s="299">
        <v>18</v>
      </c>
      <c r="I29" s="496" t="s">
        <v>132</v>
      </c>
      <c r="J29" s="558" t="e">
        <f t="shared" si="0"/>
        <v>#N/A</v>
      </c>
      <c r="K29" s="239" t="e">
        <f t="shared" si="1"/>
        <v>#N/A</v>
      </c>
      <c r="L29" s="552" t="e">
        <f>IFERROR(INDEX(df_proj!$F$2:$AE$1000, MATCH(1, ($A$2 = df_proj!$B$2:$B$1000) * (df_proj!$E$2:$E$1000 = $H29) * (df_proj!$D$2:$D$1000 = $D$2), 0), MATCH(TEXT(E$11, "####"), df_proj!$F$1:$AE$1,0)),popn_fut!C98)</f>
        <v>#N/A</v>
      </c>
      <c r="M29" s="558">
        <f>INDEX(df_est_cd!$D$2:$AB$100, MATCH(TEXT($Q29 * 5 + 4, "####"), df_est_cd!$C$2:$C$100, 0), MATCH(TEXT(M$11, "####"), df_est_cd!$D$1:$AB$1, 0)) + INDEX(df_est_cd!$D$2:$AB$100, MATCH(TEXT($Q29 * 5 + 3, "####"), df_est_cd!$C$2:$C$100, 0), MATCH(TEXT(M$11, "####"), df_est_cd!$D$1:$AB$1, 0)) + INDEX(df_est_cd!$D$2:$AB$100, MATCH(TEXT($Q29 * 5 + 2, "####"), df_est_cd!$C$2:$C$100, 0), MATCH(TEXT(M$11, "####"), df_est_cd!$D$1:$AB$1, 0)) + INDEX(df_est_cd!$D$2:$AB$100, MATCH(TEXT($Q29 * 5 + 1, "####"), df_est_cd!$C$2:$C$100, 0), MATCH(TEXT(M$11, "####"), df_est_cd!$D$1:$AB$1, 0)) + INDEX(df_est_cd!$D$2:$AB$100, MATCH(TEXT($Q29 * 5, "####"), df_est_cd!$C$2:$C$100, 0), MATCH(TEXT(M$11, "####"), df_est_cd!$D$1:$AB$1, 0))</f>
        <v>841433</v>
      </c>
      <c r="N29" s="552">
        <f>INDEX(df_est_cd!$D$2:$AB$100, MATCH(TEXT($Q29 * 5 + 4, "####"), df_est_cd!$C$2:$C$100, 0), MATCH(TEXT(N$11, "####"), df_est_cd!$D$1:$AB$1, 0)) + INDEX(df_est_cd!$D$2:$AB$100, MATCH(TEXT($Q29 * 5 + 3, "####"), df_est_cd!$C$2:$C$100, 0), MATCH(TEXT(N$11, "####"), df_est_cd!$D$1:$AB$1, 0)) + INDEX(df_est_cd!$D$2:$AB$100, MATCH(TEXT($Q29 * 5 + 2, "####"), df_est_cd!$C$2:$C$100, 0), MATCH(TEXT(N$11, "####"), df_est_cd!$D$1:$AB$1, 0)) + INDEX(df_est_cd!$D$2:$AB$100, MATCH(TEXT($Q29 * 5 + 1, "####"), df_est_cd!$C$2:$C$100, 0), MATCH(TEXT(N$11, "####"), df_est_cd!$D$1:$AB$1, 0)) + INDEX(df_est_cd!$D$2:$AB$100, MATCH(TEXT($Q29 * 5, "####"), df_est_cd!$C$2:$C$100, 0), MATCH(TEXT(N$11, "####"), df_est_cd!$D$1:$AB$1, 0))</f>
        <v>1008273</v>
      </c>
      <c r="O29" s="558" t="e">
        <f>INDEX(df_est_pr!$D$2:$AB$100, MATCH(TEXT($Q29 * 5 + 4, "####"), df_est_pr!$C$2:$C$100, 0), MATCH(TEXT(O$11, "####"), df_est_pr!$D$1:$AB$1, 0)) + INDEX(df_est_pr!$D$2:$AB$100, MATCH(TEXT($Q29 * 5 + 3, "####"), df_est_pr!$C$2:$C$100, 0), MATCH(TEXT(O$11, "####"), df_est_pr!$D$1:$AB$1, 0)) + INDEX(df_est_pr!$D$2:$AB$100, MATCH(TEXT($Q29 * 5 + 2, "####"), df_est_pr!$C$2:$C$100, 0), MATCH(TEXT(O$11, "####"), df_est_pr!$D$1:$AB$1, 0)) + INDEX(df_est_pr!$D$2:$AB$100, MATCH(TEXT($Q29 * 5 + 1, "####"), df_est_pr!$C$2:$C$100, 0), MATCH(TEXT(O$11, "####"), df_est_pr!$D$1:$AB$1, 0)) + INDEX(df_est_pr!$D$2:$AB$100, MATCH(TEXT($Q29 * 5, "####"), df_est_pr!$C$2:$C$100, 0), MATCH(TEXT(O$11, "####"), df_est_pr!$D$1:$AB$1, 0))</f>
        <v>#N/A</v>
      </c>
      <c r="P29" s="552" t="e">
        <f>INDEX(df_est_pr!$D$2:$AB$100, MATCH(TEXT($Q29 * 5 + 4, "####"), df_est_pr!$C$2:$C$100, 0), MATCH(TEXT(P$11, "####"), df_est_pr!$D$1:$AB$1, 0)) + INDEX(df_est_pr!$D$2:$AB$100, MATCH(TEXT($Q29 * 5 + 3, "####"), df_est_pr!$C$2:$C$100, 0), MATCH(TEXT(P$11, "####"), df_est_pr!$D$1:$AB$1, 0)) + INDEX(df_est_pr!$D$2:$AB$100, MATCH(TEXT($Q29 * 5 + 2, "####"), df_est_pr!$C$2:$C$100, 0), MATCH(TEXT(P$11, "####"), df_est_pr!$D$1:$AB$1, 0)) + INDEX(df_est_pr!$D$2:$AB$100, MATCH(TEXT($Q29 * 5 + 1, "####"), df_est_pr!$C$2:$C$100, 0), MATCH(TEXT(P$11, "####"), df_est_pr!$D$1:$AB$1, 0)) + INDEX(df_est_pr!$D$2:$AB$100, MATCH(TEXT($Q29 * 5, "####"), df_est_pr!$C$2:$C$100, 0), MATCH(TEXT(P$11, "####"), df_est_pr!$D$1:$AB$1, 0))</f>
        <v>#N/A</v>
      </c>
      <c r="Q29" s="477">
        <v>16</v>
      </c>
    </row>
    <row r="30" spans="1:26" ht="20.100000000000001" customHeight="1" x14ac:dyDescent="0.2">
      <c r="A30" s="299">
        <v>29</v>
      </c>
      <c r="B30" s="497" t="s">
        <v>5</v>
      </c>
      <c r="C30" s="559" t="e">
        <f t="array" ref="C30">INDEX(df_pop!$C$2:$C$100, MATCH(1, (df_pop!$B$2:$B$100 = $A30) * (df_pop!$E$2:$E$100 = C$11) * (df_pop!$A$2:$A$100 = $A$2), 0), 0)</f>
        <v>#N/A</v>
      </c>
      <c r="D30" s="553" t="e">
        <f t="array" ref="D30">INDEX(df_pop!$C$2:$C$1000, MATCH(1, (df_pop!$B$2:$B$1000 = $A30) * (df_pop!$E$2:$E$1000 = D$11) * (df_pop!$A$2:$A$1000 = $A$2), 0), 0)</f>
        <v>#N/A</v>
      </c>
      <c r="E30" s="554" t="e">
        <f t="array" ref="E30">INDEX(df_proj!$E$2:$AD$1000, MATCH(1, ($A$2 = df_proj!$A$2:$A$1000) * (df_proj!$B$2:$B$1000 &amp; "+" = $B30) * (df_proj!$C$2:$C$1000 = $D$2), 0), MATCH(TEXT(E$11, "####"), df_proj!$E$1:$AD$1,0))</f>
        <v>#N/A</v>
      </c>
      <c r="F30" s="559" t="e">
        <f t="array" ref="F30">INDEX(df_pop!$C$2:$C$10000, MATCH(1, (df_pop!$B$2:$B$10000 = $A30) * (df_pop!$E$2:$E$10000 = F$11) * (df_pop!$A$2:$A$10000 = $B$2), 0), 0)</f>
        <v>#N/A</v>
      </c>
      <c r="G30" s="554" t="e">
        <f t="array" ref="G30">INDEX(df_pop!$C$2:$C$10000, MATCH(1, (df_pop!$B$2:$B$10000 = $A30) * (df_pop!$E$2:$E$10000 = G$11) * (df_pop!$A$2:$A$10000 = $B$2), 0), 0)</f>
        <v>#N/A</v>
      </c>
      <c r="H30" s="299">
        <v>19</v>
      </c>
      <c r="I30" s="497" t="s">
        <v>5</v>
      </c>
      <c r="J30" s="559" t="e">
        <f t="shared" si="0"/>
        <v>#N/A</v>
      </c>
      <c r="K30" s="553" t="e">
        <f t="shared" si="1"/>
        <v>#N/A</v>
      </c>
      <c r="L30" s="554" t="e">
        <f>IFERROR(INDEX(df_proj!$F$2:$AE$1000, MATCH(1, ($A$2 = df_proj!$B$2:$B$1000) * (df_proj!$E$2:$E$1000 = $H30) * (df_proj!$D$2:$D$1000 = $D$2), 0), MATCH(TEXT(E$11, "####"), df_proj!$F$1:$AE$1,0)),popn_fut!C99)</f>
        <v>#N/A</v>
      </c>
      <c r="M30" s="559">
        <f>M12-SUM(M13:M29)</f>
        <v>859947</v>
      </c>
      <c r="N30" s="554">
        <f>N12-SUM(N13:N29)</f>
        <v>951833</v>
      </c>
      <c r="O30" s="559" t="e">
        <f>O12-SUM(O13:O29)</f>
        <v>#N/A</v>
      </c>
      <c r="P30" s="554" t="e">
        <f>P12-SUM(P13:P29)</f>
        <v>#N/A</v>
      </c>
      <c r="Q30" s="477">
        <v>17</v>
      </c>
    </row>
    <row r="32" spans="1:26" ht="20.100000000000001" customHeight="1" x14ac:dyDescent="0.2">
      <c r="B32" s="1240" t="s">
        <v>1262</v>
      </c>
      <c r="C32" s="1240"/>
      <c r="D32" s="1240"/>
      <c r="E32" s="1240"/>
      <c r="F32" s="1240"/>
      <c r="G32" s="1240"/>
      <c r="H32" s="1240"/>
    </row>
    <row r="33" spans="1:14" ht="20.100000000000001" customHeight="1" x14ac:dyDescent="0.2"/>
    <row r="34" spans="1:14" ht="20.100000000000001" customHeight="1" x14ac:dyDescent="0.2">
      <c r="B34" s="487"/>
      <c r="C34" s="1238" t="s">
        <v>181</v>
      </c>
      <c r="D34" s="1241"/>
      <c r="E34" s="1241"/>
      <c r="F34" s="1239"/>
      <c r="G34" s="479" t="s">
        <v>182</v>
      </c>
      <c r="H34" s="501" t="s">
        <v>183</v>
      </c>
      <c r="J34" s="484" t="s">
        <v>6</v>
      </c>
      <c r="K34" s="117" t="s">
        <v>181</v>
      </c>
      <c r="L34" s="117" t="s">
        <v>182</v>
      </c>
      <c r="M34" s="302" t="s">
        <v>183</v>
      </c>
    </row>
    <row r="35" spans="1:14" ht="20.100000000000001" customHeight="1" x14ac:dyDescent="0.2">
      <c r="B35" s="500" t="s">
        <v>107</v>
      </c>
      <c r="C35" s="128">
        <v>2021</v>
      </c>
      <c r="D35" s="302">
        <v>2025</v>
      </c>
      <c r="E35" s="128" t="s">
        <v>12</v>
      </c>
      <c r="F35" s="302" t="s">
        <v>179</v>
      </c>
      <c r="G35" s="302">
        <v>2025</v>
      </c>
      <c r="H35" s="571">
        <v>2025</v>
      </c>
      <c r="J35" s="483" t="s">
        <v>6</v>
      </c>
      <c r="K35" s="481"/>
      <c r="L35" s="481"/>
      <c r="M35" s="482"/>
    </row>
    <row r="36" spans="1:14" ht="20.100000000000001" customHeight="1" x14ac:dyDescent="0.2">
      <c r="B36" s="500" t="s">
        <v>6</v>
      </c>
      <c r="C36" s="564" t="e">
        <f>K12</f>
        <v>#N/A</v>
      </c>
      <c r="D36" s="566" t="e">
        <f>L12</f>
        <v>#N/A</v>
      </c>
      <c r="E36" s="226" t="e">
        <f>D36/C36-1</f>
        <v>#N/A</v>
      </c>
      <c r="F36" s="482" t="e">
        <f t="shared" ref="F36:F43" si="2">IF(E36&gt;0,"+"&amp;TEXT(E36,"#0%"), E36)</f>
        <v>#N/A</v>
      </c>
      <c r="G36" s="566">
        <f>N12</f>
        <v>41651653</v>
      </c>
      <c r="H36" s="491" t="e">
        <f>P12</f>
        <v>#N/A</v>
      </c>
      <c r="J36" s="483" t="s">
        <v>12</v>
      </c>
      <c r="K36" s="226" t="e">
        <f>E36</f>
        <v>#N/A</v>
      </c>
      <c r="L36" s="346">
        <f>N12/M12-1</f>
        <v>8.9220740952425936E-2</v>
      </c>
      <c r="M36" s="353" t="e">
        <f>P12/O12-1</f>
        <v>#N/A</v>
      </c>
    </row>
    <row r="37" spans="1:14" ht="20.100000000000001" customHeight="1" x14ac:dyDescent="0.2">
      <c r="B37" s="495" t="s">
        <v>169</v>
      </c>
      <c r="C37" s="557" t="e">
        <f>SUM(K13:K15)</f>
        <v>#N/A</v>
      </c>
      <c r="D37" s="556" t="e">
        <f>SUM(L13:L15)</f>
        <v>#N/A</v>
      </c>
      <c r="E37" s="485">
        <f t="shared" ref="E37:E43" si="3">IFERROR(D37/C37-1,0)</f>
        <v>0</v>
      </c>
      <c r="F37" s="502">
        <f t="shared" si="2"/>
        <v>0</v>
      </c>
      <c r="G37" s="488">
        <f>SUM(N13:N15)</f>
        <v>6261162</v>
      </c>
      <c r="H37" s="488" t="e">
        <f>SUM(P13:P15)</f>
        <v>#N/A</v>
      </c>
    </row>
    <row r="38" spans="1:14" ht="20.100000000000001" customHeight="1" x14ac:dyDescent="0.2">
      <c r="B38" s="496" t="s">
        <v>60</v>
      </c>
      <c r="C38" s="558" t="e">
        <f>SUM(K16:K17)</f>
        <v>#N/A</v>
      </c>
      <c r="D38" s="552" t="e">
        <f>SUM(L16:L17)</f>
        <v>#N/A</v>
      </c>
      <c r="E38" s="138">
        <f t="shared" si="3"/>
        <v>0</v>
      </c>
      <c r="F38" s="503">
        <f t="shared" si="2"/>
        <v>0</v>
      </c>
      <c r="G38" s="489">
        <f>SUM(N16:N17)</f>
        <v>5023173</v>
      </c>
      <c r="H38" s="489" t="e">
        <f>SUM(P16:P17)</f>
        <v>#N/A</v>
      </c>
      <c r="J38" s="484" t="s">
        <v>61</v>
      </c>
      <c r="K38" s="117" t="s">
        <v>181</v>
      </c>
      <c r="L38" s="117" t="s">
        <v>182</v>
      </c>
      <c r="M38" s="302" t="s">
        <v>183</v>
      </c>
    </row>
    <row r="39" spans="1:14" ht="20.100000000000001" customHeight="1" x14ac:dyDescent="0.2">
      <c r="B39" s="496" t="s">
        <v>61</v>
      </c>
      <c r="C39" s="558" t="e">
        <f>SUM(K18:K19)</f>
        <v>#N/A</v>
      </c>
      <c r="D39" s="552" t="e">
        <f>SUM(L18:L19)</f>
        <v>#N/A</v>
      </c>
      <c r="E39" s="138">
        <f t="shared" si="3"/>
        <v>0</v>
      </c>
      <c r="F39" s="503">
        <f t="shared" si="2"/>
        <v>0</v>
      </c>
      <c r="G39" s="489">
        <f>SUM(N18:N19)</f>
        <v>6171371</v>
      </c>
      <c r="H39" s="489" t="e">
        <f>SUM(P18:P19)</f>
        <v>#N/A</v>
      </c>
      <c r="J39" s="483" t="s">
        <v>6</v>
      </c>
      <c r="K39" s="481" t="e">
        <f>D39/D36</f>
        <v>#N/A</v>
      </c>
      <c r="L39" s="481">
        <f>G39/G36</f>
        <v>0.1481662924638309</v>
      </c>
      <c r="M39" s="482" t="e">
        <f>H39/H36</f>
        <v>#N/A</v>
      </c>
    </row>
    <row r="40" spans="1:14" ht="20.100000000000001" customHeight="1" x14ac:dyDescent="0.2">
      <c r="B40" s="496" t="s">
        <v>172</v>
      </c>
      <c r="C40" s="558" t="e">
        <f>SUM(K20:K23)</f>
        <v>#N/A</v>
      </c>
      <c r="D40" s="552" t="e">
        <f>SUM(L20:L23)</f>
        <v>#N/A</v>
      </c>
      <c r="E40" s="138">
        <f t="shared" si="3"/>
        <v>0</v>
      </c>
      <c r="F40" s="503">
        <f t="shared" si="2"/>
        <v>0</v>
      </c>
      <c r="G40" s="489">
        <f>SUM(N20:N23)</f>
        <v>10932826</v>
      </c>
      <c r="H40" s="489" t="e">
        <f>SUM(P20:P23)</f>
        <v>#N/A</v>
      </c>
      <c r="J40" s="483" t="s">
        <v>12</v>
      </c>
      <c r="K40" s="226">
        <f>E39</f>
        <v>0</v>
      </c>
      <c r="L40" s="346">
        <f>SUM(N18:N19)/SUM(M18:M19)-1</f>
        <v>0.14738097358467983</v>
      </c>
      <c r="M40" s="353" t="e">
        <f>SUM(P18:P19)/SUM(O18:O19)-1</f>
        <v>#N/A</v>
      </c>
    </row>
    <row r="41" spans="1:14" ht="20.100000000000001" customHeight="1" x14ac:dyDescent="0.2">
      <c r="B41" s="496" t="s">
        <v>64</v>
      </c>
      <c r="C41" s="558" t="e">
        <f>SUM(K24:K25)</f>
        <v>#N/A</v>
      </c>
      <c r="D41" s="552" t="e">
        <f>SUM(L24:L25)</f>
        <v>#N/A</v>
      </c>
      <c r="E41" s="138">
        <f t="shared" si="3"/>
        <v>0</v>
      </c>
      <c r="F41" s="503">
        <f t="shared" si="2"/>
        <v>0</v>
      </c>
      <c r="G41" s="489">
        <f>SUM(N24:N25)</f>
        <v>5154654</v>
      </c>
      <c r="H41" s="489" t="e">
        <f>SUM(P24:P25)</f>
        <v>#N/A</v>
      </c>
      <c r="K41" s="1"/>
      <c r="L41" s="1"/>
      <c r="M41" s="1"/>
    </row>
    <row r="42" spans="1:14" ht="20.100000000000001" customHeight="1" x14ac:dyDescent="0.2">
      <c r="B42" s="496" t="s">
        <v>170</v>
      </c>
      <c r="C42" s="558" t="e">
        <f>SUM(K26:K29)</f>
        <v>#N/A</v>
      </c>
      <c r="D42" s="552" t="e">
        <f>SUM(L26:L29)</f>
        <v>#N/A</v>
      </c>
      <c r="E42" s="138">
        <f t="shared" si="3"/>
        <v>0</v>
      </c>
      <c r="F42" s="503">
        <f t="shared" si="2"/>
        <v>0</v>
      </c>
      <c r="G42" s="489">
        <f>SUM(N26:N29)</f>
        <v>7156634</v>
      </c>
      <c r="H42" s="489" t="e">
        <f>SUM(P26:P29)</f>
        <v>#N/A</v>
      </c>
      <c r="J42" s="484" t="s">
        <v>1378</v>
      </c>
      <c r="K42" s="117" t="s">
        <v>181</v>
      </c>
      <c r="L42" s="117" t="s">
        <v>182</v>
      </c>
      <c r="M42" s="302" t="s">
        <v>183</v>
      </c>
    </row>
    <row r="43" spans="1:14" ht="20.100000000000001" customHeight="1" x14ac:dyDescent="0.2">
      <c r="B43" s="497" t="s">
        <v>5</v>
      </c>
      <c r="C43" s="559" t="e">
        <f>SUM(K30)</f>
        <v>#N/A</v>
      </c>
      <c r="D43" s="554" t="e">
        <f>SUM(L30)</f>
        <v>#N/A</v>
      </c>
      <c r="E43" s="486">
        <f t="shared" si="3"/>
        <v>0</v>
      </c>
      <c r="F43" s="504">
        <f t="shared" si="2"/>
        <v>0</v>
      </c>
      <c r="G43" s="490">
        <f>SUM(N30)</f>
        <v>951833</v>
      </c>
      <c r="H43" s="490" t="e">
        <f>SUM(P30)</f>
        <v>#N/A</v>
      </c>
      <c r="J43" s="483" t="s">
        <v>6</v>
      </c>
      <c r="K43" s="481" t="e">
        <f>SUM(D42:D43)/D36</f>
        <v>#N/A</v>
      </c>
      <c r="L43" s="481">
        <f>SUM(G42:G43)/G36</f>
        <v>0.19467335426039395</v>
      </c>
      <c r="M43" s="482" t="e">
        <f>SUM(H42:H43)/H36</f>
        <v>#N/A</v>
      </c>
    </row>
    <row r="44" spans="1:14" ht="20.100000000000001" customHeight="1" x14ac:dyDescent="0.2">
      <c r="G44" s="239"/>
      <c r="H44" s="239"/>
      <c r="J44" s="483" t="s">
        <v>12</v>
      </c>
      <c r="K44" s="226" t="e">
        <f>E46</f>
        <v>#N/A</v>
      </c>
      <c r="L44" s="346">
        <f>SUM(N26:N30)/SUM(M26:M30)-1</f>
        <v>0.15079172692552789</v>
      </c>
      <c r="M44" s="353" t="e">
        <f>SUM(P26:P30)/SUM(O26:O30)-1</f>
        <v>#N/A</v>
      </c>
    </row>
    <row r="45" spans="1:14" ht="20.100000000000001" customHeight="1" x14ac:dyDescent="0.2">
      <c r="B45" s="495" t="s">
        <v>697</v>
      </c>
      <c r="C45" s="557" t="e">
        <f>SUM(C38:C39)</f>
        <v>#N/A</v>
      </c>
      <c r="D45" s="556" t="e">
        <f>SUM(D38:D39)</f>
        <v>#N/A</v>
      </c>
      <c r="E45" s="485" t="e">
        <f>D45/C45-1</f>
        <v>#N/A</v>
      </c>
      <c r="F45" s="502" t="e">
        <f t="shared" ref="F45:F46" si="4">IF(E45&gt;0,"+"&amp;TEXT(E45,"#0%"), E45)</f>
        <v>#N/A</v>
      </c>
    </row>
    <row r="46" spans="1:14" ht="20.100000000000001" customHeight="1" x14ac:dyDescent="0.2">
      <c r="B46" s="497" t="s">
        <v>558</v>
      </c>
      <c r="C46" s="559" t="e">
        <f>SUM(C42:C43)</f>
        <v>#N/A</v>
      </c>
      <c r="D46" s="554" t="e">
        <f>SUM(D42:D43)</f>
        <v>#N/A</v>
      </c>
      <c r="E46" s="486" t="e">
        <f>D46/C46-1</f>
        <v>#N/A</v>
      </c>
      <c r="F46" s="504" t="e">
        <f t="shared" si="4"/>
        <v>#N/A</v>
      </c>
    </row>
    <row r="48" spans="1:14" ht="30" customHeight="1" x14ac:dyDescent="0.2">
      <c r="A48" s="560"/>
      <c r="B48" s="175" t="s">
        <v>1217</v>
      </c>
      <c r="C48" s="310"/>
      <c r="D48" s="310"/>
      <c r="E48" s="310"/>
      <c r="F48" s="310"/>
      <c r="G48" s="310"/>
      <c r="H48" s="310"/>
      <c r="I48" s="310"/>
      <c r="J48" s="310"/>
      <c r="K48" s="310"/>
      <c r="L48" s="310"/>
      <c r="M48" s="310"/>
      <c r="N48" s="310"/>
    </row>
    <row r="50" spans="1:22" ht="20.100000000000001" customHeight="1" x14ac:dyDescent="0.2">
      <c r="B50" s="1243" t="s">
        <v>1218</v>
      </c>
      <c r="C50" s="1243"/>
      <c r="D50" s="1243"/>
      <c r="E50" s="1243"/>
      <c r="F50" s="1243"/>
      <c r="G50" s="1243"/>
      <c r="H50" s="1243"/>
      <c r="I50" s="1243"/>
      <c r="J50" s="1243"/>
    </row>
    <row r="51" spans="1:22" ht="20.100000000000001" customHeight="1" x14ac:dyDescent="0.2"/>
    <row r="52" spans="1:22" ht="20.100000000000001" customHeight="1" x14ac:dyDescent="0.2">
      <c r="B52" s="68"/>
      <c r="C52" s="517" t="s">
        <v>6</v>
      </c>
      <c r="D52" s="130" t="s">
        <v>169</v>
      </c>
      <c r="E52" s="246" t="s">
        <v>60</v>
      </c>
      <c r="F52" s="246" t="s">
        <v>61</v>
      </c>
      <c r="G52" s="246" t="s">
        <v>172</v>
      </c>
      <c r="H52" s="246" t="s">
        <v>64</v>
      </c>
      <c r="I52" s="246" t="s">
        <v>170</v>
      </c>
      <c r="J52" s="317" t="s">
        <v>5</v>
      </c>
    </row>
    <row r="53" spans="1:22" ht="20.100000000000001" customHeight="1" x14ac:dyDescent="0.2">
      <c r="B53" s="529" t="s">
        <v>197</v>
      </c>
      <c r="C53" s="530"/>
      <c r="D53" s="530"/>
      <c r="E53" s="530"/>
      <c r="F53" s="530"/>
      <c r="G53" s="530"/>
      <c r="H53" s="530"/>
      <c r="I53" s="530"/>
      <c r="J53" s="531"/>
    </row>
    <row r="54" spans="1:22" ht="20.100000000000001" customHeight="1" x14ac:dyDescent="0.2">
      <c r="B54" s="518" t="s">
        <v>171</v>
      </c>
      <c r="C54" s="652" t="str">
        <f t="array" ref="C54:J54">IFERROR(MROUND(TRANSPOSE(D36:D43),5),"x")</f>
        <v>x</v>
      </c>
      <c r="D54" s="1275" t="str">
        <v>x</v>
      </c>
      <c r="E54" s="1276" t="str">
        <v>x</v>
      </c>
      <c r="F54" s="1276" t="str">
        <v>x</v>
      </c>
      <c r="G54" s="1276" t="str">
        <v>x</v>
      </c>
      <c r="H54" s="1276" t="str">
        <v>x</v>
      </c>
      <c r="I54" s="1276" t="str">
        <v>x</v>
      </c>
      <c r="J54" s="1277" t="str">
        <v>x</v>
      </c>
    </row>
    <row r="55" spans="1:22" ht="20.100000000000001" customHeight="1" x14ac:dyDescent="0.2">
      <c r="B55" s="524" t="s">
        <v>143</v>
      </c>
      <c r="C55" s="525" t="str">
        <f t="array" ref="C55:J55">IFERROR(TRANSPOSE(F36:F43),"x")</f>
        <v>x</v>
      </c>
      <c r="D55" s="526">
        <v>0</v>
      </c>
      <c r="E55" s="527">
        <v>0</v>
      </c>
      <c r="F55" s="527">
        <v>0</v>
      </c>
      <c r="G55" s="527">
        <v>0</v>
      </c>
      <c r="H55" s="527">
        <v>0</v>
      </c>
      <c r="I55" s="527">
        <v>0</v>
      </c>
      <c r="J55" s="528">
        <v>0</v>
      </c>
    </row>
    <row r="56" spans="1:22" ht="20.100000000000001" customHeight="1" x14ac:dyDescent="0.2">
      <c r="B56" s="529" t="s">
        <v>198</v>
      </c>
      <c r="C56" s="530"/>
      <c r="D56" s="530"/>
      <c r="E56" s="530"/>
      <c r="F56" s="530"/>
      <c r="G56" s="530"/>
      <c r="H56" s="530"/>
      <c r="I56" s="530"/>
      <c r="J56" s="531"/>
    </row>
    <row r="57" spans="1:22" ht="20.100000000000001" customHeight="1" x14ac:dyDescent="0.2">
      <c r="B57" s="518" t="s">
        <v>187</v>
      </c>
      <c r="C57" s="1278" t="str">
        <f t="array" ref="C57">IFERROR(C54/$C54,"x")</f>
        <v>x</v>
      </c>
      <c r="D57" s="654" t="str">
        <f t="array" ref="D57">IFERROR(D54/$C54,"x")</f>
        <v>x</v>
      </c>
      <c r="E57" s="655" t="str">
        <f t="array" ref="E57">IFERROR(E54/$C54,"x")</f>
        <v>x</v>
      </c>
      <c r="F57" s="655" t="str">
        <f t="array" ref="F57">IFERROR(F54/$C54,"x")</f>
        <v>x</v>
      </c>
      <c r="G57" s="655" t="str">
        <f t="array" ref="G57">IFERROR(G54/$C54,"x")</f>
        <v>x</v>
      </c>
      <c r="H57" s="655" t="str">
        <f t="array" ref="H57">IFERROR(H54/$C54,"x")</f>
        <v>x</v>
      </c>
      <c r="I57" s="655" t="str">
        <f t="array" ref="I57">IFERROR(I54/$C54,"x")</f>
        <v>x</v>
      </c>
      <c r="J57" s="653" t="str">
        <f t="array" ref="J57">IFERROR(J54/$C54,"x")</f>
        <v>x</v>
      </c>
    </row>
    <row r="58" spans="1:22" ht="20.100000000000001" customHeight="1" x14ac:dyDescent="0.2">
      <c r="B58" s="521" t="s">
        <v>188</v>
      </c>
      <c r="C58" s="1279">
        <f t="array" ref="C58:J58">IFERROR(TRANSPOSE(G36:G43)/G36,"x")</f>
        <v>1</v>
      </c>
      <c r="D58" s="897">
        <v>0.15032205324480161</v>
      </c>
      <c r="E58" s="1280">
        <v>0.12059960741534076</v>
      </c>
      <c r="F58" s="1280">
        <v>0.1481662924638309</v>
      </c>
      <c r="G58" s="1280">
        <v>0.26248240375958187</v>
      </c>
      <c r="H58" s="1280">
        <v>0.12375628885605092</v>
      </c>
      <c r="I58" s="1280">
        <v>0.1718211279633968</v>
      </c>
      <c r="J58" s="898">
        <v>2.2852226296997145E-2</v>
      </c>
    </row>
    <row r="59" spans="1:22" ht="20.100000000000001" customHeight="1" x14ac:dyDescent="0.2">
      <c r="B59" s="522" t="s">
        <v>189</v>
      </c>
      <c r="C59" s="1281" t="str">
        <f t="array" ref="C59:J59">IFERROR(TRANSPOSE(H36:H43)/H36,"x")</f>
        <v>x</v>
      </c>
      <c r="D59" s="888" t="str">
        <v>x</v>
      </c>
      <c r="E59" s="670" t="str">
        <v>x</v>
      </c>
      <c r="F59" s="670" t="str">
        <v>x</v>
      </c>
      <c r="G59" s="670" t="str">
        <v>x</v>
      </c>
      <c r="H59" s="670" t="str">
        <v>x</v>
      </c>
      <c r="I59" s="670" t="str">
        <v>x</v>
      </c>
      <c r="J59" s="669" t="str">
        <v>x</v>
      </c>
    </row>
    <row r="62" spans="1:22" ht="50.1" customHeight="1" x14ac:dyDescent="0.2">
      <c r="B62" s="159" t="s">
        <v>1264</v>
      </c>
      <c r="C62" s="59"/>
      <c r="D62" s="59"/>
      <c r="E62" s="59"/>
      <c r="F62" s="59"/>
      <c r="G62" s="59"/>
      <c r="H62" s="59"/>
      <c r="I62" s="59"/>
      <c r="J62" s="59"/>
      <c r="K62" s="59"/>
      <c r="L62" s="59"/>
    </row>
    <row r="63" spans="1:22" ht="20.100000000000001" customHeight="1" x14ac:dyDescent="0.2">
      <c r="A63" s="1"/>
      <c r="B63" s="2"/>
      <c r="C63" s="1"/>
      <c r="D63" s="1"/>
      <c r="E63" s="1"/>
      <c r="F63" s="1"/>
      <c r="G63" s="1"/>
      <c r="H63" s="1"/>
      <c r="I63" s="1"/>
      <c r="J63" s="1"/>
      <c r="K63" s="1"/>
      <c r="L63" s="1"/>
      <c r="M63" s="1"/>
      <c r="N63" s="1"/>
      <c r="O63" s="1"/>
      <c r="P63" s="1"/>
      <c r="Q63" s="1"/>
      <c r="R63" s="1"/>
      <c r="S63" s="1"/>
      <c r="T63" s="1"/>
      <c r="U63" s="1"/>
      <c r="V63" s="1"/>
    </row>
    <row r="64" spans="1:22" ht="30" customHeight="1" x14ac:dyDescent="0.2">
      <c r="A64" s="560"/>
      <c r="B64" s="175" t="s">
        <v>1216</v>
      </c>
      <c r="C64" s="310"/>
      <c r="D64" s="310"/>
      <c r="E64" s="310"/>
      <c r="F64" s="310"/>
      <c r="H64" s="175" t="s">
        <v>1265</v>
      </c>
      <c r="I64" s="310"/>
      <c r="J64" s="310"/>
      <c r="K64" s="310"/>
      <c r="L64" s="310"/>
      <c r="M64" s="310"/>
      <c r="N64" s="310"/>
    </row>
    <row r="65" spans="2:16" ht="20.100000000000001" customHeight="1" x14ac:dyDescent="0.2">
      <c r="B65" s="1"/>
      <c r="H65" s="1"/>
      <c r="I65" s="1"/>
      <c r="K65" s="1"/>
      <c r="L65" s="1"/>
      <c r="M65" s="1"/>
    </row>
    <row r="66" spans="2:16" ht="20.100000000000001" customHeight="1" x14ac:dyDescent="0.2">
      <c r="B66" s="1240" t="s">
        <v>180</v>
      </c>
      <c r="C66" s="1240"/>
      <c r="D66" s="1240"/>
      <c r="H66" s="1243" t="s">
        <v>1266</v>
      </c>
      <c r="I66" s="1243"/>
      <c r="J66" s="1243"/>
      <c r="K66" s="1243"/>
      <c r="L66" s="1243"/>
      <c r="M66" s="1243"/>
      <c r="N66" s="1243"/>
    </row>
    <row r="67" spans="2:16" ht="20.100000000000001" customHeight="1" x14ac:dyDescent="0.2"/>
    <row r="68" spans="2:16" ht="20.100000000000001" customHeight="1" x14ac:dyDescent="0.2">
      <c r="B68" s="500" t="s">
        <v>1256</v>
      </c>
      <c r="C68" s="128" t="s">
        <v>181</v>
      </c>
      <c r="D68" s="302" t="s">
        <v>176</v>
      </c>
      <c r="E68" s="128" t="s">
        <v>182</v>
      </c>
      <c r="F68" s="571" t="s">
        <v>183</v>
      </c>
      <c r="H68" s="1"/>
      <c r="I68" s="1"/>
      <c r="K68" s="1"/>
      <c r="L68" s="1"/>
      <c r="M68" s="1"/>
    </row>
    <row r="69" spans="2:16" ht="20.100000000000001" customHeight="1" x14ac:dyDescent="0.2">
      <c r="B69" s="495">
        <v>2001</v>
      </c>
      <c r="C69" s="557" t="e">
        <f>INDEX(df_est_csd!$C$2:$AA$10, MATCH($A$2, df_est_csd!$B$2:$B$10,0), MATCH(TEXT($B69,"##"), df_est_csd!$C$1:$AA$1,0))</f>
        <v>#N/A</v>
      </c>
      <c r="D69" s="516"/>
      <c r="E69" s="557" t="e">
        <f t="array" ref="E69">INDEX(df_est_cd!$D$2:$AB$10000, MATCH(1,($B$2 = df_est_cd!$B$2:$B$10000) * (df_est_cd!$C$2:$C$10000 = "Total"),0), MATCH(TEXT($B69,"##"), df_est_cd!$D$1:$AB$1,0))</f>
        <v>#N/A</v>
      </c>
      <c r="F69" s="488" t="e">
        <f t="array" ref="F69">INDEX(df_est_pr!$D$2:$AB$10000, MATCH(1,($C$2 = df_est_pr!$B$2:$B$10000) * (df_est_pr!$C$2:$C$10000 = "Total"),0), MATCH(TEXT($B69,"##"), df_est_pr!$D$1:$AB$1,0))</f>
        <v>#N/A</v>
      </c>
      <c r="H69" s="1"/>
      <c r="I69" s="1"/>
      <c r="K69" s="1"/>
      <c r="L69" s="1"/>
      <c r="M69" s="1"/>
    </row>
    <row r="70" spans="2:16" ht="20.100000000000001" customHeight="1" x14ac:dyDescent="0.2">
      <c r="B70" s="496">
        <v>2002</v>
      </c>
      <c r="C70" s="558" t="e">
        <f>INDEX(df_est_csd!$C$2:$AA$10, MATCH($A$2, df_est_csd!$B$2:$B$10,0), MATCH(TEXT($B70,"##"), df_est_csd!$C$1:$AA$1,0))</f>
        <v>#N/A</v>
      </c>
      <c r="D70" s="505" t="e">
        <f>C70/C69-1</f>
        <v>#N/A</v>
      </c>
      <c r="E70" s="558" t="e">
        <f t="array" ref="E70">INDEX(df_est_cd!$D$2:$AB$10000, MATCH(1,($B$2 = df_est_cd!$B$2:$B$10000) * (df_est_cd!$C$2:$C$10000 = "Total"),0), MATCH(TEXT($B70,"##"), df_est_cd!$D$1:$AB$1,0))</f>
        <v>#N/A</v>
      </c>
      <c r="F70" s="489" t="e">
        <f t="array" ref="F70">INDEX(df_est_pr!$D$2:$AB$10000, MATCH(1,($C$2 = df_est_pr!$B$2:$B$10000) * (df_est_pr!$C$2:$C$10000 = "Total"),0), MATCH(TEXT($B70,"##"), df_est_pr!$D$1:$AB$1,0))</f>
        <v>#N/A</v>
      </c>
      <c r="H70" s="1"/>
      <c r="I70" s="1"/>
      <c r="K70" s="1"/>
      <c r="L70" s="1"/>
      <c r="M70" s="1"/>
      <c r="P70" s="1"/>
    </row>
    <row r="71" spans="2:16" ht="20.100000000000001" customHeight="1" x14ac:dyDescent="0.2">
      <c r="B71" s="496">
        <v>2003</v>
      </c>
      <c r="C71" s="558" t="e">
        <f>INDEX(df_est_csd!$C$2:$AA$10, MATCH($A$2, df_est_csd!$B$2:$B$10,0), MATCH(TEXT($B71,"##"), df_est_csd!$C$1:$AA$1,0))</f>
        <v>#N/A</v>
      </c>
      <c r="D71" s="505" t="e">
        <f t="shared" ref="D71:D93" si="5">C71/C70-1</f>
        <v>#N/A</v>
      </c>
      <c r="E71" s="558" t="e">
        <f t="array" ref="E71">INDEX(df_est_cd!$D$2:$AB$10000, MATCH(1,($B$2 = df_est_cd!$B$2:$B$10000) * (df_est_cd!$C$2:$C$10000 = "Total"),0), MATCH(TEXT($B71,"##"), df_est_cd!$D$1:$AB$1,0))</f>
        <v>#N/A</v>
      </c>
      <c r="F71" s="489" t="e">
        <f t="array" ref="F71">INDEX(df_est_pr!$D$2:$AB$10000, MATCH(1,($C$2 = df_est_pr!$B$2:$B$10000) * (df_est_pr!$C$2:$C$10000 = "Total"),0), MATCH(TEXT($B71,"##"), df_est_pr!$D$1:$AB$1,0))</f>
        <v>#N/A</v>
      </c>
      <c r="H71" s="1"/>
      <c r="I71" s="1"/>
      <c r="K71" s="1"/>
      <c r="L71" s="1"/>
      <c r="M71" s="1"/>
      <c r="P71" s="1"/>
    </row>
    <row r="72" spans="2:16" ht="20.100000000000001" customHeight="1" x14ac:dyDescent="0.2">
      <c r="B72" s="496">
        <v>2004</v>
      </c>
      <c r="C72" s="558" t="e">
        <f>INDEX(df_est_csd!$C$2:$AA$10, MATCH($A$2, df_est_csd!$B$2:$B$10,0), MATCH(TEXT($B72,"##"), df_est_csd!$C$1:$AA$1,0))</f>
        <v>#N/A</v>
      </c>
      <c r="D72" s="505" t="e">
        <f t="shared" si="5"/>
        <v>#N/A</v>
      </c>
      <c r="E72" s="558" t="e">
        <f t="array" ref="E72">INDEX(df_est_cd!$D$2:$AB$10000, MATCH(1,($B$2 = df_est_cd!$B$2:$B$10000) * (df_est_cd!$C$2:$C$10000 = "Total"),0), MATCH(TEXT($B72,"##"), df_est_cd!$D$1:$AB$1,0))</f>
        <v>#N/A</v>
      </c>
      <c r="F72" s="489" t="e">
        <f t="array" ref="F72">INDEX(df_est_pr!$D$2:$AB$10000, MATCH(1,($C$2 = df_est_pr!$B$2:$B$10000) * (df_est_pr!$C$2:$C$10000 = "Total"),0), MATCH(TEXT($B72,"##"), df_est_pr!$D$1:$AB$1,0))</f>
        <v>#N/A</v>
      </c>
      <c r="H72" s="1"/>
      <c r="I72" s="1"/>
      <c r="K72" s="1"/>
      <c r="L72" s="1"/>
      <c r="M72" s="1"/>
      <c r="P72" s="1"/>
    </row>
    <row r="73" spans="2:16" ht="20.100000000000001" customHeight="1" x14ac:dyDescent="0.2">
      <c r="B73" s="496">
        <v>2005</v>
      </c>
      <c r="C73" s="558" t="e">
        <f>INDEX(df_est_csd!$C$2:$AA$10, MATCH($A$2, df_est_csd!$B$2:$B$10,0), MATCH(TEXT($B73,"##"), df_est_csd!$C$1:$AA$1,0))</f>
        <v>#N/A</v>
      </c>
      <c r="D73" s="505" t="e">
        <f t="shared" si="5"/>
        <v>#N/A</v>
      </c>
      <c r="E73" s="558" t="e">
        <f t="array" ref="E73">INDEX(df_est_cd!$D$2:$AB$10000, MATCH(1,($B$2 = df_est_cd!$B$2:$B$10000) * (df_est_cd!$C$2:$C$10000 = "Total"),0), MATCH(TEXT($B73,"##"), df_est_cd!$D$1:$AB$1,0))</f>
        <v>#N/A</v>
      </c>
      <c r="F73" s="489" t="e">
        <f t="array" ref="F73">INDEX(df_est_pr!$D$2:$AB$10000, MATCH(1,($C$2 = df_est_pr!$B$2:$B$10000) * (df_est_pr!$C$2:$C$10000 = "Total"),0), MATCH(TEXT($B73,"##"), df_est_pr!$D$1:$AB$1,0))</f>
        <v>#N/A</v>
      </c>
      <c r="H73" s="1"/>
      <c r="I73" s="1"/>
      <c r="K73" s="1"/>
      <c r="L73" s="1"/>
      <c r="M73" s="1"/>
      <c r="P73" s="1"/>
    </row>
    <row r="74" spans="2:16" ht="20.100000000000001" customHeight="1" x14ac:dyDescent="0.2">
      <c r="B74" s="496">
        <v>2006</v>
      </c>
      <c r="C74" s="558" t="e">
        <f>INDEX(df_est_csd!$C$2:$AA$10, MATCH($A$2, df_est_csd!$B$2:$B$10,0), MATCH(TEXT($B74,"##"), df_est_csd!$C$1:$AA$1,0))</f>
        <v>#N/A</v>
      </c>
      <c r="D74" s="505" t="e">
        <f t="shared" si="5"/>
        <v>#N/A</v>
      </c>
      <c r="E74" s="558" t="e">
        <f t="array" ref="E74">INDEX(df_est_cd!$D$2:$AB$10000, MATCH(1,($B$2 = df_est_cd!$B$2:$B$10000) * (df_est_cd!$C$2:$C$10000 = "Total"),0), MATCH(TEXT($B74,"##"), df_est_cd!$D$1:$AB$1,0))</f>
        <v>#N/A</v>
      </c>
      <c r="F74" s="489" t="e">
        <f t="array" ref="F74">INDEX(df_est_pr!$D$2:$AB$10000, MATCH(1,($C$2 = df_est_pr!$B$2:$B$10000) * (df_est_pr!$C$2:$C$10000 = "Total"),0), MATCH(TEXT($B74,"##"), df_est_pr!$D$1:$AB$1,0))</f>
        <v>#N/A</v>
      </c>
      <c r="H74" s="1"/>
      <c r="I74" s="1"/>
      <c r="K74" s="1"/>
      <c r="L74" s="1"/>
      <c r="M74" s="1"/>
    </row>
    <row r="75" spans="2:16" ht="20.100000000000001" customHeight="1" x14ac:dyDescent="0.2">
      <c r="B75" s="496">
        <v>2007</v>
      </c>
      <c r="C75" s="558" t="e">
        <f>INDEX(df_est_csd!$C$2:$AA$10, MATCH($A$2, df_est_csd!$B$2:$B$10,0), MATCH(TEXT($B75,"##"), df_est_csd!$C$1:$AA$1,0))</f>
        <v>#N/A</v>
      </c>
      <c r="D75" s="505" t="e">
        <f t="shared" si="5"/>
        <v>#N/A</v>
      </c>
      <c r="E75" s="558" t="e">
        <f t="array" ref="E75">INDEX(df_est_cd!$D$2:$AB$10000, MATCH(1,($B$2 = df_est_cd!$B$2:$B$10000) * (df_est_cd!$C$2:$C$10000 = "Total"),0), MATCH(TEXT($B75,"##"), df_est_cd!$D$1:$AB$1,0))</f>
        <v>#N/A</v>
      </c>
      <c r="F75" s="489" t="e">
        <f t="array" ref="F75">INDEX(df_est_pr!$D$2:$AB$10000, MATCH(1,($C$2 = df_est_pr!$B$2:$B$10000) * (df_est_pr!$C$2:$C$10000 = "Total"),0), MATCH(TEXT($B75,"##"), df_est_pr!$D$1:$AB$1,0))</f>
        <v>#N/A</v>
      </c>
      <c r="H75" s="1"/>
      <c r="I75" s="1"/>
      <c r="K75" s="1"/>
      <c r="L75" s="1"/>
      <c r="M75" s="1"/>
    </row>
    <row r="76" spans="2:16" ht="20.100000000000001" customHeight="1" x14ac:dyDescent="0.2">
      <c r="B76" s="496">
        <v>2008</v>
      </c>
      <c r="C76" s="558" t="e">
        <f>INDEX(df_est_csd!$C$2:$AA$10, MATCH($A$2, df_est_csd!$B$2:$B$10,0), MATCH(TEXT($B76,"##"), df_est_csd!$C$1:$AA$1,0))</f>
        <v>#N/A</v>
      </c>
      <c r="D76" s="505" t="e">
        <f t="shared" si="5"/>
        <v>#N/A</v>
      </c>
      <c r="E76" s="558" t="e">
        <f t="array" ref="E76">INDEX(df_est_cd!$D$2:$AB$10000, MATCH(1,($B$2 = df_est_cd!$B$2:$B$10000) * (df_est_cd!$C$2:$C$10000 = "Total"),0), MATCH(TEXT($B76,"##"), df_est_cd!$D$1:$AB$1,0))</f>
        <v>#N/A</v>
      </c>
      <c r="F76" s="489" t="e">
        <f t="array" ref="F76">INDEX(df_est_pr!$D$2:$AB$10000, MATCH(1,($C$2 = df_est_pr!$B$2:$B$10000) * (df_est_pr!$C$2:$C$10000 = "Total"),0), MATCH(TEXT($B76,"##"), df_est_pr!$D$1:$AB$1,0))</f>
        <v>#N/A</v>
      </c>
      <c r="H76" s="1"/>
      <c r="I76" s="1"/>
      <c r="K76" s="1"/>
      <c r="L76" s="1"/>
      <c r="M76" s="1"/>
      <c r="O76" s="239"/>
    </row>
    <row r="77" spans="2:16" ht="20.100000000000001" customHeight="1" x14ac:dyDescent="0.2">
      <c r="B77" s="496">
        <v>2009</v>
      </c>
      <c r="C77" s="558" t="e">
        <f>INDEX(df_est_csd!$C$2:$AA$10, MATCH($A$2, df_est_csd!$B$2:$B$10,0), MATCH(TEXT($B77,"##"), df_est_csd!$C$1:$AA$1,0))</f>
        <v>#N/A</v>
      </c>
      <c r="D77" s="505" t="e">
        <f t="shared" si="5"/>
        <v>#N/A</v>
      </c>
      <c r="E77" s="558" t="e">
        <f t="array" ref="E77">INDEX(df_est_cd!$D$2:$AB$10000, MATCH(1,($B$2 = df_est_cd!$B$2:$B$10000) * (df_est_cd!$C$2:$C$10000 = "Total"),0), MATCH(TEXT($B77,"##"), df_est_cd!$D$1:$AB$1,0))</f>
        <v>#N/A</v>
      </c>
      <c r="F77" s="489" t="e">
        <f t="array" ref="F77">INDEX(df_est_pr!$D$2:$AB$10000, MATCH(1,($C$2 = df_est_pr!$B$2:$B$10000) * (df_est_pr!$C$2:$C$10000 = "Total"),0), MATCH(TEXT($B77,"##"), df_est_pr!$D$1:$AB$1,0))</f>
        <v>#N/A</v>
      </c>
      <c r="H77" s="1"/>
      <c r="I77" s="1"/>
      <c r="K77" s="1"/>
      <c r="L77" s="1"/>
      <c r="M77" s="1"/>
      <c r="O77" s="239"/>
    </row>
    <row r="78" spans="2:16" ht="20.100000000000001" customHeight="1" x14ac:dyDescent="0.2">
      <c r="B78" s="496">
        <v>2010</v>
      </c>
      <c r="C78" s="558" t="e">
        <f>INDEX(df_est_csd!$C$2:$AA$10, MATCH($A$2, df_est_csd!$B$2:$B$10,0), MATCH(TEXT($B78,"##"), df_est_csd!$C$1:$AA$1,0))</f>
        <v>#N/A</v>
      </c>
      <c r="D78" s="505" t="e">
        <f t="shared" si="5"/>
        <v>#N/A</v>
      </c>
      <c r="E78" s="558" t="e">
        <f t="array" ref="E78">INDEX(df_est_cd!$D$2:$AB$10000, MATCH(1,($B$2 = df_est_cd!$B$2:$B$10000) * (df_est_cd!$C$2:$C$10000 = "Total"),0), MATCH(TEXT($B78,"##"), df_est_cd!$D$1:$AB$1,0))</f>
        <v>#N/A</v>
      </c>
      <c r="F78" s="489" t="e">
        <f t="array" ref="F78">INDEX(df_est_pr!$D$2:$AB$10000, MATCH(1,($C$2 = df_est_pr!$B$2:$B$10000) * (df_est_pr!$C$2:$C$10000 = "Total"),0), MATCH(TEXT($B78,"##"), df_est_pr!$D$1:$AB$1,0))</f>
        <v>#N/A</v>
      </c>
      <c r="H78" s="1"/>
      <c r="I78" s="1"/>
      <c r="K78" s="1"/>
      <c r="L78" s="1"/>
      <c r="M78" s="1"/>
      <c r="O78" s="239"/>
    </row>
    <row r="79" spans="2:16" ht="20.100000000000001" customHeight="1" x14ac:dyDescent="0.2">
      <c r="B79" s="496">
        <v>2011</v>
      </c>
      <c r="C79" s="558" t="e">
        <f>INDEX(df_est_csd!$C$2:$AA$10, MATCH($A$2, df_est_csd!$B$2:$B$10,0), MATCH(TEXT($B79,"##"), df_est_csd!$C$1:$AA$1,0))</f>
        <v>#N/A</v>
      </c>
      <c r="D79" s="505" t="e">
        <f t="shared" si="5"/>
        <v>#N/A</v>
      </c>
      <c r="E79" s="558" t="e">
        <f t="array" ref="E79">INDEX(df_est_cd!$D$2:$AB$10000, MATCH(1,($B$2 = df_est_cd!$B$2:$B$10000) * (df_est_cd!$C$2:$C$10000 = "Total"),0), MATCH(TEXT($B79,"##"), df_est_cd!$D$1:$AB$1,0))</f>
        <v>#N/A</v>
      </c>
      <c r="F79" s="489" t="e">
        <f t="array" ref="F79">INDEX(df_est_pr!$D$2:$AB$10000, MATCH(1,($C$2 = df_est_pr!$B$2:$B$10000) * (df_est_pr!$C$2:$C$10000 = "Total"),0), MATCH(TEXT($B79,"##"), df_est_pr!$D$1:$AB$1,0))</f>
        <v>#N/A</v>
      </c>
      <c r="G79" s="1"/>
      <c r="I79" s="1"/>
      <c r="J79" s="1"/>
      <c r="K79" s="1"/>
      <c r="M79" s="239"/>
      <c r="N79" s="239"/>
      <c r="O79" s="239"/>
    </row>
    <row r="80" spans="2:16" ht="20.100000000000001" customHeight="1" x14ac:dyDescent="0.2">
      <c r="B80" s="496">
        <v>2012</v>
      </c>
      <c r="C80" s="558" t="e">
        <f>INDEX(df_est_csd!$C$2:$AA$10, MATCH($A$2, df_est_csd!$B$2:$B$10,0), MATCH(TEXT($B80,"##"), df_est_csd!$C$1:$AA$1,0))</f>
        <v>#N/A</v>
      </c>
      <c r="D80" s="505" t="e">
        <f t="shared" si="5"/>
        <v>#N/A</v>
      </c>
      <c r="E80" s="558" t="e">
        <f t="array" ref="E80">INDEX(df_est_cd!$D$2:$AB$10000, MATCH(1,($B$2 = df_est_cd!$B$2:$B$10000) * (df_est_cd!$C$2:$C$10000 = "Total"),0), MATCH(TEXT($B80,"##"), df_est_cd!$D$1:$AB$1,0))</f>
        <v>#N/A</v>
      </c>
      <c r="F80" s="489" t="e">
        <f t="array" ref="F80">INDEX(df_est_pr!$D$2:$AB$10000, MATCH(1,($C$2 = df_est_pr!$B$2:$B$10000) * (df_est_pr!$C$2:$C$10000 = "Total"),0), MATCH(TEXT($B80,"##"), df_est_pr!$D$1:$AB$1,0))</f>
        <v>#N/A</v>
      </c>
      <c r="G80" s="1"/>
      <c r="I80" s="1"/>
      <c r="J80" s="1"/>
      <c r="K80" s="1"/>
      <c r="M80" s="239"/>
      <c r="N80" s="239"/>
      <c r="O80" s="239"/>
    </row>
    <row r="81" spans="2:27" ht="20.100000000000001" customHeight="1" x14ac:dyDescent="0.2">
      <c r="B81" s="496">
        <v>2013</v>
      </c>
      <c r="C81" s="558" t="e">
        <f>INDEX(df_est_csd!$C$2:$AA$10, MATCH($A$2, df_est_csd!$B$2:$B$10,0), MATCH(TEXT($B81,"##"), df_est_csd!$C$1:$AA$1,0))</f>
        <v>#N/A</v>
      </c>
      <c r="D81" s="505" t="e">
        <f t="shared" si="5"/>
        <v>#N/A</v>
      </c>
      <c r="E81" s="558" t="e">
        <f t="array" ref="E81">INDEX(df_est_cd!$D$2:$AB$10000, MATCH(1,($B$2 = df_est_cd!$B$2:$B$10000) * (df_est_cd!$C$2:$C$10000 = "Total"),0), MATCH(TEXT($B81,"##"), df_est_cd!$D$1:$AB$1,0))</f>
        <v>#N/A</v>
      </c>
      <c r="F81" s="489" t="e">
        <f t="array" ref="F81">INDEX(df_est_pr!$D$2:$AB$10000, MATCH(1,($C$2 = df_est_pr!$B$2:$B$10000) * (df_est_pr!$C$2:$C$10000 = "Total"),0), MATCH(TEXT($B81,"##"), df_est_pr!$D$1:$AB$1,0))</f>
        <v>#N/A</v>
      </c>
      <c r="G81" s="1"/>
      <c r="I81" s="1"/>
      <c r="J81" s="1"/>
      <c r="K81" s="1"/>
      <c r="M81" s="239"/>
      <c r="N81" s="239"/>
      <c r="O81" s="239"/>
    </row>
    <row r="82" spans="2:27" ht="20.100000000000001" customHeight="1" x14ac:dyDescent="0.2">
      <c r="B82" s="496">
        <v>2014</v>
      </c>
      <c r="C82" s="558" t="e">
        <f>INDEX(df_est_csd!$C$2:$AA$10, MATCH($A$2, df_est_csd!$B$2:$B$10,0), MATCH(TEXT($B82,"##"), df_est_csd!$C$1:$AA$1,0))</f>
        <v>#N/A</v>
      </c>
      <c r="D82" s="505" t="e">
        <f t="shared" si="5"/>
        <v>#N/A</v>
      </c>
      <c r="E82" s="558" t="e">
        <f t="array" ref="E82">INDEX(df_est_cd!$D$2:$AB$10000, MATCH(1,($B$2 = df_est_cd!$B$2:$B$10000) * (df_est_cd!$C$2:$C$10000 = "Total"),0), MATCH(TEXT($B82,"##"), df_est_cd!$D$1:$AB$1,0))</f>
        <v>#N/A</v>
      </c>
      <c r="F82" s="489" t="e">
        <f t="array" ref="F82">INDEX(df_est_pr!$D$2:$AB$10000, MATCH(1,($C$2 = df_est_pr!$B$2:$B$10000) * (df_est_pr!$C$2:$C$10000 = "Total"),0), MATCH(TEXT($B82,"##"), df_est_pr!$D$1:$AB$1,0))</f>
        <v>#N/A</v>
      </c>
      <c r="G82" s="1"/>
      <c r="I82" s="1"/>
      <c r="J82" s="1"/>
      <c r="K82" s="1"/>
      <c r="M82" s="239"/>
      <c r="N82" s="239"/>
      <c r="O82" s="239"/>
    </row>
    <row r="83" spans="2:27" ht="20.100000000000001" customHeight="1" x14ac:dyDescent="0.2">
      <c r="B83" s="496">
        <v>2015</v>
      </c>
      <c r="C83" s="558" t="e">
        <f>INDEX(df_est_csd!$C$2:$AA$10, MATCH($A$2, df_est_csd!$B$2:$B$10,0), MATCH(TEXT($B83,"##"), df_est_csd!$C$1:$AA$1,0))</f>
        <v>#N/A</v>
      </c>
      <c r="D83" s="505" t="e">
        <f t="shared" si="5"/>
        <v>#N/A</v>
      </c>
      <c r="E83" s="558" t="e">
        <f t="array" ref="E83">INDEX(df_est_cd!$D$2:$AB$10000, MATCH(1,($B$2 = df_est_cd!$B$2:$B$10000) * (df_est_cd!$C$2:$C$10000 = "Total"),0), MATCH(TEXT($B83,"##"), df_est_cd!$D$1:$AB$1,0))</f>
        <v>#N/A</v>
      </c>
      <c r="F83" s="489" t="e">
        <f t="array" ref="F83">INDEX(df_est_pr!$D$2:$AB$10000, MATCH(1,($C$2 = df_est_pr!$B$2:$B$10000) * (df_est_pr!$C$2:$C$10000 = "Total"),0), MATCH(TEXT($B83,"##"), df_est_pr!$D$1:$AB$1,0))</f>
        <v>#N/A</v>
      </c>
      <c r="G83" s="1"/>
      <c r="I83" s="1"/>
      <c r="J83" s="1"/>
      <c r="K83" s="1"/>
      <c r="M83" s="239"/>
      <c r="N83" s="239"/>
      <c r="O83" s="239"/>
    </row>
    <row r="84" spans="2:27" ht="20.100000000000001" customHeight="1" x14ac:dyDescent="0.2">
      <c r="B84" s="496">
        <v>2016</v>
      </c>
      <c r="C84" s="558" t="e">
        <f>INDEX(df_est_csd!$C$2:$AA$10, MATCH($A$2, df_est_csd!$B$2:$B$10,0), MATCH(TEXT($B84,"##"), df_est_csd!$C$1:$AA$1,0))</f>
        <v>#N/A</v>
      </c>
      <c r="D84" s="505" t="e">
        <f t="shared" si="5"/>
        <v>#N/A</v>
      </c>
      <c r="E84" s="558" t="e">
        <f t="array" ref="E84">INDEX(df_est_cd!$D$2:$AB$10000, MATCH(1,($B$2 = df_est_cd!$B$2:$B$10000) * (df_est_cd!$C$2:$C$10000 = "Total"),0), MATCH(TEXT($B84,"##"), df_est_cd!$D$1:$AB$1,0))</f>
        <v>#N/A</v>
      </c>
      <c r="F84" s="489" t="e">
        <f t="array" ref="F84">INDEX(df_est_pr!$D$2:$AB$10000, MATCH(1,($C$2 = df_est_pr!$B$2:$B$10000) * (df_est_pr!$C$2:$C$10000 = "Total"),0), MATCH(TEXT($B84,"##"), df_est_pr!$D$1:$AB$1,0))</f>
        <v>#N/A</v>
      </c>
      <c r="G84" s="1"/>
      <c r="I84" s="1"/>
      <c r="J84" s="1"/>
      <c r="K84" s="1"/>
      <c r="M84" s="239"/>
      <c r="N84" s="239"/>
      <c r="O84" s="239"/>
      <c r="P84" s="239"/>
    </row>
    <row r="85" spans="2:27" ht="20.100000000000001" customHeight="1" x14ac:dyDescent="0.2">
      <c r="B85" s="496">
        <v>2017</v>
      </c>
      <c r="C85" s="558" t="e">
        <f>INDEX(df_est_csd!$C$2:$AA$10, MATCH($A$2, df_est_csd!$B$2:$B$10,0), MATCH(TEXT($B85,"##"), df_est_csd!$C$1:$AA$1,0))</f>
        <v>#N/A</v>
      </c>
      <c r="D85" s="505" t="e">
        <f t="shared" si="5"/>
        <v>#N/A</v>
      </c>
      <c r="E85" s="558" t="e">
        <f t="array" ref="E85">INDEX(df_est_cd!$D$2:$AB$10000, MATCH(1,($B$2 = df_est_cd!$B$2:$B$10000) * (df_est_cd!$C$2:$C$10000 = "Total"),0), MATCH(TEXT($B85,"##"), df_est_cd!$D$1:$AB$1,0))</f>
        <v>#N/A</v>
      </c>
      <c r="F85" s="489" t="e">
        <f t="array" ref="F85">INDEX(df_est_pr!$D$2:$AB$10000, MATCH(1,($C$2 = df_est_pr!$B$2:$B$10000) * (df_est_pr!$C$2:$C$10000 = "Total"),0), MATCH(TEXT($B85,"##"), df_est_pr!$D$1:$AB$1,0))</f>
        <v>#N/A</v>
      </c>
      <c r="G85" s="1"/>
      <c r="I85" s="1"/>
      <c r="J85" s="1"/>
      <c r="K85" s="1"/>
      <c r="M85" s="239"/>
      <c r="N85" s="239"/>
      <c r="O85" s="239"/>
      <c r="P85" s="239"/>
    </row>
    <row r="86" spans="2:27" ht="20.100000000000001" customHeight="1" x14ac:dyDescent="0.2">
      <c r="B86" s="496">
        <v>2018</v>
      </c>
      <c r="C86" s="558" t="e">
        <f>INDEX(df_est_csd!$C$2:$AA$10, MATCH($A$2, df_est_csd!$B$2:$B$10,0), MATCH(TEXT($B86,"##"), df_est_csd!$C$1:$AA$1,0))</f>
        <v>#N/A</v>
      </c>
      <c r="D86" s="505" t="e">
        <f t="shared" si="5"/>
        <v>#N/A</v>
      </c>
      <c r="E86" s="558" t="e">
        <f t="array" ref="E86">INDEX(df_est_cd!$D$2:$AB$10000, MATCH(1,($B$2 = df_est_cd!$B$2:$B$10000) * (df_est_cd!$C$2:$C$10000 = "Total"),0), MATCH(TEXT($B86,"##"), df_est_cd!$D$1:$AB$1,0))</f>
        <v>#N/A</v>
      </c>
      <c r="F86" s="489" t="e">
        <f t="array" ref="F86">INDEX(df_est_pr!$D$2:$AB$10000, MATCH(1,($C$2 = df_est_pr!$B$2:$B$10000) * (df_est_pr!$C$2:$C$10000 = "Total"),0), MATCH(TEXT($B86,"##"), df_est_pr!$D$1:$AB$1,0))</f>
        <v>#N/A</v>
      </c>
    </row>
    <row r="87" spans="2:27" ht="20.100000000000001" customHeight="1" x14ac:dyDescent="0.2">
      <c r="B87" s="496">
        <v>2019</v>
      </c>
      <c r="C87" s="558" t="e">
        <f>INDEX(df_est_csd!$C$2:$AA$10, MATCH($A$2, df_est_csd!$B$2:$B$10,0), MATCH(TEXT($B87,"##"), df_est_csd!$C$1:$AA$1,0))</f>
        <v>#N/A</v>
      </c>
      <c r="D87" s="505" t="e">
        <f t="shared" si="5"/>
        <v>#N/A</v>
      </c>
      <c r="E87" s="558" t="e">
        <f t="array" ref="E87">INDEX(df_est_cd!$D$2:$AB$10000, MATCH(1,($B$2 = df_est_cd!$B$2:$B$10000) * (df_est_cd!$C$2:$C$10000 = "Total"),0), MATCH(TEXT($B87,"##"), df_est_cd!$D$1:$AB$1,0))</f>
        <v>#N/A</v>
      </c>
      <c r="F87" s="489" t="e">
        <f t="array" ref="F87">INDEX(df_est_pr!$D$2:$AB$10000, MATCH(1,($C$2 = df_est_pr!$B$2:$B$10000) * (df_est_pr!$C$2:$C$10000 = "Total"),0), MATCH(TEXT($B87,"##"), df_est_pr!$D$1:$AB$1,0))</f>
        <v>#N/A</v>
      </c>
    </row>
    <row r="88" spans="2:27" ht="20.100000000000001" customHeight="1" x14ac:dyDescent="0.2">
      <c r="B88" s="496">
        <v>2020</v>
      </c>
      <c r="C88" s="558" t="e">
        <f>INDEX(df_est_csd!$C$2:$AA$10, MATCH($A$2, df_est_csd!$B$2:$B$10,0), MATCH(TEXT($B88,"##"), df_est_csd!$C$1:$AA$1,0))</f>
        <v>#N/A</v>
      </c>
      <c r="D88" s="505" t="e">
        <f t="shared" si="5"/>
        <v>#N/A</v>
      </c>
      <c r="E88" s="558" t="e">
        <f t="array" ref="E88">INDEX(df_est_cd!$D$2:$AB$10000, MATCH(1,($B$2 = df_est_cd!$B$2:$B$10000) * (df_est_cd!$C$2:$C$10000 = "Total"),0), MATCH(TEXT($B88,"##"), df_est_cd!$D$1:$AB$1,0))</f>
        <v>#N/A</v>
      </c>
      <c r="F88" s="489" t="e">
        <f t="array" ref="F88">INDEX(df_est_pr!$D$2:$AB$10000, MATCH(1,($C$2 = df_est_pr!$B$2:$B$10000) * (df_est_pr!$C$2:$C$10000 = "Total"),0), MATCH(TEXT($B88,"##"), df_est_pr!$D$1:$AB$1,0))</f>
        <v>#N/A</v>
      </c>
      <c r="G88" s="1"/>
    </row>
    <row r="89" spans="2:27" ht="20.100000000000001" customHeight="1" x14ac:dyDescent="0.2">
      <c r="B89" s="496">
        <v>2021</v>
      </c>
      <c r="C89" s="558" t="e">
        <f>INDEX(df_est_csd!$C$2:$AA$10, MATCH($A$2, df_est_csd!$B$2:$B$10,0), MATCH(TEXT($B89,"##"), df_est_csd!$C$1:$AA$1,0))</f>
        <v>#N/A</v>
      </c>
      <c r="D89" s="505" t="e">
        <f t="shared" si="5"/>
        <v>#N/A</v>
      </c>
      <c r="E89" s="558" t="e">
        <f t="array" ref="E89">INDEX(df_est_cd!$D$2:$AB$10000, MATCH(1,($B$2 = df_est_cd!$B$2:$B$10000) * (df_est_cd!$C$2:$C$10000 = "Total"),0), MATCH(TEXT($B89,"##"), df_est_cd!$D$1:$AB$1,0))</f>
        <v>#N/A</v>
      </c>
      <c r="F89" s="489" t="e">
        <f t="array" ref="F89">INDEX(df_est_pr!$D$2:$AB$10000, MATCH(1,($C$2 = df_est_pr!$B$2:$B$10000) * (df_est_pr!$C$2:$C$10000 = "Total"),0), MATCH(TEXT($B89,"##"), df_est_pr!$D$1:$AB$1,0))</f>
        <v>#N/A</v>
      </c>
      <c r="G89" s="1"/>
    </row>
    <row r="90" spans="2:27" ht="20.100000000000001" customHeight="1" x14ac:dyDescent="0.2">
      <c r="B90" s="496">
        <v>2022</v>
      </c>
      <c r="C90" s="558" t="e">
        <f>INDEX(df_est_csd!$C$2:$AA$10, MATCH($A$2, df_est_csd!$B$2:$B$10,0), MATCH(TEXT($B90,"##"), df_est_csd!$C$1:$AA$1,0))</f>
        <v>#N/A</v>
      </c>
      <c r="D90" s="505" t="e">
        <f t="shared" si="5"/>
        <v>#N/A</v>
      </c>
      <c r="E90" s="558" t="e">
        <f t="array" ref="E90">INDEX(df_est_cd!$D$2:$AB$10000, MATCH(1,($B$2 = df_est_cd!$B$2:$B$10000) * (df_est_cd!$C$2:$C$10000 = "Total"),0), MATCH(TEXT($B90,"##"), df_est_cd!$D$1:$AB$1,0))</f>
        <v>#N/A</v>
      </c>
      <c r="F90" s="489" t="e">
        <f t="array" ref="F90">INDEX(df_est_pr!$D$2:$AB$10000, MATCH(1,($C$2 = df_est_pr!$B$2:$B$10000) * (df_est_pr!$C$2:$C$10000 = "Total"),0), MATCH(TEXT($B90,"##"), df_est_pr!$D$1:$AB$1,0))</f>
        <v>#N/A</v>
      </c>
      <c r="G90" s="1"/>
    </row>
    <row r="91" spans="2:27" ht="20.100000000000001" customHeight="1" x14ac:dyDescent="0.2">
      <c r="B91" s="496">
        <v>2023</v>
      </c>
      <c r="C91" s="558" t="e">
        <f>INDEX(df_est_csd!$C$2:$AA$10, MATCH($A$2, df_est_csd!$B$2:$B$10,0), MATCH(TEXT($B91,"##"), df_est_csd!$C$1:$AA$1,0))</f>
        <v>#N/A</v>
      </c>
      <c r="D91" s="505" t="e">
        <f t="shared" si="5"/>
        <v>#N/A</v>
      </c>
      <c r="E91" s="558" t="e">
        <f t="array" ref="E91">INDEX(df_est_cd!$D$2:$AB$10000, MATCH(1,($B$2 = df_est_cd!$B$2:$B$10000) * (df_est_cd!$C$2:$C$10000 = "Total"),0), MATCH(TEXT($B91,"##"), df_est_cd!$D$1:$AB$1,0))</f>
        <v>#N/A</v>
      </c>
      <c r="F91" s="489" t="e">
        <f t="array" ref="F91">INDEX(df_est_pr!$D$2:$AB$10000, MATCH(1,($C$2 = df_est_pr!$B$2:$B$10000) * (df_est_pr!$C$2:$C$10000 = "Total"),0), MATCH(TEXT($B91,"##"), df_est_pr!$D$1:$AB$1,0))</f>
        <v>#N/A</v>
      </c>
      <c r="G91" s="1"/>
    </row>
    <row r="92" spans="2:27" ht="20.100000000000001" customHeight="1" x14ac:dyDescent="0.2">
      <c r="B92" s="496">
        <v>2024</v>
      </c>
      <c r="C92" s="558" t="e">
        <f>INDEX(df_est_csd!$C$2:$AA$10, MATCH($A$2, df_est_csd!$B$2:$B$10,0), MATCH(TEXT($B92,"##"), df_est_csd!$C$1:$AA$1,0))</f>
        <v>#N/A</v>
      </c>
      <c r="D92" s="505" t="e">
        <f t="shared" si="5"/>
        <v>#N/A</v>
      </c>
      <c r="E92" s="558" t="e">
        <f t="array" ref="E92">INDEX(df_est_cd!$D$2:$AB$10000, MATCH(1,($B$2 = df_est_cd!$B$2:$B$10000) * (df_est_cd!$C$2:$C$10000 = "Total"),0), MATCH(TEXT($B92,"##"), df_est_cd!$D$1:$AB$1,0))</f>
        <v>#N/A</v>
      </c>
      <c r="F92" s="489" t="e">
        <f t="array" ref="F92">INDEX(df_est_pr!$D$2:$AB$10000, MATCH(1,($C$2 = df_est_pr!$B$2:$B$10000) * (df_est_pr!$C$2:$C$10000 = "Total"),0), MATCH(TEXT($B92,"##"), df_est_pr!$D$1:$AB$1,0))</f>
        <v>#N/A</v>
      </c>
      <c r="H92" s="573"/>
      <c r="I92" s="572" t="s">
        <v>181</v>
      </c>
      <c r="J92" s="117" t="s">
        <v>182</v>
      </c>
      <c r="K92" s="302" t="s">
        <v>183</v>
      </c>
      <c r="M92" s="239"/>
    </row>
    <row r="93" spans="2:27" ht="20.100000000000001" customHeight="1" x14ac:dyDescent="0.2">
      <c r="B93" s="497">
        <v>2025</v>
      </c>
      <c r="C93" s="559" t="e">
        <f>INDEX(df_est_csd!$C$2:$AA$10, MATCH($A$2, df_est_csd!$B$2:$B$10,0), MATCH(TEXT($B93,"##"), df_est_csd!$C$1:$AA$1,0))</f>
        <v>#N/A</v>
      </c>
      <c r="D93" s="568" t="e">
        <f t="shared" si="5"/>
        <v>#N/A</v>
      </c>
      <c r="E93" s="559" t="e">
        <f t="array" ref="E93">INDEX(df_est_cd!$D$2:$AB$10000, MATCH(1,($B$2 = df_est_cd!$B$2:$B$10000) * (df_est_cd!$C$2:$C$10000 = "Total"),0), MATCH(TEXT($B93,"##"), df_est_cd!$D$1:$AB$1,0))</f>
        <v>#N/A</v>
      </c>
      <c r="F93" s="490" t="e">
        <f t="array" ref="F93">INDEX(df_est_pr!$D$2:$AB$10000, MATCH(1,($C$2 = df_est_pr!$B$2:$B$10000) * (df_est_pr!$C$2:$C$10000 = "Total"),0), MATCH(TEXT($B93,"##"), df_est_pr!$D$1:$AB$1,0))</f>
        <v>#N/A</v>
      </c>
      <c r="H93" s="573" t="s">
        <v>1379</v>
      </c>
      <c r="I93" s="572" t="e">
        <f>C93/C89-1</f>
        <v>#N/A</v>
      </c>
      <c r="J93" s="481" t="e">
        <f>E93/E89-1</f>
        <v>#N/A</v>
      </c>
      <c r="K93" s="482" t="e">
        <f>F93/F89-1</f>
        <v>#N/A</v>
      </c>
      <c r="M93" s="239"/>
    </row>
    <row r="94" spans="2:27" ht="20.100000000000001" customHeight="1" x14ac:dyDescent="0.2">
      <c r="B94" s="1"/>
      <c r="H94" s="262"/>
      <c r="I94" s="262"/>
      <c r="M94" s="239"/>
    </row>
    <row r="95" spans="2:27" ht="20.100000000000001" customHeight="1" x14ac:dyDescent="0.2">
      <c r="B95" s="1"/>
      <c r="H95" s="262"/>
      <c r="I95" s="262"/>
      <c r="M95" s="239"/>
    </row>
    <row r="96" spans="2:27" ht="50.1" customHeight="1" x14ac:dyDescent="0.2">
      <c r="B96" s="159" t="s">
        <v>1267</v>
      </c>
      <c r="C96" s="59"/>
      <c r="D96" s="59"/>
      <c r="E96" s="59"/>
      <c r="F96" s="59"/>
      <c r="G96" s="59"/>
      <c r="H96" s="59"/>
      <c r="I96" s="59"/>
      <c r="J96" s="59"/>
      <c r="K96" s="59"/>
      <c r="L96" s="59"/>
      <c r="M96" s="59"/>
      <c r="N96" s="59"/>
      <c r="O96" s="59"/>
      <c r="P96" s="59"/>
      <c r="Q96" s="59"/>
      <c r="R96" s="59"/>
      <c r="S96" s="59"/>
      <c r="T96" s="59"/>
      <c r="U96" s="59"/>
      <c r="V96" s="59"/>
      <c r="W96" s="59"/>
      <c r="X96" s="59"/>
      <c r="Y96" s="59"/>
      <c r="Z96" s="59"/>
      <c r="AA96" s="59"/>
    </row>
    <row r="97" spans="1:27" ht="20.100000000000001" customHeight="1" x14ac:dyDescent="0.2">
      <c r="A97" s="1"/>
      <c r="B97" s="2"/>
      <c r="C97" s="1"/>
      <c r="D97" s="1"/>
      <c r="E97" s="1"/>
      <c r="F97" s="1"/>
      <c r="G97" s="1"/>
      <c r="H97" s="1"/>
      <c r="I97" s="1"/>
      <c r="J97" s="1"/>
      <c r="K97" s="1"/>
      <c r="L97" s="1"/>
      <c r="M97" s="1"/>
      <c r="N97" s="1"/>
      <c r="O97" s="1"/>
      <c r="P97" s="1"/>
      <c r="Q97" s="1"/>
      <c r="R97" s="1"/>
      <c r="S97" s="1"/>
      <c r="T97" s="1"/>
      <c r="U97" s="1"/>
      <c r="V97" s="1"/>
      <c r="W97" s="1"/>
      <c r="X97" s="1"/>
      <c r="Y97" s="1"/>
      <c r="Z97" s="1"/>
      <c r="AA97" s="1"/>
    </row>
    <row r="98" spans="1:27" ht="30" customHeight="1" x14ac:dyDescent="0.2">
      <c r="A98" s="560"/>
      <c r="B98" s="175" t="s">
        <v>1216</v>
      </c>
      <c r="C98" s="310"/>
      <c r="D98" s="310"/>
      <c r="E98" s="310"/>
      <c r="F98" s="310"/>
      <c r="G98" s="310"/>
      <c r="H98" s="310"/>
      <c r="I98" s="310"/>
      <c r="J98" s="310"/>
      <c r="K98" s="310"/>
      <c r="L98" s="310"/>
      <c r="M98" s="310"/>
      <c r="N98" s="310"/>
      <c r="O98" s="310"/>
      <c r="P98" s="310"/>
      <c r="Q98" s="310"/>
      <c r="R98" s="310"/>
      <c r="S98" s="310"/>
      <c r="T98" s="310"/>
      <c r="U98" s="310"/>
      <c r="V98" s="310"/>
      <c r="W98" s="310"/>
      <c r="X98" s="310"/>
      <c r="Y98" s="310"/>
      <c r="Z98" s="310"/>
      <c r="AA98" s="310"/>
    </row>
    <row r="99" spans="1:27" ht="20.100000000000001" customHeight="1" x14ac:dyDescent="0.2">
      <c r="B99" s="1"/>
      <c r="H99" s="262"/>
      <c r="I99" s="262"/>
      <c r="M99" s="239"/>
    </row>
    <row r="100" spans="1:27" ht="20.100000000000001" customHeight="1" x14ac:dyDescent="0.2">
      <c r="B100" s="1240" t="s">
        <v>1271</v>
      </c>
      <c r="C100" s="1240"/>
      <c r="D100" s="1240"/>
      <c r="E100" s="1240"/>
      <c r="F100" s="1240"/>
      <c r="G100" s="1240"/>
      <c r="H100" s="1240"/>
      <c r="I100" s="1240"/>
      <c r="J100" s="1240"/>
      <c r="K100" s="1240"/>
      <c r="L100" s="1240"/>
      <c r="M100" s="1240"/>
      <c r="N100" s="1240"/>
      <c r="O100" s="1240"/>
      <c r="P100" s="1240"/>
      <c r="Q100" s="1240"/>
      <c r="R100" s="1240"/>
      <c r="S100" s="1240"/>
      <c r="T100" s="1240"/>
      <c r="U100" s="1240"/>
      <c r="V100" s="1240"/>
      <c r="W100" s="1240"/>
      <c r="X100" s="1240"/>
      <c r="Y100" s="1240"/>
      <c r="Z100" s="1240"/>
      <c r="AA100" s="1240"/>
    </row>
    <row r="101" spans="1:27" ht="20.100000000000001" customHeight="1" x14ac:dyDescent="0.2">
      <c r="B101" s="507" t="s">
        <v>1272</v>
      </c>
      <c r="I101" s="262"/>
      <c r="M101" s="239"/>
    </row>
    <row r="102" spans="1:27" ht="20.100000000000001" customHeight="1" x14ac:dyDescent="0.2">
      <c r="B102" s="206" t="s">
        <v>1268</v>
      </c>
      <c r="C102" s="72"/>
      <c r="D102" s="128" t="s">
        <v>207</v>
      </c>
      <c r="E102" s="117" t="s">
        <v>208</v>
      </c>
      <c r="F102" s="117" t="s">
        <v>209</v>
      </c>
      <c r="G102" s="117" t="s">
        <v>210</v>
      </c>
      <c r="H102" s="117" t="s">
        <v>211</v>
      </c>
      <c r="I102" s="481" t="s">
        <v>212</v>
      </c>
      <c r="J102" s="481" t="s">
        <v>213</v>
      </c>
      <c r="K102" s="117" t="s">
        <v>214</v>
      </c>
      <c r="L102" s="117" t="s">
        <v>215</v>
      </c>
      <c r="M102" s="117" t="s">
        <v>216</v>
      </c>
      <c r="N102" s="506" t="s">
        <v>217</v>
      </c>
      <c r="O102" s="117" t="s">
        <v>218</v>
      </c>
      <c r="P102" s="117" t="s">
        <v>219</v>
      </c>
      <c r="Q102" s="117" t="s">
        <v>220</v>
      </c>
      <c r="R102" s="117" t="s">
        <v>221</v>
      </c>
      <c r="S102" s="117" t="s">
        <v>222</v>
      </c>
      <c r="T102" s="117" t="s">
        <v>223</v>
      </c>
      <c r="U102" s="117" t="s">
        <v>224</v>
      </c>
      <c r="V102" s="117" t="s">
        <v>225</v>
      </c>
      <c r="W102" s="117" t="s">
        <v>226</v>
      </c>
      <c r="X102" s="117" t="s">
        <v>227</v>
      </c>
      <c r="Y102" s="117" t="s">
        <v>228</v>
      </c>
      <c r="Z102" s="117" t="s">
        <v>229</v>
      </c>
      <c r="AA102" s="302" t="s">
        <v>230</v>
      </c>
    </row>
    <row r="103" spans="1:27" ht="20.100000000000001" customHeight="1" x14ac:dyDescent="0.2">
      <c r="B103" s="570" t="s">
        <v>231</v>
      </c>
      <c r="C103" s="493"/>
      <c r="D103" s="570" t="e">
        <f t="array" ref="D103">INDEX(df_comp_cd!$F$2:$AC$1000, MATCH(1, (df_comp_cd!$E$2:$E$1000 = 1) * (df_comp_cd!$C$2:$C$1000 = $B103) * ($B$2 = df_comp_cd!$B$2:$B$1000), 0), MATCH(D$102, df_comp_cd!$F$1:$AC$1,0))</f>
        <v>#N/A</v>
      </c>
      <c r="E103" s="567" t="e">
        <f t="array" ref="E103">INDEX(df_comp_cd!$F$2:$AC$1000, MATCH(1, (df_comp_cd!$E$2:$E$1000 = 1) * (df_comp_cd!$C$2:$C$1000 = $B103) * ($B$2 = df_comp_cd!$B$2:$B$1000), 0), MATCH(E$102, df_comp_cd!$F$1:$AC$1,0))</f>
        <v>#N/A</v>
      </c>
      <c r="F103" s="567" t="e">
        <f t="array" ref="F103">INDEX(df_comp_cd!$F$2:$AC$1000, MATCH(1, (df_comp_cd!$E$2:$E$1000 = 1) * (df_comp_cd!$C$2:$C$1000 = $B103) * ($B$2 = df_comp_cd!$B$2:$B$1000), 0), MATCH(F$102, df_comp_cd!$F$1:$AC$1,0))</f>
        <v>#N/A</v>
      </c>
      <c r="G103" s="567" t="e">
        <f t="array" ref="G103">INDEX(df_comp_cd!$F$2:$AC$1000, MATCH(1, (df_comp_cd!$E$2:$E$1000 = 1) * (df_comp_cd!$C$2:$C$1000 = $B103) * ($B$2 = df_comp_cd!$B$2:$B$1000), 0), MATCH(G$102, df_comp_cd!$F$1:$AC$1,0))</f>
        <v>#N/A</v>
      </c>
      <c r="H103" s="567" t="e">
        <f t="array" ref="H103">INDEX(df_comp_cd!$F$2:$AC$1000, MATCH(1, (df_comp_cd!$E$2:$E$1000 = 1) * (df_comp_cd!$C$2:$C$1000 = $B103) * ($B$2 = df_comp_cd!$B$2:$B$1000), 0), MATCH(H$102, df_comp_cd!$F$1:$AC$1,0))</f>
        <v>#N/A</v>
      </c>
      <c r="I103" s="567" t="e">
        <f t="array" ref="I103">INDEX(df_comp_cd!$F$2:$AC$1000, MATCH(1, (df_comp_cd!$E$2:$E$1000 = 1) * (df_comp_cd!$C$2:$C$1000 = $B103) * ($B$2 = df_comp_cd!$B$2:$B$1000), 0), MATCH(I$102, df_comp_cd!$F$1:$AC$1,0))</f>
        <v>#N/A</v>
      </c>
      <c r="J103" s="567" t="e">
        <f t="array" ref="J103">INDEX(df_comp_cd!$F$2:$AC$1000, MATCH(1, (df_comp_cd!$E$2:$E$1000 = 1) * (df_comp_cd!$C$2:$C$1000 = $B103) * ($B$2 = df_comp_cd!$B$2:$B$1000), 0), MATCH(J$102, df_comp_cd!$F$1:$AC$1,0))</f>
        <v>#N/A</v>
      </c>
      <c r="K103" s="567" t="e">
        <f t="array" ref="K103">INDEX(df_comp_cd!$F$2:$AC$1000, MATCH(1, (df_comp_cd!$E$2:$E$1000 = 1) * (df_comp_cd!$C$2:$C$1000 = $B103) * ($B$2 = df_comp_cd!$B$2:$B$1000), 0), MATCH(K$102, df_comp_cd!$F$1:$AC$1,0))</f>
        <v>#N/A</v>
      </c>
      <c r="L103" s="567" t="e">
        <f t="array" ref="L103">INDEX(df_comp_cd!$F$2:$AC$1000, MATCH(1, (df_comp_cd!$E$2:$E$1000 = 1) * (df_comp_cd!$C$2:$C$1000 = $B103) * ($B$2 = df_comp_cd!$B$2:$B$1000), 0), MATCH(L$102, df_comp_cd!$F$1:$AC$1,0))</f>
        <v>#N/A</v>
      </c>
      <c r="M103" s="567" t="e">
        <f t="array" ref="M103">INDEX(df_comp_cd!$F$2:$AC$1000, MATCH(1, (df_comp_cd!$E$2:$E$1000 = 1) * (df_comp_cd!$C$2:$C$1000 = $B103) * ($B$2 = df_comp_cd!$B$2:$B$1000), 0), MATCH(M$102, df_comp_cd!$F$1:$AC$1,0))</f>
        <v>#N/A</v>
      </c>
      <c r="N103" s="567" t="e">
        <f t="array" ref="N103">INDEX(df_comp_cd!$F$2:$AC$1000, MATCH(1, (df_comp_cd!$E$2:$E$1000 = 1) * (df_comp_cd!$C$2:$C$1000 = $B103) * ($B$2 = df_comp_cd!$B$2:$B$1000), 0), MATCH(N$102, df_comp_cd!$F$1:$AC$1,0))</f>
        <v>#N/A</v>
      </c>
      <c r="O103" s="567" t="e">
        <f t="array" ref="O103">INDEX(df_comp_cd!$F$2:$AC$1000, MATCH(1, (df_comp_cd!$E$2:$E$1000 = 1) * (df_comp_cd!$C$2:$C$1000 = $B103) * ($B$2 = df_comp_cd!$B$2:$B$1000), 0), MATCH(O$102, df_comp_cd!$F$1:$AC$1,0))</f>
        <v>#N/A</v>
      </c>
      <c r="P103" s="567" t="e">
        <f t="array" ref="P103">INDEX(df_comp_cd!$F$2:$AC$1000, MATCH(1, (df_comp_cd!$E$2:$E$1000 = 1) * (df_comp_cd!$C$2:$C$1000 = $B103) * ($B$2 = df_comp_cd!$B$2:$B$1000), 0), MATCH(P$102, df_comp_cd!$F$1:$AC$1,0))</f>
        <v>#N/A</v>
      </c>
      <c r="Q103" s="567" t="e">
        <f t="array" ref="Q103">INDEX(df_comp_cd!$F$2:$AC$1000, MATCH(1, (df_comp_cd!$E$2:$E$1000 = 1) * (df_comp_cd!$C$2:$C$1000 = $B103) * ($B$2 = df_comp_cd!$B$2:$B$1000), 0), MATCH(Q$102, df_comp_cd!$F$1:$AC$1,0))</f>
        <v>#N/A</v>
      </c>
      <c r="R103" s="567" t="e">
        <f t="array" ref="R103">INDEX(df_comp_cd!$F$2:$AC$1000, MATCH(1, (df_comp_cd!$E$2:$E$1000 = 1) * (df_comp_cd!$C$2:$C$1000 = $B103) * ($B$2 = df_comp_cd!$B$2:$B$1000), 0), MATCH(R$102, df_comp_cd!$F$1:$AC$1,0))</f>
        <v>#N/A</v>
      </c>
      <c r="S103" s="567" t="e">
        <f t="array" ref="S103">INDEX(df_comp_cd!$F$2:$AC$1000, MATCH(1, (df_comp_cd!$E$2:$E$1000 = 1) * (df_comp_cd!$C$2:$C$1000 = $B103) * ($B$2 = df_comp_cd!$B$2:$B$1000), 0), MATCH(S$102, df_comp_cd!$F$1:$AC$1,0))</f>
        <v>#N/A</v>
      </c>
      <c r="T103" s="567" t="e">
        <f t="array" ref="T103">INDEX(df_comp_cd!$F$2:$AC$1000, MATCH(1, (df_comp_cd!$E$2:$E$1000 = 1) * (df_comp_cd!$C$2:$C$1000 = $B103) * ($B$2 = df_comp_cd!$B$2:$B$1000), 0), MATCH(T$102, df_comp_cd!$F$1:$AC$1,0))</f>
        <v>#N/A</v>
      </c>
      <c r="U103" s="567" t="e">
        <f t="array" ref="U103">INDEX(df_comp_cd!$F$2:$AC$1000, MATCH(1, (df_comp_cd!$E$2:$E$1000 = 1) * (df_comp_cd!$C$2:$C$1000 = $B103) * ($B$2 = df_comp_cd!$B$2:$B$1000), 0), MATCH(U$102, df_comp_cd!$F$1:$AC$1,0))</f>
        <v>#N/A</v>
      </c>
      <c r="V103" s="567" t="e">
        <f t="array" ref="V103">INDEX(df_comp_cd!$F$2:$AC$1000, MATCH(1, (df_comp_cd!$E$2:$E$1000 = 1) * (df_comp_cd!$C$2:$C$1000 = $B103) * ($B$2 = df_comp_cd!$B$2:$B$1000), 0), MATCH(V$102, df_comp_cd!$F$1:$AC$1,0))</f>
        <v>#N/A</v>
      </c>
      <c r="W103" s="567" t="e">
        <f t="array" ref="W103">INDEX(df_comp_cd!$F$2:$AC$1000, MATCH(1, (df_comp_cd!$E$2:$E$1000 = 1) * (df_comp_cd!$C$2:$C$1000 = $B103) * ($B$2 = df_comp_cd!$B$2:$B$1000), 0), MATCH(W$102, df_comp_cd!$F$1:$AC$1,0))</f>
        <v>#N/A</v>
      </c>
      <c r="X103" s="567" t="e">
        <f t="array" ref="X103">INDEX(df_comp_cd!$F$2:$AC$1000, MATCH(1, (df_comp_cd!$E$2:$E$1000 = 1) * (df_comp_cd!$C$2:$C$1000 = $B103) * ($B$2 = df_comp_cd!$B$2:$B$1000), 0), MATCH(X$102, df_comp_cd!$F$1:$AC$1,0))</f>
        <v>#N/A</v>
      </c>
      <c r="Y103" s="567" t="e">
        <f t="array" ref="Y103">INDEX(df_comp_cd!$F$2:$AC$1000, MATCH(1, (df_comp_cd!$E$2:$E$1000 = 1) * (df_comp_cd!$C$2:$C$1000 = $B103) * ($B$2 = df_comp_cd!$B$2:$B$1000), 0), MATCH(Y$102, df_comp_cd!$F$1:$AC$1,0))</f>
        <v>#N/A</v>
      </c>
      <c r="Z103" s="567" t="e">
        <f t="array" ref="Z103">INDEX(df_comp_cd!$F$2:$AC$1000, MATCH(1, (df_comp_cd!$E$2:$E$1000 = 1) * (df_comp_cd!$C$2:$C$1000 = $B103) * ($B$2 = df_comp_cd!$B$2:$B$1000), 0), MATCH(Z$102, df_comp_cd!$F$1:$AC$1,0))</f>
        <v>#N/A</v>
      </c>
      <c r="AA103" s="561" t="e">
        <f t="array" ref="AA103">INDEX(df_comp_cd!$F$2:$AC$1000, MATCH(1, (df_comp_cd!$E$2:$E$1000 = 1) * (df_comp_cd!$C$2:$C$1000 = $B103) * ($B$2 = df_comp_cd!$B$2:$B$1000), 0), MATCH(AA$102, df_comp_cd!$F$1:$AC$1,0))</f>
        <v>#N/A</v>
      </c>
    </row>
    <row r="104" spans="1:27" ht="20.100000000000001" customHeight="1" x14ac:dyDescent="0.2">
      <c r="B104" s="84" t="s">
        <v>232</v>
      </c>
      <c r="C104" s="173"/>
      <c r="D104" s="84" t="e">
        <f t="array" ref="D104">INDEX(df_comp_cd!$F$2:$AC$1000, MATCH(1, (df_comp_cd!$E$2:$E$1000 = 1) * (df_comp_cd!$C$2:$C$1000 = $B104) * ($B$2 = df_comp_cd!$B$2:$B$1000), 0), MATCH(D$102, df_comp_cd!$F$1:$AC$1,0))</f>
        <v>#N/A</v>
      </c>
      <c r="E104" s="1" t="e">
        <f t="array" ref="E104">INDEX(df_comp_cd!$F$2:$AC$1000, MATCH(1, (df_comp_cd!$E$2:$E$1000 = 1) * (df_comp_cd!$C$2:$C$1000 = $B104) * ($B$2 = df_comp_cd!$B$2:$B$1000), 0), MATCH(E$102, df_comp_cd!$F$1:$AC$1,0))</f>
        <v>#N/A</v>
      </c>
      <c r="F104" s="1" t="e">
        <f t="array" ref="F104">INDEX(df_comp_cd!$F$2:$AC$1000, MATCH(1, (df_comp_cd!$E$2:$E$1000 = 1) * (df_comp_cd!$C$2:$C$1000 = $B104) * ($B$2 = df_comp_cd!$B$2:$B$1000), 0), MATCH(F$102, df_comp_cd!$F$1:$AC$1,0))</f>
        <v>#N/A</v>
      </c>
      <c r="G104" s="1" t="e">
        <f t="array" ref="G104">INDEX(df_comp_cd!$F$2:$AC$1000, MATCH(1, (df_comp_cd!$E$2:$E$1000 = 1) * (df_comp_cd!$C$2:$C$1000 = $B104) * ($B$2 = df_comp_cd!$B$2:$B$1000), 0), MATCH(G$102, df_comp_cd!$F$1:$AC$1,0))</f>
        <v>#N/A</v>
      </c>
      <c r="H104" s="1" t="e">
        <f t="array" ref="H104">INDEX(df_comp_cd!$F$2:$AC$1000, MATCH(1, (df_comp_cd!$E$2:$E$1000 = 1) * (df_comp_cd!$C$2:$C$1000 = $B104) * ($B$2 = df_comp_cd!$B$2:$B$1000), 0), MATCH(H$102, df_comp_cd!$F$1:$AC$1,0))</f>
        <v>#N/A</v>
      </c>
      <c r="I104" s="1" t="e">
        <f t="array" ref="I104">INDEX(df_comp_cd!$F$2:$AC$1000, MATCH(1, (df_comp_cd!$E$2:$E$1000 = 1) * (df_comp_cd!$C$2:$C$1000 = $B104) * ($B$2 = df_comp_cd!$B$2:$B$1000), 0), MATCH(I$102, df_comp_cd!$F$1:$AC$1,0))</f>
        <v>#N/A</v>
      </c>
      <c r="J104" s="1" t="e">
        <f t="array" ref="J104">INDEX(df_comp_cd!$F$2:$AC$1000, MATCH(1, (df_comp_cd!$E$2:$E$1000 = 1) * (df_comp_cd!$C$2:$C$1000 = $B104) * ($B$2 = df_comp_cd!$B$2:$B$1000), 0), MATCH(J$102, df_comp_cd!$F$1:$AC$1,0))</f>
        <v>#N/A</v>
      </c>
      <c r="K104" s="1" t="e">
        <f t="array" ref="K104">INDEX(df_comp_cd!$F$2:$AC$1000, MATCH(1, (df_comp_cd!$E$2:$E$1000 = 1) * (df_comp_cd!$C$2:$C$1000 = $B104) * ($B$2 = df_comp_cd!$B$2:$B$1000), 0), MATCH(K$102, df_comp_cd!$F$1:$AC$1,0))</f>
        <v>#N/A</v>
      </c>
      <c r="L104" s="1" t="e">
        <f t="array" ref="L104">INDEX(df_comp_cd!$F$2:$AC$1000, MATCH(1, (df_comp_cd!$E$2:$E$1000 = 1) * (df_comp_cd!$C$2:$C$1000 = $B104) * ($B$2 = df_comp_cd!$B$2:$B$1000), 0), MATCH(L$102, df_comp_cd!$F$1:$AC$1,0))</f>
        <v>#N/A</v>
      </c>
      <c r="M104" s="1" t="e">
        <f t="array" ref="M104">INDEX(df_comp_cd!$F$2:$AC$1000, MATCH(1, (df_comp_cd!$E$2:$E$1000 = 1) * (df_comp_cd!$C$2:$C$1000 = $B104) * ($B$2 = df_comp_cd!$B$2:$B$1000), 0), MATCH(M$102, df_comp_cd!$F$1:$AC$1,0))</f>
        <v>#N/A</v>
      </c>
      <c r="N104" s="1" t="e">
        <f t="array" ref="N104">INDEX(df_comp_cd!$F$2:$AC$1000, MATCH(1, (df_comp_cd!$E$2:$E$1000 = 1) * (df_comp_cd!$C$2:$C$1000 = $B104) * ($B$2 = df_comp_cd!$B$2:$B$1000), 0), MATCH(N$102, df_comp_cd!$F$1:$AC$1,0))</f>
        <v>#N/A</v>
      </c>
      <c r="O104" s="1" t="e">
        <f t="array" ref="O104">INDEX(df_comp_cd!$F$2:$AC$1000, MATCH(1, (df_comp_cd!$E$2:$E$1000 = 1) * (df_comp_cd!$C$2:$C$1000 = $B104) * ($B$2 = df_comp_cd!$B$2:$B$1000), 0), MATCH(O$102, df_comp_cd!$F$1:$AC$1,0))</f>
        <v>#N/A</v>
      </c>
      <c r="P104" s="1" t="e">
        <f t="array" ref="P104">INDEX(df_comp_cd!$F$2:$AC$1000, MATCH(1, (df_comp_cd!$E$2:$E$1000 = 1) * (df_comp_cd!$C$2:$C$1000 = $B104) * ($B$2 = df_comp_cd!$B$2:$B$1000), 0), MATCH(P$102, df_comp_cd!$F$1:$AC$1,0))</f>
        <v>#N/A</v>
      </c>
      <c r="Q104" s="1" t="e">
        <f t="array" ref="Q104">INDEX(df_comp_cd!$F$2:$AC$1000, MATCH(1, (df_comp_cd!$E$2:$E$1000 = 1) * (df_comp_cd!$C$2:$C$1000 = $B104) * ($B$2 = df_comp_cd!$B$2:$B$1000), 0), MATCH(Q$102, df_comp_cd!$F$1:$AC$1,0))</f>
        <v>#N/A</v>
      </c>
      <c r="R104" s="1" t="e">
        <f t="array" ref="R104">INDEX(df_comp_cd!$F$2:$AC$1000, MATCH(1, (df_comp_cd!$E$2:$E$1000 = 1) * (df_comp_cd!$C$2:$C$1000 = $B104) * ($B$2 = df_comp_cd!$B$2:$B$1000), 0), MATCH(R$102, df_comp_cd!$F$1:$AC$1,0))</f>
        <v>#N/A</v>
      </c>
      <c r="S104" s="1" t="e">
        <f t="array" ref="S104">INDEX(df_comp_cd!$F$2:$AC$1000, MATCH(1, (df_comp_cd!$E$2:$E$1000 = 1) * (df_comp_cd!$C$2:$C$1000 = $B104) * ($B$2 = df_comp_cd!$B$2:$B$1000), 0), MATCH(S$102, df_comp_cd!$F$1:$AC$1,0))</f>
        <v>#N/A</v>
      </c>
      <c r="T104" s="1" t="e">
        <f t="array" ref="T104">INDEX(df_comp_cd!$F$2:$AC$1000, MATCH(1, (df_comp_cd!$E$2:$E$1000 = 1) * (df_comp_cd!$C$2:$C$1000 = $B104) * ($B$2 = df_comp_cd!$B$2:$B$1000), 0), MATCH(T$102, df_comp_cd!$F$1:$AC$1,0))</f>
        <v>#N/A</v>
      </c>
      <c r="U104" s="1" t="e">
        <f t="array" ref="U104">INDEX(df_comp_cd!$F$2:$AC$1000, MATCH(1, (df_comp_cd!$E$2:$E$1000 = 1) * (df_comp_cd!$C$2:$C$1000 = $B104) * ($B$2 = df_comp_cd!$B$2:$B$1000), 0), MATCH(U$102, df_comp_cd!$F$1:$AC$1,0))</f>
        <v>#N/A</v>
      </c>
      <c r="V104" s="1" t="e">
        <f t="array" ref="V104">INDEX(df_comp_cd!$F$2:$AC$1000, MATCH(1, (df_comp_cd!$E$2:$E$1000 = 1) * (df_comp_cd!$C$2:$C$1000 = $B104) * ($B$2 = df_comp_cd!$B$2:$B$1000), 0), MATCH(V$102, df_comp_cd!$F$1:$AC$1,0))</f>
        <v>#N/A</v>
      </c>
      <c r="W104" s="1" t="e">
        <f t="array" ref="W104">INDEX(df_comp_cd!$F$2:$AC$1000, MATCH(1, (df_comp_cd!$E$2:$E$1000 = 1) * (df_comp_cd!$C$2:$C$1000 = $B104) * ($B$2 = df_comp_cd!$B$2:$B$1000), 0), MATCH(W$102, df_comp_cd!$F$1:$AC$1,0))</f>
        <v>#N/A</v>
      </c>
      <c r="X104" s="1" t="e">
        <f t="array" ref="X104">INDEX(df_comp_cd!$F$2:$AC$1000, MATCH(1, (df_comp_cd!$E$2:$E$1000 = 1) * (df_comp_cd!$C$2:$C$1000 = $B104) * ($B$2 = df_comp_cd!$B$2:$B$1000), 0), MATCH(X$102, df_comp_cd!$F$1:$AC$1,0))</f>
        <v>#N/A</v>
      </c>
      <c r="Y104" s="1" t="e">
        <f t="array" ref="Y104">INDEX(df_comp_cd!$F$2:$AC$1000, MATCH(1, (df_comp_cd!$E$2:$E$1000 = 1) * (df_comp_cd!$C$2:$C$1000 = $B104) * ($B$2 = df_comp_cd!$B$2:$B$1000), 0), MATCH(Y$102, df_comp_cd!$F$1:$AC$1,0))</f>
        <v>#N/A</v>
      </c>
      <c r="Z104" s="1" t="e">
        <f t="array" ref="Z104">INDEX(df_comp_cd!$F$2:$AC$1000, MATCH(1, (df_comp_cd!$E$2:$E$1000 = 1) * (df_comp_cd!$C$2:$C$1000 = $B104) * ($B$2 = df_comp_cd!$B$2:$B$1000), 0), MATCH(Z$102, df_comp_cd!$F$1:$AC$1,0))</f>
        <v>#N/A</v>
      </c>
      <c r="AA104" s="359" t="e">
        <f t="array" ref="AA104">INDEX(df_comp_cd!$F$2:$AC$1000, MATCH(1, (df_comp_cd!$E$2:$E$1000 = 1) * (df_comp_cd!$C$2:$C$1000 = $B104) * ($B$2 = df_comp_cd!$B$2:$B$1000), 0), MATCH(AA$102, df_comp_cd!$F$1:$AC$1,0))</f>
        <v>#N/A</v>
      </c>
    </row>
    <row r="105" spans="1:27" ht="20.100000000000001" customHeight="1" x14ac:dyDescent="0.2">
      <c r="B105" s="84" t="s">
        <v>233</v>
      </c>
      <c r="C105" s="173"/>
      <c r="D105" s="84" t="e">
        <f t="array" ref="D105">INDEX(df_comp_cd!$F$2:$AC$1000, MATCH(1, (df_comp_cd!$E$2:$E$1000 = 1) * (df_comp_cd!$C$2:$C$1000 = $B105) * ($B$2 = df_comp_cd!$B$2:$B$1000), 0), MATCH(D$102, df_comp_cd!$F$1:$AC$1,0))</f>
        <v>#N/A</v>
      </c>
      <c r="E105" s="1" t="e">
        <f t="array" ref="E105">INDEX(df_comp_cd!$F$2:$AC$1000, MATCH(1, (df_comp_cd!$E$2:$E$1000 = 1) * (df_comp_cd!$C$2:$C$1000 = $B105) * ($B$2 = df_comp_cd!$B$2:$B$1000), 0), MATCH(E$102, df_comp_cd!$F$1:$AC$1,0))</f>
        <v>#N/A</v>
      </c>
      <c r="F105" s="1" t="e">
        <f t="array" ref="F105">INDEX(df_comp_cd!$F$2:$AC$1000, MATCH(1, (df_comp_cd!$E$2:$E$1000 = 1) * (df_comp_cd!$C$2:$C$1000 = $B105) * ($B$2 = df_comp_cd!$B$2:$B$1000), 0), MATCH(F$102, df_comp_cd!$F$1:$AC$1,0))</f>
        <v>#N/A</v>
      </c>
      <c r="G105" s="1" t="e">
        <f t="array" ref="G105">INDEX(df_comp_cd!$F$2:$AC$1000, MATCH(1, (df_comp_cd!$E$2:$E$1000 = 1) * (df_comp_cd!$C$2:$C$1000 = $B105) * ($B$2 = df_comp_cd!$B$2:$B$1000), 0), MATCH(G$102, df_comp_cd!$F$1:$AC$1,0))</f>
        <v>#N/A</v>
      </c>
      <c r="H105" s="1" t="e">
        <f t="array" ref="H105">INDEX(df_comp_cd!$F$2:$AC$1000, MATCH(1, (df_comp_cd!$E$2:$E$1000 = 1) * (df_comp_cd!$C$2:$C$1000 = $B105) * ($B$2 = df_comp_cd!$B$2:$B$1000), 0), MATCH(H$102, df_comp_cd!$F$1:$AC$1,0))</f>
        <v>#N/A</v>
      </c>
      <c r="I105" s="1" t="e">
        <f t="array" ref="I105">INDEX(df_comp_cd!$F$2:$AC$1000, MATCH(1, (df_comp_cd!$E$2:$E$1000 = 1) * (df_comp_cd!$C$2:$C$1000 = $B105) * ($B$2 = df_comp_cd!$B$2:$B$1000), 0), MATCH(I$102, df_comp_cd!$F$1:$AC$1,0))</f>
        <v>#N/A</v>
      </c>
      <c r="J105" s="1" t="e">
        <f t="array" ref="J105">INDEX(df_comp_cd!$F$2:$AC$1000, MATCH(1, (df_comp_cd!$E$2:$E$1000 = 1) * (df_comp_cd!$C$2:$C$1000 = $B105) * ($B$2 = df_comp_cd!$B$2:$B$1000), 0), MATCH(J$102, df_comp_cd!$F$1:$AC$1,0))</f>
        <v>#N/A</v>
      </c>
      <c r="K105" s="1" t="e">
        <f t="array" ref="K105">INDEX(df_comp_cd!$F$2:$AC$1000, MATCH(1, (df_comp_cd!$E$2:$E$1000 = 1) * (df_comp_cd!$C$2:$C$1000 = $B105) * ($B$2 = df_comp_cd!$B$2:$B$1000), 0), MATCH(K$102, df_comp_cd!$F$1:$AC$1,0))</f>
        <v>#N/A</v>
      </c>
      <c r="L105" s="1" t="e">
        <f t="array" ref="L105">INDEX(df_comp_cd!$F$2:$AC$1000, MATCH(1, (df_comp_cd!$E$2:$E$1000 = 1) * (df_comp_cd!$C$2:$C$1000 = $B105) * ($B$2 = df_comp_cd!$B$2:$B$1000), 0), MATCH(L$102, df_comp_cd!$F$1:$AC$1,0))</f>
        <v>#N/A</v>
      </c>
      <c r="M105" s="1" t="e">
        <f t="array" ref="M105">INDEX(df_comp_cd!$F$2:$AC$1000, MATCH(1, (df_comp_cd!$E$2:$E$1000 = 1) * (df_comp_cd!$C$2:$C$1000 = $B105) * ($B$2 = df_comp_cd!$B$2:$B$1000), 0), MATCH(M$102, df_comp_cd!$F$1:$AC$1,0))</f>
        <v>#N/A</v>
      </c>
      <c r="N105" s="1" t="e">
        <f t="array" ref="N105">INDEX(df_comp_cd!$F$2:$AC$1000, MATCH(1, (df_comp_cd!$E$2:$E$1000 = 1) * (df_comp_cd!$C$2:$C$1000 = $B105) * ($B$2 = df_comp_cd!$B$2:$B$1000), 0), MATCH(N$102, df_comp_cd!$F$1:$AC$1,0))</f>
        <v>#N/A</v>
      </c>
      <c r="O105" s="1" t="e">
        <f t="array" ref="O105">INDEX(df_comp_cd!$F$2:$AC$1000, MATCH(1, (df_comp_cd!$E$2:$E$1000 = 1) * (df_comp_cd!$C$2:$C$1000 = $B105) * ($B$2 = df_comp_cd!$B$2:$B$1000), 0), MATCH(O$102, df_comp_cd!$F$1:$AC$1,0))</f>
        <v>#N/A</v>
      </c>
      <c r="P105" s="1" t="e">
        <f t="array" ref="P105">INDEX(df_comp_cd!$F$2:$AC$1000, MATCH(1, (df_comp_cd!$E$2:$E$1000 = 1) * (df_comp_cd!$C$2:$C$1000 = $B105) * ($B$2 = df_comp_cd!$B$2:$B$1000), 0), MATCH(P$102, df_comp_cd!$F$1:$AC$1,0))</f>
        <v>#N/A</v>
      </c>
      <c r="Q105" s="1" t="e">
        <f t="array" ref="Q105">INDEX(df_comp_cd!$F$2:$AC$1000, MATCH(1, (df_comp_cd!$E$2:$E$1000 = 1) * (df_comp_cd!$C$2:$C$1000 = $B105) * ($B$2 = df_comp_cd!$B$2:$B$1000), 0), MATCH(Q$102, df_comp_cd!$F$1:$AC$1,0))</f>
        <v>#N/A</v>
      </c>
      <c r="R105" s="1" t="e">
        <f t="array" ref="R105">INDEX(df_comp_cd!$F$2:$AC$1000, MATCH(1, (df_comp_cd!$E$2:$E$1000 = 1) * (df_comp_cd!$C$2:$C$1000 = $B105) * ($B$2 = df_comp_cd!$B$2:$B$1000), 0), MATCH(R$102, df_comp_cd!$F$1:$AC$1,0))</f>
        <v>#N/A</v>
      </c>
      <c r="S105" s="1" t="e">
        <f t="array" ref="S105">INDEX(df_comp_cd!$F$2:$AC$1000, MATCH(1, (df_comp_cd!$E$2:$E$1000 = 1) * (df_comp_cd!$C$2:$C$1000 = $B105) * ($B$2 = df_comp_cd!$B$2:$B$1000), 0), MATCH(S$102, df_comp_cd!$F$1:$AC$1,0))</f>
        <v>#N/A</v>
      </c>
      <c r="T105" s="1" t="e">
        <f t="array" ref="T105">INDEX(df_comp_cd!$F$2:$AC$1000, MATCH(1, (df_comp_cd!$E$2:$E$1000 = 1) * (df_comp_cd!$C$2:$C$1000 = $B105) * ($B$2 = df_comp_cd!$B$2:$B$1000), 0), MATCH(T$102, df_comp_cd!$F$1:$AC$1,0))</f>
        <v>#N/A</v>
      </c>
      <c r="U105" s="1" t="e">
        <f t="array" ref="U105">INDEX(df_comp_cd!$F$2:$AC$1000, MATCH(1, (df_comp_cd!$E$2:$E$1000 = 1) * (df_comp_cd!$C$2:$C$1000 = $B105) * ($B$2 = df_comp_cd!$B$2:$B$1000), 0), MATCH(U$102, df_comp_cd!$F$1:$AC$1,0))</f>
        <v>#N/A</v>
      </c>
      <c r="V105" s="1" t="e">
        <f t="array" ref="V105">INDEX(df_comp_cd!$F$2:$AC$1000, MATCH(1, (df_comp_cd!$E$2:$E$1000 = 1) * (df_comp_cd!$C$2:$C$1000 = $B105) * ($B$2 = df_comp_cd!$B$2:$B$1000), 0), MATCH(V$102, df_comp_cd!$F$1:$AC$1,0))</f>
        <v>#N/A</v>
      </c>
      <c r="W105" s="1" t="e">
        <f t="array" ref="W105">INDEX(df_comp_cd!$F$2:$AC$1000, MATCH(1, (df_comp_cd!$E$2:$E$1000 = 1) * (df_comp_cd!$C$2:$C$1000 = $B105) * ($B$2 = df_comp_cd!$B$2:$B$1000), 0), MATCH(W$102, df_comp_cd!$F$1:$AC$1,0))</f>
        <v>#N/A</v>
      </c>
      <c r="X105" s="1" t="e">
        <f t="array" ref="X105">INDEX(df_comp_cd!$F$2:$AC$1000, MATCH(1, (df_comp_cd!$E$2:$E$1000 = 1) * (df_comp_cd!$C$2:$C$1000 = $B105) * ($B$2 = df_comp_cd!$B$2:$B$1000), 0), MATCH(X$102, df_comp_cd!$F$1:$AC$1,0))</f>
        <v>#N/A</v>
      </c>
      <c r="Y105" s="1" t="e">
        <f t="array" ref="Y105">INDEX(df_comp_cd!$F$2:$AC$1000, MATCH(1, (df_comp_cd!$E$2:$E$1000 = 1) * (df_comp_cd!$C$2:$C$1000 = $B105) * ($B$2 = df_comp_cd!$B$2:$B$1000), 0), MATCH(Y$102, df_comp_cd!$F$1:$AC$1,0))</f>
        <v>#N/A</v>
      </c>
      <c r="Z105" s="1" t="e">
        <f t="array" ref="Z105">INDEX(df_comp_cd!$F$2:$AC$1000, MATCH(1, (df_comp_cd!$E$2:$E$1000 = 1) * (df_comp_cd!$C$2:$C$1000 = $B105) * ($B$2 = df_comp_cd!$B$2:$B$1000), 0), MATCH(Z$102, df_comp_cd!$F$1:$AC$1,0))</f>
        <v>#N/A</v>
      </c>
      <c r="AA105" s="359" t="e">
        <f t="array" ref="AA105">INDEX(df_comp_cd!$F$2:$AC$1000, MATCH(1, (df_comp_cd!$E$2:$E$1000 = 1) * (df_comp_cd!$C$2:$C$1000 = $B105) * ($B$2 = df_comp_cd!$B$2:$B$1000), 0), MATCH(AA$102, df_comp_cd!$F$1:$AC$1,0))</f>
        <v>#N/A</v>
      </c>
    </row>
    <row r="106" spans="1:27" ht="20.100000000000001" customHeight="1" x14ac:dyDescent="0.2">
      <c r="B106" s="84" t="s">
        <v>205</v>
      </c>
      <c r="C106" s="173"/>
      <c r="D106" s="84" t="e">
        <f t="array" ref="D106">INDEX(df_comp_cd!$F$2:$AC$1000, MATCH(1, (df_comp_cd!$E$2:$E$1000 = 1) * (df_comp_cd!$C$2:$C$1000 = $B106) * ($B$2 = df_comp_cd!$B$2:$B$1000), 0), MATCH(D$102, df_comp_cd!$F$1:$AC$1,0))</f>
        <v>#N/A</v>
      </c>
      <c r="E106" s="1" t="e">
        <f t="array" ref="E106">INDEX(df_comp_cd!$F$2:$AC$1000, MATCH(1, (df_comp_cd!$E$2:$E$1000 = 1) * (df_comp_cd!$C$2:$C$1000 = $B106) * ($B$2 = df_comp_cd!$B$2:$B$1000), 0), MATCH(E$102, df_comp_cd!$F$1:$AC$1,0))</f>
        <v>#N/A</v>
      </c>
      <c r="F106" s="1" t="e">
        <f t="array" ref="F106">INDEX(df_comp_cd!$F$2:$AC$1000, MATCH(1, (df_comp_cd!$E$2:$E$1000 = 1) * (df_comp_cd!$C$2:$C$1000 = $B106) * ($B$2 = df_comp_cd!$B$2:$B$1000), 0), MATCH(F$102, df_comp_cd!$F$1:$AC$1,0))</f>
        <v>#N/A</v>
      </c>
      <c r="G106" s="1" t="e">
        <f t="array" ref="G106">INDEX(df_comp_cd!$F$2:$AC$1000, MATCH(1, (df_comp_cd!$E$2:$E$1000 = 1) * (df_comp_cd!$C$2:$C$1000 = $B106) * ($B$2 = df_comp_cd!$B$2:$B$1000), 0), MATCH(G$102, df_comp_cd!$F$1:$AC$1,0))</f>
        <v>#N/A</v>
      </c>
      <c r="H106" s="1" t="e">
        <f t="array" ref="H106">INDEX(df_comp_cd!$F$2:$AC$1000, MATCH(1, (df_comp_cd!$E$2:$E$1000 = 1) * (df_comp_cd!$C$2:$C$1000 = $B106) * ($B$2 = df_comp_cd!$B$2:$B$1000), 0), MATCH(H$102, df_comp_cd!$F$1:$AC$1,0))</f>
        <v>#N/A</v>
      </c>
      <c r="I106" s="1" t="e">
        <f t="array" ref="I106">INDEX(df_comp_cd!$F$2:$AC$1000, MATCH(1, (df_comp_cd!$E$2:$E$1000 = 1) * (df_comp_cd!$C$2:$C$1000 = $B106) * ($B$2 = df_comp_cd!$B$2:$B$1000), 0), MATCH(I$102, df_comp_cd!$F$1:$AC$1,0))</f>
        <v>#N/A</v>
      </c>
      <c r="J106" s="1" t="e">
        <f t="array" ref="J106">INDEX(df_comp_cd!$F$2:$AC$1000, MATCH(1, (df_comp_cd!$E$2:$E$1000 = 1) * (df_comp_cd!$C$2:$C$1000 = $B106) * ($B$2 = df_comp_cd!$B$2:$B$1000), 0), MATCH(J$102, df_comp_cd!$F$1:$AC$1,0))</f>
        <v>#N/A</v>
      </c>
      <c r="K106" s="1" t="e">
        <f t="array" ref="K106">INDEX(df_comp_cd!$F$2:$AC$1000, MATCH(1, (df_comp_cd!$E$2:$E$1000 = 1) * (df_comp_cd!$C$2:$C$1000 = $B106) * ($B$2 = df_comp_cd!$B$2:$B$1000), 0), MATCH(K$102, df_comp_cd!$F$1:$AC$1,0))</f>
        <v>#N/A</v>
      </c>
      <c r="L106" s="1" t="e">
        <f t="array" ref="L106">INDEX(df_comp_cd!$F$2:$AC$1000, MATCH(1, (df_comp_cd!$E$2:$E$1000 = 1) * (df_comp_cd!$C$2:$C$1000 = $B106) * ($B$2 = df_comp_cd!$B$2:$B$1000), 0), MATCH(L$102, df_comp_cd!$F$1:$AC$1,0))</f>
        <v>#N/A</v>
      </c>
      <c r="M106" s="1" t="e">
        <f t="array" ref="M106">INDEX(df_comp_cd!$F$2:$AC$1000, MATCH(1, (df_comp_cd!$E$2:$E$1000 = 1) * (df_comp_cd!$C$2:$C$1000 = $B106) * ($B$2 = df_comp_cd!$B$2:$B$1000), 0), MATCH(M$102, df_comp_cd!$F$1:$AC$1,0))</f>
        <v>#N/A</v>
      </c>
      <c r="N106" s="1" t="e">
        <f t="array" ref="N106">INDEX(df_comp_cd!$F$2:$AC$1000, MATCH(1, (df_comp_cd!$E$2:$E$1000 = 1) * (df_comp_cd!$C$2:$C$1000 = $B106) * ($B$2 = df_comp_cd!$B$2:$B$1000), 0), MATCH(N$102, df_comp_cd!$F$1:$AC$1,0))</f>
        <v>#N/A</v>
      </c>
      <c r="O106" s="1" t="e">
        <f t="array" ref="O106">INDEX(df_comp_cd!$F$2:$AC$1000, MATCH(1, (df_comp_cd!$E$2:$E$1000 = 1) * (df_comp_cd!$C$2:$C$1000 = $B106) * ($B$2 = df_comp_cd!$B$2:$B$1000), 0), MATCH(O$102, df_comp_cd!$F$1:$AC$1,0))</f>
        <v>#N/A</v>
      </c>
      <c r="P106" s="1" t="e">
        <f t="array" ref="P106">INDEX(df_comp_cd!$F$2:$AC$1000, MATCH(1, (df_comp_cd!$E$2:$E$1000 = 1) * (df_comp_cd!$C$2:$C$1000 = $B106) * ($B$2 = df_comp_cd!$B$2:$B$1000), 0), MATCH(P$102, df_comp_cd!$F$1:$AC$1,0))</f>
        <v>#N/A</v>
      </c>
      <c r="Q106" s="1" t="e">
        <f t="array" ref="Q106">INDEX(df_comp_cd!$F$2:$AC$1000, MATCH(1, (df_comp_cd!$E$2:$E$1000 = 1) * (df_comp_cd!$C$2:$C$1000 = $B106) * ($B$2 = df_comp_cd!$B$2:$B$1000), 0), MATCH(Q$102, df_comp_cd!$F$1:$AC$1,0))</f>
        <v>#N/A</v>
      </c>
      <c r="R106" s="1" t="e">
        <f t="array" ref="R106">INDEX(df_comp_cd!$F$2:$AC$1000, MATCH(1, (df_comp_cd!$E$2:$E$1000 = 1) * (df_comp_cd!$C$2:$C$1000 = $B106) * ($B$2 = df_comp_cd!$B$2:$B$1000), 0), MATCH(R$102, df_comp_cd!$F$1:$AC$1,0))</f>
        <v>#N/A</v>
      </c>
      <c r="S106" s="1" t="e">
        <f t="array" ref="S106">INDEX(df_comp_cd!$F$2:$AC$1000, MATCH(1, (df_comp_cd!$E$2:$E$1000 = 1) * (df_comp_cd!$C$2:$C$1000 = $B106) * ($B$2 = df_comp_cd!$B$2:$B$1000), 0), MATCH(S$102, df_comp_cd!$F$1:$AC$1,0))</f>
        <v>#N/A</v>
      </c>
      <c r="T106" s="1" t="e">
        <f t="array" ref="T106">INDEX(df_comp_cd!$F$2:$AC$1000, MATCH(1, (df_comp_cd!$E$2:$E$1000 = 1) * (df_comp_cd!$C$2:$C$1000 = $B106) * ($B$2 = df_comp_cd!$B$2:$B$1000), 0), MATCH(T$102, df_comp_cd!$F$1:$AC$1,0))</f>
        <v>#N/A</v>
      </c>
      <c r="U106" s="1" t="e">
        <f t="array" ref="U106">INDEX(df_comp_cd!$F$2:$AC$1000, MATCH(1, (df_comp_cd!$E$2:$E$1000 = 1) * (df_comp_cd!$C$2:$C$1000 = $B106) * ($B$2 = df_comp_cd!$B$2:$B$1000), 0), MATCH(U$102, df_comp_cd!$F$1:$AC$1,0))</f>
        <v>#N/A</v>
      </c>
      <c r="V106" s="1" t="e">
        <f t="array" ref="V106">INDEX(df_comp_cd!$F$2:$AC$1000, MATCH(1, (df_comp_cd!$E$2:$E$1000 = 1) * (df_comp_cd!$C$2:$C$1000 = $B106) * ($B$2 = df_comp_cd!$B$2:$B$1000), 0), MATCH(V$102, df_comp_cd!$F$1:$AC$1,0))</f>
        <v>#N/A</v>
      </c>
      <c r="W106" s="1" t="e">
        <f t="array" ref="W106">INDEX(df_comp_cd!$F$2:$AC$1000, MATCH(1, (df_comp_cd!$E$2:$E$1000 = 1) * (df_comp_cd!$C$2:$C$1000 = $B106) * ($B$2 = df_comp_cd!$B$2:$B$1000), 0), MATCH(W$102, df_comp_cd!$F$1:$AC$1,0))</f>
        <v>#N/A</v>
      </c>
      <c r="X106" s="1" t="e">
        <f t="array" ref="X106">INDEX(df_comp_cd!$F$2:$AC$1000, MATCH(1, (df_comp_cd!$E$2:$E$1000 = 1) * (df_comp_cd!$C$2:$C$1000 = $B106) * ($B$2 = df_comp_cd!$B$2:$B$1000), 0), MATCH(X$102, df_comp_cd!$F$1:$AC$1,0))</f>
        <v>#N/A</v>
      </c>
      <c r="Y106" s="1" t="e">
        <f t="array" ref="Y106">INDEX(df_comp_cd!$F$2:$AC$1000, MATCH(1, (df_comp_cd!$E$2:$E$1000 = 1) * (df_comp_cd!$C$2:$C$1000 = $B106) * ($B$2 = df_comp_cd!$B$2:$B$1000), 0), MATCH(Y$102, df_comp_cd!$F$1:$AC$1,0))</f>
        <v>#N/A</v>
      </c>
      <c r="Z106" s="1" t="e">
        <f t="array" ref="Z106">INDEX(df_comp_cd!$F$2:$AC$1000, MATCH(1, (df_comp_cd!$E$2:$E$1000 = 1) * (df_comp_cd!$C$2:$C$1000 = $B106) * ($B$2 = df_comp_cd!$B$2:$B$1000), 0), MATCH(Z$102, df_comp_cd!$F$1:$AC$1,0))</f>
        <v>#N/A</v>
      </c>
      <c r="AA106" s="359" t="e">
        <f t="array" ref="AA106">INDEX(df_comp_cd!$F$2:$AC$1000, MATCH(1, (df_comp_cd!$E$2:$E$1000 = 1) * (df_comp_cd!$C$2:$C$1000 = $B106) * ($B$2 = df_comp_cd!$B$2:$B$1000), 0), MATCH(AA$102, df_comp_cd!$F$1:$AC$1,0))</f>
        <v>#N/A</v>
      </c>
    </row>
    <row r="107" spans="1:27" ht="20.100000000000001" customHeight="1" x14ac:dyDescent="0.2">
      <c r="B107" s="84" t="s">
        <v>234</v>
      </c>
      <c r="C107" s="173"/>
      <c r="D107" s="84" t="e">
        <f t="array" ref="D107">INDEX(df_comp_cd!$F$2:$AC$1000, MATCH(1, (df_comp_cd!$E$2:$E$1000 = 1) * (df_comp_cd!$C$2:$C$1000 = $B107) * ($B$2 = df_comp_cd!$B$2:$B$1000), 0), MATCH(D$102, df_comp_cd!$F$1:$AC$1,0))</f>
        <v>#N/A</v>
      </c>
      <c r="E107" s="1" t="e">
        <f t="array" ref="E107">INDEX(df_comp_cd!$F$2:$AC$1000, MATCH(1, (df_comp_cd!$E$2:$E$1000 = 1) * (df_comp_cd!$C$2:$C$1000 = $B107) * ($B$2 = df_comp_cd!$B$2:$B$1000), 0), MATCH(E$102, df_comp_cd!$F$1:$AC$1,0))</f>
        <v>#N/A</v>
      </c>
      <c r="F107" s="1" t="e">
        <f t="array" ref="F107">INDEX(df_comp_cd!$F$2:$AC$1000, MATCH(1, (df_comp_cd!$E$2:$E$1000 = 1) * (df_comp_cd!$C$2:$C$1000 = $B107) * ($B$2 = df_comp_cd!$B$2:$B$1000), 0), MATCH(F$102, df_comp_cd!$F$1:$AC$1,0))</f>
        <v>#N/A</v>
      </c>
      <c r="G107" s="1" t="e">
        <f t="array" ref="G107">INDEX(df_comp_cd!$F$2:$AC$1000, MATCH(1, (df_comp_cd!$E$2:$E$1000 = 1) * (df_comp_cd!$C$2:$C$1000 = $B107) * ($B$2 = df_comp_cd!$B$2:$B$1000), 0), MATCH(G$102, df_comp_cd!$F$1:$AC$1,0))</f>
        <v>#N/A</v>
      </c>
      <c r="H107" s="1" t="e">
        <f t="array" ref="H107">INDEX(df_comp_cd!$F$2:$AC$1000, MATCH(1, (df_comp_cd!$E$2:$E$1000 = 1) * (df_comp_cd!$C$2:$C$1000 = $B107) * ($B$2 = df_comp_cd!$B$2:$B$1000), 0), MATCH(H$102, df_comp_cd!$F$1:$AC$1,0))</f>
        <v>#N/A</v>
      </c>
      <c r="I107" s="1" t="e">
        <f t="array" ref="I107">INDEX(df_comp_cd!$F$2:$AC$1000, MATCH(1, (df_comp_cd!$E$2:$E$1000 = 1) * (df_comp_cd!$C$2:$C$1000 = $B107) * ($B$2 = df_comp_cd!$B$2:$B$1000), 0), MATCH(I$102, df_comp_cd!$F$1:$AC$1,0))</f>
        <v>#N/A</v>
      </c>
      <c r="J107" s="1" t="e">
        <f t="array" ref="J107">INDEX(df_comp_cd!$F$2:$AC$1000, MATCH(1, (df_comp_cd!$E$2:$E$1000 = 1) * (df_comp_cd!$C$2:$C$1000 = $B107) * ($B$2 = df_comp_cd!$B$2:$B$1000), 0), MATCH(J$102, df_comp_cd!$F$1:$AC$1,0))</f>
        <v>#N/A</v>
      </c>
      <c r="K107" s="1" t="e">
        <f t="array" ref="K107">INDEX(df_comp_cd!$F$2:$AC$1000, MATCH(1, (df_comp_cd!$E$2:$E$1000 = 1) * (df_comp_cd!$C$2:$C$1000 = $B107) * ($B$2 = df_comp_cd!$B$2:$B$1000), 0), MATCH(K$102, df_comp_cd!$F$1:$AC$1,0))</f>
        <v>#N/A</v>
      </c>
      <c r="L107" s="1" t="e">
        <f t="array" ref="L107">INDEX(df_comp_cd!$F$2:$AC$1000, MATCH(1, (df_comp_cd!$E$2:$E$1000 = 1) * (df_comp_cd!$C$2:$C$1000 = $B107) * ($B$2 = df_comp_cd!$B$2:$B$1000), 0), MATCH(L$102, df_comp_cd!$F$1:$AC$1,0))</f>
        <v>#N/A</v>
      </c>
      <c r="M107" s="1" t="e">
        <f t="array" ref="M107">INDEX(df_comp_cd!$F$2:$AC$1000, MATCH(1, (df_comp_cd!$E$2:$E$1000 = 1) * (df_comp_cd!$C$2:$C$1000 = $B107) * ($B$2 = df_comp_cd!$B$2:$B$1000), 0), MATCH(M$102, df_comp_cd!$F$1:$AC$1,0))</f>
        <v>#N/A</v>
      </c>
      <c r="N107" s="1" t="e">
        <f t="array" ref="N107">INDEX(df_comp_cd!$F$2:$AC$1000, MATCH(1, (df_comp_cd!$E$2:$E$1000 = 1) * (df_comp_cd!$C$2:$C$1000 = $B107) * ($B$2 = df_comp_cd!$B$2:$B$1000), 0), MATCH(N$102, df_comp_cd!$F$1:$AC$1,0))</f>
        <v>#N/A</v>
      </c>
      <c r="O107" s="1" t="e">
        <f t="array" ref="O107">INDEX(df_comp_cd!$F$2:$AC$1000, MATCH(1, (df_comp_cd!$E$2:$E$1000 = 1) * (df_comp_cd!$C$2:$C$1000 = $B107) * ($B$2 = df_comp_cd!$B$2:$B$1000), 0), MATCH(O$102, df_comp_cd!$F$1:$AC$1,0))</f>
        <v>#N/A</v>
      </c>
      <c r="P107" s="1" t="e">
        <f t="array" ref="P107">INDEX(df_comp_cd!$F$2:$AC$1000, MATCH(1, (df_comp_cd!$E$2:$E$1000 = 1) * (df_comp_cd!$C$2:$C$1000 = $B107) * ($B$2 = df_comp_cd!$B$2:$B$1000), 0), MATCH(P$102, df_comp_cd!$F$1:$AC$1,0))</f>
        <v>#N/A</v>
      </c>
      <c r="Q107" s="1" t="e">
        <f t="array" ref="Q107">INDEX(df_comp_cd!$F$2:$AC$1000, MATCH(1, (df_comp_cd!$E$2:$E$1000 = 1) * (df_comp_cd!$C$2:$C$1000 = $B107) * ($B$2 = df_comp_cd!$B$2:$B$1000), 0), MATCH(Q$102, df_comp_cd!$F$1:$AC$1,0))</f>
        <v>#N/A</v>
      </c>
      <c r="R107" s="1" t="e">
        <f t="array" ref="R107">INDEX(df_comp_cd!$F$2:$AC$1000, MATCH(1, (df_comp_cd!$E$2:$E$1000 = 1) * (df_comp_cd!$C$2:$C$1000 = $B107) * ($B$2 = df_comp_cd!$B$2:$B$1000), 0), MATCH(R$102, df_comp_cd!$F$1:$AC$1,0))</f>
        <v>#N/A</v>
      </c>
      <c r="S107" s="1" t="e">
        <f t="array" ref="S107">INDEX(df_comp_cd!$F$2:$AC$1000, MATCH(1, (df_comp_cd!$E$2:$E$1000 = 1) * (df_comp_cd!$C$2:$C$1000 = $B107) * ($B$2 = df_comp_cd!$B$2:$B$1000), 0), MATCH(S$102, df_comp_cd!$F$1:$AC$1,0))</f>
        <v>#N/A</v>
      </c>
      <c r="T107" s="1" t="e">
        <f t="array" ref="T107">INDEX(df_comp_cd!$F$2:$AC$1000, MATCH(1, (df_comp_cd!$E$2:$E$1000 = 1) * (df_comp_cd!$C$2:$C$1000 = $B107) * ($B$2 = df_comp_cd!$B$2:$B$1000), 0), MATCH(T$102, df_comp_cd!$F$1:$AC$1,0))</f>
        <v>#N/A</v>
      </c>
      <c r="U107" s="1" t="e">
        <f t="array" ref="U107">INDEX(df_comp_cd!$F$2:$AC$1000, MATCH(1, (df_comp_cd!$E$2:$E$1000 = 1) * (df_comp_cd!$C$2:$C$1000 = $B107) * ($B$2 = df_comp_cd!$B$2:$B$1000), 0), MATCH(U$102, df_comp_cd!$F$1:$AC$1,0))</f>
        <v>#N/A</v>
      </c>
      <c r="V107" s="1" t="e">
        <f t="array" ref="V107">INDEX(df_comp_cd!$F$2:$AC$1000, MATCH(1, (df_comp_cd!$E$2:$E$1000 = 1) * (df_comp_cd!$C$2:$C$1000 = $B107) * ($B$2 = df_comp_cd!$B$2:$B$1000), 0), MATCH(V$102, df_comp_cd!$F$1:$AC$1,0))</f>
        <v>#N/A</v>
      </c>
      <c r="W107" s="1" t="e">
        <f t="array" ref="W107">INDEX(df_comp_cd!$F$2:$AC$1000, MATCH(1, (df_comp_cd!$E$2:$E$1000 = 1) * (df_comp_cd!$C$2:$C$1000 = $B107) * ($B$2 = df_comp_cd!$B$2:$B$1000), 0), MATCH(W$102, df_comp_cd!$F$1:$AC$1,0))</f>
        <v>#N/A</v>
      </c>
      <c r="X107" s="1" t="e">
        <f t="array" ref="X107">INDEX(df_comp_cd!$F$2:$AC$1000, MATCH(1, (df_comp_cd!$E$2:$E$1000 = 1) * (df_comp_cd!$C$2:$C$1000 = $B107) * ($B$2 = df_comp_cd!$B$2:$B$1000), 0), MATCH(X$102, df_comp_cd!$F$1:$AC$1,0))</f>
        <v>#N/A</v>
      </c>
      <c r="Y107" s="1" t="e">
        <f t="array" ref="Y107">INDEX(df_comp_cd!$F$2:$AC$1000, MATCH(1, (df_comp_cd!$E$2:$E$1000 = 1) * (df_comp_cd!$C$2:$C$1000 = $B107) * ($B$2 = df_comp_cd!$B$2:$B$1000), 0), MATCH(Y$102, df_comp_cd!$F$1:$AC$1,0))</f>
        <v>#N/A</v>
      </c>
      <c r="Z107" s="1" t="e">
        <f t="array" ref="Z107">INDEX(df_comp_cd!$F$2:$AC$1000, MATCH(1, (df_comp_cd!$E$2:$E$1000 = 1) * (df_comp_cd!$C$2:$C$1000 = $B107) * ($B$2 = df_comp_cd!$B$2:$B$1000), 0), MATCH(Z$102, df_comp_cd!$F$1:$AC$1,0))</f>
        <v>#N/A</v>
      </c>
      <c r="AA107" s="359" t="e">
        <f t="array" ref="AA107">INDEX(df_comp_cd!$F$2:$AC$1000, MATCH(1, (df_comp_cd!$E$2:$E$1000 = 1) * (df_comp_cd!$C$2:$C$1000 = $B107) * ($B$2 = df_comp_cd!$B$2:$B$1000), 0), MATCH(AA$102, df_comp_cd!$F$1:$AC$1,0))</f>
        <v>#N/A</v>
      </c>
    </row>
    <row r="108" spans="1:27" ht="20.100000000000001" customHeight="1" x14ac:dyDescent="0.2">
      <c r="B108" s="84" t="s">
        <v>235</v>
      </c>
      <c r="C108" s="173"/>
      <c r="D108" s="84" t="e">
        <f t="array" ref="D108">INDEX(df_comp_cd!$F$2:$AC$1000, MATCH(1, (df_comp_cd!$E$2:$E$1000 = 1) * (df_comp_cd!$C$2:$C$1000 = $B108) * ($B$2 = df_comp_cd!$B$2:$B$1000), 0), MATCH(D$102, df_comp_cd!$F$1:$AC$1,0))</f>
        <v>#N/A</v>
      </c>
      <c r="E108" s="1" t="e">
        <f t="array" ref="E108">INDEX(df_comp_cd!$F$2:$AC$1000, MATCH(1, (df_comp_cd!$E$2:$E$1000 = 1) * (df_comp_cd!$C$2:$C$1000 = $B108) * ($B$2 = df_comp_cd!$B$2:$B$1000), 0), MATCH(E$102, df_comp_cd!$F$1:$AC$1,0))</f>
        <v>#N/A</v>
      </c>
      <c r="F108" s="1" t="e">
        <f t="array" ref="F108">INDEX(df_comp_cd!$F$2:$AC$1000, MATCH(1, (df_comp_cd!$E$2:$E$1000 = 1) * (df_comp_cd!$C$2:$C$1000 = $B108) * ($B$2 = df_comp_cd!$B$2:$B$1000), 0), MATCH(F$102, df_comp_cd!$F$1:$AC$1,0))</f>
        <v>#N/A</v>
      </c>
      <c r="G108" s="1" t="e">
        <f t="array" ref="G108">INDEX(df_comp_cd!$F$2:$AC$1000, MATCH(1, (df_comp_cd!$E$2:$E$1000 = 1) * (df_comp_cd!$C$2:$C$1000 = $B108) * ($B$2 = df_comp_cd!$B$2:$B$1000), 0), MATCH(G$102, df_comp_cd!$F$1:$AC$1,0))</f>
        <v>#N/A</v>
      </c>
      <c r="H108" s="1" t="e">
        <f t="array" ref="H108">INDEX(df_comp_cd!$F$2:$AC$1000, MATCH(1, (df_comp_cd!$E$2:$E$1000 = 1) * (df_comp_cd!$C$2:$C$1000 = $B108) * ($B$2 = df_comp_cd!$B$2:$B$1000), 0), MATCH(H$102, df_comp_cd!$F$1:$AC$1,0))</f>
        <v>#N/A</v>
      </c>
      <c r="I108" s="1" t="e">
        <f t="array" ref="I108">INDEX(df_comp_cd!$F$2:$AC$1000, MATCH(1, (df_comp_cd!$E$2:$E$1000 = 1) * (df_comp_cd!$C$2:$C$1000 = $B108) * ($B$2 = df_comp_cd!$B$2:$B$1000), 0), MATCH(I$102, df_comp_cd!$F$1:$AC$1,0))</f>
        <v>#N/A</v>
      </c>
      <c r="J108" s="1" t="e">
        <f t="array" ref="J108">INDEX(df_comp_cd!$F$2:$AC$1000, MATCH(1, (df_comp_cd!$E$2:$E$1000 = 1) * (df_comp_cd!$C$2:$C$1000 = $B108) * ($B$2 = df_comp_cd!$B$2:$B$1000), 0), MATCH(J$102, df_comp_cd!$F$1:$AC$1,0))</f>
        <v>#N/A</v>
      </c>
      <c r="K108" s="1" t="e">
        <f t="array" ref="K108">INDEX(df_comp_cd!$F$2:$AC$1000, MATCH(1, (df_comp_cd!$E$2:$E$1000 = 1) * (df_comp_cd!$C$2:$C$1000 = $B108) * ($B$2 = df_comp_cd!$B$2:$B$1000), 0), MATCH(K$102, df_comp_cd!$F$1:$AC$1,0))</f>
        <v>#N/A</v>
      </c>
      <c r="L108" s="1" t="e">
        <f t="array" ref="L108">INDEX(df_comp_cd!$F$2:$AC$1000, MATCH(1, (df_comp_cd!$E$2:$E$1000 = 1) * (df_comp_cd!$C$2:$C$1000 = $B108) * ($B$2 = df_comp_cd!$B$2:$B$1000), 0), MATCH(L$102, df_comp_cd!$F$1:$AC$1,0))</f>
        <v>#N/A</v>
      </c>
      <c r="M108" s="1" t="e">
        <f t="array" ref="M108">INDEX(df_comp_cd!$F$2:$AC$1000, MATCH(1, (df_comp_cd!$E$2:$E$1000 = 1) * (df_comp_cd!$C$2:$C$1000 = $B108) * ($B$2 = df_comp_cd!$B$2:$B$1000), 0), MATCH(M$102, df_comp_cd!$F$1:$AC$1,0))</f>
        <v>#N/A</v>
      </c>
      <c r="N108" s="1" t="e">
        <f t="array" ref="N108">INDEX(df_comp_cd!$F$2:$AC$1000, MATCH(1, (df_comp_cd!$E$2:$E$1000 = 1) * (df_comp_cd!$C$2:$C$1000 = $B108) * ($B$2 = df_comp_cd!$B$2:$B$1000), 0), MATCH(N$102, df_comp_cd!$F$1:$AC$1,0))</f>
        <v>#N/A</v>
      </c>
      <c r="O108" s="1" t="e">
        <f t="array" ref="O108">INDEX(df_comp_cd!$F$2:$AC$1000, MATCH(1, (df_comp_cd!$E$2:$E$1000 = 1) * (df_comp_cd!$C$2:$C$1000 = $B108) * ($B$2 = df_comp_cd!$B$2:$B$1000), 0), MATCH(O$102, df_comp_cd!$F$1:$AC$1,0))</f>
        <v>#N/A</v>
      </c>
      <c r="P108" s="1" t="e">
        <f t="array" ref="P108">INDEX(df_comp_cd!$F$2:$AC$1000, MATCH(1, (df_comp_cd!$E$2:$E$1000 = 1) * (df_comp_cd!$C$2:$C$1000 = $B108) * ($B$2 = df_comp_cd!$B$2:$B$1000), 0), MATCH(P$102, df_comp_cd!$F$1:$AC$1,0))</f>
        <v>#N/A</v>
      </c>
      <c r="Q108" s="1" t="e">
        <f t="array" ref="Q108">INDEX(df_comp_cd!$F$2:$AC$1000, MATCH(1, (df_comp_cd!$E$2:$E$1000 = 1) * (df_comp_cd!$C$2:$C$1000 = $B108) * ($B$2 = df_comp_cd!$B$2:$B$1000), 0), MATCH(Q$102, df_comp_cd!$F$1:$AC$1,0))</f>
        <v>#N/A</v>
      </c>
      <c r="R108" s="1" t="e">
        <f t="array" ref="R108">INDEX(df_comp_cd!$F$2:$AC$1000, MATCH(1, (df_comp_cd!$E$2:$E$1000 = 1) * (df_comp_cd!$C$2:$C$1000 = $B108) * ($B$2 = df_comp_cd!$B$2:$B$1000), 0), MATCH(R$102, df_comp_cd!$F$1:$AC$1,0))</f>
        <v>#N/A</v>
      </c>
      <c r="S108" s="1" t="e">
        <f t="array" ref="S108">INDEX(df_comp_cd!$F$2:$AC$1000, MATCH(1, (df_comp_cd!$E$2:$E$1000 = 1) * (df_comp_cd!$C$2:$C$1000 = $B108) * ($B$2 = df_comp_cd!$B$2:$B$1000), 0), MATCH(S$102, df_comp_cd!$F$1:$AC$1,0))</f>
        <v>#N/A</v>
      </c>
      <c r="T108" s="1" t="e">
        <f t="array" ref="T108">INDEX(df_comp_cd!$F$2:$AC$1000, MATCH(1, (df_comp_cd!$E$2:$E$1000 = 1) * (df_comp_cd!$C$2:$C$1000 = $B108) * ($B$2 = df_comp_cd!$B$2:$B$1000), 0), MATCH(T$102, df_comp_cd!$F$1:$AC$1,0))</f>
        <v>#N/A</v>
      </c>
      <c r="U108" s="1" t="e">
        <f t="array" ref="U108">INDEX(df_comp_cd!$F$2:$AC$1000, MATCH(1, (df_comp_cd!$E$2:$E$1000 = 1) * (df_comp_cd!$C$2:$C$1000 = $B108) * ($B$2 = df_comp_cd!$B$2:$B$1000), 0), MATCH(U$102, df_comp_cd!$F$1:$AC$1,0))</f>
        <v>#N/A</v>
      </c>
      <c r="V108" s="1" t="e">
        <f t="array" ref="V108">INDEX(df_comp_cd!$F$2:$AC$1000, MATCH(1, (df_comp_cd!$E$2:$E$1000 = 1) * (df_comp_cd!$C$2:$C$1000 = $B108) * ($B$2 = df_comp_cd!$B$2:$B$1000), 0), MATCH(V$102, df_comp_cd!$F$1:$AC$1,0))</f>
        <v>#N/A</v>
      </c>
      <c r="W108" s="1" t="e">
        <f t="array" ref="W108">INDEX(df_comp_cd!$F$2:$AC$1000, MATCH(1, (df_comp_cd!$E$2:$E$1000 = 1) * (df_comp_cd!$C$2:$C$1000 = $B108) * ($B$2 = df_comp_cd!$B$2:$B$1000), 0), MATCH(W$102, df_comp_cd!$F$1:$AC$1,0))</f>
        <v>#N/A</v>
      </c>
      <c r="X108" s="1" t="e">
        <f t="array" ref="X108">INDEX(df_comp_cd!$F$2:$AC$1000, MATCH(1, (df_comp_cd!$E$2:$E$1000 = 1) * (df_comp_cd!$C$2:$C$1000 = $B108) * ($B$2 = df_comp_cd!$B$2:$B$1000), 0), MATCH(X$102, df_comp_cd!$F$1:$AC$1,0))</f>
        <v>#N/A</v>
      </c>
      <c r="Y108" s="1" t="e">
        <f t="array" ref="Y108">INDEX(df_comp_cd!$F$2:$AC$1000, MATCH(1, (df_comp_cd!$E$2:$E$1000 = 1) * (df_comp_cd!$C$2:$C$1000 = $B108) * ($B$2 = df_comp_cd!$B$2:$B$1000), 0), MATCH(Y$102, df_comp_cd!$F$1:$AC$1,0))</f>
        <v>#N/A</v>
      </c>
      <c r="Z108" s="1" t="e">
        <f t="array" ref="Z108">INDEX(df_comp_cd!$F$2:$AC$1000, MATCH(1, (df_comp_cd!$E$2:$E$1000 = 1) * (df_comp_cd!$C$2:$C$1000 = $B108) * ($B$2 = df_comp_cd!$B$2:$B$1000), 0), MATCH(Z$102, df_comp_cd!$F$1:$AC$1,0))</f>
        <v>#N/A</v>
      </c>
      <c r="AA108" s="359" t="e">
        <f t="array" ref="AA108">INDEX(df_comp_cd!$F$2:$AC$1000, MATCH(1, (df_comp_cd!$E$2:$E$1000 = 1) * (df_comp_cd!$C$2:$C$1000 = $B108) * ($B$2 = df_comp_cd!$B$2:$B$1000), 0), MATCH(AA$102, df_comp_cd!$F$1:$AC$1,0))</f>
        <v>#N/A</v>
      </c>
    </row>
    <row r="109" spans="1:27" ht="20.100000000000001" customHeight="1" x14ac:dyDescent="0.2">
      <c r="B109" s="84" t="s">
        <v>236</v>
      </c>
      <c r="C109" s="173"/>
      <c r="D109" s="84" t="e">
        <f t="array" ref="D109">INDEX(df_comp_cd!$F$2:$AC$1000, MATCH(1, (df_comp_cd!$E$2:$E$1000 = 1) * (df_comp_cd!$C$2:$C$1000 = $B109) * ($B$2 = df_comp_cd!$B$2:$B$1000), 0), MATCH(D$102, df_comp_cd!$F$1:$AC$1,0))</f>
        <v>#N/A</v>
      </c>
      <c r="E109" s="1" t="e">
        <f t="array" ref="E109">INDEX(df_comp_cd!$F$2:$AC$1000, MATCH(1, (df_comp_cd!$E$2:$E$1000 = 1) * (df_comp_cd!$C$2:$C$1000 = $B109) * ($B$2 = df_comp_cd!$B$2:$B$1000), 0), MATCH(E$102, df_comp_cd!$F$1:$AC$1,0))</f>
        <v>#N/A</v>
      </c>
      <c r="F109" s="1" t="e">
        <f t="array" ref="F109">INDEX(df_comp_cd!$F$2:$AC$1000, MATCH(1, (df_comp_cd!$E$2:$E$1000 = 1) * (df_comp_cd!$C$2:$C$1000 = $B109) * ($B$2 = df_comp_cd!$B$2:$B$1000), 0), MATCH(F$102, df_comp_cd!$F$1:$AC$1,0))</f>
        <v>#N/A</v>
      </c>
      <c r="G109" s="1" t="e">
        <f t="array" ref="G109">INDEX(df_comp_cd!$F$2:$AC$1000, MATCH(1, (df_comp_cd!$E$2:$E$1000 = 1) * (df_comp_cd!$C$2:$C$1000 = $B109) * ($B$2 = df_comp_cd!$B$2:$B$1000), 0), MATCH(G$102, df_comp_cd!$F$1:$AC$1,0))</f>
        <v>#N/A</v>
      </c>
      <c r="H109" s="1" t="e">
        <f t="array" ref="H109">INDEX(df_comp_cd!$F$2:$AC$1000, MATCH(1, (df_comp_cd!$E$2:$E$1000 = 1) * (df_comp_cd!$C$2:$C$1000 = $B109) * ($B$2 = df_comp_cd!$B$2:$B$1000), 0), MATCH(H$102, df_comp_cd!$F$1:$AC$1,0))</f>
        <v>#N/A</v>
      </c>
      <c r="I109" s="1" t="e">
        <f t="array" ref="I109">INDEX(df_comp_cd!$F$2:$AC$1000, MATCH(1, (df_comp_cd!$E$2:$E$1000 = 1) * (df_comp_cd!$C$2:$C$1000 = $B109) * ($B$2 = df_comp_cd!$B$2:$B$1000), 0), MATCH(I$102, df_comp_cd!$F$1:$AC$1,0))</f>
        <v>#N/A</v>
      </c>
      <c r="J109" s="1" t="e">
        <f t="array" ref="J109">INDEX(df_comp_cd!$F$2:$AC$1000, MATCH(1, (df_comp_cd!$E$2:$E$1000 = 1) * (df_comp_cd!$C$2:$C$1000 = $B109) * ($B$2 = df_comp_cd!$B$2:$B$1000), 0), MATCH(J$102, df_comp_cd!$F$1:$AC$1,0))</f>
        <v>#N/A</v>
      </c>
      <c r="K109" s="1" t="e">
        <f t="array" ref="K109">INDEX(df_comp_cd!$F$2:$AC$1000, MATCH(1, (df_comp_cd!$E$2:$E$1000 = 1) * (df_comp_cd!$C$2:$C$1000 = $B109) * ($B$2 = df_comp_cd!$B$2:$B$1000), 0), MATCH(K$102, df_comp_cd!$F$1:$AC$1,0))</f>
        <v>#N/A</v>
      </c>
      <c r="L109" s="1" t="e">
        <f t="array" ref="L109">INDEX(df_comp_cd!$F$2:$AC$1000, MATCH(1, (df_comp_cd!$E$2:$E$1000 = 1) * (df_comp_cd!$C$2:$C$1000 = $B109) * ($B$2 = df_comp_cd!$B$2:$B$1000), 0), MATCH(L$102, df_comp_cd!$F$1:$AC$1,0))</f>
        <v>#N/A</v>
      </c>
      <c r="M109" s="1" t="e">
        <f t="array" ref="M109">INDEX(df_comp_cd!$F$2:$AC$1000, MATCH(1, (df_comp_cd!$E$2:$E$1000 = 1) * (df_comp_cd!$C$2:$C$1000 = $B109) * ($B$2 = df_comp_cd!$B$2:$B$1000), 0), MATCH(M$102, df_comp_cd!$F$1:$AC$1,0))</f>
        <v>#N/A</v>
      </c>
      <c r="N109" s="1" t="e">
        <f t="array" ref="N109">INDEX(df_comp_cd!$F$2:$AC$1000, MATCH(1, (df_comp_cd!$E$2:$E$1000 = 1) * (df_comp_cd!$C$2:$C$1000 = $B109) * ($B$2 = df_comp_cd!$B$2:$B$1000), 0), MATCH(N$102, df_comp_cd!$F$1:$AC$1,0))</f>
        <v>#N/A</v>
      </c>
      <c r="O109" s="1" t="e">
        <f t="array" ref="O109">INDEX(df_comp_cd!$F$2:$AC$1000, MATCH(1, (df_comp_cd!$E$2:$E$1000 = 1) * (df_comp_cd!$C$2:$C$1000 = $B109) * ($B$2 = df_comp_cd!$B$2:$B$1000), 0), MATCH(O$102, df_comp_cd!$F$1:$AC$1,0))</f>
        <v>#N/A</v>
      </c>
      <c r="P109" s="1" t="e">
        <f t="array" ref="P109">INDEX(df_comp_cd!$F$2:$AC$1000, MATCH(1, (df_comp_cd!$E$2:$E$1000 = 1) * (df_comp_cd!$C$2:$C$1000 = $B109) * ($B$2 = df_comp_cd!$B$2:$B$1000), 0), MATCH(P$102, df_comp_cd!$F$1:$AC$1,0))</f>
        <v>#N/A</v>
      </c>
      <c r="Q109" s="1" t="e">
        <f t="array" ref="Q109">INDEX(df_comp_cd!$F$2:$AC$1000, MATCH(1, (df_comp_cd!$E$2:$E$1000 = 1) * (df_comp_cd!$C$2:$C$1000 = $B109) * ($B$2 = df_comp_cd!$B$2:$B$1000), 0), MATCH(Q$102, df_comp_cd!$F$1:$AC$1,0))</f>
        <v>#N/A</v>
      </c>
      <c r="R109" s="1" t="e">
        <f t="array" ref="R109">INDEX(df_comp_cd!$F$2:$AC$1000, MATCH(1, (df_comp_cd!$E$2:$E$1000 = 1) * (df_comp_cd!$C$2:$C$1000 = $B109) * ($B$2 = df_comp_cd!$B$2:$B$1000), 0), MATCH(R$102, df_comp_cd!$F$1:$AC$1,0))</f>
        <v>#N/A</v>
      </c>
      <c r="S109" s="1" t="e">
        <f t="array" ref="S109">INDEX(df_comp_cd!$F$2:$AC$1000, MATCH(1, (df_comp_cd!$E$2:$E$1000 = 1) * (df_comp_cd!$C$2:$C$1000 = $B109) * ($B$2 = df_comp_cd!$B$2:$B$1000), 0), MATCH(S$102, df_comp_cd!$F$1:$AC$1,0))</f>
        <v>#N/A</v>
      </c>
      <c r="T109" s="1" t="e">
        <f t="array" ref="T109">INDEX(df_comp_cd!$F$2:$AC$1000, MATCH(1, (df_comp_cd!$E$2:$E$1000 = 1) * (df_comp_cd!$C$2:$C$1000 = $B109) * ($B$2 = df_comp_cd!$B$2:$B$1000), 0), MATCH(T$102, df_comp_cd!$F$1:$AC$1,0))</f>
        <v>#N/A</v>
      </c>
      <c r="U109" s="1" t="e">
        <f t="array" ref="U109">INDEX(df_comp_cd!$F$2:$AC$1000, MATCH(1, (df_comp_cd!$E$2:$E$1000 = 1) * (df_comp_cd!$C$2:$C$1000 = $B109) * ($B$2 = df_comp_cd!$B$2:$B$1000), 0), MATCH(U$102, df_comp_cd!$F$1:$AC$1,0))</f>
        <v>#N/A</v>
      </c>
      <c r="V109" s="1" t="e">
        <f t="array" ref="V109">INDEX(df_comp_cd!$F$2:$AC$1000, MATCH(1, (df_comp_cd!$E$2:$E$1000 = 1) * (df_comp_cd!$C$2:$C$1000 = $B109) * ($B$2 = df_comp_cd!$B$2:$B$1000), 0), MATCH(V$102, df_comp_cd!$F$1:$AC$1,0))</f>
        <v>#N/A</v>
      </c>
      <c r="W109" s="1" t="e">
        <f t="array" ref="W109">INDEX(df_comp_cd!$F$2:$AC$1000, MATCH(1, (df_comp_cd!$E$2:$E$1000 = 1) * (df_comp_cd!$C$2:$C$1000 = $B109) * ($B$2 = df_comp_cd!$B$2:$B$1000), 0), MATCH(W$102, df_comp_cd!$F$1:$AC$1,0))</f>
        <v>#N/A</v>
      </c>
      <c r="X109" s="1" t="e">
        <f t="array" ref="X109">INDEX(df_comp_cd!$F$2:$AC$1000, MATCH(1, (df_comp_cd!$E$2:$E$1000 = 1) * (df_comp_cd!$C$2:$C$1000 = $B109) * ($B$2 = df_comp_cd!$B$2:$B$1000), 0), MATCH(X$102, df_comp_cd!$F$1:$AC$1,0))</f>
        <v>#N/A</v>
      </c>
      <c r="Y109" s="1" t="e">
        <f t="array" ref="Y109">INDEX(df_comp_cd!$F$2:$AC$1000, MATCH(1, (df_comp_cd!$E$2:$E$1000 = 1) * (df_comp_cd!$C$2:$C$1000 = $B109) * ($B$2 = df_comp_cd!$B$2:$B$1000), 0), MATCH(Y$102, df_comp_cd!$F$1:$AC$1,0))</f>
        <v>#N/A</v>
      </c>
      <c r="Z109" s="1" t="e">
        <f t="array" ref="Z109">INDEX(df_comp_cd!$F$2:$AC$1000, MATCH(1, (df_comp_cd!$E$2:$E$1000 = 1) * (df_comp_cd!$C$2:$C$1000 = $B109) * ($B$2 = df_comp_cd!$B$2:$B$1000), 0), MATCH(Z$102, df_comp_cd!$F$1:$AC$1,0))</f>
        <v>#N/A</v>
      </c>
      <c r="AA109" s="359" t="e">
        <f t="array" ref="AA109">INDEX(df_comp_cd!$F$2:$AC$1000, MATCH(1, (df_comp_cd!$E$2:$E$1000 = 1) * (df_comp_cd!$C$2:$C$1000 = $B109) * ($B$2 = df_comp_cd!$B$2:$B$1000), 0), MATCH(AA$102, df_comp_cd!$F$1:$AC$1,0))</f>
        <v>#N/A</v>
      </c>
    </row>
    <row r="110" spans="1:27" ht="20.100000000000001" customHeight="1" x14ac:dyDescent="0.2">
      <c r="B110" s="569" t="s">
        <v>237</v>
      </c>
      <c r="C110" s="494"/>
      <c r="D110" s="569" t="e">
        <f t="array" ref="D110">INDEX(df_comp_cd!$F$2:$AC$1000, MATCH(1, (df_comp_cd!$E$2:$E$1000 = 1) * (df_comp_cd!$C$2:$C$1000 = $B110) * ($B$2 = df_comp_cd!$B$2:$B$1000), 0), MATCH(D$102, df_comp_cd!$F$1:$AC$1,0))</f>
        <v>#N/A</v>
      </c>
      <c r="E110" s="498" t="e">
        <f t="array" ref="E110">INDEX(df_comp_cd!$F$2:$AC$1000, MATCH(1, (df_comp_cd!$E$2:$E$1000 = 1) * (df_comp_cd!$C$2:$C$1000 = $B110) * ($B$2 = df_comp_cd!$B$2:$B$1000), 0), MATCH(E$102, df_comp_cd!$F$1:$AC$1,0))</f>
        <v>#N/A</v>
      </c>
      <c r="F110" s="498" t="e">
        <f t="array" ref="F110">INDEX(df_comp_cd!$F$2:$AC$1000, MATCH(1, (df_comp_cd!$E$2:$E$1000 = 1) * (df_comp_cd!$C$2:$C$1000 = $B110) * ($B$2 = df_comp_cd!$B$2:$B$1000), 0), MATCH(F$102, df_comp_cd!$F$1:$AC$1,0))</f>
        <v>#N/A</v>
      </c>
      <c r="G110" s="498" t="e">
        <f t="array" ref="G110">INDEX(df_comp_cd!$F$2:$AC$1000, MATCH(1, (df_comp_cd!$E$2:$E$1000 = 1) * (df_comp_cd!$C$2:$C$1000 = $B110) * ($B$2 = df_comp_cd!$B$2:$B$1000), 0), MATCH(G$102, df_comp_cd!$F$1:$AC$1,0))</f>
        <v>#N/A</v>
      </c>
      <c r="H110" s="498" t="e">
        <f t="array" ref="H110">INDEX(df_comp_cd!$F$2:$AC$1000, MATCH(1, (df_comp_cd!$E$2:$E$1000 = 1) * (df_comp_cd!$C$2:$C$1000 = $B110) * ($B$2 = df_comp_cd!$B$2:$B$1000), 0), MATCH(H$102, df_comp_cd!$F$1:$AC$1,0))</f>
        <v>#N/A</v>
      </c>
      <c r="I110" s="498" t="e">
        <f t="array" ref="I110">INDEX(df_comp_cd!$F$2:$AC$1000, MATCH(1, (df_comp_cd!$E$2:$E$1000 = 1) * (df_comp_cd!$C$2:$C$1000 = $B110) * ($B$2 = df_comp_cd!$B$2:$B$1000), 0), MATCH(I$102, df_comp_cd!$F$1:$AC$1,0))</f>
        <v>#N/A</v>
      </c>
      <c r="J110" s="498" t="e">
        <f t="array" ref="J110">INDEX(df_comp_cd!$F$2:$AC$1000, MATCH(1, (df_comp_cd!$E$2:$E$1000 = 1) * (df_comp_cd!$C$2:$C$1000 = $B110) * ($B$2 = df_comp_cd!$B$2:$B$1000), 0), MATCH(J$102, df_comp_cd!$F$1:$AC$1,0))</f>
        <v>#N/A</v>
      </c>
      <c r="K110" s="498" t="e">
        <f t="array" ref="K110">INDEX(df_comp_cd!$F$2:$AC$1000, MATCH(1, (df_comp_cd!$E$2:$E$1000 = 1) * (df_comp_cd!$C$2:$C$1000 = $B110) * ($B$2 = df_comp_cd!$B$2:$B$1000), 0), MATCH(K$102, df_comp_cd!$F$1:$AC$1,0))</f>
        <v>#N/A</v>
      </c>
      <c r="L110" s="498" t="e">
        <f t="array" ref="L110">INDEX(df_comp_cd!$F$2:$AC$1000, MATCH(1, (df_comp_cd!$E$2:$E$1000 = 1) * (df_comp_cd!$C$2:$C$1000 = $B110) * ($B$2 = df_comp_cd!$B$2:$B$1000), 0), MATCH(L$102, df_comp_cd!$F$1:$AC$1,0))</f>
        <v>#N/A</v>
      </c>
      <c r="M110" s="498" t="e">
        <f t="array" ref="M110">INDEX(df_comp_cd!$F$2:$AC$1000, MATCH(1, (df_comp_cd!$E$2:$E$1000 = 1) * (df_comp_cd!$C$2:$C$1000 = $B110) * ($B$2 = df_comp_cd!$B$2:$B$1000), 0), MATCH(M$102, df_comp_cd!$F$1:$AC$1,0))</f>
        <v>#N/A</v>
      </c>
      <c r="N110" s="498" t="e">
        <f t="array" ref="N110">INDEX(df_comp_cd!$F$2:$AC$1000, MATCH(1, (df_comp_cd!$E$2:$E$1000 = 1) * (df_comp_cd!$C$2:$C$1000 = $B110) * ($B$2 = df_comp_cd!$B$2:$B$1000), 0), MATCH(N$102, df_comp_cd!$F$1:$AC$1,0))</f>
        <v>#N/A</v>
      </c>
      <c r="O110" s="498" t="e">
        <f t="array" ref="O110">INDEX(df_comp_cd!$F$2:$AC$1000, MATCH(1, (df_comp_cd!$E$2:$E$1000 = 1) * (df_comp_cd!$C$2:$C$1000 = $B110) * ($B$2 = df_comp_cd!$B$2:$B$1000), 0), MATCH(O$102, df_comp_cd!$F$1:$AC$1,0))</f>
        <v>#N/A</v>
      </c>
      <c r="P110" s="498" t="e">
        <f t="array" ref="P110">INDEX(df_comp_cd!$F$2:$AC$1000, MATCH(1, (df_comp_cd!$E$2:$E$1000 = 1) * (df_comp_cd!$C$2:$C$1000 = $B110) * ($B$2 = df_comp_cd!$B$2:$B$1000), 0), MATCH(P$102, df_comp_cd!$F$1:$AC$1,0))</f>
        <v>#N/A</v>
      </c>
      <c r="Q110" s="498" t="e">
        <f t="array" ref="Q110">INDEX(df_comp_cd!$F$2:$AC$1000, MATCH(1, (df_comp_cd!$E$2:$E$1000 = 1) * (df_comp_cd!$C$2:$C$1000 = $B110) * ($B$2 = df_comp_cd!$B$2:$B$1000), 0), MATCH(Q$102, df_comp_cd!$F$1:$AC$1,0))</f>
        <v>#N/A</v>
      </c>
      <c r="R110" s="498" t="e">
        <f t="array" ref="R110">INDEX(df_comp_cd!$F$2:$AC$1000, MATCH(1, (df_comp_cd!$E$2:$E$1000 = 1) * (df_comp_cd!$C$2:$C$1000 = $B110) * ($B$2 = df_comp_cd!$B$2:$B$1000), 0), MATCH(R$102, df_comp_cd!$F$1:$AC$1,0))</f>
        <v>#N/A</v>
      </c>
      <c r="S110" s="498" t="e">
        <f t="array" ref="S110">INDEX(df_comp_cd!$F$2:$AC$1000, MATCH(1, (df_comp_cd!$E$2:$E$1000 = 1) * (df_comp_cd!$C$2:$C$1000 = $B110) * ($B$2 = df_comp_cd!$B$2:$B$1000), 0), MATCH(S$102, df_comp_cd!$F$1:$AC$1,0))</f>
        <v>#N/A</v>
      </c>
      <c r="T110" s="498" t="e">
        <f t="array" ref="T110">INDEX(df_comp_cd!$F$2:$AC$1000, MATCH(1, (df_comp_cd!$E$2:$E$1000 = 1) * (df_comp_cd!$C$2:$C$1000 = $B110) * ($B$2 = df_comp_cd!$B$2:$B$1000), 0), MATCH(T$102, df_comp_cd!$F$1:$AC$1,0))</f>
        <v>#N/A</v>
      </c>
      <c r="U110" s="498" t="e">
        <f t="array" ref="U110">INDEX(df_comp_cd!$F$2:$AC$1000, MATCH(1, (df_comp_cd!$E$2:$E$1000 = 1) * (df_comp_cd!$C$2:$C$1000 = $B110) * ($B$2 = df_comp_cd!$B$2:$B$1000), 0), MATCH(U$102, df_comp_cd!$F$1:$AC$1,0))</f>
        <v>#N/A</v>
      </c>
      <c r="V110" s="498" t="e">
        <f t="array" ref="V110">INDEX(df_comp_cd!$F$2:$AC$1000, MATCH(1, (df_comp_cd!$E$2:$E$1000 = 1) * (df_comp_cd!$C$2:$C$1000 = $B110) * ($B$2 = df_comp_cd!$B$2:$B$1000), 0), MATCH(V$102, df_comp_cd!$F$1:$AC$1,0))</f>
        <v>#N/A</v>
      </c>
      <c r="W110" s="498" t="e">
        <f t="array" ref="W110">INDEX(df_comp_cd!$F$2:$AC$1000, MATCH(1, (df_comp_cd!$E$2:$E$1000 = 1) * (df_comp_cd!$C$2:$C$1000 = $B110) * ($B$2 = df_comp_cd!$B$2:$B$1000), 0), MATCH(W$102, df_comp_cd!$F$1:$AC$1,0))</f>
        <v>#N/A</v>
      </c>
      <c r="X110" s="498" t="e">
        <f t="array" ref="X110">INDEX(df_comp_cd!$F$2:$AC$1000, MATCH(1, (df_comp_cd!$E$2:$E$1000 = 1) * (df_comp_cd!$C$2:$C$1000 = $B110) * ($B$2 = df_comp_cd!$B$2:$B$1000), 0), MATCH(X$102, df_comp_cd!$F$1:$AC$1,0))</f>
        <v>#N/A</v>
      </c>
      <c r="Y110" s="498" t="e">
        <f t="array" ref="Y110">INDEX(df_comp_cd!$F$2:$AC$1000, MATCH(1, (df_comp_cd!$E$2:$E$1000 = 1) * (df_comp_cd!$C$2:$C$1000 = $B110) * ($B$2 = df_comp_cd!$B$2:$B$1000), 0), MATCH(Y$102, df_comp_cd!$F$1:$AC$1,0))</f>
        <v>#N/A</v>
      </c>
      <c r="Z110" s="498" t="e">
        <f t="array" ref="Z110">INDEX(df_comp_cd!$F$2:$AC$1000, MATCH(1, (df_comp_cd!$E$2:$E$1000 = 1) * (df_comp_cd!$C$2:$C$1000 = $B110) * ($B$2 = df_comp_cd!$B$2:$B$1000), 0), MATCH(Z$102, df_comp_cd!$F$1:$AC$1,0))</f>
        <v>#N/A</v>
      </c>
      <c r="AA110" s="499" t="e">
        <f t="array" ref="AA110">INDEX(df_comp_cd!$F$2:$AC$1000, MATCH(1, (df_comp_cd!$E$2:$E$1000 = 1) * (df_comp_cd!$C$2:$C$1000 = $B110) * ($B$2 = df_comp_cd!$B$2:$B$1000), 0), MATCH(AA$102, df_comp_cd!$F$1:$AC$1,0))</f>
        <v>#N/A</v>
      </c>
    </row>
    <row r="111" spans="1:27" ht="20.100000000000001" customHeight="1" x14ac:dyDescent="0.2">
      <c r="H111" s="1"/>
      <c r="I111" s="262"/>
      <c r="J111" s="262"/>
      <c r="N111" s="239"/>
    </row>
    <row r="112" spans="1:27" ht="20.100000000000001" customHeight="1" x14ac:dyDescent="0.2">
      <c r="B112" s="1240" t="s">
        <v>1270</v>
      </c>
      <c r="C112" s="1240"/>
      <c r="D112" s="1240"/>
      <c r="E112" s="1240"/>
      <c r="F112" s="1240"/>
      <c r="G112" s="1240"/>
      <c r="H112" s="1240"/>
      <c r="I112" s="1240"/>
      <c r="J112" s="1240"/>
      <c r="K112" s="1240"/>
      <c r="L112" s="1240"/>
      <c r="M112" s="1240"/>
      <c r="N112" s="1240"/>
      <c r="O112" s="1240"/>
      <c r="P112" s="1240"/>
      <c r="Q112" s="1240"/>
      <c r="R112" s="1240"/>
      <c r="S112" s="1240"/>
      <c r="T112" s="1240"/>
      <c r="U112" s="1240"/>
      <c r="V112" s="1240"/>
      <c r="W112" s="1240"/>
      <c r="X112" s="1240"/>
      <c r="Y112" s="1240"/>
      <c r="Z112" s="1240"/>
      <c r="AA112" s="1240"/>
    </row>
    <row r="113" spans="1:27" ht="20.100000000000001" customHeight="1" x14ac:dyDescent="0.2">
      <c r="H113" s="1"/>
      <c r="I113" s="262"/>
      <c r="J113" s="262"/>
      <c r="N113" s="239"/>
    </row>
    <row r="114" spans="1:27" ht="20.100000000000001" customHeight="1" x14ac:dyDescent="0.2">
      <c r="B114" s="492"/>
      <c r="C114" s="72"/>
      <c r="D114" s="206">
        <v>2001</v>
      </c>
      <c r="E114" s="563">
        <v>2002</v>
      </c>
      <c r="F114" s="563">
        <v>2003</v>
      </c>
      <c r="G114" s="563">
        <v>2004</v>
      </c>
      <c r="H114" s="563">
        <v>2005</v>
      </c>
      <c r="I114" s="563">
        <v>2006</v>
      </c>
      <c r="J114" s="563">
        <v>2007</v>
      </c>
      <c r="K114" s="563">
        <v>2008</v>
      </c>
      <c r="L114" s="563">
        <v>2009</v>
      </c>
      <c r="M114" s="563">
        <v>2010</v>
      </c>
      <c r="N114" s="563">
        <v>2011</v>
      </c>
      <c r="O114" s="563">
        <v>2012</v>
      </c>
      <c r="P114" s="563">
        <v>2013</v>
      </c>
      <c r="Q114" s="563">
        <v>2014</v>
      </c>
      <c r="R114" s="563">
        <v>2015</v>
      </c>
      <c r="S114" s="563">
        <v>2016</v>
      </c>
      <c r="T114" s="563">
        <v>2017</v>
      </c>
      <c r="U114" s="563">
        <v>2018</v>
      </c>
      <c r="V114" s="563">
        <v>2019</v>
      </c>
      <c r="W114" s="563">
        <v>2020</v>
      </c>
      <c r="X114" s="563">
        <v>2021</v>
      </c>
      <c r="Y114" s="563">
        <v>2022</v>
      </c>
      <c r="Z114" s="563">
        <v>2023</v>
      </c>
      <c r="AA114" s="562">
        <v>2024</v>
      </c>
    </row>
    <row r="115" spans="1:27" ht="20.100000000000001" customHeight="1" x14ac:dyDescent="0.2">
      <c r="B115" s="206" t="s">
        <v>1269</v>
      </c>
      <c r="C115" s="72"/>
      <c r="D115" s="564" t="e">
        <f t="array" ref="D115">INDEX(df_est_cd!$D$2:$AB$1000, MATCH(1, (df_est_cd!$C$2:$C$1000 = "Total") * ($B$2 = df_est_cd!$B$2:$B$1000), 0), MATCH(TEXT(D$114,"####"), df_est_cd!$D$1:$AB$1,0))</f>
        <v>#N/A</v>
      </c>
      <c r="E115" s="565" t="e">
        <f t="array" ref="E115">INDEX(df_est_cd!$D$2:$AB$1000, MATCH(1, (df_est_cd!$C$2:$C$1000 = "Total") * ($B$2 = df_est_cd!$B$2:$B$1000), 0), MATCH(TEXT(E$114,"####"), df_est_cd!$D$1:$AB$1,0))</f>
        <v>#N/A</v>
      </c>
      <c r="F115" s="565" t="e">
        <f t="array" ref="F115">INDEX(df_est_cd!$D$2:$AB$1000, MATCH(1, (df_est_cd!$C$2:$C$1000 = "Total") * ($B$2 = df_est_cd!$B$2:$B$1000), 0), MATCH(TEXT(F$114,"####"), df_est_cd!$D$1:$AB$1,0))</f>
        <v>#N/A</v>
      </c>
      <c r="G115" s="565" t="e">
        <f t="array" ref="G115">INDEX(df_est_cd!$D$2:$AB$1000, MATCH(1, (df_est_cd!$C$2:$C$1000 = "Total") * ($B$2 = df_est_cd!$B$2:$B$1000), 0), MATCH(TEXT(G$114,"####"), df_est_cd!$D$1:$AB$1,0))</f>
        <v>#N/A</v>
      </c>
      <c r="H115" s="565" t="e">
        <f t="array" ref="H115">INDEX(df_est_cd!$D$2:$AB$1000, MATCH(1, (df_est_cd!$C$2:$C$1000 = "Total") * ($B$2 = df_est_cd!$B$2:$B$1000), 0), MATCH(TEXT(H$114,"####"), df_est_cd!$D$1:$AB$1,0))</f>
        <v>#N/A</v>
      </c>
      <c r="I115" s="565" t="e">
        <f t="array" ref="I115">INDEX(df_est_cd!$D$2:$AB$1000, MATCH(1, (df_est_cd!$C$2:$C$1000 = "Total") * ($B$2 = df_est_cd!$B$2:$B$1000), 0), MATCH(TEXT(I$114,"####"), df_est_cd!$D$1:$AB$1,0))</f>
        <v>#N/A</v>
      </c>
      <c r="J115" s="565" t="e">
        <f t="array" ref="J115">INDEX(df_est_cd!$D$2:$AB$1000, MATCH(1, (df_est_cd!$C$2:$C$1000 = "Total") * ($B$2 = df_est_cd!$B$2:$B$1000), 0), MATCH(TEXT(J$114,"####"), df_est_cd!$D$1:$AB$1,0))</f>
        <v>#N/A</v>
      </c>
      <c r="K115" s="565" t="e">
        <f t="array" ref="K115">INDEX(df_est_cd!$D$2:$AB$1000, MATCH(1, (df_est_cd!$C$2:$C$1000 = "Total") * ($B$2 = df_est_cd!$B$2:$B$1000), 0), MATCH(TEXT(K$114,"####"), df_est_cd!$D$1:$AB$1,0))</f>
        <v>#N/A</v>
      </c>
      <c r="L115" s="565" t="e">
        <f t="array" ref="L115">INDEX(df_est_cd!$D$2:$AB$1000, MATCH(1, (df_est_cd!$C$2:$C$1000 = "Total") * ($B$2 = df_est_cd!$B$2:$B$1000), 0), MATCH(TEXT(L$114,"####"), df_est_cd!$D$1:$AB$1,0))</f>
        <v>#N/A</v>
      </c>
      <c r="M115" s="565" t="e">
        <f t="array" ref="M115">INDEX(df_est_cd!$D$2:$AB$1000, MATCH(1, (df_est_cd!$C$2:$C$1000 = "Total") * ($B$2 = df_est_cd!$B$2:$B$1000), 0), MATCH(TEXT(M$114,"####"), df_est_cd!$D$1:$AB$1,0))</f>
        <v>#N/A</v>
      </c>
      <c r="N115" s="565" t="e">
        <f t="array" ref="N115">INDEX(df_est_cd!$D$2:$AB$1000, MATCH(1, (df_est_cd!$C$2:$C$1000 = "Total") * ($B$2 = df_est_cd!$B$2:$B$1000), 0), MATCH(TEXT(N$114,"####"), df_est_cd!$D$1:$AB$1,0))</f>
        <v>#N/A</v>
      </c>
      <c r="O115" s="565" t="e">
        <f t="array" ref="O115">INDEX(df_est_cd!$D$2:$AB$1000, MATCH(1, (df_est_cd!$C$2:$C$1000 = "Total") * ($B$2 = df_est_cd!$B$2:$B$1000), 0), MATCH(TEXT(O$114,"####"), df_est_cd!$D$1:$AB$1,0))</f>
        <v>#N/A</v>
      </c>
      <c r="P115" s="565" t="e">
        <f t="array" ref="P115">INDEX(df_est_cd!$D$2:$AB$1000, MATCH(1, (df_est_cd!$C$2:$C$1000 = "Total") * ($B$2 = df_est_cd!$B$2:$B$1000), 0), MATCH(TEXT(P$114,"####"), df_est_cd!$D$1:$AB$1,0))</f>
        <v>#N/A</v>
      </c>
      <c r="Q115" s="565" t="e">
        <f t="array" ref="Q115">INDEX(df_est_cd!$D$2:$AB$1000, MATCH(1, (df_est_cd!$C$2:$C$1000 = "Total") * ($B$2 = df_est_cd!$B$2:$B$1000), 0), MATCH(TEXT(Q$114,"####"), df_est_cd!$D$1:$AB$1,0))</f>
        <v>#N/A</v>
      </c>
      <c r="R115" s="565" t="e">
        <f t="array" ref="R115">INDEX(df_est_cd!$D$2:$AB$1000, MATCH(1, (df_est_cd!$C$2:$C$1000 = "Total") * ($B$2 = df_est_cd!$B$2:$B$1000), 0), MATCH(TEXT(R$114,"####"), df_est_cd!$D$1:$AB$1,0))</f>
        <v>#N/A</v>
      </c>
      <c r="S115" s="565" t="e">
        <f t="array" ref="S115">INDEX(df_est_cd!$D$2:$AB$1000, MATCH(1, (df_est_cd!$C$2:$C$1000 = "Total") * ($B$2 = df_est_cd!$B$2:$B$1000), 0), MATCH(TEXT(S$114,"####"), df_est_cd!$D$1:$AB$1,0))</f>
        <v>#N/A</v>
      </c>
      <c r="T115" s="565" t="e">
        <f t="array" ref="T115">INDEX(df_est_cd!$D$2:$AB$1000, MATCH(1, (df_est_cd!$C$2:$C$1000 = "Total") * ($B$2 = df_est_cd!$B$2:$B$1000), 0), MATCH(TEXT(T$114,"####"), df_est_cd!$D$1:$AB$1,0))</f>
        <v>#N/A</v>
      </c>
      <c r="U115" s="565" t="e">
        <f t="array" ref="U115">INDEX(df_est_cd!$D$2:$AB$1000, MATCH(1, (df_est_cd!$C$2:$C$1000 = "Total") * ($B$2 = df_est_cd!$B$2:$B$1000), 0), MATCH(TEXT(U$114,"####"), df_est_cd!$D$1:$AB$1,0))</f>
        <v>#N/A</v>
      </c>
      <c r="V115" s="565" t="e">
        <f t="array" ref="V115">INDEX(df_est_cd!$D$2:$AB$1000, MATCH(1, (df_est_cd!$C$2:$C$1000 = "Total") * ($B$2 = df_est_cd!$B$2:$B$1000), 0), MATCH(TEXT(V$114,"####"), df_est_cd!$D$1:$AB$1,0))</f>
        <v>#N/A</v>
      </c>
      <c r="W115" s="565" t="e">
        <f t="array" ref="W115">INDEX(df_est_cd!$D$2:$AB$1000, MATCH(1, (df_est_cd!$C$2:$C$1000 = "Total") * ($B$2 = df_est_cd!$B$2:$B$1000), 0), MATCH(TEXT(W$114,"####"), df_est_cd!$D$1:$AB$1,0))</f>
        <v>#N/A</v>
      </c>
      <c r="X115" s="565" t="e">
        <f t="array" ref="X115">INDEX(df_est_cd!$D$2:$AB$1000, MATCH(1, (df_est_cd!$C$2:$C$1000 = "Total") * ($B$2 = df_est_cd!$B$2:$B$1000), 0), MATCH(TEXT(X$114,"####"), df_est_cd!$D$1:$AB$1,0))</f>
        <v>#N/A</v>
      </c>
      <c r="Y115" s="565" t="e">
        <f t="array" ref="Y115">INDEX(df_est_cd!$D$2:$AB$1000, MATCH(1, (df_est_cd!$C$2:$C$1000 = "Total") * ($B$2 = df_est_cd!$B$2:$B$1000), 0), MATCH(TEXT(Y$114,"####"), df_est_cd!$D$1:$AB$1,0))</f>
        <v>#N/A</v>
      </c>
      <c r="Z115" s="565" t="e">
        <f t="array" ref="Z115">INDEX(df_est_cd!$D$2:$AB$1000, MATCH(1, (df_est_cd!$C$2:$C$1000 = "Total") * ($B$2 = df_est_cd!$B$2:$B$1000), 0), MATCH(TEXT(Z$114,"####"), df_est_cd!$D$1:$AB$1,0))</f>
        <v>#N/A</v>
      </c>
      <c r="AA115" s="566" t="e">
        <f t="array" ref="AA115">INDEX(df_est_cd!$D$2:$AB$1000, MATCH(1, (df_est_cd!$C$2:$C$1000 = "Total") * ($B$2 = df_est_cd!$B$2:$B$1000), 0), MATCH(TEXT(AA$114,"####"), df_est_cd!$D$1:$AB$1,0))</f>
        <v>#N/A</v>
      </c>
    </row>
    <row r="116" spans="1:27" ht="20.100000000000001" customHeight="1" x14ac:dyDescent="0.2">
      <c r="G116" s="1"/>
      <c r="H116" s="262"/>
      <c r="I116" s="262"/>
      <c r="M116" s="239"/>
    </row>
    <row r="117" spans="1:27" ht="20.100000000000001" customHeight="1" x14ac:dyDescent="0.2">
      <c r="B117" s="1240" t="s">
        <v>1273</v>
      </c>
      <c r="C117" s="1240"/>
      <c r="D117" s="1240"/>
      <c r="E117" s="1240"/>
      <c r="F117" s="1240"/>
      <c r="G117" s="1240"/>
      <c r="H117" s="1240"/>
      <c r="I117" s="1240"/>
      <c r="J117" s="1240"/>
      <c r="K117" s="1240"/>
      <c r="L117" s="1240"/>
      <c r="M117" s="1240"/>
      <c r="N117" s="1240"/>
      <c r="O117" s="1240"/>
      <c r="P117" s="1240"/>
      <c r="Q117" s="1240"/>
      <c r="R117" s="1240"/>
      <c r="S117" s="1240"/>
      <c r="T117" s="1240"/>
      <c r="U117" s="1240"/>
      <c r="V117" s="1240"/>
      <c r="W117" s="1240"/>
      <c r="X117" s="1240"/>
      <c r="Y117" s="1240"/>
      <c r="Z117" s="1240"/>
      <c r="AA117" s="1240"/>
    </row>
    <row r="118" spans="1:27" ht="20.100000000000001" customHeight="1" x14ac:dyDescent="0.2">
      <c r="G118" s="1"/>
      <c r="H118" s="262"/>
      <c r="I118" s="262"/>
      <c r="M118" s="239"/>
    </row>
    <row r="119" spans="1:27" ht="20.100000000000001" customHeight="1" x14ac:dyDescent="0.2">
      <c r="B119" s="570" t="s">
        <v>1268</v>
      </c>
      <c r="C119" s="508"/>
      <c r="D119" s="128" t="s">
        <v>207</v>
      </c>
      <c r="E119" s="117" t="s">
        <v>208</v>
      </c>
      <c r="F119" s="117" t="s">
        <v>209</v>
      </c>
      <c r="G119" s="117" t="s">
        <v>210</v>
      </c>
      <c r="H119" s="117" t="s">
        <v>211</v>
      </c>
      <c r="I119" s="481" t="s">
        <v>212</v>
      </c>
      <c r="J119" s="481" t="s">
        <v>213</v>
      </c>
      <c r="K119" s="117" t="s">
        <v>214</v>
      </c>
      <c r="L119" s="117" t="s">
        <v>215</v>
      </c>
      <c r="M119" s="117" t="s">
        <v>216</v>
      </c>
      <c r="N119" s="506" t="s">
        <v>217</v>
      </c>
      <c r="O119" s="117" t="s">
        <v>218</v>
      </c>
      <c r="P119" s="117" t="s">
        <v>219</v>
      </c>
      <c r="Q119" s="117" t="s">
        <v>220</v>
      </c>
      <c r="R119" s="117" t="s">
        <v>221</v>
      </c>
      <c r="S119" s="117" t="s">
        <v>222</v>
      </c>
      <c r="T119" s="117" t="s">
        <v>223</v>
      </c>
      <c r="U119" s="117" t="s">
        <v>224</v>
      </c>
      <c r="V119" s="117" t="s">
        <v>225</v>
      </c>
      <c r="W119" s="117" t="s">
        <v>226</v>
      </c>
      <c r="X119" s="117" t="s">
        <v>227</v>
      </c>
      <c r="Y119" s="117" t="s">
        <v>228</v>
      </c>
      <c r="Z119" s="117" t="s">
        <v>229</v>
      </c>
      <c r="AA119" s="302" t="s">
        <v>230</v>
      </c>
    </row>
    <row r="120" spans="1:27" ht="20.100000000000001" customHeight="1" x14ac:dyDescent="0.2">
      <c r="B120" s="570" t="s">
        <v>249</v>
      </c>
      <c r="C120" s="493"/>
      <c r="D120" s="485" t="e">
        <f t="shared" ref="D120:AA120" si="6">(D103-D104)/D115</f>
        <v>#N/A</v>
      </c>
      <c r="E120" s="509" t="e">
        <f t="shared" si="6"/>
        <v>#N/A</v>
      </c>
      <c r="F120" s="509" t="e">
        <f t="shared" si="6"/>
        <v>#N/A</v>
      </c>
      <c r="G120" s="509" t="e">
        <f t="shared" si="6"/>
        <v>#N/A</v>
      </c>
      <c r="H120" s="509" t="e">
        <f t="shared" si="6"/>
        <v>#N/A</v>
      </c>
      <c r="I120" s="509" t="e">
        <f t="shared" si="6"/>
        <v>#N/A</v>
      </c>
      <c r="J120" s="509" t="e">
        <f t="shared" si="6"/>
        <v>#N/A</v>
      </c>
      <c r="K120" s="509" t="e">
        <f t="shared" si="6"/>
        <v>#N/A</v>
      </c>
      <c r="L120" s="509" t="e">
        <f t="shared" si="6"/>
        <v>#N/A</v>
      </c>
      <c r="M120" s="509" t="e">
        <f t="shared" si="6"/>
        <v>#N/A</v>
      </c>
      <c r="N120" s="509" t="e">
        <f t="shared" si="6"/>
        <v>#N/A</v>
      </c>
      <c r="O120" s="509" t="e">
        <f t="shared" si="6"/>
        <v>#N/A</v>
      </c>
      <c r="P120" s="509" t="e">
        <f t="shared" si="6"/>
        <v>#N/A</v>
      </c>
      <c r="Q120" s="509" t="e">
        <f t="shared" si="6"/>
        <v>#N/A</v>
      </c>
      <c r="R120" s="509" t="e">
        <f t="shared" si="6"/>
        <v>#N/A</v>
      </c>
      <c r="S120" s="509" t="e">
        <f t="shared" si="6"/>
        <v>#N/A</v>
      </c>
      <c r="T120" s="509" t="e">
        <f t="shared" si="6"/>
        <v>#N/A</v>
      </c>
      <c r="U120" s="509" t="e">
        <f t="shared" si="6"/>
        <v>#N/A</v>
      </c>
      <c r="V120" s="509" t="e">
        <f t="shared" si="6"/>
        <v>#N/A</v>
      </c>
      <c r="W120" s="509" t="e">
        <f t="shared" si="6"/>
        <v>#N/A</v>
      </c>
      <c r="X120" s="509" t="e">
        <f t="shared" si="6"/>
        <v>#N/A</v>
      </c>
      <c r="Y120" s="509" t="e">
        <f t="shared" si="6"/>
        <v>#N/A</v>
      </c>
      <c r="Z120" s="509" t="e">
        <f t="shared" si="6"/>
        <v>#N/A</v>
      </c>
      <c r="AA120" s="510" t="e">
        <f t="shared" si="6"/>
        <v>#N/A</v>
      </c>
    </row>
    <row r="121" spans="1:27" ht="20.100000000000001" customHeight="1" x14ac:dyDescent="0.2">
      <c r="B121" s="84" t="s">
        <v>252</v>
      </c>
      <c r="C121" s="173"/>
      <c r="D121" s="138" t="e">
        <f t="shared" ref="D121:AA121" si="7">(D106-D105+D107)/D115</f>
        <v>#N/A</v>
      </c>
      <c r="E121" s="262" t="e">
        <f t="shared" si="7"/>
        <v>#N/A</v>
      </c>
      <c r="F121" s="262" t="e">
        <f t="shared" si="7"/>
        <v>#N/A</v>
      </c>
      <c r="G121" s="262" t="e">
        <f t="shared" si="7"/>
        <v>#N/A</v>
      </c>
      <c r="H121" s="262" t="e">
        <f t="shared" si="7"/>
        <v>#N/A</v>
      </c>
      <c r="I121" s="262" t="e">
        <f t="shared" si="7"/>
        <v>#N/A</v>
      </c>
      <c r="J121" s="262" t="e">
        <f t="shared" si="7"/>
        <v>#N/A</v>
      </c>
      <c r="K121" s="262" t="e">
        <f t="shared" si="7"/>
        <v>#N/A</v>
      </c>
      <c r="L121" s="262" t="e">
        <f t="shared" si="7"/>
        <v>#N/A</v>
      </c>
      <c r="M121" s="262" t="e">
        <f t="shared" si="7"/>
        <v>#N/A</v>
      </c>
      <c r="N121" s="262" t="e">
        <f t="shared" si="7"/>
        <v>#N/A</v>
      </c>
      <c r="O121" s="262" t="e">
        <f t="shared" si="7"/>
        <v>#N/A</v>
      </c>
      <c r="P121" s="262" t="e">
        <f t="shared" si="7"/>
        <v>#N/A</v>
      </c>
      <c r="Q121" s="262" t="e">
        <f t="shared" si="7"/>
        <v>#N/A</v>
      </c>
      <c r="R121" s="262" t="e">
        <f t="shared" si="7"/>
        <v>#N/A</v>
      </c>
      <c r="S121" s="262" t="e">
        <f t="shared" si="7"/>
        <v>#N/A</v>
      </c>
      <c r="T121" s="262" t="e">
        <f t="shared" si="7"/>
        <v>#N/A</v>
      </c>
      <c r="U121" s="262" t="e">
        <f t="shared" si="7"/>
        <v>#N/A</v>
      </c>
      <c r="V121" s="262" t="e">
        <f t="shared" si="7"/>
        <v>#N/A</v>
      </c>
      <c r="W121" s="262" t="e">
        <f t="shared" si="7"/>
        <v>#N/A</v>
      </c>
      <c r="X121" s="262" t="e">
        <f t="shared" si="7"/>
        <v>#N/A</v>
      </c>
      <c r="Y121" s="262" t="e">
        <f t="shared" si="7"/>
        <v>#N/A</v>
      </c>
      <c r="Z121" s="262" t="e">
        <f t="shared" si="7"/>
        <v>#N/A</v>
      </c>
      <c r="AA121" s="201" t="e">
        <f t="shared" si="7"/>
        <v>#N/A</v>
      </c>
    </row>
    <row r="122" spans="1:27" ht="20.100000000000001" customHeight="1" x14ac:dyDescent="0.2">
      <c r="B122" s="84" t="s">
        <v>250</v>
      </c>
      <c r="C122" s="173"/>
      <c r="D122" s="138" t="e">
        <f t="shared" ref="D122:AA122" si="8">D108/D$115</f>
        <v>#N/A</v>
      </c>
      <c r="E122" s="262" t="e">
        <f t="shared" si="8"/>
        <v>#N/A</v>
      </c>
      <c r="F122" s="262" t="e">
        <f t="shared" si="8"/>
        <v>#N/A</v>
      </c>
      <c r="G122" s="262" t="e">
        <f t="shared" si="8"/>
        <v>#N/A</v>
      </c>
      <c r="H122" s="262" t="e">
        <f t="shared" si="8"/>
        <v>#N/A</v>
      </c>
      <c r="I122" s="262" t="e">
        <f t="shared" si="8"/>
        <v>#N/A</v>
      </c>
      <c r="J122" s="262" t="e">
        <f t="shared" si="8"/>
        <v>#N/A</v>
      </c>
      <c r="K122" s="262" t="e">
        <f t="shared" si="8"/>
        <v>#N/A</v>
      </c>
      <c r="L122" s="262" t="e">
        <f t="shared" si="8"/>
        <v>#N/A</v>
      </c>
      <c r="M122" s="262" t="e">
        <f t="shared" si="8"/>
        <v>#N/A</v>
      </c>
      <c r="N122" s="262" t="e">
        <f t="shared" si="8"/>
        <v>#N/A</v>
      </c>
      <c r="O122" s="262" t="e">
        <f t="shared" si="8"/>
        <v>#N/A</v>
      </c>
      <c r="P122" s="262" t="e">
        <f t="shared" si="8"/>
        <v>#N/A</v>
      </c>
      <c r="Q122" s="262" t="e">
        <f t="shared" si="8"/>
        <v>#N/A</v>
      </c>
      <c r="R122" s="262" t="e">
        <f t="shared" si="8"/>
        <v>#N/A</v>
      </c>
      <c r="S122" s="262" t="e">
        <f t="shared" si="8"/>
        <v>#N/A</v>
      </c>
      <c r="T122" s="262" t="e">
        <f t="shared" si="8"/>
        <v>#N/A</v>
      </c>
      <c r="U122" s="262" t="e">
        <f t="shared" si="8"/>
        <v>#N/A</v>
      </c>
      <c r="V122" s="262" t="e">
        <f t="shared" si="8"/>
        <v>#N/A</v>
      </c>
      <c r="W122" s="262" t="e">
        <f t="shared" si="8"/>
        <v>#N/A</v>
      </c>
      <c r="X122" s="262" t="e">
        <f t="shared" si="8"/>
        <v>#N/A</v>
      </c>
      <c r="Y122" s="262" t="e">
        <f t="shared" si="8"/>
        <v>#N/A</v>
      </c>
      <c r="Z122" s="262" t="e">
        <f t="shared" si="8"/>
        <v>#N/A</v>
      </c>
      <c r="AA122" s="201" t="e">
        <f t="shared" si="8"/>
        <v>#N/A</v>
      </c>
    </row>
    <row r="123" spans="1:27" ht="20.100000000000001" customHeight="1" x14ac:dyDescent="0.2">
      <c r="B123" s="84" t="s">
        <v>251</v>
      </c>
      <c r="C123" s="173"/>
      <c r="D123" s="138" t="e">
        <f t="shared" ref="D123:AA123" si="9">D109/D$115</f>
        <v>#N/A</v>
      </c>
      <c r="E123" s="262" t="e">
        <f t="shared" si="9"/>
        <v>#N/A</v>
      </c>
      <c r="F123" s="262" t="e">
        <f t="shared" si="9"/>
        <v>#N/A</v>
      </c>
      <c r="G123" s="262" t="e">
        <f t="shared" si="9"/>
        <v>#N/A</v>
      </c>
      <c r="H123" s="262" t="e">
        <f t="shared" si="9"/>
        <v>#N/A</v>
      </c>
      <c r="I123" s="262" t="e">
        <f t="shared" si="9"/>
        <v>#N/A</v>
      </c>
      <c r="J123" s="262" t="e">
        <f t="shared" si="9"/>
        <v>#N/A</v>
      </c>
      <c r="K123" s="262" t="e">
        <f t="shared" si="9"/>
        <v>#N/A</v>
      </c>
      <c r="L123" s="262" t="e">
        <f t="shared" si="9"/>
        <v>#N/A</v>
      </c>
      <c r="M123" s="262" t="e">
        <f t="shared" si="9"/>
        <v>#N/A</v>
      </c>
      <c r="N123" s="262" t="e">
        <f t="shared" si="9"/>
        <v>#N/A</v>
      </c>
      <c r="O123" s="262" t="e">
        <f t="shared" si="9"/>
        <v>#N/A</v>
      </c>
      <c r="P123" s="262" t="e">
        <f t="shared" si="9"/>
        <v>#N/A</v>
      </c>
      <c r="Q123" s="262" t="e">
        <f t="shared" si="9"/>
        <v>#N/A</v>
      </c>
      <c r="R123" s="262" t="e">
        <f t="shared" si="9"/>
        <v>#N/A</v>
      </c>
      <c r="S123" s="262" t="e">
        <f t="shared" si="9"/>
        <v>#N/A</v>
      </c>
      <c r="T123" s="262" t="e">
        <f t="shared" si="9"/>
        <v>#N/A</v>
      </c>
      <c r="U123" s="262" t="e">
        <f t="shared" si="9"/>
        <v>#N/A</v>
      </c>
      <c r="V123" s="262" t="e">
        <f t="shared" si="9"/>
        <v>#N/A</v>
      </c>
      <c r="W123" s="262" t="e">
        <f t="shared" si="9"/>
        <v>#N/A</v>
      </c>
      <c r="X123" s="262" t="e">
        <f t="shared" si="9"/>
        <v>#N/A</v>
      </c>
      <c r="Y123" s="262" t="e">
        <f t="shared" si="9"/>
        <v>#N/A</v>
      </c>
      <c r="Z123" s="262" t="e">
        <f t="shared" si="9"/>
        <v>#N/A</v>
      </c>
      <c r="AA123" s="201" t="e">
        <f t="shared" si="9"/>
        <v>#N/A</v>
      </c>
    </row>
    <row r="124" spans="1:27" ht="20.100000000000001" customHeight="1" x14ac:dyDescent="0.2">
      <c r="B124" s="569" t="s">
        <v>237</v>
      </c>
      <c r="C124" s="494"/>
      <c r="D124" s="486" t="e">
        <f t="shared" ref="D124:AA124" si="10">D110/D$115</f>
        <v>#N/A</v>
      </c>
      <c r="E124" s="514" t="e">
        <f t="shared" si="10"/>
        <v>#N/A</v>
      </c>
      <c r="F124" s="514" t="e">
        <f t="shared" si="10"/>
        <v>#N/A</v>
      </c>
      <c r="G124" s="514" t="e">
        <f t="shared" si="10"/>
        <v>#N/A</v>
      </c>
      <c r="H124" s="514" t="e">
        <f t="shared" si="10"/>
        <v>#N/A</v>
      </c>
      <c r="I124" s="514" t="e">
        <f t="shared" si="10"/>
        <v>#N/A</v>
      </c>
      <c r="J124" s="514" t="e">
        <f t="shared" si="10"/>
        <v>#N/A</v>
      </c>
      <c r="K124" s="514" t="e">
        <f t="shared" si="10"/>
        <v>#N/A</v>
      </c>
      <c r="L124" s="514" t="e">
        <f t="shared" si="10"/>
        <v>#N/A</v>
      </c>
      <c r="M124" s="514" t="e">
        <f t="shared" si="10"/>
        <v>#N/A</v>
      </c>
      <c r="N124" s="514" t="e">
        <f t="shared" si="10"/>
        <v>#N/A</v>
      </c>
      <c r="O124" s="514" t="e">
        <f t="shared" si="10"/>
        <v>#N/A</v>
      </c>
      <c r="P124" s="514" t="e">
        <f t="shared" si="10"/>
        <v>#N/A</v>
      </c>
      <c r="Q124" s="514" t="e">
        <f t="shared" si="10"/>
        <v>#N/A</v>
      </c>
      <c r="R124" s="514" t="e">
        <f t="shared" si="10"/>
        <v>#N/A</v>
      </c>
      <c r="S124" s="514" t="e">
        <f t="shared" si="10"/>
        <v>#N/A</v>
      </c>
      <c r="T124" s="514" t="e">
        <f t="shared" si="10"/>
        <v>#N/A</v>
      </c>
      <c r="U124" s="514" t="e">
        <f t="shared" si="10"/>
        <v>#N/A</v>
      </c>
      <c r="V124" s="514" t="e">
        <f t="shared" si="10"/>
        <v>#N/A</v>
      </c>
      <c r="W124" s="514" t="e">
        <f t="shared" si="10"/>
        <v>#N/A</v>
      </c>
      <c r="X124" s="514" t="e">
        <f t="shared" si="10"/>
        <v>#N/A</v>
      </c>
      <c r="Y124" s="514" t="e">
        <f t="shared" si="10"/>
        <v>#N/A</v>
      </c>
      <c r="Z124" s="514" t="e">
        <f t="shared" si="10"/>
        <v>#N/A</v>
      </c>
      <c r="AA124" s="515" t="e">
        <f t="shared" si="10"/>
        <v>#N/A</v>
      </c>
    </row>
    <row r="125" spans="1:27" ht="20.100000000000001" customHeight="1" x14ac:dyDescent="0.2"/>
    <row r="126" spans="1:27" ht="30" customHeight="1" x14ac:dyDescent="0.2">
      <c r="A126" s="560"/>
      <c r="B126" s="175" t="s">
        <v>1274</v>
      </c>
      <c r="C126" s="310"/>
      <c r="D126" s="310"/>
      <c r="E126" s="310"/>
      <c r="F126" s="310"/>
      <c r="G126" s="310"/>
      <c r="H126" s="310"/>
      <c r="I126" s="310"/>
      <c r="J126" s="310"/>
      <c r="K126" s="310"/>
      <c r="L126" s="310"/>
      <c r="M126" s="310"/>
      <c r="N126" s="310"/>
      <c r="O126" s="310"/>
      <c r="P126" s="310"/>
      <c r="Q126" s="310"/>
      <c r="R126" s="310"/>
      <c r="S126" s="310"/>
      <c r="T126" s="310"/>
      <c r="U126" s="310"/>
      <c r="V126" s="310"/>
      <c r="W126" s="310"/>
      <c r="X126" s="310"/>
      <c r="Y126" s="310"/>
      <c r="Z126" s="310"/>
      <c r="AA126" s="310"/>
    </row>
    <row r="127" spans="1:27" ht="20.100000000000001" customHeight="1" x14ac:dyDescent="0.2"/>
    <row r="128" spans="1:27" ht="20.100000000000001" customHeight="1" x14ac:dyDescent="0.2">
      <c r="I128" s="223" t="s">
        <v>342</v>
      </c>
    </row>
    <row r="129" spans="1:13" ht="20.100000000000001" customHeight="1" x14ac:dyDescent="0.2">
      <c r="I129" s="223" t="s">
        <v>342</v>
      </c>
    </row>
    <row r="130" spans="1:13" ht="20.100000000000001" customHeight="1" x14ac:dyDescent="0.2">
      <c r="I130" s="223" t="s">
        <v>342</v>
      </c>
    </row>
    <row r="131" spans="1:13" ht="20.100000000000001" customHeight="1" x14ac:dyDescent="0.2">
      <c r="I131" s="223" t="s">
        <v>342</v>
      </c>
    </row>
    <row r="132" spans="1:13" ht="20.100000000000001" customHeight="1" x14ac:dyDescent="0.2">
      <c r="I132" s="223" t="s">
        <v>342</v>
      </c>
    </row>
    <row r="133" spans="1:13" ht="20.100000000000001" customHeight="1" x14ac:dyDescent="0.2">
      <c r="I133" s="223" t="s">
        <v>342</v>
      </c>
    </row>
    <row r="134" spans="1:13" ht="20.100000000000001" customHeight="1" x14ac:dyDescent="0.2">
      <c r="I134" s="223" t="s">
        <v>342</v>
      </c>
    </row>
    <row r="135" spans="1:13" ht="20.100000000000001" customHeight="1" x14ac:dyDescent="0.2">
      <c r="I135" s="223" t="s">
        <v>342</v>
      </c>
    </row>
    <row r="136" spans="1:13" ht="20.100000000000001" customHeight="1" x14ac:dyDescent="0.2">
      <c r="I136" s="223" t="s">
        <v>342</v>
      </c>
    </row>
    <row r="137" spans="1:13" ht="20.100000000000001" customHeight="1" x14ac:dyDescent="0.2">
      <c r="I137" s="223" t="s">
        <v>342</v>
      </c>
    </row>
    <row r="138" spans="1:13" ht="20.100000000000001" customHeight="1" x14ac:dyDescent="0.2">
      <c r="I138" s="223" t="s">
        <v>342</v>
      </c>
    </row>
    <row r="139" spans="1:13" ht="20.100000000000001" customHeight="1" x14ac:dyDescent="0.2">
      <c r="G139" s="1"/>
      <c r="H139" s="262"/>
      <c r="I139" s="262"/>
      <c r="M139" s="239"/>
    </row>
    <row r="140" spans="1:13" ht="20.100000000000001" customHeight="1" x14ac:dyDescent="0.2">
      <c r="G140" s="1"/>
      <c r="H140" s="262"/>
      <c r="I140" s="262"/>
      <c r="M140" s="239"/>
    </row>
    <row r="141" spans="1:13" ht="50.1" customHeight="1" x14ac:dyDescent="0.2">
      <c r="B141" s="159" t="s">
        <v>1275</v>
      </c>
      <c r="C141" s="59"/>
      <c r="D141" s="59"/>
      <c r="E141" s="59"/>
      <c r="F141" s="59"/>
      <c r="G141" s="59"/>
      <c r="H141" s="59"/>
      <c r="I141" s="59"/>
      <c r="J141" s="59"/>
      <c r="K141" s="59"/>
      <c r="L141" s="59"/>
      <c r="M141" s="239"/>
    </row>
    <row r="142" spans="1:13" ht="20.100000000000001" customHeight="1" x14ac:dyDescent="0.2">
      <c r="A142" s="1"/>
      <c r="B142" s="2"/>
      <c r="C142" s="1"/>
      <c r="D142" s="1"/>
      <c r="E142" s="1"/>
      <c r="F142" s="1"/>
      <c r="G142" s="1"/>
      <c r="H142" s="1"/>
      <c r="I142" s="1"/>
      <c r="J142" s="1"/>
      <c r="K142" s="1"/>
      <c r="L142" s="1"/>
      <c r="M142" s="239"/>
    </row>
    <row r="143" spans="1:13" ht="30" customHeight="1" x14ac:dyDescent="0.2">
      <c r="A143" s="560"/>
      <c r="B143" s="175" t="s">
        <v>1216</v>
      </c>
      <c r="C143" s="310"/>
      <c r="D143" s="310"/>
      <c r="E143" s="310"/>
      <c r="F143" s="310"/>
      <c r="G143" s="310"/>
      <c r="H143" s="310"/>
      <c r="I143" s="310"/>
      <c r="J143" s="310"/>
      <c r="K143" s="310"/>
      <c r="L143" s="310"/>
      <c r="M143" s="239"/>
    </row>
    <row r="144" spans="1:13" ht="20.100000000000001" customHeight="1" x14ac:dyDescent="0.2">
      <c r="M144" s="239"/>
    </row>
    <row r="145" spans="1:13" ht="20.100000000000001" customHeight="1" x14ac:dyDescent="0.2">
      <c r="B145" s="1240" t="s">
        <v>191</v>
      </c>
      <c r="C145" s="1240"/>
      <c r="D145" s="1240"/>
      <c r="E145" s="1240"/>
      <c r="F145" s="1240"/>
      <c r="H145" s="1240" t="s">
        <v>192</v>
      </c>
      <c r="I145" s="1240"/>
      <c r="J145" s="1240"/>
      <c r="K145" s="1240"/>
      <c r="L145" s="1240"/>
      <c r="M145" s="239"/>
    </row>
    <row r="146" spans="1:13" ht="20.100000000000001" customHeight="1" x14ac:dyDescent="0.2">
      <c r="M146" s="239"/>
    </row>
    <row r="147" spans="1:13" ht="20.100000000000001" customHeight="1" x14ac:dyDescent="0.2">
      <c r="B147" s="511" t="s">
        <v>478</v>
      </c>
      <c r="C147" s="302"/>
      <c r="D147" s="128" t="s">
        <v>181</v>
      </c>
      <c r="E147" s="117" t="s">
        <v>182</v>
      </c>
      <c r="F147" s="302" t="s">
        <v>183</v>
      </c>
      <c r="H147" s="511" t="s">
        <v>478</v>
      </c>
      <c r="I147" s="302"/>
      <c r="J147" s="128" t="s">
        <v>181</v>
      </c>
      <c r="K147" s="117" t="s">
        <v>182</v>
      </c>
      <c r="L147" s="302" t="s">
        <v>183</v>
      </c>
      <c r="M147" s="239"/>
    </row>
    <row r="148" spans="1:13" ht="20.100000000000001" customHeight="1" x14ac:dyDescent="0.2">
      <c r="A148" s="299">
        <v>1983</v>
      </c>
      <c r="B148" s="206" t="s">
        <v>6</v>
      </c>
      <c r="C148" s="566"/>
      <c r="D148" s="564" t="e">
        <f t="array" ref="D148">INDEX(df_census_misc!$C$2:$C$1000, MATCH(1, (df_census_misc!$A$2:$A$1000 = A$2) * (df_census_misc!$B$2:$B$1000 = $A148), 0), 0)</f>
        <v>#N/A</v>
      </c>
      <c r="E148" s="565" t="e">
        <f t="array" ref="E148">INDEX(df_census_misc!$C$2:$C$1000, MATCH(1, (df_census_misc!$A$2:$A$1000 = B$2) * (df_census_misc!$B$2:$B$1000 = $A148), 0), 0)</f>
        <v>#N/A</v>
      </c>
      <c r="F148" s="566" t="e">
        <f t="array" ref="F148">INDEX(df_census_misc!$C$2:$C$1000, MATCH(1, (df_census_misc!$A$2:$A$1000 = C$2) * (df_census_misc!$B$2:$B$1000 = $A148), 0), 0)</f>
        <v>#N/A</v>
      </c>
      <c r="H148" s="206" t="s">
        <v>6</v>
      </c>
      <c r="I148" s="566"/>
      <c r="J148" s="226" t="e">
        <f>D148/D$148</f>
        <v>#N/A</v>
      </c>
      <c r="K148" s="346" t="e">
        <f t="shared" ref="K148:L148" si="11">E148/E$148</f>
        <v>#N/A</v>
      </c>
      <c r="L148" s="353" t="e">
        <f t="shared" si="11"/>
        <v>#N/A</v>
      </c>
      <c r="M148" s="239"/>
    </row>
    <row r="149" spans="1:13" ht="20.100000000000001" customHeight="1" x14ac:dyDescent="0.2">
      <c r="A149" s="299">
        <v>1984</v>
      </c>
      <c r="B149" s="570" t="s">
        <v>161</v>
      </c>
      <c r="C149" s="556"/>
      <c r="D149" s="557" t="e">
        <f t="array" ref="D149">INDEX(df_census_misc!$C$2:$C$1000, MATCH(1, (df_census_misc!$A$2:$A$1000 = A$2) * (df_census_misc!$B$2:$B$1000 = $A149), 0), 0)</f>
        <v>#N/A</v>
      </c>
      <c r="E149" s="555" t="e">
        <f t="array" ref="E149">INDEX(df_census_misc!$C$2:$C$1000, MATCH(1, (df_census_misc!$A$2:$A$1000 = B$2) * (df_census_misc!$B$2:$B$1000 = $A149), 0), 0)</f>
        <v>#N/A</v>
      </c>
      <c r="F149" s="556" t="e">
        <f t="array" ref="F149">INDEX(df_census_misc!$C$2:$C$1000, MATCH(1, (df_census_misc!$A$2:$A$1000 = C$2) * (df_census_misc!$B$2:$B$1000 = $A149), 0), 0)</f>
        <v>#N/A</v>
      </c>
      <c r="H149" s="570" t="s">
        <v>161</v>
      </c>
      <c r="I149" s="556"/>
      <c r="J149" s="485" t="e">
        <f t="shared" ref="J149:J156" si="12">D149/D$148</f>
        <v>#N/A</v>
      </c>
      <c r="K149" s="509" t="e">
        <f t="shared" ref="K149:K156" si="13">E149/E$148</f>
        <v>#N/A</v>
      </c>
      <c r="L149" s="510" t="e">
        <f t="shared" ref="L149:L156" si="14">F149/F$148</f>
        <v>#N/A</v>
      </c>
      <c r="M149" s="239"/>
    </row>
    <row r="150" spans="1:13" ht="20.100000000000001" customHeight="1" x14ac:dyDescent="0.2">
      <c r="A150" s="299">
        <v>1985</v>
      </c>
      <c r="B150" s="84" t="s">
        <v>162</v>
      </c>
      <c r="C150" s="552"/>
      <c r="D150" s="558" t="e">
        <f t="array" ref="D150">INDEX(df_census_misc!$C$2:$C$1000, MATCH(1, (df_census_misc!$A$2:$A$1000 = A$2) * (df_census_misc!$B$2:$B$1000 = $A150), 0), 0)</f>
        <v>#N/A</v>
      </c>
      <c r="E150" s="239" t="e">
        <f t="array" ref="E150">INDEX(df_census_misc!$C$2:$C$1000, MATCH(1, (df_census_misc!$A$2:$A$1000 = B$2) * (df_census_misc!$B$2:$B$1000 = $A150), 0), 0)</f>
        <v>#N/A</v>
      </c>
      <c r="F150" s="552" t="e">
        <f t="array" ref="F150">INDEX(df_census_misc!$C$2:$C$1000, MATCH(1, (df_census_misc!$A$2:$A$1000 = C$2) * (df_census_misc!$B$2:$B$1000 = $A150), 0), 0)</f>
        <v>#N/A</v>
      </c>
      <c r="H150" s="84" t="s">
        <v>162</v>
      </c>
      <c r="I150" s="552"/>
      <c r="J150" s="138" t="e">
        <f t="shared" si="12"/>
        <v>#N/A</v>
      </c>
      <c r="K150" s="262" t="e">
        <f t="shared" si="13"/>
        <v>#N/A</v>
      </c>
      <c r="L150" s="201" t="e">
        <f t="shared" si="14"/>
        <v>#N/A</v>
      </c>
      <c r="M150" s="239"/>
    </row>
    <row r="151" spans="1:13" ht="20.100000000000001" customHeight="1" x14ac:dyDescent="0.2">
      <c r="A151" s="299">
        <v>1986</v>
      </c>
      <c r="B151" s="512" t="s">
        <v>163</v>
      </c>
      <c r="C151" s="552"/>
      <c r="D151" s="558" t="e">
        <f t="array" ref="D151">INDEX(df_census_misc!$C$2:$C$1000, MATCH(1, (df_census_misc!$A$2:$A$1000 = A$2) * (df_census_misc!$B$2:$B$1000 = $A151), 0), 0)</f>
        <v>#N/A</v>
      </c>
      <c r="E151" s="239" t="e">
        <f t="array" ref="E151">INDEX(df_census_misc!$C$2:$C$1000, MATCH(1, (df_census_misc!$A$2:$A$1000 = B$2) * (df_census_misc!$B$2:$B$1000 = $A151), 0), 0)</f>
        <v>#N/A</v>
      </c>
      <c r="F151" s="552" t="e">
        <f t="array" ref="F151">INDEX(df_census_misc!$C$2:$C$1000, MATCH(1, (df_census_misc!$A$2:$A$1000 = C$2) * (df_census_misc!$B$2:$B$1000 = $A151), 0), 0)</f>
        <v>#N/A</v>
      </c>
      <c r="G151" s="1"/>
      <c r="H151" s="512" t="s">
        <v>163</v>
      </c>
      <c r="I151" s="552"/>
      <c r="J151" s="138" t="e">
        <f t="shared" si="12"/>
        <v>#N/A</v>
      </c>
      <c r="K151" s="262" t="e">
        <f t="shared" si="13"/>
        <v>#N/A</v>
      </c>
      <c r="L151" s="201" t="e">
        <f t="shared" si="14"/>
        <v>#N/A</v>
      </c>
      <c r="M151" s="239"/>
    </row>
    <row r="152" spans="1:13" ht="20.100000000000001" customHeight="1" x14ac:dyDescent="0.2">
      <c r="A152" s="299">
        <v>1987</v>
      </c>
      <c r="B152" s="512" t="s">
        <v>164</v>
      </c>
      <c r="C152" s="552"/>
      <c r="D152" s="558" t="e">
        <f t="array" ref="D152">INDEX(df_census_misc!$C$2:$C$1000, MATCH(1, (df_census_misc!$A$2:$A$1000 = A$2) * (df_census_misc!$B$2:$B$1000 = $A152), 0), 0)</f>
        <v>#N/A</v>
      </c>
      <c r="E152" s="239" t="e">
        <f t="array" ref="E152">INDEX(df_census_misc!$C$2:$C$1000, MATCH(1, (df_census_misc!$A$2:$A$1000 = B$2) * (df_census_misc!$B$2:$B$1000 = $A152), 0), 0)</f>
        <v>#N/A</v>
      </c>
      <c r="F152" s="552" t="e">
        <f t="array" ref="F152">INDEX(df_census_misc!$C$2:$C$1000, MATCH(1, (df_census_misc!$A$2:$A$1000 = C$2) * (df_census_misc!$B$2:$B$1000 = $A152), 0), 0)</f>
        <v>#N/A</v>
      </c>
      <c r="H152" s="512" t="s">
        <v>164</v>
      </c>
      <c r="I152" s="552"/>
      <c r="J152" s="138" t="e">
        <f t="shared" si="12"/>
        <v>#N/A</v>
      </c>
      <c r="K152" s="262" t="e">
        <f t="shared" si="13"/>
        <v>#N/A</v>
      </c>
      <c r="L152" s="201" t="e">
        <f t="shared" si="14"/>
        <v>#N/A</v>
      </c>
      <c r="M152" s="239"/>
    </row>
    <row r="153" spans="1:13" ht="20.100000000000001" customHeight="1" x14ac:dyDescent="0.2">
      <c r="A153" s="299">
        <v>1988</v>
      </c>
      <c r="B153" s="512" t="s">
        <v>165</v>
      </c>
      <c r="C153" s="173"/>
      <c r="D153" s="558" t="e">
        <f t="array" ref="D153">INDEX(df_census_misc!$C$2:$C$1000, MATCH(1, (df_census_misc!$A$2:$A$1000 = A$2) * (df_census_misc!$B$2:$B$1000 = $A153), 0), 0)</f>
        <v>#N/A</v>
      </c>
      <c r="E153" s="239" t="e">
        <f t="array" ref="E153">INDEX(df_census_misc!$C$2:$C$1000, MATCH(1, (df_census_misc!$A$2:$A$1000 = B$2) * (df_census_misc!$B$2:$B$1000 = $A153), 0), 0)</f>
        <v>#N/A</v>
      </c>
      <c r="F153" s="552" t="e">
        <f t="array" ref="F153">INDEX(df_census_misc!$C$2:$C$1000, MATCH(1, (df_census_misc!$A$2:$A$1000 = C$2) * (df_census_misc!$B$2:$B$1000 = $A153), 0), 0)</f>
        <v>#N/A</v>
      </c>
      <c r="H153" s="512" t="s">
        <v>165</v>
      </c>
      <c r="I153" s="173"/>
      <c r="J153" s="138" t="e">
        <f t="shared" si="12"/>
        <v>#N/A</v>
      </c>
      <c r="K153" s="262" t="e">
        <f t="shared" si="13"/>
        <v>#N/A</v>
      </c>
      <c r="L153" s="201" t="e">
        <f t="shared" si="14"/>
        <v>#N/A</v>
      </c>
      <c r="M153" s="239"/>
    </row>
    <row r="154" spans="1:13" ht="20.100000000000001" customHeight="1" x14ac:dyDescent="0.2">
      <c r="A154" s="299">
        <v>1989</v>
      </c>
      <c r="B154" s="512" t="s">
        <v>166</v>
      </c>
      <c r="C154" s="173"/>
      <c r="D154" s="558" t="e">
        <f t="array" ref="D154">INDEX(df_census_misc!$C$2:$C$1000, MATCH(1, (df_census_misc!$A$2:$A$1000 = A$2) * (df_census_misc!$B$2:$B$1000 = $A154), 0), 0)</f>
        <v>#N/A</v>
      </c>
      <c r="E154" s="239" t="e">
        <f t="array" ref="E154">INDEX(df_census_misc!$C$2:$C$1000, MATCH(1, (df_census_misc!$A$2:$A$1000 = B$2) * (df_census_misc!$B$2:$B$1000 = $A154), 0), 0)</f>
        <v>#N/A</v>
      </c>
      <c r="F154" s="552" t="e">
        <f t="array" ref="F154">INDEX(df_census_misc!$C$2:$C$1000, MATCH(1, (df_census_misc!$A$2:$A$1000 = C$2) * (df_census_misc!$B$2:$B$1000 = $A154), 0), 0)</f>
        <v>#N/A</v>
      </c>
      <c r="H154" s="512" t="s">
        <v>166</v>
      </c>
      <c r="I154" s="173"/>
      <c r="J154" s="138" t="e">
        <f t="shared" si="12"/>
        <v>#N/A</v>
      </c>
      <c r="K154" s="262" t="e">
        <f t="shared" si="13"/>
        <v>#N/A</v>
      </c>
      <c r="L154" s="201" t="e">
        <f t="shared" si="14"/>
        <v>#N/A</v>
      </c>
      <c r="M154" s="239"/>
    </row>
    <row r="155" spans="1:13" ht="20.100000000000001" customHeight="1" x14ac:dyDescent="0.2">
      <c r="A155" s="299">
        <v>1990</v>
      </c>
      <c r="B155" s="512" t="s">
        <v>167</v>
      </c>
      <c r="C155" s="173"/>
      <c r="D155" s="558" t="e">
        <f t="array" ref="D155">INDEX(df_census_misc!$C$2:$C$1000, MATCH(1, (df_census_misc!$A$2:$A$1000 = A$2) * (df_census_misc!$B$2:$B$1000 = $A155), 0), 0)</f>
        <v>#N/A</v>
      </c>
      <c r="E155" s="239" t="e">
        <f t="array" ref="E155">INDEX(df_census_misc!$C$2:$C$1000, MATCH(1, (df_census_misc!$A$2:$A$1000 = B$2) * (df_census_misc!$B$2:$B$1000 = $A155), 0), 0)</f>
        <v>#N/A</v>
      </c>
      <c r="F155" s="552" t="e">
        <f t="array" ref="F155">INDEX(df_census_misc!$C$2:$C$1000, MATCH(1, (df_census_misc!$A$2:$A$1000 = C$2) * (df_census_misc!$B$2:$B$1000 = $A155), 0), 0)</f>
        <v>#N/A</v>
      </c>
      <c r="H155" s="512" t="s">
        <v>167</v>
      </c>
      <c r="I155" s="173"/>
      <c r="J155" s="138" t="e">
        <f t="shared" si="12"/>
        <v>#N/A</v>
      </c>
      <c r="K155" s="262" t="e">
        <f t="shared" si="13"/>
        <v>#N/A</v>
      </c>
      <c r="L155" s="201" t="e">
        <f t="shared" si="14"/>
        <v>#N/A</v>
      </c>
      <c r="M155" s="239"/>
    </row>
    <row r="156" spans="1:13" ht="20.100000000000001" customHeight="1" x14ac:dyDescent="0.2">
      <c r="A156" s="299">
        <v>1991</v>
      </c>
      <c r="B156" s="513" t="s">
        <v>168</v>
      </c>
      <c r="C156" s="494"/>
      <c r="D156" s="559" t="e">
        <f t="array" ref="D156">INDEX(df_census_misc!$C$2:$C$1000, MATCH(1, (df_census_misc!$A$2:$A$1000 = A$2) * (df_census_misc!$B$2:$B$1000 = $A156), 0), 0)</f>
        <v>#N/A</v>
      </c>
      <c r="E156" s="553" t="e">
        <f t="array" ref="E156">INDEX(df_census_misc!$C$2:$C$1000, MATCH(1, (df_census_misc!$A$2:$A$1000 = B$2) * (df_census_misc!$B$2:$B$1000 = $A156), 0), 0)</f>
        <v>#N/A</v>
      </c>
      <c r="F156" s="554" t="e">
        <f t="array" ref="F156">INDEX(df_census_misc!$C$2:$C$1000, MATCH(1, (df_census_misc!$A$2:$A$1000 = C$2) * (df_census_misc!$B$2:$B$1000 = $A156), 0), 0)</f>
        <v>#N/A</v>
      </c>
      <c r="H156" s="513" t="s">
        <v>168</v>
      </c>
      <c r="I156" s="494"/>
      <c r="J156" s="486" t="e">
        <f t="shared" si="12"/>
        <v>#N/A</v>
      </c>
      <c r="K156" s="514" t="e">
        <f t="shared" si="13"/>
        <v>#N/A</v>
      </c>
      <c r="L156" s="515" t="e">
        <f t="shared" si="14"/>
        <v>#N/A</v>
      </c>
      <c r="M156" s="239"/>
    </row>
    <row r="157" spans="1:13" ht="20.100000000000001" customHeight="1" x14ac:dyDescent="0.2">
      <c r="B157" s="1"/>
      <c r="M157" s="239"/>
    </row>
    <row r="158" spans="1:13" ht="30" customHeight="1" x14ac:dyDescent="0.2">
      <c r="A158" s="560"/>
      <c r="B158" s="175" t="s">
        <v>1217</v>
      </c>
      <c r="C158" s="310"/>
      <c r="D158" s="310"/>
      <c r="E158" s="310"/>
      <c r="F158" s="310"/>
      <c r="G158" s="310"/>
      <c r="H158" s="310"/>
      <c r="I158" s="310"/>
      <c r="J158" s="310"/>
      <c r="K158" s="310"/>
      <c r="L158" s="310"/>
      <c r="M158" s="239"/>
    </row>
    <row r="159" spans="1:13" ht="20.100000000000001" customHeight="1" x14ac:dyDescent="0.2">
      <c r="B159" s="1"/>
      <c r="M159" s="239"/>
    </row>
    <row r="160" spans="1:13" ht="20.100000000000001" customHeight="1" x14ac:dyDescent="0.2">
      <c r="B160" s="1243" t="s">
        <v>1218</v>
      </c>
      <c r="C160" s="1243"/>
      <c r="D160" s="1243"/>
      <c r="E160" s="1243"/>
      <c r="M160" s="239"/>
    </row>
    <row r="161" spans="1:13" ht="20.100000000000001" customHeight="1" x14ac:dyDescent="0.2">
      <c r="M161" s="239"/>
    </row>
    <row r="162" spans="1:13" ht="20.100000000000001" customHeight="1" x14ac:dyDescent="0.2">
      <c r="B162" s="282" t="s">
        <v>190</v>
      </c>
      <c r="C162" s="130" t="s">
        <v>187</v>
      </c>
      <c r="D162" s="246" t="s">
        <v>188</v>
      </c>
      <c r="E162" s="317" t="s">
        <v>189</v>
      </c>
      <c r="M162" s="239"/>
    </row>
    <row r="163" spans="1:13" ht="20.100000000000001" customHeight="1" x14ac:dyDescent="0.2">
      <c r="B163" s="535" t="s">
        <v>196</v>
      </c>
      <c r="C163" s="537" t="str">
        <f t="array" ref="C163:E163">IFERROR(IF(J151:L151=0,"x",J151:L151),"x")</f>
        <v>x</v>
      </c>
      <c r="D163" s="538" t="str">
        <v>x</v>
      </c>
      <c r="E163" s="539" t="str">
        <v>x</v>
      </c>
      <c r="M163" s="239"/>
    </row>
    <row r="164" spans="1:13" ht="20.100000000000001" customHeight="1" x14ac:dyDescent="0.2">
      <c r="B164" s="533" t="s">
        <v>184</v>
      </c>
      <c r="C164" s="540" t="str">
        <f t="array" ref="C164:E166">IFERROR(IF(J154:L156=0,"x",J154:L156),"x")</f>
        <v>x</v>
      </c>
      <c r="D164" s="541" t="str">
        <v>x</v>
      </c>
      <c r="E164" s="542" t="str">
        <v>x</v>
      </c>
      <c r="M164" s="239"/>
    </row>
    <row r="165" spans="1:13" ht="20.100000000000001" customHeight="1" x14ac:dyDescent="0.2">
      <c r="B165" s="534" t="s">
        <v>185</v>
      </c>
      <c r="C165" s="543" t="str">
        <v>x</v>
      </c>
      <c r="D165" s="544" t="str">
        <v>x</v>
      </c>
      <c r="E165" s="545" t="str">
        <v>x</v>
      </c>
      <c r="M165" s="239"/>
    </row>
    <row r="166" spans="1:13" ht="20.100000000000001" customHeight="1" x14ac:dyDescent="0.2">
      <c r="B166" s="532" t="s">
        <v>186</v>
      </c>
      <c r="C166" s="546" t="str">
        <v>x</v>
      </c>
      <c r="D166" s="547" t="str">
        <v>x</v>
      </c>
      <c r="E166" s="548" t="str">
        <v>x</v>
      </c>
      <c r="M166" s="239"/>
    </row>
    <row r="167" spans="1:13" ht="20.100000000000001" customHeight="1" x14ac:dyDescent="0.2">
      <c r="B167" s="1"/>
    </row>
    <row r="168" spans="1:13" ht="20.100000000000001" customHeight="1" x14ac:dyDescent="0.2">
      <c r="B168" s="1"/>
    </row>
    <row r="169" spans="1:13" ht="50.1" customHeight="1" x14ac:dyDescent="0.2">
      <c r="B169" s="159" t="s">
        <v>1276</v>
      </c>
      <c r="C169" s="59"/>
      <c r="D169" s="59"/>
      <c r="E169" s="59"/>
      <c r="F169" s="59"/>
      <c r="G169" s="59"/>
      <c r="H169" s="59"/>
      <c r="I169" s="59"/>
      <c r="J169" s="59"/>
      <c r="K169" s="59"/>
      <c r="L169" s="59"/>
      <c r="M169" s="239"/>
    </row>
    <row r="170" spans="1:13" ht="20.100000000000001" customHeight="1" x14ac:dyDescent="0.2">
      <c r="A170" s="1"/>
      <c r="B170" s="2"/>
      <c r="C170" s="1"/>
      <c r="D170" s="1"/>
      <c r="E170" s="1"/>
      <c r="F170" s="1"/>
      <c r="G170" s="1"/>
      <c r="H170" s="1"/>
      <c r="I170" s="1"/>
      <c r="J170" s="1"/>
      <c r="K170" s="1"/>
      <c r="L170" s="1"/>
      <c r="M170" s="239"/>
    </row>
    <row r="171" spans="1:13" ht="30" customHeight="1" x14ac:dyDescent="0.2">
      <c r="A171" s="560"/>
      <c r="B171" s="175" t="s">
        <v>1216</v>
      </c>
      <c r="C171" s="310"/>
      <c r="D171" s="310"/>
      <c r="E171" s="310"/>
      <c r="F171" s="310"/>
      <c r="G171" s="310"/>
      <c r="H171" s="310"/>
      <c r="I171" s="310"/>
      <c r="J171" s="310"/>
      <c r="K171" s="310"/>
      <c r="L171" s="310"/>
      <c r="M171" s="239"/>
    </row>
    <row r="172" spans="1:13" ht="20.100000000000001" customHeight="1" x14ac:dyDescent="0.2">
      <c r="M172" s="239"/>
    </row>
    <row r="173" spans="1:13" ht="20.100000000000001" customHeight="1" x14ac:dyDescent="0.2">
      <c r="B173" s="1240" t="s">
        <v>199</v>
      </c>
      <c r="C173" s="1240"/>
      <c r="D173" s="1240"/>
      <c r="E173" s="1240"/>
      <c r="F173" s="1240"/>
    </row>
    <row r="174" spans="1:13" ht="20.100000000000001" customHeight="1" x14ac:dyDescent="0.2"/>
    <row r="175" spans="1:13" ht="20.100000000000001" customHeight="1" x14ac:dyDescent="0.2">
      <c r="B175" s="206" t="s">
        <v>717</v>
      </c>
      <c r="C175" s="72"/>
      <c r="D175" s="128" t="s">
        <v>187</v>
      </c>
      <c r="E175" s="117" t="s">
        <v>188</v>
      </c>
      <c r="F175" s="302" t="s">
        <v>189</v>
      </c>
    </row>
    <row r="176" spans="1:13" ht="20.100000000000001" customHeight="1" x14ac:dyDescent="0.2">
      <c r="A176" s="299">
        <v>1402</v>
      </c>
      <c r="B176" s="206" t="s">
        <v>193</v>
      </c>
      <c r="C176" s="72"/>
      <c r="D176" s="564" t="e">
        <f t="array" ref="D176">INDEX(df_census_misc!$C$2:$C$1000, MATCH(1, (A$2 = df_census_misc!$A$2:$A$1000) * (df_census_misc!$B$2:$B$1000 = $A176), 0), 0)</f>
        <v>#N/A</v>
      </c>
      <c r="E176" s="565" t="e">
        <f t="array" ref="E176">INDEX(df_census_misc!$C$2:$C$1000, MATCH(1, (B$2 = df_census_misc!$A$2:$A$1000) * (df_census_misc!$B$2:$B$1000 = $A176), 0), 0)</f>
        <v>#N/A</v>
      </c>
      <c r="F176" s="566" t="e">
        <f t="array" ref="F176">INDEX(df_census_misc!$C$2:$C$1000, MATCH(1, (C$2 = df_census_misc!$A$2:$A$1000) * (df_census_misc!$B$2:$B$1000 = $A176), 0), 0)</f>
        <v>#N/A</v>
      </c>
    </row>
    <row r="177" spans="1:13" ht="20.100000000000001" customHeight="1" x14ac:dyDescent="0.2">
      <c r="A177" s="299">
        <v>1403</v>
      </c>
      <c r="B177" s="570" t="s">
        <v>200</v>
      </c>
      <c r="C177" s="493"/>
      <c r="D177" s="557" t="e">
        <f t="array" ref="D177">INDEX(df_census_misc!$C$2:$C$1000, MATCH(1, (A$2 = df_census_misc!$A$2:$A$1000) * (df_census_misc!$B$2:$B$1000 = $A177), 0), 0)</f>
        <v>#N/A</v>
      </c>
      <c r="E177" s="555" t="e">
        <f t="array" ref="E177">INDEX(df_census_misc!$C$2:$C$1000, MATCH(1, (B$2 = df_census_misc!$A$2:$A$1000) * (df_census_misc!$B$2:$B$1000 = $A177), 0), 0)</f>
        <v>#N/A</v>
      </c>
      <c r="F177" s="556" t="e">
        <f t="array" ref="F177">INDEX(df_census_misc!$C$2:$C$1000, MATCH(1, (C$2 = df_census_misc!$A$2:$A$1000) * (df_census_misc!$B$2:$B$1000 = $A177), 0), 0)</f>
        <v>#N/A</v>
      </c>
    </row>
    <row r="178" spans="1:13" ht="20.100000000000001" customHeight="1" x14ac:dyDescent="0.2">
      <c r="A178" s="299">
        <v>1684</v>
      </c>
      <c r="B178" s="84" t="s">
        <v>201</v>
      </c>
      <c r="C178" s="173"/>
      <c r="D178" s="558" t="e">
        <f t="array" ref="D178">INDEX(df_census_misc!$C$2:$C$1000, MATCH(1, (A$2 = df_census_misc!$A$2:$A$1000) * (df_census_misc!$B$2:$B$1000 = $A178), 0), 0)</f>
        <v>#N/A</v>
      </c>
      <c r="E178" s="239" t="e">
        <f t="array" ref="E178">INDEX(df_census_misc!$C$2:$C$1000, MATCH(1, (B$2 = df_census_misc!$A$2:$A$1000) * (df_census_misc!$B$2:$B$1000 = $A178), 0), 0)</f>
        <v>#N/A</v>
      </c>
      <c r="F178" s="552" t="e">
        <f t="array" ref="F178">INDEX(df_census_misc!$C$2:$C$1000, MATCH(1, (C$2 = df_census_misc!$A$2:$A$1000) * (df_census_misc!$B$2:$B$1000 = $A178), 0), 0)</f>
        <v>#N/A</v>
      </c>
    </row>
    <row r="179" spans="1:13" ht="20.100000000000001" customHeight="1" x14ac:dyDescent="0.2">
      <c r="A179" s="299">
        <v>1529</v>
      </c>
      <c r="B179" s="84" t="s">
        <v>205</v>
      </c>
      <c r="C179" s="173"/>
      <c r="D179" s="558" t="e">
        <f t="array" ref="D179">INDEX(df_census_misc!$C$2:$C$1000, MATCH(1, (A$2 = df_census_misc!$A$2:$A$1000) * (df_census_misc!$B$2:$B$1000 = $A179), 0), 0)</f>
        <v>#N/A</v>
      </c>
      <c r="E179" s="239" t="e">
        <f t="array" ref="E179">INDEX(df_census_misc!$C$2:$C$1000, MATCH(1, (B$2 = df_census_misc!$A$2:$A$1000) * (df_census_misc!$B$2:$B$1000 = $A179), 0), 0)</f>
        <v>#N/A</v>
      </c>
      <c r="F179" s="552" t="e">
        <f t="array" ref="F179">INDEX(df_census_misc!$C$2:$C$1000, MATCH(1, (C$2 = df_census_misc!$A$2:$A$1000) * (df_census_misc!$B$2:$B$1000 = $A179), 0), 0)</f>
        <v>#N/A</v>
      </c>
    </row>
    <row r="180" spans="1:13" ht="20.100000000000001" customHeight="1" x14ac:dyDescent="0.2">
      <c r="A180" s="299">
        <v>1536</v>
      </c>
      <c r="B180" s="84" t="s">
        <v>202</v>
      </c>
      <c r="C180" s="173"/>
      <c r="D180" s="558" t="e">
        <f t="array" ref="D180">INDEX(df_census_misc!$C$2:$C$1000, MATCH(1, (A$2 = df_census_misc!$A$2:$A$1000) * (df_census_misc!$B$2:$B$1000 = $A180), 0), 0)</f>
        <v>#N/A</v>
      </c>
      <c r="E180" s="239" t="e">
        <f t="array" ref="E180">INDEX(df_census_misc!$C$2:$C$1000, MATCH(1, (B$2 = df_census_misc!$A$2:$A$1000) * (df_census_misc!$B$2:$B$1000 = $A180), 0), 0)</f>
        <v>#N/A</v>
      </c>
      <c r="F180" s="552" t="e">
        <f t="array" ref="F180">INDEX(df_census_misc!$C$2:$C$1000, MATCH(1, (C$2 = df_census_misc!$A$2:$A$1000) * (df_census_misc!$B$2:$B$1000 = $A180), 0), 0)</f>
        <v>#N/A</v>
      </c>
    </row>
    <row r="181" spans="1:13" ht="20.100000000000001" customHeight="1" x14ac:dyDescent="0.2">
      <c r="A181" s="299">
        <v>1537</v>
      </c>
      <c r="B181" s="84" t="s">
        <v>194</v>
      </c>
      <c r="C181" s="173"/>
      <c r="D181" s="558" t="e">
        <f t="array" ref="D181">INDEX(df_census_misc!$C$2:$C$1000, MATCH(1, (A$2 = df_census_misc!$A$2:$A$1000) * (df_census_misc!$B$2:$B$1000 = $A181), 0), 0)</f>
        <v>#N/A</v>
      </c>
      <c r="E181" s="239" t="e">
        <f t="array" ref="E181">INDEX(df_census_misc!$C$2:$C$1000, MATCH(1, (B$2 = df_census_misc!$A$2:$A$1000) * (df_census_misc!$B$2:$B$1000 = $A181), 0), 0)</f>
        <v>#N/A</v>
      </c>
      <c r="F181" s="552" t="e">
        <f t="array" ref="F181">INDEX(df_census_misc!$C$2:$C$1000, MATCH(1, (C$2 = df_census_misc!$A$2:$A$1000) * (df_census_misc!$B$2:$B$1000 = $A181), 0), 0)</f>
        <v>#N/A</v>
      </c>
    </row>
    <row r="182" spans="1:13" ht="20.100000000000001" customHeight="1" x14ac:dyDescent="0.2">
      <c r="A182" s="299">
        <v>387</v>
      </c>
      <c r="B182" s="84" t="s">
        <v>203</v>
      </c>
      <c r="C182" s="173"/>
      <c r="D182" s="558" t="e">
        <f t="array" ref="D182">INDEX(df_census_misc!$C$2:$C$1000, MATCH(1, (A$2 = df_census_misc!$A$2:$A$1000) * (df_census_misc!$B$2:$B$1000 = $A182), 0), 0)</f>
        <v>#N/A</v>
      </c>
      <c r="E182" s="239" t="e">
        <f t="array" ref="E182">INDEX(df_census_misc!$C$2:$C$1000, MATCH(1, (B$2 = df_census_misc!$A$2:$A$1000) * (df_census_misc!$B$2:$B$1000 = $A182), 0), 0)</f>
        <v>#N/A</v>
      </c>
      <c r="F182" s="552" t="e">
        <f t="array" ref="F182">INDEX(df_census_misc!$C$2:$C$1000, MATCH(1, (C$2 = df_census_misc!$A$2:$A$1000) * (df_census_misc!$B$2:$B$1000 = $A182), 0), 0)</f>
        <v>#N/A</v>
      </c>
    </row>
    <row r="183" spans="1:13" ht="20.100000000000001" customHeight="1" x14ac:dyDescent="0.2">
      <c r="A183" s="299">
        <v>2014</v>
      </c>
      <c r="B183" s="84" t="s">
        <v>204</v>
      </c>
      <c r="C183" s="173"/>
      <c r="D183" s="558" t="e">
        <f t="array" ref="D183">INDEX(df_census_misc!$C$2:$C$1000, MATCH(1, (A$2 = df_census_misc!$A$2:$A$1000) * (df_census_misc!$B$2:$B$1000 = $A183), 0), 0)</f>
        <v>#N/A</v>
      </c>
      <c r="E183" s="239" t="e">
        <f t="array" ref="E183">INDEX(df_census_misc!$C$2:$C$1000, MATCH(1, (B$2 = df_census_misc!$A$2:$A$1000) * (df_census_misc!$B$2:$B$1000 = $A183), 0), 0)</f>
        <v>#N/A</v>
      </c>
      <c r="F183" s="552" t="e">
        <f t="array" ref="F183">INDEX(df_census_misc!$C$2:$C$1000, MATCH(1, (C$2 = df_census_misc!$A$2:$A$1000) * (df_census_misc!$B$2:$B$1000 = $A183), 0), 0)</f>
        <v>#N/A</v>
      </c>
    </row>
    <row r="184" spans="1:13" ht="20.100000000000001" customHeight="1" x14ac:dyDescent="0.2">
      <c r="A184" s="299">
        <v>2017</v>
      </c>
      <c r="B184" s="84" t="s">
        <v>239</v>
      </c>
      <c r="C184" s="173"/>
      <c r="D184" s="558" t="e">
        <f t="array" ref="D184">INDEX(df_census_misc!$C$2:$C$1000, MATCH(1, (A$2 = df_census_misc!$A$2:$A$1000) * (df_census_misc!$B$2:$B$1000 = $A184), 0), 0)</f>
        <v>#N/A</v>
      </c>
      <c r="E184" s="239" t="e">
        <f t="array" ref="E184">INDEX(df_census_misc!$C$2:$C$1000, MATCH(1, (B$2 = df_census_misc!$A$2:$A$1000) * (df_census_misc!$B$2:$B$1000 = $A184), 0), 0)</f>
        <v>#N/A</v>
      </c>
      <c r="F184" s="552" t="e">
        <f t="array" ref="F184">INDEX(df_census_misc!$C$2:$C$1000, MATCH(1, (C$2 = df_census_misc!$A$2:$A$1000) * (df_census_misc!$B$2:$B$1000 = $A184), 0), 0)</f>
        <v>#N/A</v>
      </c>
    </row>
    <row r="185" spans="1:13" ht="20.100000000000001" customHeight="1" x14ac:dyDescent="0.2">
      <c r="A185" s="299">
        <v>1</v>
      </c>
      <c r="B185" s="84" t="s">
        <v>238</v>
      </c>
      <c r="C185" s="173"/>
      <c r="D185" s="558" t="e">
        <f t="array" ref="D185">INDEX(df_stir_ppl!$E$2:$E$1000, MATCH(1, (A$2 = df_stir_ppl!$A$2:$A$1000) * (df_stir_ppl!$D$2:$D$1000 = $A185) * (df_stir_ppl!$B$2:$B$1000 = "T"), 0), 0)</f>
        <v>#N/A</v>
      </c>
      <c r="E185" s="239" t="e">
        <f t="array" ref="E185">INDEX(df_stir_ppl!$E$2:$E$1000, MATCH(1, (B$2 = df_stir_ppl!$A$2:$A$1000) * (df_stir_ppl!$D$2:$D$1000 = $A185) * (df_stir_ppl!$B$2:$B$1000 = "T"), 0), 0)</f>
        <v>#N/A</v>
      </c>
      <c r="F185" s="552" t="e">
        <f t="array" ref="F185">INDEX(df_stir_ppl!$E$2:$E$1000, MATCH(1, (C$2 = df_stir_ppl!$A$2:$A$1000) * (df_stir_ppl!$D$2:$D$1000 = $A185) * (df_stir_ppl!$B$2:$B$1000 = "T"), 0), 0)</f>
        <v>#N/A</v>
      </c>
    </row>
    <row r="186" spans="1:13" ht="20.100000000000001" customHeight="1" x14ac:dyDescent="0.2">
      <c r="A186" s="299">
        <v>43</v>
      </c>
      <c r="B186" s="84" t="s">
        <v>195</v>
      </c>
      <c r="C186" s="173"/>
      <c r="D186" s="558" t="e">
        <f t="array" ref="D186">INDEX(df_stir_ppl!$E$2:$E$1000, MATCH(1, (A$2 = df_stir_ppl!$A$2:$A$1000) * (df_stir_ppl!$D$2:$D$1000 = $A186) * (df_stir_ppl!$B$2:$B$1000 = "T"), 0), 0)</f>
        <v>#N/A</v>
      </c>
      <c r="E186" s="239" t="e">
        <f t="array" ref="E186">INDEX(df_stir_ppl!$E$2:$E$1000, MATCH(1, (B$2 = df_stir_ppl!$A$2:$A$1000) * (df_stir_ppl!$D$2:$D$1000 = $A186) * (df_stir_ppl!$B$2:$B$1000 = "T"), 0), 0)</f>
        <v>#N/A</v>
      </c>
      <c r="F186" s="552" t="e">
        <f t="array" ref="F186">INDEX(df_stir_ppl!$E$2:$E$1000, MATCH(1, (C$2 = df_stir_ppl!$A$2:$A$1000) * (df_stir_ppl!$D$2:$D$1000 = $A186) * (df_stir_ppl!$B$2:$B$1000 = "T"), 0), 0)</f>
        <v>#N/A</v>
      </c>
    </row>
    <row r="187" spans="1:13" ht="20.100000000000001" customHeight="1" x14ac:dyDescent="0.2">
      <c r="A187" s="299">
        <v>46</v>
      </c>
      <c r="B187" s="569" t="s">
        <v>206</v>
      </c>
      <c r="C187" s="494"/>
      <c r="D187" s="559" t="e">
        <f t="array" ref="D187">INDEX(df_stir_ppl!$E$2:$E$1000, MATCH(1, (A$2 = df_stir_ppl!$A$2:$A$1000) * (df_stir_ppl!$D$2:$D$1000 = $A187) * (df_stir_ppl!$B$2:$B$1000 = "T"), 0), 0)</f>
        <v>#N/A</v>
      </c>
      <c r="E187" s="553" t="e">
        <f t="array" ref="E187">INDEX(df_stir_ppl!$E$2:$E$1000, MATCH(1, (B$2 = df_stir_ppl!$A$2:$A$1000) * (df_stir_ppl!$D$2:$D$1000 = $A187) * (df_stir_ppl!$B$2:$B$1000 = "T"), 0), 0)</f>
        <v>#N/A</v>
      </c>
      <c r="F187" s="554" t="e">
        <f t="array" ref="F187">INDEX(df_stir_ppl!$E$2:$E$1000, MATCH(1, (C$2 = df_stir_ppl!$A$2:$A$1000) * (df_stir_ppl!$D$2:$D$1000 = $A187) * (df_stir_ppl!$B$2:$B$1000 = "T"), 0), 0)</f>
        <v>#N/A</v>
      </c>
    </row>
    <row r="188" spans="1:13" ht="20.100000000000001" customHeight="1" x14ac:dyDescent="0.2"/>
    <row r="189" spans="1:13" ht="30" customHeight="1" x14ac:dyDescent="0.2">
      <c r="A189" s="560"/>
      <c r="B189" s="175" t="s">
        <v>1217</v>
      </c>
      <c r="C189" s="310"/>
      <c r="D189" s="310"/>
      <c r="E189" s="310"/>
      <c r="F189" s="310"/>
      <c r="G189" s="310"/>
      <c r="H189" s="310"/>
      <c r="I189" s="310"/>
      <c r="J189" s="310"/>
      <c r="K189" s="310"/>
      <c r="L189" s="310"/>
      <c r="M189" s="239"/>
    </row>
    <row r="190" spans="1:13" ht="20.100000000000001" customHeight="1" x14ac:dyDescent="0.2"/>
    <row r="191" spans="1:13" ht="20.100000000000001" customHeight="1" x14ac:dyDescent="0.2">
      <c r="B191" s="1243" t="s">
        <v>1218</v>
      </c>
      <c r="C191" s="1243"/>
      <c r="D191" s="1243"/>
      <c r="E191" s="1243"/>
    </row>
    <row r="192" spans="1:13" ht="20.100000000000001" customHeight="1" x14ac:dyDescent="0.2"/>
    <row r="193" spans="2:5" ht="20.100000000000001" customHeight="1" x14ac:dyDescent="0.2">
      <c r="B193" s="282" t="s">
        <v>248</v>
      </c>
      <c r="C193" s="130" t="s">
        <v>187</v>
      </c>
      <c r="D193" s="246" t="s">
        <v>188</v>
      </c>
      <c r="E193" s="317" t="s">
        <v>189</v>
      </c>
    </row>
    <row r="194" spans="2:5" ht="20.100000000000001" customHeight="1" x14ac:dyDescent="0.2">
      <c r="B194" s="535" t="s">
        <v>200</v>
      </c>
      <c r="C194" s="537" t="str">
        <f>IFERROR(IF(D177/D$176=0,"x",D177/D$176),"x")</f>
        <v>x</v>
      </c>
      <c r="D194" s="538" t="str">
        <f>IFERROR(IF(E177/E$176=0,"x",E177/E$176),"x")</f>
        <v>x</v>
      </c>
      <c r="E194" s="539" t="str">
        <f>IFERROR(IF(F177/F$176=0,"x",F177/F$176),"x")</f>
        <v>x</v>
      </c>
    </row>
    <row r="195" spans="2:5" ht="20.100000000000001" customHeight="1" x14ac:dyDescent="0.2">
      <c r="B195" s="533" t="s">
        <v>201</v>
      </c>
      <c r="C195" s="540" t="str">
        <f t="shared" ref="C195:E195" si="15">IFERROR(IF(D178/D$176=0,"x",D178/D$176),"x")</f>
        <v>x</v>
      </c>
      <c r="D195" s="541" t="str">
        <f t="shared" si="15"/>
        <v>x</v>
      </c>
      <c r="E195" s="542" t="str">
        <f t="shared" si="15"/>
        <v>x</v>
      </c>
    </row>
    <row r="196" spans="2:5" ht="20.100000000000001" customHeight="1" x14ac:dyDescent="0.2">
      <c r="B196" s="534" t="s">
        <v>205</v>
      </c>
      <c r="C196" s="543" t="str">
        <f t="shared" ref="C196:E196" si="16">IFERROR(IF(D179/D$176=0,"x",D179/D$176),"x")</f>
        <v>x</v>
      </c>
      <c r="D196" s="544" t="str">
        <f t="shared" si="16"/>
        <v>x</v>
      </c>
      <c r="E196" s="545" t="str">
        <f t="shared" si="16"/>
        <v>x</v>
      </c>
    </row>
    <row r="197" spans="2:5" ht="20.100000000000001" customHeight="1" x14ac:dyDescent="0.2">
      <c r="B197" s="533" t="s">
        <v>202</v>
      </c>
      <c r="C197" s="540" t="str">
        <f t="shared" ref="C197:E197" si="17">IFERROR(IF(D180/D$176=0,"x",D180/D$176),"x")</f>
        <v>x</v>
      </c>
      <c r="D197" s="541" t="str">
        <f t="shared" si="17"/>
        <v>x</v>
      </c>
      <c r="E197" s="542" t="str">
        <f t="shared" si="17"/>
        <v>x</v>
      </c>
    </row>
    <row r="198" spans="2:5" ht="20.100000000000001" customHeight="1" x14ac:dyDescent="0.2">
      <c r="B198" s="534" t="s">
        <v>194</v>
      </c>
      <c r="C198" s="543" t="str">
        <f t="shared" ref="C198:E198" si="18">IFERROR(IF(D181/D$176=0,"x",D181/D$176),"x")</f>
        <v>x</v>
      </c>
      <c r="D198" s="544" t="str">
        <f t="shared" si="18"/>
        <v>x</v>
      </c>
      <c r="E198" s="545" t="str">
        <f t="shared" si="18"/>
        <v>x</v>
      </c>
    </row>
    <row r="199" spans="2:5" ht="20.100000000000001" customHeight="1" x14ac:dyDescent="0.2">
      <c r="B199" s="533" t="s">
        <v>203</v>
      </c>
      <c r="C199" s="540" t="str">
        <f t="shared" ref="C199:E199" si="19">IFERROR(IF(D182/D$176=0,"x",D182/D$176),"x")</f>
        <v>x</v>
      </c>
      <c r="D199" s="541" t="str">
        <f t="shared" si="19"/>
        <v>x</v>
      </c>
      <c r="E199" s="542" t="str">
        <f t="shared" si="19"/>
        <v>x</v>
      </c>
    </row>
    <row r="200" spans="2:5" ht="20.100000000000001" customHeight="1" x14ac:dyDescent="0.2">
      <c r="B200" s="534" t="s">
        <v>247</v>
      </c>
      <c r="C200" s="543" t="str">
        <f>IFERROR(IF(1-D184/D183 = 0, "x", 1-D184/D183),"x")</f>
        <v>x</v>
      </c>
      <c r="D200" s="544" t="str">
        <f t="shared" ref="D200:E200" si="20">IFERROR(IF(1-E184/E183 = 0, "x", 1-E184/E183),"x")</f>
        <v>x</v>
      </c>
      <c r="E200" s="545" t="str">
        <f t="shared" si="20"/>
        <v>x</v>
      </c>
    </row>
    <row r="201" spans="2:5" ht="20.100000000000001" customHeight="1" x14ac:dyDescent="0.2">
      <c r="B201" s="533" t="s">
        <v>195</v>
      </c>
      <c r="C201" s="540" t="str">
        <f>IFERROR(IF(D186/D$185=0,"x",D186/D$185),"x")</f>
        <v>x</v>
      </c>
      <c r="D201" s="541" t="str">
        <f t="shared" ref="D201:E201" si="21">IFERROR(IF(E186/E$185=0,"x",E186/E$185),"x")</f>
        <v>x</v>
      </c>
      <c r="E201" s="542" t="str">
        <f t="shared" si="21"/>
        <v>x</v>
      </c>
    </row>
    <row r="202" spans="2:5" ht="20.100000000000001" customHeight="1" x14ac:dyDescent="0.2">
      <c r="B202" s="536" t="s">
        <v>206</v>
      </c>
      <c r="C202" s="549" t="str">
        <f>IFERROR(IF(D187/D$185=0,"x",D187/D$185),"x")</f>
        <v>x</v>
      </c>
      <c r="D202" s="550" t="str">
        <f t="shared" ref="D202:E202" si="22">IFERROR(IF(E187/E$185=0,"x",E187/E$185),"x")</f>
        <v>x</v>
      </c>
      <c r="E202" s="551" t="str">
        <f t="shared" si="22"/>
        <v>x</v>
      </c>
    </row>
  </sheetData>
  <mergeCells count="20">
    <mergeCell ref="B100:AA100"/>
    <mergeCell ref="B112:AA112"/>
    <mergeCell ref="B117:AA117"/>
    <mergeCell ref="B160:E160"/>
    <mergeCell ref="B191:E191"/>
    <mergeCell ref="B173:F173"/>
    <mergeCell ref="B145:F145"/>
    <mergeCell ref="H145:L145"/>
    <mergeCell ref="O10:P10"/>
    <mergeCell ref="M10:N10"/>
    <mergeCell ref="B66:D66"/>
    <mergeCell ref="C10:E10"/>
    <mergeCell ref="B8:G8"/>
    <mergeCell ref="F10:G10"/>
    <mergeCell ref="J10:L10"/>
    <mergeCell ref="I8:N8"/>
    <mergeCell ref="B32:H32"/>
    <mergeCell ref="C34:F34"/>
    <mergeCell ref="B50:J50"/>
    <mergeCell ref="H66:N66"/>
  </mergeCells>
  <pageMargins left="0.7" right="0.7" top="0.75" bottom="0.75" header="0.3" footer="0.3"/>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A1:W157"/>
  <sheetViews>
    <sheetView zoomScale="70" zoomScaleNormal="70" workbookViewId="0">
      <pane ySplit="2" topLeftCell="A3" activePane="bottomLeft" state="frozen"/>
      <selection pane="bottomLeft" activeCell="A3" sqref="A3"/>
    </sheetView>
  </sheetViews>
  <sheetFormatPr defaultColWidth="11" defaultRowHeight="14.25" x14ac:dyDescent="0.2"/>
  <sheetData>
    <row r="1" spans="1:23" ht="20.100000000000001" customHeight="1" x14ac:dyDescent="0.2">
      <c r="A1" s="2" t="s">
        <v>181</v>
      </c>
      <c r="B1" s="2" t="s">
        <v>182</v>
      </c>
      <c r="C1" s="2" t="s">
        <v>183</v>
      </c>
      <c r="D1" s="186" t="s">
        <v>7</v>
      </c>
      <c r="E1" s="1"/>
      <c r="G1" s="1"/>
      <c r="H1" s="1"/>
      <c r="I1" s="1"/>
      <c r="J1" s="1"/>
      <c r="K1" s="1"/>
      <c r="L1" s="1"/>
      <c r="M1" s="1"/>
      <c r="N1" s="1"/>
      <c r="O1" s="1"/>
      <c r="P1" s="1"/>
      <c r="Q1" s="1"/>
      <c r="R1" s="1"/>
      <c r="S1" s="1"/>
      <c r="T1" s="1"/>
      <c r="U1" s="1"/>
      <c r="V1" s="1"/>
    </row>
    <row r="2" spans="1:23" ht="20.100000000000001" customHeight="1" x14ac:dyDescent="0.2">
      <c r="A2" s="2">
        <f>df_geo!A2</f>
        <v>1000000</v>
      </c>
      <c r="B2" s="99">
        <f>_xlfn.NUMBERVALUE(LEFT(A2,4))</f>
        <v>1000</v>
      </c>
      <c r="C2" s="2">
        <f>_xlfn.NUMBERVALUE(LEFT(B2,2))</f>
        <v>10</v>
      </c>
      <c r="D2" s="186" t="e">
        <f t="array" ref="D2">INDEX($B$36:$B$43,MATCH(SMALL(W36:W43,COUNT(W36:W43)/2+1),$W$36:$W$43,0),0)</f>
        <v>#N/A</v>
      </c>
      <c r="E2" s="1"/>
      <c r="F2" s="1"/>
      <c r="G2" s="1"/>
      <c r="H2" s="1"/>
      <c r="I2" s="1"/>
      <c r="J2" s="1"/>
      <c r="K2" s="1"/>
      <c r="L2" s="1"/>
      <c r="M2" s="1"/>
      <c r="N2" s="1"/>
      <c r="O2" s="1"/>
      <c r="P2" s="1"/>
      <c r="Q2" s="1"/>
      <c r="R2" s="1"/>
      <c r="S2" s="1"/>
      <c r="T2" s="1"/>
      <c r="U2" s="1"/>
      <c r="V2" s="1"/>
    </row>
    <row r="3" spans="1:23" ht="20.100000000000001" customHeight="1" x14ac:dyDescent="0.2">
      <c r="A3" s="1"/>
      <c r="B3" s="2"/>
      <c r="C3" s="1"/>
      <c r="D3" s="1"/>
      <c r="E3" s="1"/>
      <c r="F3" s="1"/>
      <c r="G3" s="1"/>
      <c r="H3" s="1"/>
      <c r="I3" s="1"/>
      <c r="J3" s="1"/>
      <c r="K3" s="1"/>
      <c r="L3" s="1"/>
      <c r="M3" s="1"/>
      <c r="N3" s="1"/>
      <c r="O3" s="1"/>
      <c r="P3" s="1"/>
      <c r="Q3" s="1"/>
      <c r="R3" s="1"/>
      <c r="S3" s="1"/>
      <c r="T3" s="1"/>
      <c r="U3" s="1"/>
      <c r="V3" s="1"/>
    </row>
    <row r="4" spans="1:23" ht="50.1" customHeight="1" x14ac:dyDescent="0.2">
      <c r="B4" s="159" t="s">
        <v>1277</v>
      </c>
      <c r="C4" s="59"/>
      <c r="D4" s="59"/>
      <c r="E4" s="59"/>
      <c r="F4" s="59"/>
      <c r="G4" s="59"/>
      <c r="H4" s="59"/>
      <c r="I4" s="59"/>
      <c r="J4" s="59"/>
      <c r="K4" s="59"/>
      <c r="L4" s="59"/>
      <c r="M4" s="59"/>
      <c r="N4" s="59"/>
      <c r="O4" s="59"/>
      <c r="P4" s="59"/>
      <c r="Q4" s="59"/>
      <c r="R4" s="59"/>
      <c r="S4" s="59"/>
      <c r="T4" s="59"/>
      <c r="U4" s="59"/>
      <c r="V4" s="59"/>
      <c r="W4" s="59"/>
    </row>
    <row r="5" spans="1:23" ht="20.100000000000001" customHeight="1" x14ac:dyDescent="0.2">
      <c r="A5" s="1"/>
      <c r="B5" s="2"/>
      <c r="C5" s="1"/>
      <c r="D5" s="1"/>
      <c r="E5" s="1"/>
      <c r="F5" s="1"/>
      <c r="G5" s="1"/>
      <c r="H5" s="1"/>
      <c r="I5" s="1"/>
      <c r="J5" s="1"/>
      <c r="K5" s="1"/>
      <c r="L5" s="1"/>
      <c r="M5" s="1"/>
      <c r="N5" s="1"/>
      <c r="O5" s="1"/>
      <c r="P5" s="1"/>
      <c r="Q5" s="1"/>
      <c r="R5" s="1"/>
      <c r="S5" s="1"/>
      <c r="T5" s="1"/>
      <c r="U5" s="1"/>
      <c r="V5" s="1"/>
      <c r="W5" s="1"/>
    </row>
    <row r="6" spans="1:23" ht="30" customHeight="1" x14ac:dyDescent="0.2">
      <c r="A6" s="560"/>
      <c r="B6" s="175" t="s">
        <v>1216</v>
      </c>
      <c r="C6" s="310"/>
      <c r="D6" s="310"/>
      <c r="E6" s="310"/>
      <c r="F6" s="310"/>
      <c r="G6" s="310"/>
      <c r="H6" s="310"/>
      <c r="I6" s="310"/>
      <c r="J6" s="310"/>
      <c r="K6" s="310"/>
      <c r="L6" s="310"/>
      <c r="M6" s="310"/>
      <c r="N6" s="310"/>
      <c r="O6" s="310"/>
      <c r="P6" s="310"/>
      <c r="Q6" s="310"/>
      <c r="R6" s="310"/>
      <c r="S6" s="310"/>
      <c r="T6" s="310"/>
      <c r="U6" s="310"/>
      <c r="V6" s="310"/>
      <c r="W6" s="310"/>
    </row>
    <row r="7" spans="1:23" ht="20.100000000000001" customHeight="1" x14ac:dyDescent="0.2">
      <c r="A7" s="1"/>
      <c r="B7" s="2"/>
      <c r="C7" s="1"/>
      <c r="D7" s="1"/>
      <c r="E7" s="1"/>
      <c r="F7" s="1"/>
      <c r="G7" s="1"/>
      <c r="H7" s="1"/>
      <c r="I7" s="1"/>
      <c r="J7" s="1"/>
      <c r="K7" s="1"/>
      <c r="L7" s="1"/>
      <c r="M7" s="1"/>
      <c r="N7" s="1"/>
      <c r="O7" s="1"/>
      <c r="P7" s="1"/>
      <c r="Q7" s="1"/>
      <c r="R7" s="1"/>
      <c r="S7" s="1"/>
      <c r="T7" s="1"/>
      <c r="U7" s="1"/>
      <c r="V7" s="1"/>
    </row>
    <row r="8" spans="1:23" ht="20.100000000000001" customHeight="1" x14ac:dyDescent="0.2">
      <c r="A8" s="1"/>
      <c r="B8" s="1240" t="s">
        <v>823</v>
      </c>
      <c r="C8" s="1240"/>
      <c r="D8" s="1240"/>
      <c r="E8" s="1240"/>
      <c r="F8" s="1240"/>
      <c r="G8" s="1240"/>
      <c r="H8" s="1240"/>
      <c r="I8" s="1240"/>
      <c r="J8" s="1240"/>
      <c r="K8" s="1240"/>
      <c r="L8" s="1240"/>
      <c r="M8" s="1240"/>
      <c r="N8" s="1240"/>
      <c r="O8" s="1240"/>
      <c r="P8" s="1240"/>
      <c r="Q8" s="1240"/>
      <c r="R8" s="1240"/>
      <c r="S8" s="1240"/>
      <c r="T8" s="1240"/>
      <c r="U8" s="1240"/>
      <c r="V8" s="1240"/>
      <c r="W8" s="1240"/>
    </row>
    <row r="9" spans="1:23" ht="20.100000000000001" customHeight="1" x14ac:dyDescent="0.2">
      <c r="A9" s="1"/>
      <c r="B9" s="1"/>
      <c r="C9" s="1"/>
      <c r="D9" s="1"/>
      <c r="E9" s="1"/>
      <c r="F9" s="1"/>
      <c r="G9" s="1"/>
      <c r="H9" s="1"/>
      <c r="I9" s="1"/>
      <c r="J9" s="1"/>
      <c r="K9" s="1"/>
      <c r="L9" s="1"/>
      <c r="M9" s="1"/>
      <c r="N9" s="1"/>
      <c r="O9" s="1"/>
      <c r="P9" s="1"/>
      <c r="Q9" s="1"/>
      <c r="R9" s="1"/>
      <c r="S9" s="1"/>
      <c r="T9" s="1"/>
      <c r="U9" s="1"/>
      <c r="V9" s="1"/>
    </row>
    <row r="10" spans="1:23" ht="20.100000000000001" customHeight="1" x14ac:dyDescent="0.2">
      <c r="A10" s="1"/>
      <c r="B10" s="500" t="s">
        <v>7</v>
      </c>
      <c r="C10" s="206">
        <v>2015</v>
      </c>
      <c r="D10" s="563">
        <v>2016</v>
      </c>
      <c r="E10" s="563">
        <v>2017</v>
      </c>
      <c r="F10" s="563">
        <v>2018</v>
      </c>
      <c r="G10" s="563">
        <v>2019</v>
      </c>
      <c r="H10" s="563">
        <v>2020</v>
      </c>
      <c r="I10" s="563">
        <v>2021</v>
      </c>
      <c r="J10" s="563">
        <v>2022</v>
      </c>
      <c r="K10" s="563">
        <v>2023</v>
      </c>
      <c r="L10" s="563">
        <v>2024</v>
      </c>
      <c r="M10" s="563">
        <v>2025</v>
      </c>
      <c r="N10" s="563">
        <v>2026</v>
      </c>
      <c r="O10" s="563">
        <v>2027</v>
      </c>
      <c r="P10" s="563">
        <v>2028</v>
      </c>
      <c r="Q10" s="563">
        <v>2029</v>
      </c>
      <c r="R10" s="563">
        <v>2030</v>
      </c>
      <c r="S10" s="563">
        <v>2031</v>
      </c>
      <c r="T10" s="563">
        <v>2032</v>
      </c>
      <c r="U10" s="563">
        <v>2033</v>
      </c>
      <c r="V10" s="563">
        <v>2034</v>
      </c>
      <c r="W10" s="562">
        <v>2035</v>
      </c>
    </row>
    <row r="11" spans="1:23" ht="20.100000000000001" customHeight="1" x14ac:dyDescent="0.2">
      <c r="A11" s="1"/>
      <c r="B11" s="500" t="s">
        <v>253</v>
      </c>
      <c r="C11" s="564" t="e">
        <f t="array" ref="C11">MROUND(INDEX(df_est_cd!$D$2:$AB$1000, MATCH(1, ("Total" = df_est_cd!$C$2:$C$1000) * ($B$2 = df_est_cd!$B$2:$B$1000), 0), MATCH(TEXT(C$10,"##"), df_est_cd!$D$1:$AB$1,0)),5)</f>
        <v>#N/A</v>
      </c>
      <c r="D11" s="565" t="e">
        <f t="array" ref="D11">MROUND(INDEX(df_est_cd!$D$2:$AB$1000, MATCH(1, ("Total" = df_est_cd!$C$2:$C$1000) * ($B$2 = df_est_cd!$B$2:$B$1000), 0), MATCH(TEXT(D$10,"##"), df_est_cd!$D$1:$AB$1,0)),5)</f>
        <v>#N/A</v>
      </c>
      <c r="E11" s="565" t="e">
        <f t="array" ref="E11">MROUND(INDEX(df_est_cd!$D$2:$AB$1000, MATCH(1, ("Total" = df_est_cd!$C$2:$C$1000) * ($B$2 = df_est_cd!$B$2:$B$1000), 0), MATCH(TEXT(E$10,"##"), df_est_cd!$D$1:$AB$1,0)),5)</f>
        <v>#N/A</v>
      </c>
      <c r="F11" s="565" t="e">
        <f t="array" ref="F11">MROUND(INDEX(df_est_cd!$D$2:$AB$1000, MATCH(1, ("Total" = df_est_cd!$C$2:$C$1000) * ($B$2 = df_est_cd!$B$2:$B$1000), 0), MATCH(TEXT(F$10,"##"), df_est_cd!$D$1:$AB$1,0)),5)</f>
        <v>#N/A</v>
      </c>
      <c r="G11" s="565" t="e">
        <f t="array" ref="G11">MROUND(INDEX(df_est_cd!$D$2:$AB$1000, MATCH(1, ("Total" = df_est_cd!$C$2:$C$1000) * ($B$2 = df_est_cd!$B$2:$B$1000), 0), MATCH(TEXT(G$10,"##"), df_est_cd!$D$1:$AB$1,0)),5)</f>
        <v>#N/A</v>
      </c>
      <c r="H11" s="565" t="e">
        <f t="array" ref="H11">MROUND(INDEX(df_est_cd!$D$2:$AB$1000, MATCH(1, ("Total" = df_est_cd!$C$2:$C$1000) * ($B$2 = df_est_cd!$B$2:$B$1000), 0), MATCH(TEXT(H$10,"##"), df_est_cd!$D$1:$AB$1,0)),5)</f>
        <v>#N/A</v>
      </c>
      <c r="I11" s="565" t="e">
        <f t="array" ref="I11">MROUND(INDEX(df_est_cd!$D$2:$AB$1000, MATCH(1, ("Total" = df_est_cd!$C$2:$C$1000) * ($B$2 = df_est_cd!$B$2:$B$1000), 0), MATCH(TEXT(I$10,"##"), df_est_cd!$D$1:$AB$1,0)),5)</f>
        <v>#N/A</v>
      </c>
      <c r="J11" s="565" t="e">
        <f t="array" ref="J11">MROUND(INDEX(df_est_cd!$D$2:$AB$1000, MATCH(1, ("Total" = df_est_cd!$C$2:$C$1000) * ($B$2 = df_est_cd!$B$2:$B$1000), 0), MATCH(TEXT(J$10,"##"), df_est_cd!$D$1:$AB$1,0)),5)</f>
        <v>#N/A</v>
      </c>
      <c r="K11" s="565" t="e">
        <f t="array" ref="K11">MROUND(INDEX(df_est_cd!$D$2:$AB$1000, MATCH(1, ("Total" = df_est_cd!$C$2:$C$1000) * ($B$2 = df_est_cd!$B$2:$B$1000), 0), MATCH(TEXT(K$10,"##"), df_est_cd!$D$1:$AB$1,0)),5)</f>
        <v>#N/A</v>
      </c>
      <c r="L11" s="565" t="e">
        <f t="array" ref="L11">MROUND(INDEX(df_est_cd!$D$2:$AB$1000, MATCH(1, ("Total" = df_est_cd!$C$2:$C$1000) * ($B$2 = df_est_cd!$B$2:$B$1000), 0), MATCH(TEXT(L$10,"##"), df_est_cd!$D$1:$AB$1,0)),5)</f>
        <v>#N/A</v>
      </c>
      <c r="M11" s="565" t="e">
        <f t="array" ref="M11">MROUND(INDEX(df_est_cd!$D$2:$AB$1000, MATCH(1, ("Total" = df_est_cd!$C$2:$C$1000) * ($B$2 = df_est_cd!$B$2:$B$1000), 0), MATCH(TEXT(M$10,"##"), df_est_cd!$D$1:$AB$1,0)),5)</f>
        <v>#N/A</v>
      </c>
      <c r="N11" s="586"/>
      <c r="O11" s="586"/>
      <c r="P11" s="586"/>
      <c r="Q11" s="586"/>
      <c r="R11" s="586"/>
      <c r="S11" s="586"/>
      <c r="T11" s="586"/>
      <c r="U11" s="586"/>
      <c r="V11" s="586"/>
      <c r="W11" s="587"/>
    </row>
    <row r="12" spans="1:23" ht="20.100000000000001" customHeight="1" x14ac:dyDescent="0.2">
      <c r="A12" s="1"/>
      <c r="B12" s="495" t="s">
        <v>108</v>
      </c>
      <c r="C12" s="580"/>
      <c r="D12" s="581"/>
      <c r="E12" s="581"/>
      <c r="F12" s="581"/>
      <c r="G12" s="581"/>
      <c r="H12" s="581"/>
      <c r="I12" s="581"/>
      <c r="J12" s="581"/>
      <c r="K12" s="581"/>
      <c r="L12" s="581"/>
      <c r="M12" s="557" t="e">
        <f t="array" ref="M12">MROUND(INDEX(df_proj!$E$2:$AD$1000, MATCH(1, ($B$2 = df_proj!$A$2:$A$1000) * (df_proj!$B$2:$B$1000 = "Total") * (df_proj!$C$2:$C$1000 = $B12) * (df_proj!$D$2:$D$1000 = 1), 0), MATCH(TEXT(M$10, "####"), df_proj!$E$1:$AD$1,0)),5)</f>
        <v>#N/A</v>
      </c>
      <c r="N12" s="555" t="e">
        <f t="array" ref="N12">MROUND(INDEX(df_proj!$E$2:$AD$1000, MATCH(1, ($B$2 = df_proj!$A$2:$A$1000) * (df_proj!$B$2:$B$1000 = "Total") * (df_proj!$C$2:$C$1000 = $B12) * (df_proj!$D$2:$D$1000 = 1), 0), MATCH(TEXT(N$10, "####"), df_proj!$E$1:$AD$1,0)),5)</f>
        <v>#N/A</v>
      </c>
      <c r="O12" s="555" t="e">
        <f t="array" ref="O12">MROUND(INDEX(df_proj!$E$2:$AD$1000, MATCH(1, ($B$2 = df_proj!$A$2:$A$1000) * (df_proj!$B$2:$B$1000 = "Total") * (df_proj!$C$2:$C$1000 = $B12) * (df_proj!$D$2:$D$1000 = 1), 0), MATCH(TEXT(O$10, "####"), df_proj!$E$1:$AD$1,0)),5)</f>
        <v>#N/A</v>
      </c>
      <c r="P12" s="555" t="e">
        <f t="array" ref="P12">MROUND(INDEX(df_proj!$E$2:$AD$1000, MATCH(1, ($B$2 = df_proj!$A$2:$A$1000) * (df_proj!$B$2:$B$1000 = "Total") * (df_proj!$C$2:$C$1000 = $B12) * (df_proj!$D$2:$D$1000 = 1), 0), MATCH(TEXT(P$10, "####"), df_proj!$E$1:$AD$1,0)),5)</f>
        <v>#N/A</v>
      </c>
      <c r="Q12" s="555" t="e">
        <f t="array" ref="Q12">MROUND(INDEX(df_proj!$E$2:$AD$1000, MATCH(1, ($B$2 = df_proj!$A$2:$A$1000) * (df_proj!$B$2:$B$1000 = "Total") * (df_proj!$C$2:$C$1000 = $B12) * (df_proj!$D$2:$D$1000 = 1), 0), MATCH(TEXT(Q$10, "####"), df_proj!$E$1:$AD$1,0)),5)</f>
        <v>#N/A</v>
      </c>
      <c r="R12" s="555" t="e">
        <f t="array" ref="R12">MROUND(INDEX(df_proj!$E$2:$AD$1000, MATCH(1, ($B$2 = df_proj!$A$2:$A$1000) * (df_proj!$B$2:$B$1000 = "Total") * (df_proj!$C$2:$C$1000 = $B12) * (df_proj!$D$2:$D$1000 = 1), 0), MATCH(TEXT(R$10, "####"), df_proj!$E$1:$AD$1,0)),5)</f>
        <v>#N/A</v>
      </c>
      <c r="S12" s="555" t="e">
        <f t="array" ref="S12">MROUND(INDEX(df_proj!$E$2:$AD$1000, MATCH(1, ($B$2 = df_proj!$A$2:$A$1000) * (df_proj!$B$2:$B$1000 = "Total") * (df_proj!$C$2:$C$1000 = $B12) * (df_proj!$D$2:$D$1000 = 1), 0), MATCH(TEXT(S$10, "####"), df_proj!$E$1:$AD$1,0)),5)</f>
        <v>#N/A</v>
      </c>
      <c r="T12" s="555" t="e">
        <f t="array" ref="T12">MROUND(INDEX(df_proj!$E$2:$AD$1000, MATCH(1, ($B$2 = df_proj!$A$2:$A$1000) * (df_proj!$B$2:$B$1000 = "Total") * (df_proj!$C$2:$C$1000 = $B12) * (df_proj!$D$2:$D$1000 = 1), 0), MATCH(TEXT(T$10, "####"), df_proj!$E$1:$AD$1,0)),5)</f>
        <v>#N/A</v>
      </c>
      <c r="U12" s="555" t="e">
        <f t="array" ref="U12">MROUND(INDEX(df_proj!$E$2:$AD$1000, MATCH(1, ($B$2 = df_proj!$A$2:$A$1000) * (df_proj!$B$2:$B$1000 = "Total") * (df_proj!$C$2:$C$1000 = $B12) * (df_proj!$D$2:$D$1000 = 1), 0), MATCH(TEXT(U$10, "####"), df_proj!$E$1:$AD$1,0)),5)</f>
        <v>#N/A</v>
      </c>
      <c r="V12" s="555" t="e">
        <f t="array" ref="V12">MROUND(INDEX(df_proj!$E$2:$AD$1000, MATCH(1, ($B$2 = df_proj!$A$2:$A$1000) * (df_proj!$B$2:$B$1000 = "Total") * (df_proj!$C$2:$C$1000 = $B12) * (df_proj!$D$2:$D$1000 = 1), 0), MATCH(TEXT(V$10, "####"), df_proj!$E$1:$AD$1,0)),5)</f>
        <v>#N/A</v>
      </c>
      <c r="W12" s="556" t="e">
        <f t="array" ref="W12">MROUND(INDEX(df_proj!$E$2:$AD$1000, MATCH(1, ($B$2 = df_proj!$A$2:$A$1000) * (df_proj!$B$2:$B$1000 = "Total") * (df_proj!$C$2:$C$1000 = $B12) * (df_proj!$D$2:$D$1000 = 1), 0), MATCH(TEXT(W$10, "####"), df_proj!$E$1:$AD$1,0)),5)</f>
        <v>#N/A</v>
      </c>
    </row>
    <row r="13" spans="1:23" ht="20.100000000000001" customHeight="1" x14ac:dyDescent="0.2">
      <c r="A13" s="1"/>
      <c r="B13" s="496" t="s">
        <v>109</v>
      </c>
      <c r="C13" s="582"/>
      <c r="D13" s="583"/>
      <c r="E13" s="583"/>
      <c r="F13" s="583"/>
      <c r="G13" s="583"/>
      <c r="H13" s="583"/>
      <c r="I13" s="583"/>
      <c r="J13" s="583"/>
      <c r="K13" s="583"/>
      <c r="L13" s="583"/>
      <c r="M13" s="558" t="e">
        <f t="array" ref="M13">MROUND(INDEX(df_proj!$E$2:$AD$1000, MATCH(1, ($B$2 = df_proj!$A$2:$A$1000) * (df_proj!$B$2:$B$1000 = "Total") * (df_proj!$C$2:$C$1000 = $B13) * (df_proj!$D$2:$D$1000 = 1), 0), MATCH(TEXT(M$10, "####"), df_proj!$E$1:$AD$1,0)),5)</f>
        <v>#N/A</v>
      </c>
      <c r="N13" s="239" t="e">
        <f t="array" ref="N13">MROUND(INDEX(df_proj!$E$2:$AD$1000, MATCH(1, ($B$2 = df_proj!$A$2:$A$1000) * (df_proj!$B$2:$B$1000 = "Total") * (df_proj!$C$2:$C$1000 = $B13) * (df_proj!$D$2:$D$1000 = 1), 0), MATCH(TEXT(N$10, "####"), df_proj!$E$1:$AD$1,0)),5)</f>
        <v>#N/A</v>
      </c>
      <c r="O13" s="239" t="e">
        <f t="array" ref="O13">MROUND(INDEX(df_proj!$E$2:$AD$1000, MATCH(1, ($B$2 = df_proj!$A$2:$A$1000) * (df_proj!$B$2:$B$1000 = "Total") * (df_proj!$C$2:$C$1000 = $B13) * (df_proj!$D$2:$D$1000 = 1), 0), MATCH(TEXT(O$10, "####"), df_proj!$E$1:$AD$1,0)),5)</f>
        <v>#N/A</v>
      </c>
      <c r="P13" s="239" t="e">
        <f t="array" ref="P13">MROUND(INDEX(df_proj!$E$2:$AD$1000, MATCH(1, ($B$2 = df_proj!$A$2:$A$1000) * (df_proj!$B$2:$B$1000 = "Total") * (df_proj!$C$2:$C$1000 = $B13) * (df_proj!$D$2:$D$1000 = 1), 0), MATCH(TEXT(P$10, "####"), df_proj!$E$1:$AD$1,0)),5)</f>
        <v>#N/A</v>
      </c>
      <c r="Q13" s="239" t="e">
        <f t="array" ref="Q13">MROUND(INDEX(df_proj!$E$2:$AD$1000, MATCH(1, ($B$2 = df_proj!$A$2:$A$1000) * (df_proj!$B$2:$B$1000 = "Total") * (df_proj!$C$2:$C$1000 = $B13) * (df_proj!$D$2:$D$1000 = 1), 0), MATCH(TEXT(Q$10, "####"), df_proj!$E$1:$AD$1,0)),5)</f>
        <v>#N/A</v>
      </c>
      <c r="R13" s="239" t="e">
        <f t="array" ref="R13">MROUND(INDEX(df_proj!$E$2:$AD$1000, MATCH(1, ($B$2 = df_proj!$A$2:$A$1000) * (df_proj!$B$2:$B$1000 = "Total") * (df_proj!$C$2:$C$1000 = $B13) * (df_proj!$D$2:$D$1000 = 1), 0), MATCH(TEXT(R$10, "####"), df_proj!$E$1:$AD$1,0)),5)</f>
        <v>#N/A</v>
      </c>
      <c r="S13" s="239" t="e">
        <f t="array" ref="S13">MROUND(INDEX(df_proj!$E$2:$AD$1000, MATCH(1, ($B$2 = df_proj!$A$2:$A$1000) * (df_proj!$B$2:$B$1000 = "Total") * (df_proj!$C$2:$C$1000 = $B13) * (df_proj!$D$2:$D$1000 = 1), 0), MATCH(TEXT(S$10, "####"), df_proj!$E$1:$AD$1,0)),5)</f>
        <v>#N/A</v>
      </c>
      <c r="T13" s="239" t="e">
        <f t="array" ref="T13">MROUND(INDEX(df_proj!$E$2:$AD$1000, MATCH(1, ($B$2 = df_proj!$A$2:$A$1000) * (df_proj!$B$2:$B$1000 = "Total") * (df_proj!$C$2:$C$1000 = $B13) * (df_proj!$D$2:$D$1000 = 1), 0), MATCH(TEXT(T$10, "####"), df_proj!$E$1:$AD$1,0)),5)</f>
        <v>#N/A</v>
      </c>
      <c r="U13" s="239" t="e">
        <f t="array" ref="U13">MROUND(INDEX(df_proj!$E$2:$AD$1000, MATCH(1, ($B$2 = df_proj!$A$2:$A$1000) * (df_proj!$B$2:$B$1000 = "Total") * (df_proj!$C$2:$C$1000 = $B13) * (df_proj!$D$2:$D$1000 = 1), 0), MATCH(TEXT(U$10, "####"), df_proj!$E$1:$AD$1,0)),5)</f>
        <v>#N/A</v>
      </c>
      <c r="V13" s="239" t="e">
        <f t="array" ref="V13">MROUND(INDEX(df_proj!$E$2:$AD$1000, MATCH(1, ($B$2 = df_proj!$A$2:$A$1000) * (df_proj!$B$2:$B$1000 = "Total") * (df_proj!$C$2:$C$1000 = $B13) * (df_proj!$D$2:$D$1000 = 1), 0), MATCH(TEXT(V$10, "####"), df_proj!$E$1:$AD$1,0)),5)</f>
        <v>#N/A</v>
      </c>
      <c r="W13" s="552" t="e">
        <f t="array" ref="W13">MROUND(INDEX(df_proj!$E$2:$AD$1000, MATCH(1, ($B$2 = df_proj!$A$2:$A$1000) * (df_proj!$B$2:$B$1000 = "Total") * (df_proj!$C$2:$C$1000 = $B13) * (df_proj!$D$2:$D$1000 = 1), 0), MATCH(TEXT(W$10, "####"), df_proj!$E$1:$AD$1,0)),5)</f>
        <v>#N/A</v>
      </c>
    </row>
    <row r="14" spans="1:23" ht="20.100000000000001" customHeight="1" x14ac:dyDescent="0.2">
      <c r="A14" s="1"/>
      <c r="B14" s="496" t="s">
        <v>110</v>
      </c>
      <c r="C14" s="582"/>
      <c r="D14" s="583"/>
      <c r="E14" s="583"/>
      <c r="F14" s="583"/>
      <c r="G14" s="583"/>
      <c r="H14" s="583"/>
      <c r="I14" s="583"/>
      <c r="J14" s="583"/>
      <c r="K14" s="583"/>
      <c r="L14" s="583"/>
      <c r="M14" s="558" t="e">
        <f t="array" ref="M14">MROUND(INDEX(df_proj!$E$2:$AD$1000, MATCH(1, ($B$2 = df_proj!$A$2:$A$1000) * (df_proj!$B$2:$B$1000 = "Total") * (df_proj!$C$2:$C$1000 = $B14) * (df_proj!$D$2:$D$1000 = 1), 0), MATCH(TEXT(M$10, "####"), df_proj!$E$1:$AD$1,0)),5)</f>
        <v>#N/A</v>
      </c>
      <c r="N14" s="239" t="e">
        <f t="array" ref="N14">MROUND(INDEX(df_proj!$E$2:$AD$1000, MATCH(1, ($B$2 = df_proj!$A$2:$A$1000) * (df_proj!$B$2:$B$1000 = "Total") * (df_proj!$C$2:$C$1000 = $B14) * (df_proj!$D$2:$D$1000 = 1), 0), MATCH(TEXT(N$10, "####"), df_proj!$E$1:$AD$1,0)),5)</f>
        <v>#N/A</v>
      </c>
      <c r="O14" s="239" t="e">
        <f t="array" ref="O14">MROUND(INDEX(df_proj!$E$2:$AD$1000, MATCH(1, ($B$2 = df_proj!$A$2:$A$1000) * (df_proj!$B$2:$B$1000 = "Total") * (df_proj!$C$2:$C$1000 = $B14) * (df_proj!$D$2:$D$1000 = 1), 0), MATCH(TEXT(O$10, "####"), df_proj!$E$1:$AD$1,0)),5)</f>
        <v>#N/A</v>
      </c>
      <c r="P14" s="239" t="e">
        <f t="array" ref="P14">MROUND(INDEX(df_proj!$E$2:$AD$1000, MATCH(1, ($B$2 = df_proj!$A$2:$A$1000) * (df_proj!$B$2:$B$1000 = "Total") * (df_proj!$C$2:$C$1000 = $B14) * (df_proj!$D$2:$D$1000 = 1), 0), MATCH(TEXT(P$10, "####"), df_proj!$E$1:$AD$1,0)),5)</f>
        <v>#N/A</v>
      </c>
      <c r="Q14" s="239" t="e">
        <f t="array" ref="Q14">MROUND(INDEX(df_proj!$E$2:$AD$1000, MATCH(1, ($B$2 = df_proj!$A$2:$A$1000) * (df_proj!$B$2:$B$1000 = "Total") * (df_proj!$C$2:$C$1000 = $B14) * (df_proj!$D$2:$D$1000 = 1), 0), MATCH(TEXT(Q$10, "####"), df_proj!$E$1:$AD$1,0)),5)</f>
        <v>#N/A</v>
      </c>
      <c r="R14" s="239" t="e">
        <f t="array" ref="R14">MROUND(INDEX(df_proj!$E$2:$AD$1000, MATCH(1, ($B$2 = df_proj!$A$2:$A$1000) * (df_proj!$B$2:$B$1000 = "Total") * (df_proj!$C$2:$C$1000 = $B14) * (df_proj!$D$2:$D$1000 = 1), 0), MATCH(TEXT(R$10, "####"), df_proj!$E$1:$AD$1,0)),5)</f>
        <v>#N/A</v>
      </c>
      <c r="S14" s="239" t="e">
        <f t="array" ref="S14">MROUND(INDEX(df_proj!$E$2:$AD$1000, MATCH(1, ($B$2 = df_proj!$A$2:$A$1000) * (df_proj!$B$2:$B$1000 = "Total") * (df_proj!$C$2:$C$1000 = $B14) * (df_proj!$D$2:$D$1000 = 1), 0), MATCH(TEXT(S$10, "####"), df_proj!$E$1:$AD$1,0)),5)</f>
        <v>#N/A</v>
      </c>
      <c r="T14" s="239" t="e">
        <f t="array" ref="T14">MROUND(INDEX(df_proj!$E$2:$AD$1000, MATCH(1, ($B$2 = df_proj!$A$2:$A$1000) * (df_proj!$B$2:$B$1000 = "Total") * (df_proj!$C$2:$C$1000 = $B14) * (df_proj!$D$2:$D$1000 = 1), 0), MATCH(TEXT(T$10, "####"), df_proj!$E$1:$AD$1,0)),5)</f>
        <v>#N/A</v>
      </c>
      <c r="U14" s="239" t="e">
        <f t="array" ref="U14">MROUND(INDEX(df_proj!$E$2:$AD$1000, MATCH(1, ($B$2 = df_proj!$A$2:$A$1000) * (df_proj!$B$2:$B$1000 = "Total") * (df_proj!$C$2:$C$1000 = $B14) * (df_proj!$D$2:$D$1000 = 1), 0), MATCH(TEXT(U$10, "####"), df_proj!$E$1:$AD$1,0)),5)</f>
        <v>#N/A</v>
      </c>
      <c r="V14" s="239" t="e">
        <f t="array" ref="V14">MROUND(INDEX(df_proj!$E$2:$AD$1000, MATCH(1, ($B$2 = df_proj!$A$2:$A$1000) * (df_proj!$B$2:$B$1000 = "Total") * (df_proj!$C$2:$C$1000 = $B14) * (df_proj!$D$2:$D$1000 = 1), 0), MATCH(TEXT(V$10, "####"), df_proj!$E$1:$AD$1,0)),5)</f>
        <v>#N/A</v>
      </c>
      <c r="W14" s="552" t="e">
        <f t="array" ref="W14">MROUND(INDEX(df_proj!$E$2:$AD$1000, MATCH(1, ($B$2 = df_proj!$A$2:$A$1000) * (df_proj!$B$2:$B$1000 = "Total") * (df_proj!$C$2:$C$1000 = $B14) * (df_proj!$D$2:$D$1000 = 1), 0), MATCH(TEXT(W$10, "####"), df_proj!$E$1:$AD$1,0)),5)</f>
        <v>#N/A</v>
      </c>
    </row>
    <row r="15" spans="1:23" ht="20.100000000000001" customHeight="1" x14ac:dyDescent="0.2">
      <c r="A15" s="1"/>
      <c r="B15" s="496" t="s">
        <v>111</v>
      </c>
      <c r="C15" s="582"/>
      <c r="D15" s="583"/>
      <c r="E15" s="583"/>
      <c r="F15" s="583"/>
      <c r="G15" s="583"/>
      <c r="H15" s="583"/>
      <c r="I15" s="583"/>
      <c r="J15" s="583"/>
      <c r="K15" s="583"/>
      <c r="L15" s="583"/>
      <c r="M15" s="558" t="e">
        <f t="array" ref="M15">MROUND(INDEX(df_proj!$E$2:$AD$1000, MATCH(1, ($B$2 = df_proj!$A$2:$A$1000) * (df_proj!$B$2:$B$1000 = "Total") * (df_proj!$C$2:$C$1000 = $B15) * (df_proj!$D$2:$D$1000 = 1), 0), MATCH(TEXT(M$10, "####"), df_proj!$E$1:$AD$1,0)),5)</f>
        <v>#N/A</v>
      </c>
      <c r="N15" s="239" t="e">
        <f t="array" ref="N15">MROUND(INDEX(df_proj!$E$2:$AD$1000, MATCH(1, ($B$2 = df_proj!$A$2:$A$1000) * (df_proj!$B$2:$B$1000 = "Total") * (df_proj!$C$2:$C$1000 = $B15) * (df_proj!$D$2:$D$1000 = 1), 0), MATCH(TEXT(N$10, "####"), df_proj!$E$1:$AD$1,0)),5)</f>
        <v>#N/A</v>
      </c>
      <c r="O15" s="239" t="e">
        <f t="array" ref="O15">MROUND(INDEX(df_proj!$E$2:$AD$1000, MATCH(1, ($B$2 = df_proj!$A$2:$A$1000) * (df_proj!$B$2:$B$1000 = "Total") * (df_proj!$C$2:$C$1000 = $B15) * (df_proj!$D$2:$D$1000 = 1), 0), MATCH(TEXT(O$10, "####"), df_proj!$E$1:$AD$1,0)),5)</f>
        <v>#N/A</v>
      </c>
      <c r="P15" s="239" t="e">
        <f t="array" ref="P15">MROUND(INDEX(df_proj!$E$2:$AD$1000, MATCH(1, ($B$2 = df_proj!$A$2:$A$1000) * (df_proj!$B$2:$B$1000 = "Total") * (df_proj!$C$2:$C$1000 = $B15) * (df_proj!$D$2:$D$1000 = 1), 0), MATCH(TEXT(P$10, "####"), df_proj!$E$1:$AD$1,0)),5)</f>
        <v>#N/A</v>
      </c>
      <c r="Q15" s="239" t="e">
        <f t="array" ref="Q15">MROUND(INDEX(df_proj!$E$2:$AD$1000, MATCH(1, ($B$2 = df_proj!$A$2:$A$1000) * (df_proj!$B$2:$B$1000 = "Total") * (df_proj!$C$2:$C$1000 = $B15) * (df_proj!$D$2:$D$1000 = 1), 0), MATCH(TEXT(Q$10, "####"), df_proj!$E$1:$AD$1,0)),5)</f>
        <v>#N/A</v>
      </c>
      <c r="R15" s="239" t="e">
        <f t="array" ref="R15">MROUND(INDEX(df_proj!$E$2:$AD$1000, MATCH(1, ($B$2 = df_proj!$A$2:$A$1000) * (df_proj!$B$2:$B$1000 = "Total") * (df_proj!$C$2:$C$1000 = $B15) * (df_proj!$D$2:$D$1000 = 1), 0), MATCH(TEXT(R$10, "####"), df_proj!$E$1:$AD$1,0)),5)</f>
        <v>#N/A</v>
      </c>
      <c r="S15" s="239" t="e">
        <f t="array" ref="S15">MROUND(INDEX(df_proj!$E$2:$AD$1000, MATCH(1, ($B$2 = df_proj!$A$2:$A$1000) * (df_proj!$B$2:$B$1000 = "Total") * (df_proj!$C$2:$C$1000 = $B15) * (df_proj!$D$2:$D$1000 = 1), 0), MATCH(TEXT(S$10, "####"), df_proj!$E$1:$AD$1,0)),5)</f>
        <v>#N/A</v>
      </c>
      <c r="T15" s="239" t="e">
        <f t="array" ref="T15">MROUND(INDEX(df_proj!$E$2:$AD$1000, MATCH(1, ($B$2 = df_proj!$A$2:$A$1000) * (df_proj!$B$2:$B$1000 = "Total") * (df_proj!$C$2:$C$1000 = $B15) * (df_proj!$D$2:$D$1000 = 1), 0), MATCH(TEXT(T$10, "####"), df_proj!$E$1:$AD$1,0)),5)</f>
        <v>#N/A</v>
      </c>
      <c r="U15" s="239" t="e">
        <f t="array" ref="U15">MROUND(INDEX(df_proj!$E$2:$AD$1000, MATCH(1, ($B$2 = df_proj!$A$2:$A$1000) * (df_proj!$B$2:$B$1000 = "Total") * (df_proj!$C$2:$C$1000 = $B15) * (df_proj!$D$2:$D$1000 = 1), 0), MATCH(TEXT(U$10, "####"), df_proj!$E$1:$AD$1,0)),5)</f>
        <v>#N/A</v>
      </c>
      <c r="V15" s="239" t="e">
        <f t="array" ref="V15">MROUND(INDEX(df_proj!$E$2:$AD$1000, MATCH(1, ($B$2 = df_proj!$A$2:$A$1000) * (df_proj!$B$2:$B$1000 = "Total") * (df_proj!$C$2:$C$1000 = $B15) * (df_proj!$D$2:$D$1000 = 1), 0), MATCH(TEXT(V$10, "####"), df_proj!$E$1:$AD$1,0)),5)</f>
        <v>#N/A</v>
      </c>
      <c r="W15" s="552" t="e">
        <f t="array" ref="W15">MROUND(INDEX(df_proj!$E$2:$AD$1000, MATCH(1, ($B$2 = df_proj!$A$2:$A$1000) * (df_proj!$B$2:$B$1000 = "Total") * (df_proj!$C$2:$C$1000 = $B15) * (df_proj!$D$2:$D$1000 = 1), 0), MATCH(TEXT(W$10, "####"), df_proj!$E$1:$AD$1,0)),5)</f>
        <v>#N/A</v>
      </c>
    </row>
    <row r="16" spans="1:23" ht="20.100000000000001" customHeight="1" x14ac:dyDescent="0.2">
      <c r="A16" s="1"/>
      <c r="B16" s="496" t="s">
        <v>112</v>
      </c>
      <c r="C16" s="582"/>
      <c r="D16" s="583"/>
      <c r="E16" s="583"/>
      <c r="F16" s="583"/>
      <c r="G16" s="583"/>
      <c r="H16" s="583"/>
      <c r="I16" s="583"/>
      <c r="J16" s="583"/>
      <c r="K16" s="583"/>
      <c r="L16" s="583"/>
      <c r="M16" s="558" t="e">
        <f t="array" ref="M16">MROUND(INDEX(df_proj!$E$2:$AD$1000, MATCH(1, ($B$2 = df_proj!$A$2:$A$1000) * (df_proj!$B$2:$B$1000 = "Total") * (df_proj!$C$2:$C$1000 = $B16) * (df_proj!$D$2:$D$1000 = 1), 0), MATCH(TEXT(M$10, "####"), df_proj!$E$1:$AD$1,0)),5)</f>
        <v>#N/A</v>
      </c>
      <c r="N16" s="239" t="e">
        <f t="array" ref="N16">MROUND(INDEX(df_proj!$E$2:$AD$1000, MATCH(1, ($B$2 = df_proj!$A$2:$A$1000) * (df_proj!$B$2:$B$1000 = "Total") * (df_proj!$C$2:$C$1000 = $B16) * (df_proj!$D$2:$D$1000 = 1), 0), MATCH(TEXT(N$10, "####"), df_proj!$E$1:$AD$1,0)),5)</f>
        <v>#N/A</v>
      </c>
      <c r="O16" s="239" t="e">
        <f t="array" ref="O16">MROUND(INDEX(df_proj!$E$2:$AD$1000, MATCH(1, ($B$2 = df_proj!$A$2:$A$1000) * (df_proj!$B$2:$B$1000 = "Total") * (df_proj!$C$2:$C$1000 = $B16) * (df_proj!$D$2:$D$1000 = 1), 0), MATCH(TEXT(O$10, "####"), df_proj!$E$1:$AD$1,0)),5)</f>
        <v>#N/A</v>
      </c>
      <c r="P16" s="239" t="e">
        <f t="array" ref="P16">MROUND(INDEX(df_proj!$E$2:$AD$1000, MATCH(1, ($B$2 = df_proj!$A$2:$A$1000) * (df_proj!$B$2:$B$1000 = "Total") * (df_proj!$C$2:$C$1000 = $B16) * (df_proj!$D$2:$D$1000 = 1), 0), MATCH(TEXT(P$10, "####"), df_proj!$E$1:$AD$1,0)),5)</f>
        <v>#N/A</v>
      </c>
      <c r="Q16" s="239" t="e">
        <f t="array" ref="Q16">MROUND(INDEX(df_proj!$E$2:$AD$1000, MATCH(1, ($B$2 = df_proj!$A$2:$A$1000) * (df_proj!$B$2:$B$1000 = "Total") * (df_proj!$C$2:$C$1000 = $B16) * (df_proj!$D$2:$D$1000 = 1), 0), MATCH(TEXT(Q$10, "####"), df_proj!$E$1:$AD$1,0)),5)</f>
        <v>#N/A</v>
      </c>
      <c r="R16" s="239" t="e">
        <f t="array" ref="R16">MROUND(INDEX(df_proj!$E$2:$AD$1000, MATCH(1, ($B$2 = df_proj!$A$2:$A$1000) * (df_proj!$B$2:$B$1000 = "Total") * (df_proj!$C$2:$C$1000 = $B16) * (df_proj!$D$2:$D$1000 = 1), 0), MATCH(TEXT(R$10, "####"), df_proj!$E$1:$AD$1,0)),5)</f>
        <v>#N/A</v>
      </c>
      <c r="S16" s="239" t="e">
        <f t="array" ref="S16">MROUND(INDEX(df_proj!$E$2:$AD$1000, MATCH(1, ($B$2 = df_proj!$A$2:$A$1000) * (df_proj!$B$2:$B$1000 = "Total") * (df_proj!$C$2:$C$1000 = $B16) * (df_proj!$D$2:$D$1000 = 1), 0), MATCH(TEXT(S$10, "####"), df_proj!$E$1:$AD$1,0)),5)</f>
        <v>#N/A</v>
      </c>
      <c r="T16" s="239" t="e">
        <f t="array" ref="T16">MROUND(INDEX(df_proj!$E$2:$AD$1000, MATCH(1, ($B$2 = df_proj!$A$2:$A$1000) * (df_proj!$B$2:$B$1000 = "Total") * (df_proj!$C$2:$C$1000 = $B16) * (df_proj!$D$2:$D$1000 = 1), 0), MATCH(TEXT(T$10, "####"), df_proj!$E$1:$AD$1,0)),5)</f>
        <v>#N/A</v>
      </c>
      <c r="U16" s="239" t="e">
        <f t="array" ref="U16">MROUND(INDEX(df_proj!$E$2:$AD$1000, MATCH(1, ($B$2 = df_proj!$A$2:$A$1000) * (df_proj!$B$2:$B$1000 = "Total") * (df_proj!$C$2:$C$1000 = $B16) * (df_proj!$D$2:$D$1000 = 1), 0), MATCH(TEXT(U$10, "####"), df_proj!$E$1:$AD$1,0)),5)</f>
        <v>#N/A</v>
      </c>
      <c r="V16" s="239" t="e">
        <f t="array" ref="V16">MROUND(INDEX(df_proj!$E$2:$AD$1000, MATCH(1, ($B$2 = df_proj!$A$2:$A$1000) * (df_proj!$B$2:$B$1000 = "Total") * (df_proj!$C$2:$C$1000 = $B16) * (df_proj!$D$2:$D$1000 = 1), 0), MATCH(TEXT(V$10, "####"), df_proj!$E$1:$AD$1,0)),5)</f>
        <v>#N/A</v>
      </c>
      <c r="W16" s="552" t="e">
        <f t="array" ref="W16">MROUND(INDEX(df_proj!$E$2:$AD$1000, MATCH(1, ($B$2 = df_proj!$A$2:$A$1000) * (df_proj!$B$2:$B$1000 = "Total") * (df_proj!$C$2:$C$1000 = $B16) * (df_proj!$D$2:$D$1000 = 1), 0), MATCH(TEXT(W$10, "####"), df_proj!$E$1:$AD$1,0)),5)</f>
        <v>#N/A</v>
      </c>
    </row>
    <row r="17" spans="1:23" ht="20.100000000000001" customHeight="1" x14ac:dyDescent="0.2">
      <c r="A17" s="1"/>
      <c r="B17" s="496" t="s">
        <v>113</v>
      </c>
      <c r="C17" s="582"/>
      <c r="D17" s="583"/>
      <c r="E17" s="583"/>
      <c r="F17" s="583"/>
      <c r="G17" s="583"/>
      <c r="H17" s="583"/>
      <c r="I17" s="583"/>
      <c r="J17" s="583"/>
      <c r="K17" s="583"/>
      <c r="L17" s="583"/>
      <c r="M17" s="558" t="e">
        <f t="array" ref="M17">MROUND(INDEX(df_proj!$E$2:$AD$1000, MATCH(1, ($B$2 = df_proj!$A$2:$A$1000) * (df_proj!$B$2:$B$1000 = "Total") * (df_proj!$C$2:$C$1000 = $B17) * (df_proj!$D$2:$D$1000 = 1), 0), MATCH(TEXT(M$10, "####"), df_proj!$E$1:$AD$1,0)),5)</f>
        <v>#N/A</v>
      </c>
      <c r="N17" s="239" t="e">
        <f t="array" ref="N17">MROUND(INDEX(df_proj!$E$2:$AD$1000, MATCH(1, ($B$2 = df_proj!$A$2:$A$1000) * (df_proj!$B$2:$B$1000 = "Total") * (df_proj!$C$2:$C$1000 = $B17) * (df_proj!$D$2:$D$1000 = 1), 0), MATCH(TEXT(N$10, "####"), df_proj!$E$1:$AD$1,0)),5)</f>
        <v>#N/A</v>
      </c>
      <c r="O17" s="239" t="e">
        <f t="array" ref="O17">MROUND(INDEX(df_proj!$E$2:$AD$1000, MATCH(1, ($B$2 = df_proj!$A$2:$A$1000) * (df_proj!$B$2:$B$1000 = "Total") * (df_proj!$C$2:$C$1000 = $B17) * (df_proj!$D$2:$D$1000 = 1), 0), MATCH(TEXT(O$10, "####"), df_proj!$E$1:$AD$1,0)),5)</f>
        <v>#N/A</v>
      </c>
      <c r="P17" s="239" t="e">
        <f t="array" ref="P17">MROUND(INDEX(df_proj!$E$2:$AD$1000, MATCH(1, ($B$2 = df_proj!$A$2:$A$1000) * (df_proj!$B$2:$B$1000 = "Total") * (df_proj!$C$2:$C$1000 = $B17) * (df_proj!$D$2:$D$1000 = 1), 0), MATCH(TEXT(P$10, "####"), df_proj!$E$1:$AD$1,0)),5)</f>
        <v>#N/A</v>
      </c>
      <c r="Q17" s="239" t="e">
        <f t="array" ref="Q17">MROUND(INDEX(df_proj!$E$2:$AD$1000, MATCH(1, ($B$2 = df_proj!$A$2:$A$1000) * (df_proj!$B$2:$B$1000 = "Total") * (df_proj!$C$2:$C$1000 = $B17) * (df_proj!$D$2:$D$1000 = 1), 0), MATCH(TEXT(Q$10, "####"), df_proj!$E$1:$AD$1,0)),5)</f>
        <v>#N/A</v>
      </c>
      <c r="R17" s="239" t="e">
        <f t="array" ref="R17">MROUND(INDEX(df_proj!$E$2:$AD$1000, MATCH(1, ($B$2 = df_proj!$A$2:$A$1000) * (df_proj!$B$2:$B$1000 = "Total") * (df_proj!$C$2:$C$1000 = $B17) * (df_proj!$D$2:$D$1000 = 1), 0), MATCH(TEXT(R$10, "####"), df_proj!$E$1:$AD$1,0)),5)</f>
        <v>#N/A</v>
      </c>
      <c r="S17" s="239" t="e">
        <f t="array" ref="S17">MROUND(INDEX(df_proj!$E$2:$AD$1000, MATCH(1, ($B$2 = df_proj!$A$2:$A$1000) * (df_proj!$B$2:$B$1000 = "Total") * (df_proj!$C$2:$C$1000 = $B17) * (df_proj!$D$2:$D$1000 = 1), 0), MATCH(TEXT(S$10, "####"), df_proj!$E$1:$AD$1,0)),5)</f>
        <v>#N/A</v>
      </c>
      <c r="T17" s="239" t="e">
        <f t="array" ref="T17">MROUND(INDEX(df_proj!$E$2:$AD$1000, MATCH(1, ($B$2 = df_proj!$A$2:$A$1000) * (df_proj!$B$2:$B$1000 = "Total") * (df_proj!$C$2:$C$1000 = $B17) * (df_proj!$D$2:$D$1000 = 1), 0), MATCH(TEXT(T$10, "####"), df_proj!$E$1:$AD$1,0)),5)</f>
        <v>#N/A</v>
      </c>
      <c r="U17" s="239" t="e">
        <f t="array" ref="U17">MROUND(INDEX(df_proj!$E$2:$AD$1000, MATCH(1, ($B$2 = df_proj!$A$2:$A$1000) * (df_proj!$B$2:$B$1000 = "Total") * (df_proj!$C$2:$C$1000 = $B17) * (df_proj!$D$2:$D$1000 = 1), 0), MATCH(TEXT(U$10, "####"), df_proj!$E$1:$AD$1,0)),5)</f>
        <v>#N/A</v>
      </c>
      <c r="V17" s="239" t="e">
        <f t="array" ref="V17">MROUND(INDEX(df_proj!$E$2:$AD$1000, MATCH(1, ($B$2 = df_proj!$A$2:$A$1000) * (df_proj!$B$2:$B$1000 = "Total") * (df_proj!$C$2:$C$1000 = $B17) * (df_proj!$D$2:$D$1000 = 1), 0), MATCH(TEXT(V$10, "####"), df_proj!$E$1:$AD$1,0)),5)</f>
        <v>#N/A</v>
      </c>
      <c r="W17" s="552" t="e">
        <f t="array" ref="W17">MROUND(INDEX(df_proj!$E$2:$AD$1000, MATCH(1, ($B$2 = df_proj!$A$2:$A$1000) * (df_proj!$B$2:$B$1000 = "Total") * (df_proj!$C$2:$C$1000 = $B17) * (df_proj!$D$2:$D$1000 = 1), 0), MATCH(TEXT(W$10, "####"), df_proj!$E$1:$AD$1,0)),5)</f>
        <v>#N/A</v>
      </c>
    </row>
    <row r="18" spans="1:23" ht="20.100000000000001" customHeight="1" x14ac:dyDescent="0.2">
      <c r="A18" s="1"/>
      <c r="B18" s="496" t="s">
        <v>114</v>
      </c>
      <c r="C18" s="582"/>
      <c r="D18" s="583"/>
      <c r="E18" s="583"/>
      <c r="F18" s="583"/>
      <c r="G18" s="583"/>
      <c r="H18" s="583"/>
      <c r="I18" s="583"/>
      <c r="J18" s="583"/>
      <c r="K18" s="583"/>
      <c r="L18" s="583"/>
      <c r="M18" s="558" t="e">
        <f t="array" ref="M18">MROUND(INDEX(df_proj!$E$2:$AD$1000, MATCH(1, ($B$2 = df_proj!$A$2:$A$1000) * (df_proj!$B$2:$B$1000 = "Total") * (df_proj!$C$2:$C$1000 = $B18) * (df_proj!$D$2:$D$1000 = 1), 0), MATCH(TEXT(M$10, "####"), df_proj!$E$1:$AD$1,0)),5)</f>
        <v>#N/A</v>
      </c>
      <c r="N18" s="239" t="e">
        <f t="array" ref="N18">MROUND(INDEX(df_proj!$E$2:$AD$1000, MATCH(1, ($B$2 = df_proj!$A$2:$A$1000) * (df_proj!$B$2:$B$1000 = "Total") * (df_proj!$C$2:$C$1000 = $B18) * (df_proj!$D$2:$D$1000 = 1), 0), MATCH(TEXT(N$10, "####"), df_proj!$E$1:$AD$1,0)),5)</f>
        <v>#N/A</v>
      </c>
      <c r="O18" s="239" t="e">
        <f t="array" ref="O18">MROUND(INDEX(df_proj!$E$2:$AD$1000, MATCH(1, ($B$2 = df_proj!$A$2:$A$1000) * (df_proj!$B$2:$B$1000 = "Total") * (df_proj!$C$2:$C$1000 = $B18) * (df_proj!$D$2:$D$1000 = 1), 0), MATCH(TEXT(O$10, "####"), df_proj!$E$1:$AD$1,0)),5)</f>
        <v>#N/A</v>
      </c>
      <c r="P18" s="239" t="e">
        <f t="array" ref="P18">MROUND(INDEX(df_proj!$E$2:$AD$1000, MATCH(1, ($B$2 = df_proj!$A$2:$A$1000) * (df_proj!$B$2:$B$1000 = "Total") * (df_proj!$C$2:$C$1000 = $B18) * (df_proj!$D$2:$D$1000 = 1), 0), MATCH(TEXT(P$10, "####"), df_proj!$E$1:$AD$1,0)),5)</f>
        <v>#N/A</v>
      </c>
      <c r="Q18" s="239" t="e">
        <f t="array" ref="Q18">MROUND(INDEX(df_proj!$E$2:$AD$1000, MATCH(1, ($B$2 = df_proj!$A$2:$A$1000) * (df_proj!$B$2:$B$1000 = "Total") * (df_proj!$C$2:$C$1000 = $B18) * (df_proj!$D$2:$D$1000 = 1), 0), MATCH(TEXT(Q$10, "####"), df_proj!$E$1:$AD$1,0)),5)</f>
        <v>#N/A</v>
      </c>
      <c r="R18" s="239" t="e">
        <f t="array" ref="R18">MROUND(INDEX(df_proj!$E$2:$AD$1000, MATCH(1, ($B$2 = df_proj!$A$2:$A$1000) * (df_proj!$B$2:$B$1000 = "Total") * (df_proj!$C$2:$C$1000 = $B18) * (df_proj!$D$2:$D$1000 = 1), 0), MATCH(TEXT(R$10, "####"), df_proj!$E$1:$AD$1,0)),5)</f>
        <v>#N/A</v>
      </c>
      <c r="S18" s="239" t="e">
        <f t="array" ref="S18">MROUND(INDEX(df_proj!$E$2:$AD$1000, MATCH(1, ($B$2 = df_proj!$A$2:$A$1000) * (df_proj!$B$2:$B$1000 = "Total") * (df_proj!$C$2:$C$1000 = $B18) * (df_proj!$D$2:$D$1000 = 1), 0), MATCH(TEXT(S$10, "####"), df_proj!$E$1:$AD$1,0)),5)</f>
        <v>#N/A</v>
      </c>
      <c r="T18" s="239" t="e">
        <f t="array" ref="T18">MROUND(INDEX(df_proj!$E$2:$AD$1000, MATCH(1, ($B$2 = df_proj!$A$2:$A$1000) * (df_proj!$B$2:$B$1000 = "Total") * (df_proj!$C$2:$C$1000 = $B18) * (df_proj!$D$2:$D$1000 = 1), 0), MATCH(TEXT(T$10, "####"), df_proj!$E$1:$AD$1,0)),5)</f>
        <v>#N/A</v>
      </c>
      <c r="U18" s="239" t="e">
        <f t="array" ref="U18">MROUND(INDEX(df_proj!$E$2:$AD$1000, MATCH(1, ($B$2 = df_proj!$A$2:$A$1000) * (df_proj!$B$2:$B$1000 = "Total") * (df_proj!$C$2:$C$1000 = $B18) * (df_proj!$D$2:$D$1000 = 1), 0), MATCH(TEXT(U$10, "####"), df_proj!$E$1:$AD$1,0)),5)</f>
        <v>#N/A</v>
      </c>
      <c r="V18" s="239" t="e">
        <f t="array" ref="V18">MROUND(INDEX(df_proj!$E$2:$AD$1000, MATCH(1, ($B$2 = df_proj!$A$2:$A$1000) * (df_proj!$B$2:$B$1000 = "Total") * (df_proj!$C$2:$C$1000 = $B18) * (df_proj!$D$2:$D$1000 = 1), 0), MATCH(TEXT(V$10, "####"), df_proj!$E$1:$AD$1,0)),5)</f>
        <v>#N/A</v>
      </c>
      <c r="W18" s="552" t="e">
        <f t="array" ref="W18">MROUND(INDEX(df_proj!$E$2:$AD$1000, MATCH(1, ($B$2 = df_proj!$A$2:$A$1000) * (df_proj!$B$2:$B$1000 = "Total") * (df_proj!$C$2:$C$1000 = $B18) * (df_proj!$D$2:$D$1000 = 1), 0), MATCH(TEXT(W$10, "####"), df_proj!$E$1:$AD$1,0)),5)</f>
        <v>#N/A</v>
      </c>
    </row>
    <row r="19" spans="1:23" ht="20.100000000000001" customHeight="1" x14ac:dyDescent="0.2">
      <c r="A19" s="1"/>
      <c r="B19" s="496" t="s">
        <v>115</v>
      </c>
      <c r="C19" s="582"/>
      <c r="D19" s="583"/>
      <c r="E19" s="583"/>
      <c r="F19" s="583"/>
      <c r="G19" s="583"/>
      <c r="H19" s="583"/>
      <c r="I19" s="583"/>
      <c r="J19" s="583"/>
      <c r="K19" s="583"/>
      <c r="L19" s="583"/>
      <c r="M19" s="559" t="e">
        <f t="array" ref="M19">MROUND(INDEX(df_proj!$E$2:$AD$1000, MATCH(1, ($B$2 = df_proj!$A$2:$A$1000) * (df_proj!$B$2:$B$1000 = "Total") * (df_proj!$C$2:$C$1000 = $B19) * (df_proj!$D$2:$D$1000 = 1), 0), MATCH(TEXT(M$10, "####"), df_proj!$E$1:$AD$1,0)),5)</f>
        <v>#N/A</v>
      </c>
      <c r="N19" s="553" t="e">
        <f t="array" ref="N19">MROUND(INDEX(df_proj!$E$2:$AD$1000, MATCH(1, ($B$2 = df_proj!$A$2:$A$1000) * (df_proj!$B$2:$B$1000 = "Total") * (df_proj!$C$2:$C$1000 = $B19) * (df_proj!$D$2:$D$1000 = 1), 0), MATCH(TEXT(N$10, "####"), df_proj!$E$1:$AD$1,0)),5)</f>
        <v>#N/A</v>
      </c>
      <c r="O19" s="553" t="e">
        <f t="array" ref="O19">MROUND(INDEX(df_proj!$E$2:$AD$1000, MATCH(1, ($B$2 = df_proj!$A$2:$A$1000) * (df_proj!$B$2:$B$1000 = "Total") * (df_proj!$C$2:$C$1000 = $B19) * (df_proj!$D$2:$D$1000 = 1), 0), MATCH(TEXT(O$10, "####"), df_proj!$E$1:$AD$1,0)),5)</f>
        <v>#N/A</v>
      </c>
      <c r="P19" s="553" t="e">
        <f t="array" ref="P19">MROUND(INDEX(df_proj!$E$2:$AD$1000, MATCH(1, ($B$2 = df_proj!$A$2:$A$1000) * (df_proj!$B$2:$B$1000 = "Total") * (df_proj!$C$2:$C$1000 = $B19) * (df_proj!$D$2:$D$1000 = 1), 0), MATCH(TEXT(P$10, "####"), df_proj!$E$1:$AD$1,0)),5)</f>
        <v>#N/A</v>
      </c>
      <c r="Q19" s="553" t="e">
        <f t="array" ref="Q19">MROUND(INDEX(df_proj!$E$2:$AD$1000, MATCH(1, ($B$2 = df_proj!$A$2:$A$1000) * (df_proj!$B$2:$B$1000 = "Total") * (df_proj!$C$2:$C$1000 = $B19) * (df_proj!$D$2:$D$1000 = 1), 0), MATCH(TEXT(Q$10, "####"), df_proj!$E$1:$AD$1,0)),5)</f>
        <v>#N/A</v>
      </c>
      <c r="R19" s="553" t="e">
        <f t="array" ref="R19">MROUND(INDEX(df_proj!$E$2:$AD$1000, MATCH(1, ($B$2 = df_proj!$A$2:$A$1000) * (df_proj!$B$2:$B$1000 = "Total") * (df_proj!$C$2:$C$1000 = $B19) * (df_proj!$D$2:$D$1000 = 1), 0), MATCH(TEXT(R$10, "####"), df_proj!$E$1:$AD$1,0)),5)</f>
        <v>#N/A</v>
      </c>
      <c r="S19" s="553" t="e">
        <f t="array" ref="S19">MROUND(INDEX(df_proj!$E$2:$AD$1000, MATCH(1, ($B$2 = df_proj!$A$2:$A$1000) * (df_proj!$B$2:$B$1000 = "Total") * (df_proj!$C$2:$C$1000 = $B19) * (df_proj!$D$2:$D$1000 = 1), 0), MATCH(TEXT(S$10, "####"), df_proj!$E$1:$AD$1,0)),5)</f>
        <v>#N/A</v>
      </c>
      <c r="T19" s="553" t="e">
        <f t="array" ref="T19">MROUND(INDEX(df_proj!$E$2:$AD$1000, MATCH(1, ($B$2 = df_proj!$A$2:$A$1000) * (df_proj!$B$2:$B$1000 = "Total") * (df_proj!$C$2:$C$1000 = $B19) * (df_proj!$D$2:$D$1000 = 1), 0), MATCH(TEXT(T$10, "####"), df_proj!$E$1:$AD$1,0)),5)</f>
        <v>#N/A</v>
      </c>
      <c r="U19" s="553" t="e">
        <f t="array" ref="U19">MROUND(INDEX(df_proj!$E$2:$AD$1000, MATCH(1, ($B$2 = df_proj!$A$2:$A$1000) * (df_proj!$B$2:$B$1000 = "Total") * (df_proj!$C$2:$C$1000 = $B19) * (df_proj!$D$2:$D$1000 = 1), 0), MATCH(TEXT(U$10, "####"), df_proj!$E$1:$AD$1,0)),5)</f>
        <v>#N/A</v>
      </c>
      <c r="V19" s="553" t="e">
        <f t="array" ref="V19">MROUND(INDEX(df_proj!$E$2:$AD$1000, MATCH(1, ($B$2 = df_proj!$A$2:$A$1000) * (df_proj!$B$2:$B$1000 = "Total") * (df_proj!$C$2:$C$1000 = $B19) * (df_proj!$D$2:$D$1000 = 1), 0), MATCH(TEXT(V$10, "####"), df_proj!$E$1:$AD$1,0)),5)</f>
        <v>#N/A</v>
      </c>
      <c r="W19" s="554" t="e">
        <f t="array" ref="W19">MROUND(INDEX(df_proj!$E$2:$AD$1000, MATCH(1, ($B$2 = df_proj!$A$2:$A$1000) * (df_proj!$B$2:$B$1000 = "Total") * (df_proj!$C$2:$C$1000 = $B19) * (df_proj!$D$2:$D$1000 = 1), 0), MATCH(TEXT(W$10, "####"), df_proj!$E$1:$AD$1,0)),5)</f>
        <v>#N/A</v>
      </c>
    </row>
    <row r="20" spans="1:23" ht="20.100000000000001" customHeight="1" x14ac:dyDescent="0.2">
      <c r="A20" s="1"/>
      <c r="B20" s="496" t="s">
        <v>116</v>
      </c>
      <c r="C20" s="582"/>
      <c r="D20" s="583"/>
      <c r="E20" s="583"/>
      <c r="F20" s="583"/>
      <c r="G20" s="583"/>
      <c r="H20" s="583"/>
      <c r="I20" s="583"/>
      <c r="J20" s="583"/>
      <c r="K20" s="583"/>
      <c r="L20" s="583"/>
      <c r="M20" s="1244" t="s">
        <v>1403</v>
      </c>
      <c r="N20" s="1245"/>
      <c r="O20" s="1245"/>
      <c r="P20" s="1245"/>
      <c r="Q20" s="1245"/>
      <c r="R20" s="1245"/>
      <c r="S20" s="1245"/>
      <c r="T20" s="1245"/>
      <c r="U20" s="1245"/>
      <c r="V20" s="1245"/>
      <c r="W20" s="1246"/>
    </row>
    <row r="21" spans="1:23" ht="20.100000000000001" customHeight="1" x14ac:dyDescent="0.2">
      <c r="A21" s="1"/>
      <c r="B21" s="497" t="s">
        <v>117</v>
      </c>
      <c r="C21" s="584"/>
      <c r="D21" s="585"/>
      <c r="E21" s="585"/>
      <c r="F21" s="585"/>
      <c r="G21" s="585"/>
      <c r="H21" s="585"/>
      <c r="I21" s="585"/>
      <c r="J21" s="585"/>
      <c r="K21" s="585"/>
      <c r="L21" s="585"/>
      <c r="M21" s="1247"/>
      <c r="N21" s="1248"/>
      <c r="O21" s="1248"/>
      <c r="P21" s="1248"/>
      <c r="Q21" s="1248"/>
      <c r="R21" s="1248"/>
      <c r="S21" s="1248"/>
      <c r="T21" s="1248"/>
      <c r="U21" s="1248"/>
      <c r="V21" s="1248"/>
      <c r="W21" s="1249"/>
    </row>
    <row r="22" spans="1:23" ht="20.100000000000001" customHeight="1" x14ac:dyDescent="0.2">
      <c r="A22" s="1"/>
      <c r="B22" s="2"/>
      <c r="C22" s="1"/>
      <c r="D22" s="1"/>
      <c r="E22" s="1"/>
      <c r="F22" s="1"/>
      <c r="G22" s="1"/>
      <c r="H22" s="1"/>
      <c r="I22" s="1"/>
      <c r="J22" s="1"/>
      <c r="K22" s="1"/>
      <c r="L22" s="1"/>
      <c r="M22" s="1"/>
      <c r="N22" s="1"/>
      <c r="O22" s="1"/>
      <c r="P22" s="1"/>
      <c r="Q22" s="1"/>
      <c r="R22" s="1"/>
      <c r="S22" s="1"/>
      <c r="T22" s="1"/>
      <c r="U22" s="1"/>
      <c r="V22" s="1"/>
    </row>
    <row r="23" spans="1:23" ht="20.100000000000001" customHeight="1" x14ac:dyDescent="0.2">
      <c r="A23" s="1"/>
      <c r="B23" s="1240" t="s">
        <v>824</v>
      </c>
      <c r="C23" s="1240"/>
      <c r="D23" s="1240"/>
      <c r="E23" s="1240"/>
      <c r="F23" s="1240"/>
      <c r="G23" s="1240"/>
      <c r="H23" s="1240"/>
      <c r="I23" s="1240"/>
      <c r="J23" s="1240"/>
      <c r="K23" s="1240"/>
      <c r="L23" s="1240"/>
      <c r="M23" s="1240"/>
      <c r="N23" s="1240"/>
      <c r="O23" s="1240"/>
      <c r="P23" s="1240"/>
      <c r="Q23" s="1240"/>
      <c r="R23" s="1240"/>
      <c r="S23" s="1240"/>
      <c r="T23" s="1240"/>
      <c r="U23" s="1240"/>
      <c r="V23" s="1240"/>
      <c r="W23" s="1240"/>
    </row>
    <row r="24" spans="1:23" ht="20.100000000000001" customHeight="1" x14ac:dyDescent="0.2">
      <c r="A24" s="1"/>
      <c r="B24" s="1"/>
      <c r="C24" s="1"/>
      <c r="D24" s="1"/>
      <c r="E24" s="1"/>
      <c r="F24" s="1"/>
      <c r="G24" s="1"/>
      <c r="H24" s="1"/>
      <c r="I24" s="1"/>
      <c r="J24" s="1"/>
      <c r="K24" s="1"/>
      <c r="L24" s="1"/>
      <c r="M24" s="1"/>
      <c r="N24" s="1"/>
      <c r="O24" s="1"/>
      <c r="P24" s="1"/>
      <c r="Q24" s="1"/>
      <c r="R24" s="1"/>
      <c r="S24" s="1"/>
      <c r="T24" s="1"/>
      <c r="U24" s="1"/>
      <c r="V24" s="1"/>
    </row>
    <row r="25" spans="1:23" ht="20.100000000000001" customHeight="1" x14ac:dyDescent="0.2">
      <c r="A25" s="1"/>
      <c r="B25" s="500" t="s">
        <v>7</v>
      </c>
      <c r="C25" s="206">
        <v>2015</v>
      </c>
      <c r="D25" s="563">
        <v>2016</v>
      </c>
      <c r="E25" s="563">
        <v>2017</v>
      </c>
      <c r="F25" s="563">
        <v>2018</v>
      </c>
      <c r="G25" s="563">
        <v>2019</v>
      </c>
      <c r="H25" s="563">
        <v>2020</v>
      </c>
      <c r="I25" s="563">
        <v>2021</v>
      </c>
      <c r="J25" s="563">
        <v>2022</v>
      </c>
      <c r="K25" s="563">
        <v>2023</v>
      </c>
      <c r="L25" s="563">
        <v>2024</v>
      </c>
      <c r="M25" s="563">
        <v>2025</v>
      </c>
      <c r="N25" s="563">
        <v>2026</v>
      </c>
      <c r="O25" s="563">
        <v>2027</v>
      </c>
      <c r="P25" s="563">
        <v>2028</v>
      </c>
      <c r="Q25" s="563">
        <v>2029</v>
      </c>
      <c r="R25" s="563">
        <v>2030</v>
      </c>
      <c r="S25" s="563">
        <v>2031</v>
      </c>
      <c r="T25" s="563">
        <v>2032</v>
      </c>
      <c r="U25" s="563">
        <v>2033</v>
      </c>
      <c r="V25" s="563">
        <v>2034</v>
      </c>
      <c r="W25" s="562">
        <v>2035</v>
      </c>
    </row>
    <row r="26" spans="1:23" ht="20.100000000000001" customHeight="1" x14ac:dyDescent="0.2">
      <c r="A26" s="1"/>
      <c r="B26" s="500" t="s">
        <v>253</v>
      </c>
      <c r="C26" s="564" t="e">
        <f>C11</f>
        <v>#N/A</v>
      </c>
      <c r="D26" s="565" t="e">
        <f t="shared" ref="D26:M26" si="0">D11</f>
        <v>#N/A</v>
      </c>
      <c r="E26" s="565" t="e">
        <f t="shared" si="0"/>
        <v>#N/A</v>
      </c>
      <c r="F26" s="565" t="e">
        <f t="shared" si="0"/>
        <v>#N/A</v>
      </c>
      <c r="G26" s="565" t="e">
        <f t="shared" si="0"/>
        <v>#N/A</v>
      </c>
      <c r="H26" s="565" t="e">
        <f t="shared" si="0"/>
        <v>#N/A</v>
      </c>
      <c r="I26" s="565" t="e">
        <f t="shared" si="0"/>
        <v>#N/A</v>
      </c>
      <c r="J26" s="565" t="e">
        <f t="shared" si="0"/>
        <v>#N/A</v>
      </c>
      <c r="K26" s="565" t="e">
        <f t="shared" si="0"/>
        <v>#N/A</v>
      </c>
      <c r="L26" s="565" t="e">
        <f t="shared" si="0"/>
        <v>#N/A</v>
      </c>
      <c r="M26" s="565" t="e">
        <f t="shared" si="0"/>
        <v>#N/A</v>
      </c>
      <c r="N26" s="586"/>
      <c r="O26" s="586"/>
      <c r="P26" s="586"/>
      <c r="Q26" s="586"/>
      <c r="R26" s="586"/>
      <c r="S26" s="586"/>
      <c r="T26" s="586"/>
      <c r="U26" s="586"/>
      <c r="V26" s="586"/>
      <c r="W26" s="587"/>
    </row>
    <row r="27" spans="1:23" ht="20.100000000000001" customHeight="1" x14ac:dyDescent="0.2">
      <c r="A27" s="1"/>
      <c r="B27" s="495" t="s">
        <v>254</v>
      </c>
      <c r="C27" s="580"/>
      <c r="D27" s="581"/>
      <c r="E27" s="581"/>
      <c r="F27" s="581"/>
      <c r="G27" s="581"/>
      <c r="H27" s="581"/>
      <c r="I27" s="581"/>
      <c r="J27" s="581"/>
      <c r="K27" s="581"/>
      <c r="L27" s="581"/>
      <c r="M27" s="557" t="e">
        <f>MIN(M12:M19)</f>
        <v>#N/A</v>
      </c>
      <c r="N27" s="555" t="e">
        <f t="shared" ref="N27:W27" si="1">MIN(N12:N19)</f>
        <v>#N/A</v>
      </c>
      <c r="O27" s="555" t="e">
        <f t="shared" si="1"/>
        <v>#N/A</v>
      </c>
      <c r="P27" s="555" t="e">
        <f t="shared" si="1"/>
        <v>#N/A</v>
      </c>
      <c r="Q27" s="555" t="e">
        <f t="shared" si="1"/>
        <v>#N/A</v>
      </c>
      <c r="R27" s="555" t="e">
        <f t="shared" si="1"/>
        <v>#N/A</v>
      </c>
      <c r="S27" s="555" t="e">
        <f t="shared" si="1"/>
        <v>#N/A</v>
      </c>
      <c r="T27" s="555" t="e">
        <f t="shared" si="1"/>
        <v>#N/A</v>
      </c>
      <c r="U27" s="555" t="e">
        <f t="shared" si="1"/>
        <v>#N/A</v>
      </c>
      <c r="V27" s="555" t="e">
        <f t="shared" si="1"/>
        <v>#N/A</v>
      </c>
      <c r="W27" s="556" t="e">
        <f t="shared" si="1"/>
        <v>#N/A</v>
      </c>
    </row>
    <row r="28" spans="1:23" ht="20.100000000000001" customHeight="1" x14ac:dyDescent="0.2">
      <c r="A28" s="1"/>
      <c r="B28" s="496" t="s">
        <v>254</v>
      </c>
      <c r="C28" s="582"/>
      <c r="D28" s="583"/>
      <c r="E28" s="583"/>
      <c r="F28" s="583"/>
      <c r="G28" s="583"/>
      <c r="H28" s="583"/>
      <c r="I28" s="583"/>
      <c r="J28" s="583"/>
      <c r="K28" s="583"/>
      <c r="L28" s="583"/>
      <c r="M28" s="558" t="e">
        <f>MIN(M12:M19)</f>
        <v>#N/A</v>
      </c>
      <c r="N28" s="239" t="e">
        <f t="shared" ref="N28:W28" si="2">MIN(N12:N19)</f>
        <v>#N/A</v>
      </c>
      <c r="O28" s="239" t="e">
        <f t="shared" si="2"/>
        <v>#N/A</v>
      </c>
      <c r="P28" s="239" t="e">
        <f t="shared" si="2"/>
        <v>#N/A</v>
      </c>
      <c r="Q28" s="239" t="e">
        <f t="shared" si="2"/>
        <v>#N/A</v>
      </c>
      <c r="R28" s="239" t="e">
        <f t="shared" si="2"/>
        <v>#N/A</v>
      </c>
      <c r="S28" s="239" t="e">
        <f t="shared" si="2"/>
        <v>#N/A</v>
      </c>
      <c r="T28" s="239" t="e">
        <f t="shared" si="2"/>
        <v>#N/A</v>
      </c>
      <c r="U28" s="239" t="e">
        <f t="shared" si="2"/>
        <v>#N/A</v>
      </c>
      <c r="V28" s="239" t="e">
        <f t="shared" si="2"/>
        <v>#N/A</v>
      </c>
      <c r="W28" s="552" t="e">
        <f t="shared" si="2"/>
        <v>#N/A</v>
      </c>
    </row>
    <row r="29" spans="1:23" ht="20.100000000000001" customHeight="1" x14ac:dyDescent="0.2">
      <c r="A29" s="1"/>
      <c r="B29" s="496" t="s">
        <v>255</v>
      </c>
      <c r="C29" s="582"/>
      <c r="D29" s="583"/>
      <c r="E29" s="583"/>
      <c r="F29" s="583"/>
      <c r="G29" s="583"/>
      <c r="H29" s="583"/>
      <c r="I29" s="583"/>
      <c r="J29" s="583"/>
      <c r="K29" s="583"/>
      <c r="L29" s="583"/>
      <c r="M29" s="558" t="e">
        <f>MAX(M12:M19)</f>
        <v>#N/A</v>
      </c>
      <c r="N29" s="239" t="e">
        <f t="shared" ref="N29:W29" si="3">MAX(N12:N19)</f>
        <v>#N/A</v>
      </c>
      <c r="O29" s="239" t="e">
        <f t="shared" si="3"/>
        <v>#N/A</v>
      </c>
      <c r="P29" s="239" t="e">
        <f t="shared" si="3"/>
        <v>#N/A</v>
      </c>
      <c r="Q29" s="239" t="e">
        <f t="shared" si="3"/>
        <v>#N/A</v>
      </c>
      <c r="R29" s="239" t="e">
        <f t="shared" si="3"/>
        <v>#N/A</v>
      </c>
      <c r="S29" s="239" t="e">
        <f t="shared" si="3"/>
        <v>#N/A</v>
      </c>
      <c r="T29" s="239" t="e">
        <f t="shared" si="3"/>
        <v>#N/A</v>
      </c>
      <c r="U29" s="239" t="e">
        <f t="shared" si="3"/>
        <v>#N/A</v>
      </c>
      <c r="V29" s="239" t="e">
        <f t="shared" si="3"/>
        <v>#N/A</v>
      </c>
      <c r="W29" s="552" t="e">
        <f t="shared" si="3"/>
        <v>#N/A</v>
      </c>
    </row>
    <row r="30" spans="1:23" ht="20.100000000000001" customHeight="1" x14ac:dyDescent="0.2">
      <c r="A30" s="1"/>
      <c r="B30" s="497" t="s">
        <v>256</v>
      </c>
      <c r="C30" s="584"/>
      <c r="D30" s="585"/>
      <c r="E30" s="585"/>
      <c r="F30" s="585"/>
      <c r="G30" s="585"/>
      <c r="H30" s="585"/>
      <c r="I30" s="585"/>
      <c r="J30" s="585"/>
      <c r="K30" s="585"/>
      <c r="L30" s="585"/>
      <c r="M30" s="559" t="e">
        <f>M29-M27</f>
        <v>#N/A</v>
      </c>
      <c r="N30" s="553" t="e">
        <f t="shared" ref="N30:W30" si="4">N29-N27</f>
        <v>#N/A</v>
      </c>
      <c r="O30" s="553" t="e">
        <f t="shared" si="4"/>
        <v>#N/A</v>
      </c>
      <c r="P30" s="553" t="e">
        <f t="shared" si="4"/>
        <v>#N/A</v>
      </c>
      <c r="Q30" s="553" t="e">
        <f t="shared" si="4"/>
        <v>#N/A</v>
      </c>
      <c r="R30" s="553" t="e">
        <f t="shared" si="4"/>
        <v>#N/A</v>
      </c>
      <c r="S30" s="553" t="e">
        <f t="shared" si="4"/>
        <v>#N/A</v>
      </c>
      <c r="T30" s="553" t="e">
        <f t="shared" si="4"/>
        <v>#N/A</v>
      </c>
      <c r="U30" s="553" t="e">
        <f t="shared" si="4"/>
        <v>#N/A</v>
      </c>
      <c r="V30" s="553" t="e">
        <f t="shared" si="4"/>
        <v>#N/A</v>
      </c>
      <c r="W30" s="554" t="e">
        <f t="shared" si="4"/>
        <v>#N/A</v>
      </c>
    </row>
    <row r="31" spans="1:23" ht="20.100000000000001" customHeight="1" x14ac:dyDescent="0.2">
      <c r="A31" s="1"/>
      <c r="B31" s="2"/>
      <c r="C31" s="1"/>
      <c r="D31" s="1"/>
      <c r="E31" s="1"/>
      <c r="F31" s="1"/>
      <c r="G31" s="1"/>
      <c r="H31" s="1"/>
      <c r="I31" s="1"/>
      <c r="J31" s="1"/>
      <c r="K31" s="1"/>
      <c r="L31" s="1"/>
      <c r="M31" s="1"/>
      <c r="N31" s="1"/>
      <c r="O31" s="1"/>
      <c r="P31" s="1"/>
      <c r="Q31" s="1"/>
      <c r="R31" s="1"/>
      <c r="S31" s="1"/>
      <c r="T31" s="1"/>
      <c r="U31" s="1"/>
      <c r="V31" s="1"/>
    </row>
    <row r="32" spans="1:23" ht="20.100000000000001" customHeight="1" x14ac:dyDescent="0.2">
      <c r="A32" s="1"/>
      <c r="B32" s="1240" t="s">
        <v>825</v>
      </c>
      <c r="C32" s="1240"/>
      <c r="D32" s="1240"/>
      <c r="E32" s="1240"/>
      <c r="F32" s="1240"/>
      <c r="G32" s="1240"/>
      <c r="H32" s="1240"/>
      <c r="I32" s="1240"/>
      <c r="J32" s="1240"/>
      <c r="K32" s="1240"/>
      <c r="L32" s="1240"/>
      <c r="M32" s="1240"/>
      <c r="N32" s="1240"/>
      <c r="O32" s="1240"/>
      <c r="P32" s="1240"/>
      <c r="Q32" s="1240"/>
      <c r="R32" s="1240"/>
      <c r="S32" s="1240"/>
      <c r="T32" s="1240"/>
      <c r="U32" s="1240"/>
      <c r="V32" s="1240"/>
      <c r="W32" s="1240"/>
    </row>
    <row r="33" spans="1:23" ht="20.100000000000001" customHeight="1" x14ac:dyDescent="0.2">
      <c r="A33" s="1"/>
      <c r="B33" s="1"/>
      <c r="C33" s="1"/>
      <c r="D33" s="1"/>
      <c r="E33" s="1"/>
      <c r="F33" s="1"/>
      <c r="G33" s="1"/>
      <c r="H33" s="1"/>
      <c r="I33" s="1"/>
      <c r="J33" s="1"/>
      <c r="K33" s="1"/>
      <c r="L33" s="1"/>
      <c r="M33" s="1"/>
      <c r="N33" s="1"/>
      <c r="O33" s="1"/>
      <c r="P33" s="1"/>
      <c r="Q33" s="1"/>
      <c r="R33" s="1"/>
      <c r="S33" s="1"/>
      <c r="T33" s="1"/>
      <c r="U33" s="1"/>
      <c r="V33" s="1"/>
    </row>
    <row r="34" spans="1:23" ht="20.100000000000001" customHeight="1" x14ac:dyDescent="0.2">
      <c r="A34" s="1"/>
      <c r="B34" s="500" t="s">
        <v>7</v>
      </c>
      <c r="C34" s="206">
        <v>2015</v>
      </c>
      <c r="D34" s="563">
        <v>2016</v>
      </c>
      <c r="E34" s="563">
        <v>2017</v>
      </c>
      <c r="F34" s="563">
        <v>2018</v>
      </c>
      <c r="G34" s="563">
        <v>2019</v>
      </c>
      <c r="H34" s="563">
        <v>2020</v>
      </c>
      <c r="I34" s="563">
        <v>2021</v>
      </c>
      <c r="J34" s="563">
        <v>2022</v>
      </c>
      <c r="K34" s="563">
        <v>2023</v>
      </c>
      <c r="L34" s="563">
        <v>2024</v>
      </c>
      <c r="M34" s="563">
        <v>2025</v>
      </c>
      <c r="N34" s="563">
        <v>2026</v>
      </c>
      <c r="O34" s="563">
        <v>2027</v>
      </c>
      <c r="P34" s="563">
        <v>2028</v>
      </c>
      <c r="Q34" s="563">
        <v>2029</v>
      </c>
      <c r="R34" s="563">
        <v>2030</v>
      </c>
      <c r="S34" s="563">
        <v>2031</v>
      </c>
      <c r="T34" s="563">
        <v>2032</v>
      </c>
      <c r="U34" s="563">
        <v>2033</v>
      </c>
      <c r="V34" s="563">
        <v>2034</v>
      </c>
      <c r="W34" s="562">
        <v>2035</v>
      </c>
    </row>
    <row r="35" spans="1:23" ht="20.100000000000001" customHeight="1" x14ac:dyDescent="0.2">
      <c r="A35" s="1"/>
      <c r="B35" s="500" t="s">
        <v>253</v>
      </c>
      <c r="C35" s="564" t="e">
        <f t="array" ref="C35">MROUND(INDEX(df_est_csd!$C$2:$BA$10, MATCH($A$2, df_est_csd!$B$2:$B$10, 0), MATCH(TEXT(C$34, "####"),  df_est_csd!$C$1:$BA$1, 0)),5)</f>
        <v>#N/A</v>
      </c>
      <c r="D35" s="565" t="e">
        <f t="array" ref="D35">MROUND(INDEX(df_est_csd!$C$2:$BA$10, MATCH($A$2, df_est_csd!$B$2:$B$10, 0), MATCH(TEXT(D$34, "####"),  df_est_csd!$C$1:$BA$1, 0)),5)</f>
        <v>#N/A</v>
      </c>
      <c r="E35" s="565" t="e">
        <f t="array" ref="E35">MROUND(INDEX(df_est_csd!$C$2:$BA$10, MATCH($A$2, df_est_csd!$B$2:$B$10, 0), MATCH(TEXT(E$34, "####"),  df_est_csd!$C$1:$BA$1, 0)),5)</f>
        <v>#N/A</v>
      </c>
      <c r="F35" s="565" t="e">
        <f t="array" ref="F35">MROUND(INDEX(df_est_csd!$C$2:$BA$10, MATCH($A$2, df_est_csd!$B$2:$B$10, 0), MATCH(TEXT(F$34, "####"),  df_est_csd!$C$1:$BA$1, 0)),5)</f>
        <v>#N/A</v>
      </c>
      <c r="G35" s="565" t="e">
        <f t="array" ref="G35">MROUND(INDEX(df_est_csd!$C$2:$BA$10, MATCH($A$2, df_est_csd!$B$2:$B$10, 0), MATCH(TEXT(G$34, "####"),  df_est_csd!$C$1:$BA$1, 0)),5)</f>
        <v>#N/A</v>
      </c>
      <c r="H35" s="565" t="e">
        <f t="array" ref="H35">MROUND(INDEX(df_est_csd!$C$2:$BA$10, MATCH($A$2, df_est_csd!$B$2:$B$10, 0), MATCH(TEXT(H$34, "####"),  df_est_csd!$C$1:$BA$1, 0)),5)</f>
        <v>#N/A</v>
      </c>
      <c r="I35" s="565" t="e">
        <f t="array" ref="I35">MROUND(INDEX(df_est_csd!$C$2:$BA$10, MATCH($A$2, df_est_csd!$B$2:$B$10, 0), MATCH(TEXT(I$34, "####"),  df_est_csd!$C$1:$BA$1, 0)),5)</f>
        <v>#N/A</v>
      </c>
      <c r="J35" s="565" t="e">
        <f t="array" ref="J35">MROUND(INDEX(df_est_csd!$C$2:$BA$10, MATCH($A$2, df_est_csd!$B$2:$B$10, 0), MATCH(TEXT(J$34, "####"),  df_est_csd!$C$1:$BA$1, 0)),5)</f>
        <v>#N/A</v>
      </c>
      <c r="K35" s="565" t="e">
        <f t="array" ref="K35">MROUND(INDEX(df_est_csd!$C$2:$BA$10, MATCH($A$2, df_est_csd!$B$2:$B$10, 0), MATCH(TEXT(K$34, "####"),  df_est_csd!$C$1:$BA$1, 0)),5)</f>
        <v>#N/A</v>
      </c>
      <c r="L35" s="565" t="e">
        <f t="array" ref="L35">MROUND(INDEX(df_est_csd!$C$2:$BA$10, MATCH($A$2, df_est_csd!$B$2:$B$10, 0), MATCH(TEXT(L$34, "####"),  df_est_csd!$C$1:$BA$1, 0)),5)</f>
        <v>#N/A</v>
      </c>
      <c r="M35" s="565" t="e">
        <f t="array" ref="M35">MROUND(INDEX(df_est_csd!$C$2:$BA$10, MATCH($A$2, df_est_csd!$B$2:$B$10, 0), MATCH(TEXT(M$34, "####"),  df_est_csd!$C$1:$BA$1, 0)),5)</f>
        <v>#N/A</v>
      </c>
      <c r="N35" s="586"/>
      <c r="O35" s="586"/>
      <c r="P35" s="586"/>
      <c r="Q35" s="586"/>
      <c r="R35" s="586"/>
      <c r="S35" s="586"/>
      <c r="T35" s="586"/>
      <c r="U35" s="586"/>
      <c r="V35" s="586"/>
      <c r="W35" s="587"/>
    </row>
    <row r="36" spans="1:23" ht="20.100000000000001" customHeight="1" x14ac:dyDescent="0.2">
      <c r="A36" s="1"/>
      <c r="B36" s="495" t="s">
        <v>108</v>
      </c>
      <c r="C36" s="580"/>
      <c r="D36" s="581"/>
      <c r="E36" s="581"/>
      <c r="F36" s="581"/>
      <c r="G36" s="581"/>
      <c r="H36" s="581"/>
      <c r="I36" s="581"/>
      <c r="J36" s="581"/>
      <c r="K36" s="581"/>
      <c r="L36" s="581"/>
      <c r="M36" s="557" t="e">
        <f t="array" ref="M36">IFERROR(MROUND(INDEX(df_proj!$E$2:$AD$1000, MATCH(1, ($A$2 = df_proj!$A$2:$A$1000) * (df_proj!$B$2:$B$1000 = "Total") * (df_proj!$C$2:$C$1000 = $B36), 0), MATCH(TEXT(M$34, "####"), df_proj!$E$1:$AD$1,0)),5),MROUND($M$35/$M$11 * M12,5))</f>
        <v>#N/A</v>
      </c>
      <c r="N36" s="555" t="e">
        <f t="array" ref="N36">IFERROR(MROUND(INDEX(df_proj!$E$2:$AD$1000, MATCH(1, ($A$2 = df_proj!$A$2:$A$1000) * (df_proj!$B$2:$B$1000 = "Total") * (df_proj!$C$2:$C$1000 = $B36), 0), MATCH(TEXT(N$34, "####"), df_proj!$E$1:$AD$1,0)),5),MROUND($M$35/$M$11 * N12,5))</f>
        <v>#N/A</v>
      </c>
      <c r="O36" s="555" t="e">
        <f t="array" ref="O36">IFERROR(MROUND(INDEX(df_proj!$E$2:$AD$1000, MATCH(1, ($A$2 = df_proj!$A$2:$A$1000) * (df_proj!$B$2:$B$1000 = "Total") * (df_proj!$C$2:$C$1000 = $B36), 0), MATCH(TEXT(O$34, "####"), df_proj!$E$1:$AD$1,0)),5),MROUND($M$35/$M$11 * O12,5))</f>
        <v>#N/A</v>
      </c>
      <c r="P36" s="555" t="e">
        <f t="array" ref="P36">IFERROR(MROUND(INDEX(df_proj!$E$2:$AD$1000, MATCH(1, ($A$2 = df_proj!$A$2:$A$1000) * (df_proj!$B$2:$B$1000 = "Total") * (df_proj!$C$2:$C$1000 = $B36), 0), MATCH(TEXT(P$34, "####"), df_proj!$E$1:$AD$1,0)),5),MROUND($M$35/$M$11 * P12,5))</f>
        <v>#N/A</v>
      </c>
      <c r="Q36" s="555" t="e">
        <f t="array" ref="Q36">IFERROR(MROUND(INDEX(df_proj!$E$2:$AD$1000, MATCH(1, ($A$2 = df_proj!$A$2:$A$1000) * (df_proj!$B$2:$B$1000 = "Total") * (df_proj!$C$2:$C$1000 = $B36), 0), MATCH(TEXT(Q$34, "####"), df_proj!$E$1:$AD$1,0)),5),MROUND($M$35/$M$11 * Q12,5))</f>
        <v>#N/A</v>
      </c>
      <c r="R36" s="555" t="e">
        <f t="array" ref="R36">IFERROR(MROUND(INDEX(df_proj!$E$2:$AD$1000, MATCH(1, ($A$2 = df_proj!$A$2:$A$1000) * (df_proj!$B$2:$B$1000 = "Total") * (df_proj!$C$2:$C$1000 = $B36), 0), MATCH(TEXT(R$34, "####"), df_proj!$E$1:$AD$1,0)),5),MROUND($M$35/$M$11 * R12,5))</f>
        <v>#N/A</v>
      </c>
      <c r="S36" s="555" t="e">
        <f t="array" ref="S36">IFERROR(MROUND(INDEX(df_proj!$E$2:$AD$1000, MATCH(1, ($A$2 = df_proj!$A$2:$A$1000) * (df_proj!$B$2:$B$1000 = "Total") * (df_proj!$C$2:$C$1000 = $B36), 0), MATCH(TEXT(S$34, "####"), df_proj!$E$1:$AD$1,0)),5),MROUND($M$35/$M$11 * S12,5))</f>
        <v>#N/A</v>
      </c>
      <c r="T36" s="555" t="e">
        <f t="array" ref="T36">IFERROR(MROUND(INDEX(df_proj!$E$2:$AD$1000, MATCH(1, ($A$2 = df_proj!$A$2:$A$1000) * (df_proj!$B$2:$B$1000 = "Total") * (df_proj!$C$2:$C$1000 = $B36), 0), MATCH(TEXT(T$34, "####"), df_proj!$E$1:$AD$1,0)),5),MROUND($M$35/$M$11 * T12,5))</f>
        <v>#N/A</v>
      </c>
      <c r="U36" s="555" t="e">
        <f t="array" ref="U36">IFERROR(MROUND(INDEX(df_proj!$E$2:$AD$1000, MATCH(1, ($A$2 = df_proj!$A$2:$A$1000) * (df_proj!$B$2:$B$1000 = "Total") * (df_proj!$C$2:$C$1000 = $B36), 0), MATCH(TEXT(U$34, "####"), df_proj!$E$1:$AD$1,0)),5),MROUND($M$35/$M$11 * U12,5))</f>
        <v>#N/A</v>
      </c>
      <c r="V36" s="555" t="e">
        <f t="array" ref="V36">IFERROR(MROUND(INDEX(df_proj!$E$2:$AD$1000, MATCH(1, ($A$2 = df_proj!$A$2:$A$1000) * (df_proj!$B$2:$B$1000 = "Total") * (df_proj!$C$2:$C$1000 = $B36), 0), MATCH(TEXT(V$34, "####"), df_proj!$E$1:$AD$1,0)),5),MROUND($M$35/$M$11 * V12,5))</f>
        <v>#N/A</v>
      </c>
      <c r="W36" s="556" t="e">
        <f t="array" ref="W36">IFERROR(MROUND(INDEX(df_proj!$E$2:$AD$1000, MATCH(1, ($A$2 = df_proj!$A$2:$A$1000) * (df_proj!$B$2:$B$1000 = "Total") * (df_proj!$C$2:$C$1000 = $B36), 0), MATCH(TEXT(W$34, "####"), df_proj!$E$1:$AD$1,0)),5),MROUND($M$35/$M$11 * W12,5))</f>
        <v>#N/A</v>
      </c>
    </row>
    <row r="37" spans="1:23" ht="20.100000000000001" customHeight="1" x14ac:dyDescent="0.2">
      <c r="A37" s="1"/>
      <c r="B37" s="496" t="s">
        <v>109</v>
      </c>
      <c r="C37" s="582"/>
      <c r="D37" s="583"/>
      <c r="E37" s="583"/>
      <c r="F37" s="583"/>
      <c r="G37" s="583"/>
      <c r="H37" s="583"/>
      <c r="I37" s="583"/>
      <c r="J37" s="583"/>
      <c r="K37" s="583"/>
      <c r="L37" s="583"/>
      <c r="M37" s="558" t="e">
        <f t="array" ref="M37">IFERROR(MROUND(INDEX(df_proj!$E$2:$AD$1000, MATCH(1, ($A$2 = df_proj!$A$2:$A$1000) * (df_proj!$B$2:$B$1000 = "Total") * (df_proj!$C$2:$C$1000 = $B37), 0), MATCH(TEXT(M$34, "####"), df_proj!$E$1:$AD$1,0)),5),MROUND($M$35/$M$11 * M13,5))</f>
        <v>#N/A</v>
      </c>
      <c r="N37" s="239" t="e">
        <f t="array" ref="N37">IFERROR(MROUND(INDEX(df_proj!$E$2:$AD$1000, MATCH(1, ($A$2 = df_proj!$A$2:$A$1000) * (df_proj!$B$2:$B$1000 = "Total") * (df_proj!$C$2:$C$1000 = $B37), 0), MATCH(TEXT(N$34, "####"), df_proj!$E$1:$AD$1,0)),5),MROUND($M$35/$M$11 * N13,5))</f>
        <v>#N/A</v>
      </c>
      <c r="O37" s="239" t="e">
        <f t="array" ref="O37">IFERROR(MROUND(INDEX(df_proj!$E$2:$AD$1000, MATCH(1, ($A$2 = df_proj!$A$2:$A$1000) * (df_proj!$B$2:$B$1000 = "Total") * (df_proj!$C$2:$C$1000 = $B37), 0), MATCH(TEXT(O$34, "####"), df_proj!$E$1:$AD$1,0)),5),MROUND($M$35/$M$11 * O13,5))</f>
        <v>#N/A</v>
      </c>
      <c r="P37" s="239" t="e">
        <f t="array" ref="P37">IFERROR(MROUND(INDEX(df_proj!$E$2:$AD$1000, MATCH(1, ($A$2 = df_proj!$A$2:$A$1000) * (df_proj!$B$2:$B$1000 = "Total") * (df_proj!$C$2:$C$1000 = $B37), 0), MATCH(TEXT(P$34, "####"), df_proj!$E$1:$AD$1,0)),5),MROUND($M$35/$M$11 * P13,5))</f>
        <v>#N/A</v>
      </c>
      <c r="Q37" s="239" t="e">
        <f t="array" ref="Q37">IFERROR(MROUND(INDEX(df_proj!$E$2:$AD$1000, MATCH(1, ($A$2 = df_proj!$A$2:$A$1000) * (df_proj!$B$2:$B$1000 = "Total") * (df_proj!$C$2:$C$1000 = $B37), 0), MATCH(TEXT(Q$34, "####"), df_proj!$E$1:$AD$1,0)),5),MROUND($M$35/$M$11 * Q13,5))</f>
        <v>#N/A</v>
      </c>
      <c r="R37" s="239" t="e">
        <f t="array" ref="R37">IFERROR(MROUND(INDEX(df_proj!$E$2:$AD$1000, MATCH(1, ($A$2 = df_proj!$A$2:$A$1000) * (df_proj!$B$2:$B$1000 = "Total") * (df_proj!$C$2:$C$1000 = $B37), 0), MATCH(TEXT(R$34, "####"), df_proj!$E$1:$AD$1,0)),5),MROUND($M$35/$M$11 * R13,5))</f>
        <v>#N/A</v>
      </c>
      <c r="S37" s="239" t="e">
        <f t="array" ref="S37">IFERROR(MROUND(INDEX(df_proj!$E$2:$AD$1000, MATCH(1, ($A$2 = df_proj!$A$2:$A$1000) * (df_proj!$B$2:$B$1000 = "Total") * (df_proj!$C$2:$C$1000 = $B37), 0), MATCH(TEXT(S$34, "####"), df_proj!$E$1:$AD$1,0)),5),MROUND($M$35/$M$11 * S13,5))</f>
        <v>#N/A</v>
      </c>
      <c r="T37" s="239" t="e">
        <f t="array" ref="T37">IFERROR(MROUND(INDEX(df_proj!$E$2:$AD$1000, MATCH(1, ($A$2 = df_proj!$A$2:$A$1000) * (df_proj!$B$2:$B$1000 = "Total") * (df_proj!$C$2:$C$1000 = $B37), 0), MATCH(TEXT(T$34, "####"), df_proj!$E$1:$AD$1,0)),5),MROUND($M$35/$M$11 * T13,5))</f>
        <v>#N/A</v>
      </c>
      <c r="U37" s="239" t="e">
        <f t="array" ref="U37">IFERROR(MROUND(INDEX(df_proj!$E$2:$AD$1000, MATCH(1, ($A$2 = df_proj!$A$2:$A$1000) * (df_proj!$B$2:$B$1000 = "Total") * (df_proj!$C$2:$C$1000 = $B37), 0), MATCH(TEXT(U$34, "####"), df_proj!$E$1:$AD$1,0)),5),MROUND($M$35/$M$11 * U13,5))</f>
        <v>#N/A</v>
      </c>
      <c r="V37" s="239" t="e">
        <f t="array" ref="V37">IFERROR(MROUND(INDEX(df_proj!$E$2:$AD$1000, MATCH(1, ($A$2 = df_proj!$A$2:$A$1000) * (df_proj!$B$2:$B$1000 = "Total") * (df_proj!$C$2:$C$1000 = $B37), 0), MATCH(TEXT(V$34, "####"), df_proj!$E$1:$AD$1,0)),5),MROUND($M$35/$M$11 * V13,5))</f>
        <v>#N/A</v>
      </c>
      <c r="W37" s="552" t="e">
        <f t="array" ref="W37">IFERROR(MROUND(INDEX(df_proj!$E$2:$AD$1000, MATCH(1, ($A$2 = df_proj!$A$2:$A$1000) * (df_proj!$B$2:$B$1000 = "Total") * (df_proj!$C$2:$C$1000 = $B37), 0), MATCH(TEXT(W$34, "####"), df_proj!$E$1:$AD$1,0)),5),MROUND($M$35/$M$11 * W13,5))</f>
        <v>#N/A</v>
      </c>
    </row>
    <row r="38" spans="1:23" ht="20.100000000000001" customHeight="1" x14ac:dyDescent="0.2">
      <c r="A38" s="1"/>
      <c r="B38" s="496" t="s">
        <v>110</v>
      </c>
      <c r="C38" s="582"/>
      <c r="D38" s="583"/>
      <c r="E38" s="583"/>
      <c r="F38" s="583"/>
      <c r="G38" s="583"/>
      <c r="H38" s="583"/>
      <c r="I38" s="583"/>
      <c r="J38" s="583"/>
      <c r="K38" s="583"/>
      <c r="L38" s="583"/>
      <c r="M38" s="558" t="e">
        <f t="array" ref="M38">IFERROR(MROUND(INDEX(df_proj!$E$2:$AD$1000, MATCH(1, ($A$2 = df_proj!$A$2:$A$1000) * (df_proj!$B$2:$B$1000 = "Total") * (df_proj!$C$2:$C$1000 = $B38), 0), MATCH(TEXT(M$34, "####"), df_proj!$E$1:$AD$1,0)),5),MROUND($M$35/$M$11 * M14,5))</f>
        <v>#N/A</v>
      </c>
      <c r="N38" s="239" t="e">
        <f t="array" ref="N38">IFERROR(MROUND(INDEX(df_proj!$E$2:$AD$1000, MATCH(1, ($A$2 = df_proj!$A$2:$A$1000) * (df_proj!$B$2:$B$1000 = "Total") * (df_proj!$C$2:$C$1000 = $B38), 0), MATCH(TEXT(N$34, "####"), df_proj!$E$1:$AD$1,0)),5),MROUND($M$35/$M$11 * N14,5))</f>
        <v>#N/A</v>
      </c>
      <c r="O38" s="239" t="e">
        <f t="array" ref="O38">IFERROR(MROUND(INDEX(df_proj!$E$2:$AD$1000, MATCH(1, ($A$2 = df_proj!$A$2:$A$1000) * (df_proj!$B$2:$B$1000 = "Total") * (df_proj!$C$2:$C$1000 = $B38), 0), MATCH(TEXT(O$34, "####"), df_proj!$E$1:$AD$1,0)),5),MROUND($M$35/$M$11 * O14,5))</f>
        <v>#N/A</v>
      </c>
      <c r="P38" s="239" t="e">
        <f t="array" ref="P38">IFERROR(MROUND(INDEX(df_proj!$E$2:$AD$1000, MATCH(1, ($A$2 = df_proj!$A$2:$A$1000) * (df_proj!$B$2:$B$1000 = "Total") * (df_proj!$C$2:$C$1000 = $B38), 0), MATCH(TEXT(P$34, "####"), df_proj!$E$1:$AD$1,0)),5),MROUND($M$35/$M$11 * P14,5))</f>
        <v>#N/A</v>
      </c>
      <c r="Q38" s="239" t="e">
        <f t="array" ref="Q38">IFERROR(MROUND(INDEX(df_proj!$E$2:$AD$1000, MATCH(1, ($A$2 = df_proj!$A$2:$A$1000) * (df_proj!$B$2:$B$1000 = "Total") * (df_proj!$C$2:$C$1000 = $B38), 0), MATCH(TEXT(Q$34, "####"), df_proj!$E$1:$AD$1,0)),5),MROUND($M$35/$M$11 * Q14,5))</f>
        <v>#N/A</v>
      </c>
      <c r="R38" s="239" t="e">
        <f t="array" ref="R38">IFERROR(MROUND(INDEX(df_proj!$E$2:$AD$1000, MATCH(1, ($A$2 = df_proj!$A$2:$A$1000) * (df_proj!$B$2:$B$1000 = "Total") * (df_proj!$C$2:$C$1000 = $B38), 0), MATCH(TEXT(R$34, "####"), df_proj!$E$1:$AD$1,0)),5),MROUND($M$35/$M$11 * R14,5))</f>
        <v>#N/A</v>
      </c>
      <c r="S38" s="239" t="e">
        <f t="array" ref="S38">IFERROR(MROUND(INDEX(df_proj!$E$2:$AD$1000, MATCH(1, ($A$2 = df_proj!$A$2:$A$1000) * (df_proj!$B$2:$B$1000 = "Total") * (df_proj!$C$2:$C$1000 = $B38), 0), MATCH(TEXT(S$34, "####"), df_proj!$E$1:$AD$1,0)),5),MROUND($M$35/$M$11 * S14,5))</f>
        <v>#N/A</v>
      </c>
      <c r="T38" s="239" t="e">
        <f t="array" ref="T38">IFERROR(MROUND(INDEX(df_proj!$E$2:$AD$1000, MATCH(1, ($A$2 = df_proj!$A$2:$A$1000) * (df_proj!$B$2:$B$1000 = "Total") * (df_proj!$C$2:$C$1000 = $B38), 0), MATCH(TEXT(T$34, "####"), df_proj!$E$1:$AD$1,0)),5),MROUND($M$35/$M$11 * T14,5))</f>
        <v>#N/A</v>
      </c>
      <c r="U38" s="239" t="e">
        <f t="array" ref="U38">IFERROR(MROUND(INDEX(df_proj!$E$2:$AD$1000, MATCH(1, ($A$2 = df_proj!$A$2:$A$1000) * (df_proj!$B$2:$B$1000 = "Total") * (df_proj!$C$2:$C$1000 = $B38), 0), MATCH(TEXT(U$34, "####"), df_proj!$E$1:$AD$1,0)),5),MROUND($M$35/$M$11 * U14,5))</f>
        <v>#N/A</v>
      </c>
      <c r="V38" s="239" t="e">
        <f t="array" ref="V38">IFERROR(MROUND(INDEX(df_proj!$E$2:$AD$1000, MATCH(1, ($A$2 = df_proj!$A$2:$A$1000) * (df_proj!$B$2:$B$1000 = "Total") * (df_proj!$C$2:$C$1000 = $B38), 0), MATCH(TEXT(V$34, "####"), df_proj!$E$1:$AD$1,0)),5),MROUND($M$35/$M$11 * V14,5))</f>
        <v>#N/A</v>
      </c>
      <c r="W38" s="552" t="e">
        <f t="array" ref="W38">IFERROR(MROUND(INDEX(df_proj!$E$2:$AD$1000, MATCH(1, ($A$2 = df_proj!$A$2:$A$1000) * (df_proj!$B$2:$B$1000 = "Total") * (df_proj!$C$2:$C$1000 = $B38), 0), MATCH(TEXT(W$34, "####"), df_proj!$E$1:$AD$1,0)),5),MROUND($M$35/$M$11 * W14,5))</f>
        <v>#N/A</v>
      </c>
    </row>
    <row r="39" spans="1:23" ht="20.100000000000001" customHeight="1" x14ac:dyDescent="0.2">
      <c r="A39" s="1"/>
      <c r="B39" s="496" t="s">
        <v>111</v>
      </c>
      <c r="C39" s="582"/>
      <c r="D39" s="583"/>
      <c r="E39" s="583"/>
      <c r="F39" s="583"/>
      <c r="G39" s="583"/>
      <c r="H39" s="583"/>
      <c r="I39" s="583"/>
      <c r="J39" s="583"/>
      <c r="K39" s="583"/>
      <c r="L39" s="583"/>
      <c r="M39" s="558" t="e">
        <f t="array" ref="M39">IFERROR(MROUND(INDEX(df_proj!$E$2:$AD$1000, MATCH(1, ($A$2 = df_proj!$A$2:$A$1000) * (df_proj!$B$2:$B$1000 = "Total") * (df_proj!$C$2:$C$1000 = $B39), 0), MATCH(TEXT(M$34, "####"), df_proj!$E$1:$AD$1,0)),5),MROUND($M$35/$M$11 * M15,5))</f>
        <v>#N/A</v>
      </c>
      <c r="N39" s="239" t="e">
        <f t="array" ref="N39">IFERROR(MROUND(INDEX(df_proj!$E$2:$AD$1000, MATCH(1, ($A$2 = df_proj!$A$2:$A$1000) * (df_proj!$B$2:$B$1000 = "Total") * (df_proj!$C$2:$C$1000 = $B39), 0), MATCH(TEXT(N$34, "####"), df_proj!$E$1:$AD$1,0)),5),MROUND($M$35/$M$11 * N15,5))</f>
        <v>#N/A</v>
      </c>
      <c r="O39" s="239" t="e">
        <f t="array" ref="O39">IFERROR(MROUND(INDEX(df_proj!$E$2:$AD$1000, MATCH(1, ($A$2 = df_proj!$A$2:$A$1000) * (df_proj!$B$2:$B$1000 = "Total") * (df_proj!$C$2:$C$1000 = $B39), 0), MATCH(TEXT(O$34, "####"), df_proj!$E$1:$AD$1,0)),5),MROUND($M$35/$M$11 * O15,5))</f>
        <v>#N/A</v>
      </c>
      <c r="P39" s="239" t="e">
        <f t="array" ref="P39">IFERROR(MROUND(INDEX(df_proj!$E$2:$AD$1000, MATCH(1, ($A$2 = df_proj!$A$2:$A$1000) * (df_proj!$B$2:$B$1000 = "Total") * (df_proj!$C$2:$C$1000 = $B39), 0), MATCH(TEXT(P$34, "####"), df_proj!$E$1:$AD$1,0)),5),MROUND($M$35/$M$11 * P15,5))</f>
        <v>#N/A</v>
      </c>
      <c r="Q39" s="239" t="e">
        <f t="array" ref="Q39">IFERROR(MROUND(INDEX(df_proj!$E$2:$AD$1000, MATCH(1, ($A$2 = df_proj!$A$2:$A$1000) * (df_proj!$B$2:$B$1000 = "Total") * (df_proj!$C$2:$C$1000 = $B39), 0), MATCH(TEXT(Q$34, "####"), df_proj!$E$1:$AD$1,0)),5),MROUND($M$35/$M$11 * Q15,5))</f>
        <v>#N/A</v>
      </c>
      <c r="R39" s="239" t="e">
        <f t="array" ref="R39">IFERROR(MROUND(INDEX(df_proj!$E$2:$AD$1000, MATCH(1, ($A$2 = df_proj!$A$2:$A$1000) * (df_proj!$B$2:$B$1000 = "Total") * (df_proj!$C$2:$C$1000 = $B39), 0), MATCH(TEXT(R$34, "####"), df_proj!$E$1:$AD$1,0)),5),MROUND($M$35/$M$11 * R15,5))</f>
        <v>#N/A</v>
      </c>
      <c r="S39" s="239" t="e">
        <f t="array" ref="S39">IFERROR(MROUND(INDEX(df_proj!$E$2:$AD$1000, MATCH(1, ($A$2 = df_proj!$A$2:$A$1000) * (df_proj!$B$2:$B$1000 = "Total") * (df_proj!$C$2:$C$1000 = $B39), 0), MATCH(TEXT(S$34, "####"), df_proj!$E$1:$AD$1,0)),5),MROUND($M$35/$M$11 * S15,5))</f>
        <v>#N/A</v>
      </c>
      <c r="T39" s="239" t="e">
        <f t="array" ref="T39">IFERROR(MROUND(INDEX(df_proj!$E$2:$AD$1000, MATCH(1, ($A$2 = df_proj!$A$2:$A$1000) * (df_proj!$B$2:$B$1000 = "Total") * (df_proj!$C$2:$C$1000 = $B39), 0), MATCH(TEXT(T$34, "####"), df_proj!$E$1:$AD$1,0)),5),MROUND($M$35/$M$11 * T15,5))</f>
        <v>#N/A</v>
      </c>
      <c r="U39" s="239" t="e">
        <f t="array" ref="U39">IFERROR(MROUND(INDEX(df_proj!$E$2:$AD$1000, MATCH(1, ($A$2 = df_proj!$A$2:$A$1000) * (df_proj!$B$2:$B$1000 = "Total") * (df_proj!$C$2:$C$1000 = $B39), 0), MATCH(TEXT(U$34, "####"), df_proj!$E$1:$AD$1,0)),5),MROUND($M$35/$M$11 * U15,5))</f>
        <v>#N/A</v>
      </c>
      <c r="V39" s="239" t="e">
        <f t="array" ref="V39">IFERROR(MROUND(INDEX(df_proj!$E$2:$AD$1000, MATCH(1, ($A$2 = df_proj!$A$2:$A$1000) * (df_proj!$B$2:$B$1000 = "Total") * (df_proj!$C$2:$C$1000 = $B39), 0), MATCH(TEXT(V$34, "####"), df_proj!$E$1:$AD$1,0)),5),MROUND($M$35/$M$11 * V15,5))</f>
        <v>#N/A</v>
      </c>
      <c r="W39" s="552" t="e">
        <f t="array" ref="W39">IFERROR(MROUND(INDEX(df_proj!$E$2:$AD$1000, MATCH(1, ($A$2 = df_proj!$A$2:$A$1000) * (df_proj!$B$2:$B$1000 = "Total") * (df_proj!$C$2:$C$1000 = $B39), 0), MATCH(TEXT(W$34, "####"), df_proj!$E$1:$AD$1,0)),5),MROUND($M$35/$M$11 * W15,5))</f>
        <v>#N/A</v>
      </c>
    </row>
    <row r="40" spans="1:23" ht="20.100000000000001" customHeight="1" x14ac:dyDescent="0.2">
      <c r="A40" s="1"/>
      <c r="B40" s="496" t="s">
        <v>112</v>
      </c>
      <c r="C40" s="582"/>
      <c r="D40" s="583"/>
      <c r="E40" s="583"/>
      <c r="F40" s="583"/>
      <c r="G40" s="583"/>
      <c r="H40" s="583"/>
      <c r="I40" s="583"/>
      <c r="J40" s="583"/>
      <c r="K40" s="583"/>
      <c r="L40" s="583"/>
      <c r="M40" s="558" t="e">
        <f t="array" ref="M40">IFERROR(MROUND(INDEX(df_proj!$E$2:$AD$1000, MATCH(1, ($A$2 = df_proj!$A$2:$A$1000) * (df_proj!$B$2:$B$1000 = "Total") * (df_proj!$C$2:$C$1000 = $B40), 0), MATCH(TEXT(M$34, "####"), df_proj!$E$1:$AD$1,0)),5),MROUND($M$35/$M$11 * M16,5))</f>
        <v>#N/A</v>
      </c>
      <c r="N40" s="239" t="e">
        <f t="array" ref="N40">IFERROR(MROUND(INDEX(df_proj!$E$2:$AD$1000, MATCH(1, ($A$2 = df_proj!$A$2:$A$1000) * (df_proj!$B$2:$B$1000 = "Total") * (df_proj!$C$2:$C$1000 = $B40), 0), MATCH(TEXT(N$34, "####"), df_proj!$E$1:$AD$1,0)),5),MROUND($M$35/$M$11 * N16,5))</f>
        <v>#N/A</v>
      </c>
      <c r="O40" s="239" t="e">
        <f t="array" ref="O40">IFERROR(MROUND(INDEX(df_proj!$E$2:$AD$1000, MATCH(1, ($A$2 = df_proj!$A$2:$A$1000) * (df_proj!$B$2:$B$1000 = "Total") * (df_proj!$C$2:$C$1000 = $B40), 0), MATCH(TEXT(O$34, "####"), df_proj!$E$1:$AD$1,0)),5),MROUND($M$35/$M$11 * O16,5))</f>
        <v>#N/A</v>
      </c>
      <c r="P40" s="239" t="e">
        <f t="array" ref="P40">IFERROR(MROUND(INDEX(df_proj!$E$2:$AD$1000, MATCH(1, ($A$2 = df_proj!$A$2:$A$1000) * (df_proj!$B$2:$B$1000 = "Total") * (df_proj!$C$2:$C$1000 = $B40), 0), MATCH(TEXT(P$34, "####"), df_proj!$E$1:$AD$1,0)),5),MROUND($M$35/$M$11 * P16,5))</f>
        <v>#N/A</v>
      </c>
      <c r="Q40" s="239" t="e">
        <f t="array" ref="Q40">IFERROR(MROUND(INDEX(df_proj!$E$2:$AD$1000, MATCH(1, ($A$2 = df_proj!$A$2:$A$1000) * (df_proj!$B$2:$B$1000 = "Total") * (df_proj!$C$2:$C$1000 = $B40), 0), MATCH(TEXT(Q$34, "####"), df_proj!$E$1:$AD$1,0)),5),MROUND($M$35/$M$11 * Q16,5))</f>
        <v>#N/A</v>
      </c>
      <c r="R40" s="239" t="e">
        <f t="array" ref="R40">IFERROR(MROUND(INDEX(df_proj!$E$2:$AD$1000, MATCH(1, ($A$2 = df_proj!$A$2:$A$1000) * (df_proj!$B$2:$B$1000 = "Total") * (df_proj!$C$2:$C$1000 = $B40), 0), MATCH(TEXT(R$34, "####"), df_proj!$E$1:$AD$1,0)),5),MROUND($M$35/$M$11 * R16,5))</f>
        <v>#N/A</v>
      </c>
      <c r="S40" s="239" t="e">
        <f t="array" ref="S40">IFERROR(MROUND(INDEX(df_proj!$E$2:$AD$1000, MATCH(1, ($A$2 = df_proj!$A$2:$A$1000) * (df_proj!$B$2:$B$1000 = "Total") * (df_proj!$C$2:$C$1000 = $B40), 0), MATCH(TEXT(S$34, "####"), df_proj!$E$1:$AD$1,0)),5),MROUND($M$35/$M$11 * S16,5))</f>
        <v>#N/A</v>
      </c>
      <c r="T40" s="239" t="e">
        <f t="array" ref="T40">IFERROR(MROUND(INDEX(df_proj!$E$2:$AD$1000, MATCH(1, ($A$2 = df_proj!$A$2:$A$1000) * (df_proj!$B$2:$B$1000 = "Total") * (df_proj!$C$2:$C$1000 = $B40), 0), MATCH(TEXT(T$34, "####"), df_proj!$E$1:$AD$1,0)),5),MROUND($M$35/$M$11 * T16,5))</f>
        <v>#N/A</v>
      </c>
      <c r="U40" s="239" t="e">
        <f t="array" ref="U40">IFERROR(MROUND(INDEX(df_proj!$E$2:$AD$1000, MATCH(1, ($A$2 = df_proj!$A$2:$A$1000) * (df_proj!$B$2:$B$1000 = "Total") * (df_proj!$C$2:$C$1000 = $B40), 0), MATCH(TEXT(U$34, "####"), df_proj!$E$1:$AD$1,0)),5),MROUND($M$35/$M$11 * U16,5))</f>
        <v>#N/A</v>
      </c>
      <c r="V40" s="239" t="e">
        <f t="array" ref="V40">IFERROR(MROUND(INDEX(df_proj!$E$2:$AD$1000, MATCH(1, ($A$2 = df_proj!$A$2:$A$1000) * (df_proj!$B$2:$B$1000 = "Total") * (df_proj!$C$2:$C$1000 = $B40), 0), MATCH(TEXT(V$34, "####"), df_proj!$E$1:$AD$1,0)),5),MROUND($M$35/$M$11 * V16,5))</f>
        <v>#N/A</v>
      </c>
      <c r="W40" s="552" t="e">
        <f t="array" ref="W40">IFERROR(MROUND(INDEX(df_proj!$E$2:$AD$1000, MATCH(1, ($A$2 = df_proj!$A$2:$A$1000) * (df_proj!$B$2:$B$1000 = "Total") * (df_proj!$C$2:$C$1000 = $B40), 0), MATCH(TEXT(W$34, "####"), df_proj!$E$1:$AD$1,0)),5),MROUND($M$35/$M$11 * W16,5))</f>
        <v>#N/A</v>
      </c>
    </row>
    <row r="41" spans="1:23" ht="20.100000000000001" customHeight="1" x14ac:dyDescent="0.2">
      <c r="A41" s="1"/>
      <c r="B41" s="496" t="s">
        <v>113</v>
      </c>
      <c r="C41" s="582"/>
      <c r="D41" s="583"/>
      <c r="E41" s="583"/>
      <c r="F41" s="583"/>
      <c r="G41" s="583"/>
      <c r="H41" s="583"/>
      <c r="I41" s="583"/>
      <c r="J41" s="583"/>
      <c r="K41" s="583"/>
      <c r="L41" s="583"/>
      <c r="M41" s="558" t="e">
        <f t="array" ref="M41">IFERROR(MROUND(INDEX(df_proj!$E$2:$AD$1000, MATCH(1, ($A$2 = df_proj!$A$2:$A$1000) * (df_proj!$B$2:$B$1000 = "Total") * (df_proj!$C$2:$C$1000 = $B41), 0), MATCH(TEXT(M$34, "####"), df_proj!$E$1:$AD$1,0)),5),MROUND($M$35/$M$11 * M17,5))</f>
        <v>#N/A</v>
      </c>
      <c r="N41" s="239" t="e">
        <f t="array" ref="N41">IFERROR(MROUND(INDEX(df_proj!$E$2:$AD$1000, MATCH(1, ($A$2 = df_proj!$A$2:$A$1000) * (df_proj!$B$2:$B$1000 = "Total") * (df_proj!$C$2:$C$1000 = $B41), 0), MATCH(TEXT(N$34, "####"), df_proj!$E$1:$AD$1,0)),5),MROUND($M$35/$M$11 * N17,5))</f>
        <v>#N/A</v>
      </c>
      <c r="O41" s="239" t="e">
        <f t="array" ref="O41">IFERROR(MROUND(INDEX(df_proj!$E$2:$AD$1000, MATCH(1, ($A$2 = df_proj!$A$2:$A$1000) * (df_proj!$B$2:$B$1000 = "Total") * (df_proj!$C$2:$C$1000 = $B41), 0), MATCH(TEXT(O$34, "####"), df_proj!$E$1:$AD$1,0)),5),MROUND($M$35/$M$11 * O17,5))</f>
        <v>#N/A</v>
      </c>
      <c r="P41" s="239" t="e">
        <f t="array" ref="P41">IFERROR(MROUND(INDEX(df_proj!$E$2:$AD$1000, MATCH(1, ($A$2 = df_proj!$A$2:$A$1000) * (df_proj!$B$2:$B$1000 = "Total") * (df_proj!$C$2:$C$1000 = $B41), 0), MATCH(TEXT(P$34, "####"), df_proj!$E$1:$AD$1,0)),5),MROUND($M$35/$M$11 * P17,5))</f>
        <v>#N/A</v>
      </c>
      <c r="Q41" s="239" t="e">
        <f t="array" ref="Q41">IFERROR(MROUND(INDEX(df_proj!$E$2:$AD$1000, MATCH(1, ($A$2 = df_proj!$A$2:$A$1000) * (df_proj!$B$2:$B$1000 = "Total") * (df_proj!$C$2:$C$1000 = $B41), 0), MATCH(TEXT(Q$34, "####"), df_proj!$E$1:$AD$1,0)),5),MROUND($M$35/$M$11 * Q17,5))</f>
        <v>#N/A</v>
      </c>
      <c r="R41" s="239" t="e">
        <f t="array" ref="R41">IFERROR(MROUND(INDEX(df_proj!$E$2:$AD$1000, MATCH(1, ($A$2 = df_proj!$A$2:$A$1000) * (df_proj!$B$2:$B$1000 = "Total") * (df_proj!$C$2:$C$1000 = $B41), 0), MATCH(TEXT(R$34, "####"), df_proj!$E$1:$AD$1,0)),5),MROUND($M$35/$M$11 * R17,5))</f>
        <v>#N/A</v>
      </c>
      <c r="S41" s="239" t="e">
        <f t="array" ref="S41">IFERROR(MROUND(INDEX(df_proj!$E$2:$AD$1000, MATCH(1, ($A$2 = df_proj!$A$2:$A$1000) * (df_proj!$B$2:$B$1000 = "Total") * (df_proj!$C$2:$C$1000 = $B41), 0), MATCH(TEXT(S$34, "####"), df_proj!$E$1:$AD$1,0)),5),MROUND($M$35/$M$11 * S17,5))</f>
        <v>#N/A</v>
      </c>
      <c r="T41" s="239" t="e">
        <f t="array" ref="T41">IFERROR(MROUND(INDEX(df_proj!$E$2:$AD$1000, MATCH(1, ($A$2 = df_proj!$A$2:$A$1000) * (df_proj!$B$2:$B$1000 = "Total") * (df_proj!$C$2:$C$1000 = $B41), 0), MATCH(TEXT(T$34, "####"), df_proj!$E$1:$AD$1,0)),5),MROUND($M$35/$M$11 * T17,5))</f>
        <v>#N/A</v>
      </c>
      <c r="U41" s="239" t="e">
        <f t="array" ref="U41">IFERROR(MROUND(INDEX(df_proj!$E$2:$AD$1000, MATCH(1, ($A$2 = df_proj!$A$2:$A$1000) * (df_proj!$B$2:$B$1000 = "Total") * (df_proj!$C$2:$C$1000 = $B41), 0), MATCH(TEXT(U$34, "####"), df_proj!$E$1:$AD$1,0)),5),MROUND($M$35/$M$11 * U17,5))</f>
        <v>#N/A</v>
      </c>
      <c r="V41" s="239" t="e">
        <f t="array" ref="V41">IFERROR(MROUND(INDEX(df_proj!$E$2:$AD$1000, MATCH(1, ($A$2 = df_proj!$A$2:$A$1000) * (df_proj!$B$2:$B$1000 = "Total") * (df_proj!$C$2:$C$1000 = $B41), 0), MATCH(TEXT(V$34, "####"), df_proj!$E$1:$AD$1,0)),5),MROUND($M$35/$M$11 * V17,5))</f>
        <v>#N/A</v>
      </c>
      <c r="W41" s="552" t="e">
        <f t="array" ref="W41">IFERROR(MROUND(INDEX(df_proj!$E$2:$AD$1000, MATCH(1, ($A$2 = df_proj!$A$2:$A$1000) * (df_proj!$B$2:$B$1000 = "Total") * (df_proj!$C$2:$C$1000 = $B41), 0), MATCH(TEXT(W$34, "####"), df_proj!$E$1:$AD$1,0)),5),MROUND($M$35/$M$11 * W17,5))</f>
        <v>#N/A</v>
      </c>
    </row>
    <row r="42" spans="1:23" ht="20.100000000000001" customHeight="1" x14ac:dyDescent="0.2">
      <c r="A42" s="1"/>
      <c r="B42" s="496" t="s">
        <v>114</v>
      </c>
      <c r="C42" s="582"/>
      <c r="D42" s="583"/>
      <c r="E42" s="583"/>
      <c r="F42" s="583"/>
      <c r="G42" s="583"/>
      <c r="H42" s="583"/>
      <c r="I42" s="583"/>
      <c r="J42" s="583"/>
      <c r="K42" s="583"/>
      <c r="L42" s="583"/>
      <c r="M42" s="558" t="e">
        <f t="array" ref="M42">IFERROR(MROUND(INDEX(df_proj!$E$2:$AD$1000, MATCH(1, ($A$2 = df_proj!$A$2:$A$1000) * (df_proj!$B$2:$B$1000 = "Total") * (df_proj!$C$2:$C$1000 = $B42), 0), MATCH(TEXT(M$34, "####"), df_proj!$E$1:$AD$1,0)),5),MROUND($M$35/$M$11 * M18,5))</f>
        <v>#N/A</v>
      </c>
      <c r="N42" s="239" t="e">
        <f t="array" ref="N42">IFERROR(MROUND(INDEX(df_proj!$E$2:$AD$1000, MATCH(1, ($A$2 = df_proj!$A$2:$A$1000) * (df_proj!$B$2:$B$1000 = "Total") * (df_proj!$C$2:$C$1000 = $B42), 0), MATCH(TEXT(N$34, "####"), df_proj!$E$1:$AD$1,0)),5),MROUND($M$35/$M$11 * N18,5))</f>
        <v>#N/A</v>
      </c>
      <c r="O42" s="239" t="e">
        <f t="array" ref="O42">IFERROR(MROUND(INDEX(df_proj!$E$2:$AD$1000, MATCH(1, ($A$2 = df_proj!$A$2:$A$1000) * (df_proj!$B$2:$B$1000 = "Total") * (df_proj!$C$2:$C$1000 = $B42), 0), MATCH(TEXT(O$34, "####"), df_proj!$E$1:$AD$1,0)),5),MROUND($M$35/$M$11 * O18,5))</f>
        <v>#N/A</v>
      </c>
      <c r="P42" s="239" t="e">
        <f t="array" ref="P42">IFERROR(MROUND(INDEX(df_proj!$E$2:$AD$1000, MATCH(1, ($A$2 = df_proj!$A$2:$A$1000) * (df_proj!$B$2:$B$1000 = "Total") * (df_proj!$C$2:$C$1000 = $B42), 0), MATCH(TEXT(P$34, "####"), df_proj!$E$1:$AD$1,0)),5),MROUND($M$35/$M$11 * P18,5))</f>
        <v>#N/A</v>
      </c>
      <c r="Q42" s="239" t="e">
        <f t="array" ref="Q42">IFERROR(MROUND(INDEX(df_proj!$E$2:$AD$1000, MATCH(1, ($A$2 = df_proj!$A$2:$A$1000) * (df_proj!$B$2:$B$1000 = "Total") * (df_proj!$C$2:$C$1000 = $B42), 0), MATCH(TEXT(Q$34, "####"), df_proj!$E$1:$AD$1,0)),5),MROUND($M$35/$M$11 * Q18,5))</f>
        <v>#N/A</v>
      </c>
      <c r="R42" s="239" t="e">
        <f t="array" ref="R42">IFERROR(MROUND(INDEX(df_proj!$E$2:$AD$1000, MATCH(1, ($A$2 = df_proj!$A$2:$A$1000) * (df_proj!$B$2:$B$1000 = "Total") * (df_proj!$C$2:$C$1000 = $B42), 0), MATCH(TEXT(R$34, "####"), df_proj!$E$1:$AD$1,0)),5),MROUND($M$35/$M$11 * R18,5))</f>
        <v>#N/A</v>
      </c>
      <c r="S42" s="239" t="e">
        <f t="array" ref="S42">IFERROR(MROUND(INDEX(df_proj!$E$2:$AD$1000, MATCH(1, ($A$2 = df_proj!$A$2:$A$1000) * (df_proj!$B$2:$B$1000 = "Total") * (df_proj!$C$2:$C$1000 = $B42), 0), MATCH(TEXT(S$34, "####"), df_proj!$E$1:$AD$1,0)),5),MROUND($M$35/$M$11 * S18,5))</f>
        <v>#N/A</v>
      </c>
      <c r="T42" s="239" t="e">
        <f t="array" ref="T42">IFERROR(MROUND(INDEX(df_proj!$E$2:$AD$1000, MATCH(1, ($A$2 = df_proj!$A$2:$A$1000) * (df_proj!$B$2:$B$1000 = "Total") * (df_proj!$C$2:$C$1000 = $B42), 0), MATCH(TEXT(T$34, "####"), df_proj!$E$1:$AD$1,0)),5),MROUND($M$35/$M$11 * T18,5))</f>
        <v>#N/A</v>
      </c>
      <c r="U42" s="239" t="e">
        <f t="array" ref="U42">IFERROR(MROUND(INDEX(df_proj!$E$2:$AD$1000, MATCH(1, ($A$2 = df_proj!$A$2:$A$1000) * (df_proj!$B$2:$B$1000 = "Total") * (df_proj!$C$2:$C$1000 = $B42), 0), MATCH(TEXT(U$34, "####"), df_proj!$E$1:$AD$1,0)),5),MROUND($M$35/$M$11 * U18,5))</f>
        <v>#N/A</v>
      </c>
      <c r="V42" s="239" t="e">
        <f t="array" ref="V42">IFERROR(MROUND(INDEX(df_proj!$E$2:$AD$1000, MATCH(1, ($A$2 = df_proj!$A$2:$A$1000) * (df_proj!$B$2:$B$1000 = "Total") * (df_proj!$C$2:$C$1000 = $B42), 0), MATCH(TEXT(V$34, "####"), df_proj!$E$1:$AD$1,0)),5),MROUND($M$35/$M$11 * V18,5))</f>
        <v>#N/A</v>
      </c>
      <c r="W42" s="552" t="e">
        <f t="array" ref="W42">IFERROR(MROUND(INDEX(df_proj!$E$2:$AD$1000, MATCH(1, ($A$2 = df_proj!$A$2:$A$1000) * (df_proj!$B$2:$B$1000 = "Total") * (df_proj!$C$2:$C$1000 = $B42), 0), MATCH(TEXT(W$34, "####"), df_proj!$E$1:$AD$1,0)),5),MROUND($M$35/$M$11 * W18,5))</f>
        <v>#N/A</v>
      </c>
    </row>
    <row r="43" spans="1:23" ht="20.100000000000001" customHeight="1" x14ac:dyDescent="0.2">
      <c r="A43" s="1"/>
      <c r="B43" s="496" t="s">
        <v>115</v>
      </c>
      <c r="C43" s="582"/>
      <c r="D43" s="583"/>
      <c r="E43" s="583"/>
      <c r="F43" s="583"/>
      <c r="G43" s="583"/>
      <c r="H43" s="583"/>
      <c r="I43" s="583"/>
      <c r="J43" s="583"/>
      <c r="K43" s="583"/>
      <c r="L43" s="583"/>
      <c r="M43" s="559" t="e">
        <f t="array" ref="M43">IFERROR(MROUND(INDEX(df_proj!$E$2:$AD$1000, MATCH(1, ($A$2 = df_proj!$A$2:$A$1000) * (df_proj!$B$2:$B$1000 = "Total") * (df_proj!$C$2:$C$1000 = $B43), 0), MATCH(TEXT(M$34, "####"), df_proj!$E$1:$AD$1,0)),5),MROUND($M$35/$M$11 * M19,5))</f>
        <v>#N/A</v>
      </c>
      <c r="N43" s="553" t="e">
        <f t="array" ref="N43">IFERROR(MROUND(INDEX(df_proj!$E$2:$AD$1000, MATCH(1, ($A$2 = df_proj!$A$2:$A$1000) * (df_proj!$B$2:$B$1000 = "Total") * (df_proj!$C$2:$C$1000 = $B43), 0), MATCH(TEXT(N$34, "####"), df_proj!$E$1:$AD$1,0)),5),MROUND($M$35/$M$11 * N19,5))</f>
        <v>#N/A</v>
      </c>
      <c r="O43" s="553" t="e">
        <f t="array" ref="O43">IFERROR(MROUND(INDEX(df_proj!$E$2:$AD$1000, MATCH(1, ($A$2 = df_proj!$A$2:$A$1000) * (df_proj!$B$2:$B$1000 = "Total") * (df_proj!$C$2:$C$1000 = $B43), 0), MATCH(TEXT(O$34, "####"), df_proj!$E$1:$AD$1,0)),5),MROUND($M$35/$M$11 * O19,5))</f>
        <v>#N/A</v>
      </c>
      <c r="P43" s="553" t="e">
        <f t="array" ref="P43">IFERROR(MROUND(INDEX(df_proj!$E$2:$AD$1000, MATCH(1, ($A$2 = df_proj!$A$2:$A$1000) * (df_proj!$B$2:$B$1000 = "Total") * (df_proj!$C$2:$C$1000 = $B43), 0), MATCH(TEXT(P$34, "####"), df_proj!$E$1:$AD$1,0)),5),MROUND($M$35/$M$11 * P19,5))</f>
        <v>#N/A</v>
      </c>
      <c r="Q43" s="553" t="e">
        <f t="array" ref="Q43">IFERROR(MROUND(INDEX(df_proj!$E$2:$AD$1000, MATCH(1, ($A$2 = df_proj!$A$2:$A$1000) * (df_proj!$B$2:$B$1000 = "Total") * (df_proj!$C$2:$C$1000 = $B43), 0), MATCH(TEXT(Q$34, "####"), df_proj!$E$1:$AD$1,0)),5),MROUND($M$35/$M$11 * Q19,5))</f>
        <v>#N/A</v>
      </c>
      <c r="R43" s="553" t="e">
        <f t="array" ref="R43">IFERROR(MROUND(INDEX(df_proj!$E$2:$AD$1000, MATCH(1, ($A$2 = df_proj!$A$2:$A$1000) * (df_proj!$B$2:$B$1000 = "Total") * (df_proj!$C$2:$C$1000 = $B43), 0), MATCH(TEXT(R$34, "####"), df_proj!$E$1:$AD$1,0)),5),MROUND($M$35/$M$11 * R19,5))</f>
        <v>#N/A</v>
      </c>
      <c r="S43" s="553" t="e">
        <f t="array" ref="S43">IFERROR(MROUND(INDEX(df_proj!$E$2:$AD$1000, MATCH(1, ($A$2 = df_proj!$A$2:$A$1000) * (df_proj!$B$2:$B$1000 = "Total") * (df_proj!$C$2:$C$1000 = $B43), 0), MATCH(TEXT(S$34, "####"), df_proj!$E$1:$AD$1,0)),5),MROUND($M$35/$M$11 * S19,5))</f>
        <v>#N/A</v>
      </c>
      <c r="T43" s="553" t="e">
        <f t="array" ref="T43">IFERROR(MROUND(INDEX(df_proj!$E$2:$AD$1000, MATCH(1, ($A$2 = df_proj!$A$2:$A$1000) * (df_proj!$B$2:$B$1000 = "Total") * (df_proj!$C$2:$C$1000 = $B43), 0), MATCH(TEXT(T$34, "####"), df_proj!$E$1:$AD$1,0)),5),MROUND($M$35/$M$11 * T19,5))</f>
        <v>#N/A</v>
      </c>
      <c r="U43" s="553" t="e">
        <f t="array" ref="U43">IFERROR(MROUND(INDEX(df_proj!$E$2:$AD$1000, MATCH(1, ($A$2 = df_proj!$A$2:$A$1000) * (df_proj!$B$2:$B$1000 = "Total") * (df_proj!$C$2:$C$1000 = $B43), 0), MATCH(TEXT(U$34, "####"), df_proj!$E$1:$AD$1,0)),5),MROUND($M$35/$M$11 * U19,5))</f>
        <v>#N/A</v>
      </c>
      <c r="V43" s="553" t="e">
        <f t="array" ref="V43">IFERROR(MROUND(INDEX(df_proj!$E$2:$AD$1000, MATCH(1, ($A$2 = df_proj!$A$2:$A$1000) * (df_proj!$B$2:$B$1000 = "Total") * (df_proj!$C$2:$C$1000 = $B43), 0), MATCH(TEXT(V$34, "####"), df_proj!$E$1:$AD$1,0)),5),MROUND($M$35/$M$11 * V19,5))</f>
        <v>#N/A</v>
      </c>
      <c r="W43" s="554" t="e">
        <f t="array" ref="W43">IFERROR(MROUND(INDEX(df_proj!$E$2:$AD$1000, MATCH(1, ($A$2 = df_proj!$A$2:$A$1000) * (df_proj!$B$2:$B$1000 = "Total") * (df_proj!$C$2:$C$1000 = $B43), 0), MATCH(TEXT(W$34, "####"), df_proj!$E$1:$AD$1,0)),5),MROUND($M$35/$M$11 * W19,5))</f>
        <v>#N/A</v>
      </c>
    </row>
    <row r="44" spans="1:23" ht="20.100000000000001" customHeight="1" x14ac:dyDescent="0.2">
      <c r="A44" s="1"/>
      <c r="B44" s="496" t="s">
        <v>116</v>
      </c>
      <c r="C44" s="582"/>
      <c r="D44" s="583"/>
      <c r="E44" s="583"/>
      <c r="F44" s="583"/>
      <c r="G44" s="583"/>
      <c r="H44" s="583"/>
      <c r="I44" s="583"/>
      <c r="J44" s="583"/>
      <c r="K44" s="583"/>
      <c r="L44" s="583"/>
      <c r="M44" s="1244" t="s">
        <v>1403</v>
      </c>
      <c r="N44" s="1245"/>
      <c r="O44" s="1245"/>
      <c r="P44" s="1245"/>
      <c r="Q44" s="1245"/>
      <c r="R44" s="1245"/>
      <c r="S44" s="1245"/>
      <c r="T44" s="1245"/>
      <c r="U44" s="1245"/>
      <c r="V44" s="1245"/>
      <c r="W44" s="1246"/>
    </row>
    <row r="45" spans="1:23" ht="20.100000000000001" customHeight="1" x14ac:dyDescent="0.2">
      <c r="A45" s="1"/>
      <c r="B45" s="497" t="s">
        <v>117</v>
      </c>
      <c r="C45" s="584"/>
      <c r="D45" s="585"/>
      <c r="E45" s="585"/>
      <c r="F45" s="585"/>
      <c r="G45" s="585"/>
      <c r="H45" s="585"/>
      <c r="I45" s="585"/>
      <c r="J45" s="585"/>
      <c r="K45" s="585"/>
      <c r="L45" s="585"/>
      <c r="M45" s="1247"/>
      <c r="N45" s="1248"/>
      <c r="O45" s="1248"/>
      <c r="P45" s="1248"/>
      <c r="Q45" s="1248"/>
      <c r="R45" s="1248"/>
      <c r="S45" s="1248"/>
      <c r="T45" s="1248"/>
      <c r="U45" s="1248"/>
      <c r="V45" s="1248"/>
      <c r="W45" s="1249"/>
    </row>
    <row r="46" spans="1:23" ht="20.100000000000001" customHeight="1" x14ac:dyDescent="0.2">
      <c r="A46" s="1"/>
      <c r="B46" s="2"/>
      <c r="C46" s="1"/>
      <c r="D46" s="1"/>
      <c r="E46" s="1"/>
      <c r="F46" s="1"/>
      <c r="G46" s="1"/>
      <c r="H46" s="1"/>
      <c r="I46" s="1"/>
      <c r="J46" s="1"/>
      <c r="K46" s="1"/>
      <c r="L46" s="1"/>
      <c r="M46" s="1"/>
      <c r="N46" s="1"/>
      <c r="O46" s="1"/>
      <c r="P46" s="1"/>
      <c r="Q46" s="1"/>
      <c r="R46" s="1"/>
      <c r="S46" s="1"/>
      <c r="T46" s="1"/>
      <c r="U46" s="1"/>
      <c r="V46" s="1"/>
    </row>
    <row r="47" spans="1:23" ht="20.100000000000001" customHeight="1" x14ac:dyDescent="0.2">
      <c r="A47" s="1"/>
      <c r="B47" s="1240" t="s">
        <v>826</v>
      </c>
      <c r="C47" s="1240"/>
      <c r="D47" s="1240"/>
      <c r="E47" s="1240"/>
      <c r="F47" s="1240"/>
      <c r="G47" s="1240"/>
      <c r="H47" s="1240"/>
      <c r="I47" s="1240"/>
      <c r="J47" s="1240"/>
      <c r="K47" s="1240"/>
      <c r="L47" s="1240"/>
      <c r="M47" s="1240"/>
      <c r="N47" s="1240"/>
      <c r="O47" s="1240"/>
      <c r="P47" s="1240"/>
      <c r="Q47" s="1240"/>
      <c r="R47" s="1240"/>
      <c r="S47" s="1240"/>
      <c r="T47" s="1240"/>
      <c r="U47" s="1240"/>
      <c r="V47" s="1240"/>
      <c r="W47" s="1240"/>
    </row>
    <row r="48" spans="1:23" ht="20.100000000000001" customHeight="1" x14ac:dyDescent="0.2">
      <c r="A48" s="1"/>
      <c r="B48" s="1"/>
      <c r="C48" s="1"/>
      <c r="D48" s="1"/>
      <c r="E48" s="1"/>
      <c r="F48" s="1"/>
      <c r="G48" s="1"/>
      <c r="H48" s="1"/>
      <c r="I48" s="1"/>
      <c r="J48" s="1"/>
      <c r="K48" s="1"/>
      <c r="L48" s="1"/>
      <c r="M48" s="1"/>
      <c r="N48" s="1"/>
      <c r="O48" s="1"/>
      <c r="P48" s="1"/>
      <c r="Q48" s="1"/>
      <c r="R48" s="1"/>
      <c r="S48" s="1"/>
      <c r="T48" s="1"/>
      <c r="U48" s="1"/>
      <c r="V48" s="1"/>
    </row>
    <row r="49" spans="1:23" ht="20.100000000000001" customHeight="1" x14ac:dyDescent="0.2">
      <c r="A49" s="1"/>
      <c r="B49" s="500" t="s">
        <v>7</v>
      </c>
      <c r="C49" s="206">
        <v>2015</v>
      </c>
      <c r="D49" s="563">
        <v>2016</v>
      </c>
      <c r="E49" s="563">
        <v>2017</v>
      </c>
      <c r="F49" s="563">
        <v>2018</v>
      </c>
      <c r="G49" s="563">
        <v>2019</v>
      </c>
      <c r="H49" s="563">
        <v>2020</v>
      </c>
      <c r="I49" s="563">
        <v>2021</v>
      </c>
      <c r="J49" s="563">
        <v>2022</v>
      </c>
      <c r="K49" s="563">
        <v>2023</v>
      </c>
      <c r="L49" s="563">
        <v>2024</v>
      </c>
      <c r="M49" s="563">
        <v>2025</v>
      </c>
      <c r="N49" s="563">
        <v>2026</v>
      </c>
      <c r="O49" s="563">
        <v>2027</v>
      </c>
      <c r="P49" s="563">
        <v>2028</v>
      </c>
      <c r="Q49" s="563">
        <v>2029</v>
      </c>
      <c r="R49" s="563">
        <v>2030</v>
      </c>
      <c r="S49" s="563">
        <v>2031</v>
      </c>
      <c r="T49" s="563">
        <v>2032</v>
      </c>
      <c r="U49" s="563">
        <v>2033</v>
      </c>
      <c r="V49" s="563">
        <v>2034</v>
      </c>
      <c r="W49" s="562">
        <v>2035</v>
      </c>
    </row>
    <row r="50" spans="1:23" ht="20.100000000000001" customHeight="1" x14ac:dyDescent="0.2">
      <c r="A50" s="1"/>
      <c r="B50" s="500" t="s">
        <v>253</v>
      </c>
      <c r="C50" s="564" t="e">
        <f>C35</f>
        <v>#N/A</v>
      </c>
      <c r="D50" s="565" t="e">
        <f t="shared" ref="D50:M50" si="5">D35</f>
        <v>#N/A</v>
      </c>
      <c r="E50" s="565" t="e">
        <f t="shared" si="5"/>
        <v>#N/A</v>
      </c>
      <c r="F50" s="565" t="e">
        <f t="shared" si="5"/>
        <v>#N/A</v>
      </c>
      <c r="G50" s="565" t="e">
        <f t="shared" si="5"/>
        <v>#N/A</v>
      </c>
      <c r="H50" s="565" t="e">
        <f t="shared" si="5"/>
        <v>#N/A</v>
      </c>
      <c r="I50" s="565" t="e">
        <f t="shared" si="5"/>
        <v>#N/A</v>
      </c>
      <c r="J50" s="565" t="e">
        <f t="shared" si="5"/>
        <v>#N/A</v>
      </c>
      <c r="K50" s="565" t="e">
        <f t="shared" si="5"/>
        <v>#N/A</v>
      </c>
      <c r="L50" s="565" t="e">
        <f t="shared" si="5"/>
        <v>#N/A</v>
      </c>
      <c r="M50" s="565" t="e">
        <f t="shared" si="5"/>
        <v>#N/A</v>
      </c>
      <c r="N50" s="586"/>
      <c r="O50" s="586"/>
      <c r="P50" s="586"/>
      <c r="Q50" s="586"/>
      <c r="R50" s="586"/>
      <c r="S50" s="586"/>
      <c r="T50" s="586"/>
      <c r="U50" s="586"/>
      <c r="V50" s="586"/>
      <c r="W50" s="587"/>
    </row>
    <row r="51" spans="1:23" ht="20.100000000000001" customHeight="1" x14ac:dyDescent="0.2">
      <c r="A51" s="1"/>
      <c r="B51" s="495" t="s">
        <v>254</v>
      </c>
      <c r="C51" s="577"/>
      <c r="D51" s="574"/>
      <c r="E51" s="574"/>
      <c r="F51" s="574"/>
      <c r="G51" s="574"/>
      <c r="H51" s="574"/>
      <c r="I51" s="574"/>
      <c r="J51" s="574"/>
      <c r="K51" s="574"/>
      <c r="L51" s="574"/>
      <c r="M51" s="557" t="e">
        <f>MIN(M36:M43)</f>
        <v>#N/A</v>
      </c>
      <c r="N51" s="555" t="e">
        <f t="shared" ref="N51:W51" si="6">MIN(N36:N43)</f>
        <v>#N/A</v>
      </c>
      <c r="O51" s="555" t="e">
        <f t="shared" si="6"/>
        <v>#N/A</v>
      </c>
      <c r="P51" s="555" t="e">
        <f t="shared" si="6"/>
        <v>#N/A</v>
      </c>
      <c r="Q51" s="555" t="e">
        <f t="shared" si="6"/>
        <v>#N/A</v>
      </c>
      <c r="R51" s="555" t="e">
        <f t="shared" si="6"/>
        <v>#N/A</v>
      </c>
      <c r="S51" s="555" t="e">
        <f t="shared" si="6"/>
        <v>#N/A</v>
      </c>
      <c r="T51" s="555" t="e">
        <f t="shared" si="6"/>
        <v>#N/A</v>
      </c>
      <c r="U51" s="555" t="e">
        <f t="shared" si="6"/>
        <v>#N/A</v>
      </c>
      <c r="V51" s="555" t="e">
        <f t="shared" si="6"/>
        <v>#N/A</v>
      </c>
      <c r="W51" s="556" t="e">
        <f t="shared" si="6"/>
        <v>#N/A</v>
      </c>
    </row>
    <row r="52" spans="1:23" ht="20.100000000000001" customHeight="1" x14ac:dyDescent="0.2">
      <c r="A52" s="1"/>
      <c r="B52" s="496" t="s">
        <v>254</v>
      </c>
      <c r="C52" s="578"/>
      <c r="D52" s="575"/>
      <c r="E52" s="575"/>
      <c r="F52" s="575"/>
      <c r="G52" s="575"/>
      <c r="H52" s="575"/>
      <c r="I52" s="575"/>
      <c r="J52" s="575"/>
      <c r="K52" s="575"/>
      <c r="L52" s="575"/>
      <c r="M52" s="558" t="e">
        <f>MIN(M36:M43)</f>
        <v>#N/A</v>
      </c>
      <c r="N52" s="239" t="e">
        <f t="shared" ref="N52:W52" si="7">MIN(N36:N43)</f>
        <v>#N/A</v>
      </c>
      <c r="O52" s="239" t="e">
        <f t="shared" si="7"/>
        <v>#N/A</v>
      </c>
      <c r="P52" s="239" t="e">
        <f t="shared" si="7"/>
        <v>#N/A</v>
      </c>
      <c r="Q52" s="239" t="e">
        <f t="shared" si="7"/>
        <v>#N/A</v>
      </c>
      <c r="R52" s="239" t="e">
        <f t="shared" si="7"/>
        <v>#N/A</v>
      </c>
      <c r="S52" s="239" t="e">
        <f t="shared" si="7"/>
        <v>#N/A</v>
      </c>
      <c r="T52" s="239" t="e">
        <f t="shared" si="7"/>
        <v>#N/A</v>
      </c>
      <c r="U52" s="239" t="e">
        <f t="shared" si="7"/>
        <v>#N/A</v>
      </c>
      <c r="V52" s="239" t="e">
        <f t="shared" si="7"/>
        <v>#N/A</v>
      </c>
      <c r="W52" s="552" t="e">
        <f t="shared" si="7"/>
        <v>#N/A</v>
      </c>
    </row>
    <row r="53" spans="1:23" ht="20.100000000000001" customHeight="1" x14ac:dyDescent="0.2">
      <c r="A53" s="1"/>
      <c r="B53" s="496" t="s">
        <v>255</v>
      </c>
      <c r="C53" s="578"/>
      <c r="D53" s="575"/>
      <c r="E53" s="575"/>
      <c r="F53" s="575"/>
      <c r="G53" s="575"/>
      <c r="H53" s="575"/>
      <c r="I53" s="575"/>
      <c r="J53" s="575"/>
      <c r="K53" s="575"/>
      <c r="L53" s="575"/>
      <c r="M53" s="558" t="e">
        <f>MAX(M36:M43)</f>
        <v>#N/A</v>
      </c>
      <c r="N53" s="239" t="e">
        <f t="shared" ref="N53:W53" si="8">MAX(N36:N43)</f>
        <v>#N/A</v>
      </c>
      <c r="O53" s="239" t="e">
        <f t="shared" si="8"/>
        <v>#N/A</v>
      </c>
      <c r="P53" s="239" t="e">
        <f t="shared" si="8"/>
        <v>#N/A</v>
      </c>
      <c r="Q53" s="239" t="e">
        <f t="shared" si="8"/>
        <v>#N/A</v>
      </c>
      <c r="R53" s="239" t="e">
        <f t="shared" si="8"/>
        <v>#N/A</v>
      </c>
      <c r="S53" s="239" t="e">
        <f t="shared" si="8"/>
        <v>#N/A</v>
      </c>
      <c r="T53" s="239" t="e">
        <f t="shared" si="8"/>
        <v>#N/A</v>
      </c>
      <c r="U53" s="239" t="e">
        <f t="shared" si="8"/>
        <v>#N/A</v>
      </c>
      <c r="V53" s="239" t="e">
        <f t="shared" si="8"/>
        <v>#N/A</v>
      </c>
      <c r="W53" s="552" t="e">
        <f t="shared" si="8"/>
        <v>#N/A</v>
      </c>
    </row>
    <row r="54" spans="1:23" ht="20.100000000000001" customHeight="1" x14ac:dyDescent="0.2">
      <c r="A54" s="1"/>
      <c r="B54" s="497" t="s">
        <v>256</v>
      </c>
      <c r="C54" s="579"/>
      <c r="D54" s="576"/>
      <c r="E54" s="576"/>
      <c r="F54" s="576"/>
      <c r="G54" s="576"/>
      <c r="H54" s="576"/>
      <c r="I54" s="576"/>
      <c r="J54" s="576"/>
      <c r="K54" s="576"/>
      <c r="L54" s="576"/>
      <c r="M54" s="559" t="e">
        <f>M53-M51</f>
        <v>#N/A</v>
      </c>
      <c r="N54" s="553" t="e">
        <f t="shared" ref="N54:W54" si="9">N53-N51</f>
        <v>#N/A</v>
      </c>
      <c r="O54" s="553" t="e">
        <f t="shared" si="9"/>
        <v>#N/A</v>
      </c>
      <c r="P54" s="553" t="e">
        <f t="shared" si="9"/>
        <v>#N/A</v>
      </c>
      <c r="Q54" s="553" t="e">
        <f t="shared" si="9"/>
        <v>#N/A</v>
      </c>
      <c r="R54" s="553" t="e">
        <f t="shared" si="9"/>
        <v>#N/A</v>
      </c>
      <c r="S54" s="553" t="e">
        <f t="shared" si="9"/>
        <v>#N/A</v>
      </c>
      <c r="T54" s="553" t="e">
        <f t="shared" si="9"/>
        <v>#N/A</v>
      </c>
      <c r="U54" s="553" t="e">
        <f t="shared" si="9"/>
        <v>#N/A</v>
      </c>
      <c r="V54" s="553" t="e">
        <f t="shared" si="9"/>
        <v>#N/A</v>
      </c>
      <c r="W54" s="554" t="e">
        <f t="shared" si="9"/>
        <v>#N/A</v>
      </c>
    </row>
    <row r="55" spans="1:23" ht="20.100000000000001" customHeight="1" x14ac:dyDescent="0.2">
      <c r="A55" s="1"/>
      <c r="B55" s="2"/>
      <c r="C55" s="1"/>
      <c r="D55" s="1"/>
      <c r="E55" s="1"/>
      <c r="F55" s="1"/>
      <c r="G55" s="1"/>
      <c r="H55" s="1"/>
      <c r="I55" s="1"/>
      <c r="J55" s="1"/>
      <c r="K55" s="1"/>
      <c r="L55" s="1"/>
      <c r="M55" s="1"/>
      <c r="N55" s="1"/>
      <c r="O55" s="1"/>
      <c r="P55" s="1"/>
      <c r="Q55" s="1"/>
      <c r="R55" s="1"/>
      <c r="S55" s="1"/>
      <c r="T55" s="1"/>
      <c r="U55" s="1"/>
      <c r="V55" s="1"/>
    </row>
    <row r="56" spans="1:23" ht="30" customHeight="1" x14ac:dyDescent="0.2">
      <c r="A56" s="560"/>
      <c r="B56" s="175" t="s">
        <v>1217</v>
      </c>
      <c r="C56" s="310"/>
      <c r="D56" s="310"/>
      <c r="E56" s="310"/>
      <c r="F56" s="310"/>
      <c r="G56" s="310"/>
      <c r="H56" s="310"/>
      <c r="I56" s="310"/>
      <c r="J56" s="310"/>
      <c r="K56" s="310"/>
      <c r="L56" s="310"/>
      <c r="M56" s="310"/>
      <c r="N56" s="310"/>
      <c r="O56" s="310"/>
      <c r="P56" s="310"/>
      <c r="Q56" s="310"/>
      <c r="R56" s="310"/>
      <c r="S56" s="310"/>
      <c r="T56" s="310"/>
      <c r="U56" s="310"/>
      <c r="V56" s="310"/>
      <c r="W56" s="310"/>
    </row>
    <row r="57" spans="1:23" ht="20.100000000000001" customHeight="1" x14ac:dyDescent="0.2">
      <c r="A57" s="1"/>
      <c r="B57" s="2"/>
      <c r="C57" s="1"/>
      <c r="D57" s="1"/>
      <c r="E57" s="1"/>
      <c r="F57" s="1"/>
      <c r="G57" s="1"/>
      <c r="H57" s="1"/>
      <c r="I57" s="1"/>
      <c r="J57" s="1"/>
      <c r="K57" s="1"/>
      <c r="L57" s="1"/>
      <c r="M57" s="1"/>
      <c r="N57" s="1"/>
      <c r="O57" s="1"/>
      <c r="P57" s="1"/>
      <c r="Q57" s="1"/>
      <c r="R57" s="1"/>
      <c r="S57" s="1"/>
      <c r="T57" s="1"/>
      <c r="U57" s="1"/>
      <c r="V57" s="1"/>
    </row>
    <row r="58" spans="1:23" ht="20.100000000000001" customHeight="1" x14ac:dyDescent="0.2">
      <c r="A58" s="1"/>
      <c r="B58" s="1243" t="s">
        <v>1266</v>
      </c>
      <c r="C58" s="1243"/>
      <c r="D58" s="1243"/>
      <c r="E58" s="1243"/>
      <c r="F58" s="1243"/>
      <c r="G58" s="1243"/>
      <c r="H58" s="1243"/>
      <c r="I58" s="1"/>
      <c r="J58" s="1"/>
      <c r="K58" s="1"/>
      <c r="L58" s="1"/>
      <c r="M58" s="1"/>
      <c r="N58" s="1"/>
      <c r="O58" s="1"/>
      <c r="P58" s="1"/>
      <c r="Q58" s="1"/>
      <c r="R58" s="1"/>
      <c r="S58" s="1"/>
      <c r="T58" s="1"/>
      <c r="U58" s="1"/>
      <c r="V58" s="1"/>
    </row>
    <row r="59" spans="1:23" ht="20.100000000000001" customHeight="1" x14ac:dyDescent="0.2">
      <c r="A59" s="1"/>
      <c r="B59" s="2"/>
      <c r="C59" s="1"/>
      <c r="D59" s="1"/>
      <c r="E59" s="1"/>
      <c r="F59" s="1"/>
      <c r="G59" s="1"/>
      <c r="H59" s="1"/>
      <c r="I59" s="1"/>
      <c r="J59" s="1"/>
      <c r="K59" s="1"/>
      <c r="L59" s="1"/>
      <c r="M59" s="1"/>
      <c r="N59" s="1"/>
      <c r="O59" s="1"/>
      <c r="P59" s="1"/>
      <c r="Q59" s="1"/>
      <c r="R59" s="1"/>
      <c r="S59" s="1"/>
      <c r="T59" s="1"/>
      <c r="U59" s="1"/>
      <c r="V59" s="1"/>
    </row>
    <row r="60" spans="1:23" ht="20.100000000000001" customHeight="1" x14ac:dyDescent="0.2">
      <c r="A60" s="1"/>
      <c r="B60" s="2"/>
      <c r="C60" s="1"/>
      <c r="D60" s="1"/>
      <c r="E60" s="1"/>
      <c r="F60" s="1"/>
      <c r="G60" s="1"/>
      <c r="H60" s="1"/>
      <c r="I60" s="299" t="s">
        <v>342</v>
      </c>
      <c r="J60" s="1"/>
      <c r="K60" s="1"/>
      <c r="L60" s="1"/>
      <c r="M60" s="1"/>
      <c r="N60" s="1"/>
      <c r="O60" s="1"/>
      <c r="P60" s="1"/>
      <c r="Q60" s="1"/>
      <c r="R60" s="1"/>
      <c r="S60" s="1"/>
      <c r="T60" s="1"/>
      <c r="U60" s="1"/>
      <c r="V60" s="1"/>
    </row>
    <row r="61" spans="1:23" ht="20.100000000000001" customHeight="1" x14ac:dyDescent="0.2">
      <c r="A61" s="1"/>
      <c r="B61" s="2"/>
      <c r="C61" s="1"/>
      <c r="D61" s="1"/>
      <c r="E61" s="1"/>
      <c r="F61" s="1"/>
      <c r="G61" s="1"/>
      <c r="H61" s="1"/>
      <c r="I61" s="299" t="s">
        <v>342</v>
      </c>
      <c r="J61" s="1"/>
      <c r="K61" s="1"/>
      <c r="L61" s="1"/>
      <c r="M61" s="1"/>
      <c r="N61" s="1"/>
      <c r="O61" s="1"/>
      <c r="P61" s="1"/>
      <c r="Q61" s="1"/>
      <c r="R61" s="1"/>
      <c r="S61" s="1"/>
      <c r="T61" s="1"/>
      <c r="U61" s="1"/>
      <c r="V61" s="1"/>
    </row>
    <row r="62" spans="1:23" ht="20.100000000000001" customHeight="1" x14ac:dyDescent="0.2">
      <c r="A62" s="1"/>
      <c r="B62" s="2"/>
      <c r="C62" s="1"/>
      <c r="D62" s="1"/>
      <c r="E62" s="1"/>
      <c r="F62" s="1"/>
      <c r="G62" s="1"/>
      <c r="H62" s="1"/>
      <c r="I62" s="299" t="s">
        <v>342</v>
      </c>
      <c r="J62" s="1"/>
      <c r="K62" s="1"/>
      <c r="L62" s="1"/>
      <c r="M62" s="1"/>
      <c r="N62" s="1"/>
      <c r="O62" s="1"/>
      <c r="P62" s="1"/>
      <c r="Q62" s="1"/>
      <c r="R62" s="1"/>
      <c r="S62" s="1"/>
      <c r="T62" s="1"/>
      <c r="U62" s="1"/>
      <c r="V62" s="1"/>
    </row>
    <row r="63" spans="1:23" ht="20.100000000000001" customHeight="1" x14ac:dyDescent="0.2">
      <c r="A63" s="1"/>
      <c r="B63" s="2"/>
      <c r="C63" s="1"/>
      <c r="D63" s="1"/>
      <c r="E63" s="1"/>
      <c r="F63" s="1"/>
      <c r="G63" s="1"/>
      <c r="H63" s="1"/>
      <c r="I63" s="299" t="s">
        <v>342</v>
      </c>
      <c r="J63" s="1"/>
      <c r="K63" s="1"/>
      <c r="L63" s="1"/>
      <c r="M63" s="1"/>
      <c r="N63" s="1"/>
      <c r="O63" s="1"/>
      <c r="P63" s="1"/>
      <c r="Q63" s="1"/>
      <c r="R63" s="1"/>
      <c r="S63" s="1"/>
      <c r="T63" s="1"/>
      <c r="U63" s="1"/>
      <c r="V63" s="1"/>
    </row>
    <row r="64" spans="1:23" ht="20.100000000000001" customHeight="1" x14ac:dyDescent="0.2">
      <c r="A64" s="1"/>
      <c r="B64" s="2"/>
      <c r="C64" s="1"/>
      <c r="D64" s="1"/>
      <c r="E64" s="1"/>
      <c r="F64" s="1"/>
      <c r="G64" s="1"/>
      <c r="H64" s="1"/>
      <c r="I64" s="299" t="s">
        <v>342</v>
      </c>
      <c r="J64" s="1"/>
      <c r="K64" s="1"/>
      <c r="L64" s="1"/>
      <c r="M64" s="1"/>
      <c r="N64" s="1"/>
      <c r="O64" s="1"/>
      <c r="P64" s="1"/>
      <c r="Q64" s="1"/>
      <c r="R64" s="1"/>
      <c r="S64" s="1"/>
      <c r="T64" s="1"/>
      <c r="U64" s="1"/>
      <c r="V64" s="1"/>
    </row>
    <row r="65" spans="1:22" ht="20.100000000000001" customHeight="1" x14ac:dyDescent="0.2">
      <c r="A65" s="1"/>
      <c r="B65" s="2"/>
      <c r="C65" s="1"/>
      <c r="D65" s="1"/>
      <c r="E65" s="1"/>
      <c r="F65" s="1"/>
      <c r="G65" s="1"/>
      <c r="H65" s="1"/>
      <c r="I65" s="299" t="s">
        <v>342</v>
      </c>
      <c r="J65" s="1"/>
      <c r="K65" s="1"/>
      <c r="L65" s="1"/>
      <c r="M65" s="1"/>
      <c r="N65" s="1"/>
      <c r="O65" s="1"/>
      <c r="P65" s="1"/>
      <c r="Q65" s="1"/>
      <c r="R65" s="1"/>
      <c r="S65" s="1"/>
      <c r="T65" s="1"/>
      <c r="U65" s="1"/>
      <c r="V65" s="1"/>
    </row>
    <row r="66" spans="1:22" ht="20.100000000000001" customHeight="1" x14ac:dyDescent="0.2">
      <c r="A66" s="1"/>
      <c r="B66" s="2"/>
      <c r="C66" s="1"/>
      <c r="D66" s="1"/>
      <c r="E66" s="1"/>
      <c r="F66" s="1"/>
      <c r="G66" s="1"/>
      <c r="H66" s="1"/>
      <c r="I66" s="299" t="s">
        <v>342</v>
      </c>
      <c r="J66" s="1"/>
      <c r="K66" s="1"/>
      <c r="L66" s="1"/>
      <c r="M66" s="1"/>
      <c r="N66" s="1"/>
      <c r="O66" s="1"/>
      <c r="P66" s="1"/>
      <c r="Q66" s="1"/>
      <c r="R66" s="1"/>
      <c r="S66" s="1"/>
      <c r="T66" s="1"/>
      <c r="U66" s="1"/>
      <c r="V66" s="1"/>
    </row>
    <row r="67" spans="1:22" ht="20.100000000000001" customHeight="1" x14ac:dyDescent="0.2">
      <c r="A67" s="1"/>
      <c r="B67" s="2"/>
      <c r="C67" s="1"/>
      <c r="D67" s="1"/>
      <c r="E67" s="1"/>
      <c r="F67" s="1"/>
      <c r="G67" s="1"/>
      <c r="H67" s="1"/>
      <c r="I67" s="299" t="s">
        <v>342</v>
      </c>
      <c r="J67" s="1"/>
      <c r="K67" s="1"/>
      <c r="L67" s="1"/>
      <c r="M67" s="1"/>
      <c r="N67" s="1"/>
      <c r="O67" s="1"/>
      <c r="P67" s="1"/>
      <c r="Q67" s="1"/>
      <c r="R67" s="1"/>
      <c r="S67" s="1"/>
      <c r="T67" s="1"/>
      <c r="U67" s="1"/>
      <c r="V67" s="1"/>
    </row>
    <row r="68" spans="1:22" ht="20.100000000000001" customHeight="1" x14ac:dyDescent="0.2">
      <c r="A68" s="1"/>
      <c r="B68" s="2"/>
      <c r="C68" s="1"/>
      <c r="D68" s="1"/>
      <c r="E68" s="1"/>
      <c r="F68" s="1"/>
      <c r="G68" s="1"/>
      <c r="H68" s="1"/>
      <c r="I68" s="299" t="s">
        <v>342</v>
      </c>
      <c r="J68" s="1"/>
      <c r="K68" s="1"/>
      <c r="L68" s="1"/>
      <c r="M68" s="1"/>
      <c r="N68" s="1"/>
      <c r="O68" s="1"/>
      <c r="P68" s="1"/>
      <c r="Q68" s="1"/>
      <c r="R68" s="1"/>
      <c r="S68" s="1"/>
      <c r="T68" s="1"/>
      <c r="U68" s="1"/>
      <c r="V68" s="1"/>
    </row>
    <row r="69" spans="1:22" ht="20.100000000000001" customHeight="1" x14ac:dyDescent="0.2">
      <c r="A69" s="1"/>
      <c r="B69" s="2"/>
      <c r="C69" s="1"/>
      <c r="D69" s="1"/>
      <c r="E69" s="1"/>
      <c r="F69" s="1"/>
      <c r="G69" s="1"/>
      <c r="H69" s="1"/>
      <c r="I69" s="299" t="s">
        <v>342</v>
      </c>
      <c r="J69" s="1"/>
      <c r="K69" s="1"/>
      <c r="L69" s="1"/>
      <c r="M69" s="1"/>
      <c r="N69" s="1"/>
      <c r="O69" s="1"/>
      <c r="P69" s="1"/>
      <c r="Q69" s="1"/>
      <c r="R69" s="1"/>
      <c r="S69" s="1"/>
      <c r="T69" s="1"/>
      <c r="U69" s="1"/>
      <c r="V69" s="1"/>
    </row>
    <row r="70" spans="1:22" ht="20.100000000000001" customHeight="1" x14ac:dyDescent="0.2">
      <c r="A70" s="1"/>
      <c r="B70" s="2"/>
      <c r="C70" s="1"/>
      <c r="D70" s="1"/>
      <c r="E70" s="1"/>
      <c r="F70" s="1"/>
      <c r="G70" s="1"/>
      <c r="H70" s="1"/>
      <c r="I70" s="299" t="s">
        <v>342</v>
      </c>
      <c r="J70" s="1"/>
      <c r="K70" s="1"/>
      <c r="L70" s="1"/>
      <c r="M70" s="1"/>
      <c r="N70" s="1"/>
      <c r="O70" s="1"/>
      <c r="P70" s="1"/>
      <c r="Q70" s="1"/>
      <c r="R70" s="1"/>
      <c r="S70" s="1"/>
      <c r="T70" s="1"/>
      <c r="U70" s="1"/>
      <c r="V70" s="1"/>
    </row>
    <row r="71" spans="1:22" ht="20.100000000000001" customHeight="1" x14ac:dyDescent="0.2">
      <c r="A71" s="1"/>
      <c r="B71" s="2"/>
      <c r="C71" s="1"/>
      <c r="D71" s="1"/>
      <c r="E71" s="1"/>
      <c r="F71" s="1"/>
      <c r="G71" s="1"/>
      <c r="H71" s="1"/>
      <c r="I71" s="1"/>
      <c r="J71" s="1"/>
      <c r="K71" s="1"/>
      <c r="L71" s="1"/>
      <c r="M71" s="1"/>
      <c r="N71" s="1"/>
      <c r="O71" s="1"/>
      <c r="P71" s="1"/>
      <c r="Q71" s="1"/>
      <c r="R71" s="1"/>
      <c r="S71" s="1"/>
      <c r="T71" s="1"/>
      <c r="U71" s="1"/>
      <c r="V71" s="1"/>
    </row>
    <row r="72" spans="1:22" ht="20.100000000000001" customHeight="1" x14ac:dyDescent="0.2">
      <c r="A72" s="1"/>
      <c r="B72" s="2"/>
      <c r="C72" s="1"/>
      <c r="D72" s="1"/>
      <c r="E72" s="1"/>
      <c r="F72" s="1"/>
      <c r="G72" s="1"/>
      <c r="H72" s="1"/>
      <c r="I72" s="1"/>
      <c r="J72" s="1"/>
      <c r="K72" s="1"/>
      <c r="L72" s="1"/>
      <c r="M72" s="1"/>
      <c r="N72" s="1"/>
      <c r="O72" s="1"/>
      <c r="P72" s="1"/>
      <c r="Q72" s="1"/>
      <c r="R72" s="1"/>
      <c r="S72" s="1"/>
      <c r="T72" s="1"/>
      <c r="U72" s="1"/>
      <c r="V72" s="1"/>
    </row>
    <row r="73" spans="1:22" ht="50.1" customHeight="1" x14ac:dyDescent="0.2">
      <c r="B73" s="159" t="s">
        <v>1278</v>
      </c>
      <c r="C73" s="59"/>
      <c r="D73" s="59"/>
      <c r="E73" s="59"/>
      <c r="F73" s="59"/>
      <c r="G73" s="59"/>
      <c r="H73" s="59"/>
      <c r="I73" s="59"/>
      <c r="J73" s="59"/>
      <c r="K73" s="59"/>
      <c r="L73" s="59"/>
      <c r="M73" s="59"/>
      <c r="N73" s="59"/>
      <c r="O73" s="59"/>
      <c r="P73" s="59"/>
      <c r="Q73" s="59"/>
      <c r="R73" s="59"/>
      <c r="S73" s="59"/>
      <c r="T73" s="59"/>
      <c r="U73" s="59"/>
    </row>
    <row r="74" spans="1:22" ht="20.100000000000001" customHeight="1" x14ac:dyDescent="0.2">
      <c r="A74" s="1"/>
      <c r="B74" s="2"/>
      <c r="C74" s="1"/>
      <c r="D74" s="1"/>
      <c r="E74" s="1"/>
      <c r="F74" s="1"/>
      <c r="G74" s="1"/>
      <c r="H74" s="1"/>
      <c r="I74" s="1"/>
      <c r="J74" s="1"/>
      <c r="K74" s="1"/>
      <c r="L74" s="1"/>
      <c r="M74" s="1"/>
      <c r="N74" s="1"/>
      <c r="O74" s="1"/>
      <c r="P74" s="1"/>
      <c r="Q74" s="1"/>
      <c r="R74" s="1"/>
      <c r="S74" s="1"/>
      <c r="T74" s="1"/>
      <c r="U74" s="1"/>
    </row>
    <row r="75" spans="1:22" ht="30" customHeight="1" x14ac:dyDescent="0.2">
      <c r="A75" s="560"/>
      <c r="B75" s="175" t="s">
        <v>1216</v>
      </c>
      <c r="C75" s="310"/>
      <c r="D75" s="310"/>
      <c r="E75" s="310"/>
      <c r="F75" s="310"/>
      <c r="G75" s="310"/>
      <c r="H75" s="310"/>
      <c r="I75" s="310"/>
      <c r="J75" s="310"/>
      <c r="K75" s="310"/>
      <c r="L75" s="310"/>
      <c r="M75" s="310"/>
      <c r="N75" s="310"/>
      <c r="O75" s="310"/>
      <c r="P75" s="310"/>
      <c r="Q75" s="310"/>
      <c r="R75" s="310"/>
      <c r="S75" s="310"/>
      <c r="T75" s="310"/>
      <c r="U75" s="310"/>
    </row>
    <row r="76" spans="1:22" ht="20.100000000000001" customHeight="1" x14ac:dyDescent="0.2">
      <c r="A76" s="1"/>
      <c r="B76" s="2"/>
      <c r="C76" s="1"/>
      <c r="D76" s="1"/>
      <c r="E76" s="1"/>
      <c r="F76" s="1"/>
      <c r="G76" s="1"/>
      <c r="H76" s="1"/>
      <c r="I76" s="1"/>
      <c r="J76" s="1"/>
      <c r="K76" s="1"/>
      <c r="L76" s="1"/>
      <c r="M76" s="1"/>
      <c r="N76" s="1"/>
      <c r="O76" s="1"/>
      <c r="P76" s="1"/>
      <c r="Q76" s="1"/>
      <c r="R76" s="1"/>
      <c r="S76" s="1"/>
      <c r="T76" s="1"/>
      <c r="U76" s="1"/>
      <c r="V76" s="1"/>
    </row>
    <row r="77" spans="1:22" ht="20.100000000000001" customHeight="1" x14ac:dyDescent="0.2">
      <c r="A77" s="1"/>
      <c r="B77" s="1240" t="e">
        <f>"Projection results by age for " &amp; D2</f>
        <v>#N/A</v>
      </c>
      <c r="C77" s="1240"/>
      <c r="D77" s="1240"/>
      <c r="E77" s="1240"/>
      <c r="F77" s="1240"/>
      <c r="G77" s="1240"/>
      <c r="H77" s="1240"/>
      <c r="I77" s="1"/>
      <c r="J77" s="1240" t="s">
        <v>259</v>
      </c>
      <c r="K77" s="1240"/>
      <c r="L77" s="1240"/>
      <c r="M77" s="1240"/>
      <c r="N77" s="1240"/>
      <c r="O77" s="1240"/>
      <c r="P77" s="1240"/>
      <c r="Q77" s="1"/>
      <c r="R77" s="1240" t="s">
        <v>260</v>
      </c>
      <c r="S77" s="1240"/>
      <c r="T77" s="1240"/>
      <c r="U77" s="1240"/>
      <c r="V77" s="1"/>
    </row>
    <row r="78" spans="1:22" ht="20.100000000000001" customHeight="1" x14ac:dyDescent="0.2">
      <c r="A78" s="1"/>
      <c r="B78" s="2"/>
      <c r="C78" s="1"/>
      <c r="D78" s="1"/>
      <c r="E78" s="1"/>
      <c r="F78" s="1"/>
      <c r="G78" s="1"/>
      <c r="H78" s="1"/>
      <c r="I78" s="1"/>
      <c r="J78" s="1"/>
      <c r="K78" s="1"/>
      <c r="L78" s="1"/>
      <c r="M78" s="1"/>
      <c r="N78" s="1"/>
      <c r="O78" s="1"/>
      <c r="P78" s="1"/>
      <c r="Q78" s="1"/>
      <c r="V78" s="1"/>
    </row>
    <row r="79" spans="1:22" ht="20.100000000000001" customHeight="1" x14ac:dyDescent="0.2">
      <c r="A79" s="1"/>
      <c r="B79" s="483"/>
      <c r="C79" s="1238" t="s">
        <v>181</v>
      </c>
      <c r="D79" s="1239"/>
      <c r="E79" s="1238" t="s">
        <v>182</v>
      </c>
      <c r="F79" s="1239"/>
      <c r="G79" s="1238" t="s">
        <v>183</v>
      </c>
      <c r="H79" s="1239"/>
      <c r="I79" s="1"/>
      <c r="J79" s="483"/>
      <c r="K79" s="1238" t="s">
        <v>181</v>
      </c>
      <c r="L79" s="1239"/>
      <c r="M79" s="1238" t="s">
        <v>182</v>
      </c>
      <c r="N79" s="1239"/>
      <c r="O79" s="1238" t="s">
        <v>183</v>
      </c>
      <c r="P79" s="1239"/>
      <c r="R79" s="487"/>
      <c r="S79" s="478" t="s">
        <v>181</v>
      </c>
      <c r="T79" s="480" t="s">
        <v>182</v>
      </c>
      <c r="U79" s="479" t="s">
        <v>183</v>
      </c>
      <c r="V79" s="1"/>
    </row>
    <row r="80" spans="1:22" ht="20.100000000000001" customHeight="1" x14ac:dyDescent="0.2">
      <c r="A80" s="1"/>
      <c r="B80" s="500" t="s">
        <v>107</v>
      </c>
      <c r="C80" s="206">
        <v>2025</v>
      </c>
      <c r="D80" s="562">
        <v>2035</v>
      </c>
      <c r="E80" s="206">
        <v>2025</v>
      </c>
      <c r="F80" s="562">
        <v>2035</v>
      </c>
      <c r="G80" s="206">
        <v>2025</v>
      </c>
      <c r="H80" s="562">
        <v>2035</v>
      </c>
      <c r="I80" s="1"/>
      <c r="J80" s="500" t="s">
        <v>107</v>
      </c>
      <c r="K80" s="206">
        <v>2025</v>
      </c>
      <c r="L80" s="562">
        <v>2035</v>
      </c>
      <c r="M80" s="206">
        <v>2025</v>
      </c>
      <c r="N80" s="562">
        <v>2035</v>
      </c>
      <c r="O80" s="206">
        <v>2025</v>
      </c>
      <c r="P80" s="562">
        <v>2035</v>
      </c>
      <c r="R80" s="483" t="s">
        <v>107</v>
      </c>
      <c r="S80" s="206">
        <v>2035</v>
      </c>
      <c r="T80" s="563">
        <v>2035</v>
      </c>
      <c r="U80" s="562">
        <v>2035</v>
      </c>
    </row>
    <row r="81" spans="1:21" ht="20.100000000000001" customHeight="1" x14ac:dyDescent="0.2">
      <c r="A81" s="299">
        <v>8</v>
      </c>
      <c r="B81" s="500" t="s">
        <v>6</v>
      </c>
      <c r="C81" s="564" t="e">
        <f t="array" ref="C81">IFERROR(MROUND(INDEX(df_proj!$E$2:$AD$1000, MATCH(1, ($A$2 = df_proj!$A$2:$A$1000) * (df_proj!$B$2:$B$1000 = $B81) * (df_proj!$C$2:$C$1000 = $D$2), 0), MATCH(TEXT(C$80, "####"), df_proj!$E$1:$AD$1,0)),5),M35)</f>
        <v>#N/A</v>
      </c>
      <c r="D81" s="566" t="e">
        <f t="array" ref="D81">IFERROR(MROUND(INDEX(df_proj!$E$2:$AD$1000, MATCH(1, ($A$2 = df_proj!$A$2:$A$1000) * (df_proj!$B$2:$B$1000 = $B81) * (df_proj!$C$2:$C$1000 = $D$2), 0), MATCH(TEXT(D$80, "####"), df_proj!$E$1:$AD$1,0)),5),MROUND(C81/E81*F81,5))</f>
        <v>#N/A</v>
      </c>
      <c r="E81" s="564" t="e">
        <f t="array" ref="E81">MROUND(INDEX(df_proj!$E$2:$AD$1000, MATCH(1, ($B$2 = df_proj!$A$2:$A$1000) * (df_proj!$B$2:$B$1000 = $B81) * (df_proj!$C$2:$C$1000 = $D$2), 0), MATCH(TEXT(E$80, "####"), df_proj!$E$1:$AD$1,0)),5)</f>
        <v>#N/A</v>
      </c>
      <c r="F81" s="566" t="e">
        <f t="array" ref="F81">MROUND(INDEX(df_proj!$E$2:$AD$1000, MATCH(1, ($B$2 = df_proj!$A$2:$A$1000) * (df_proj!$B$2:$B$1000 = $B81) * (df_proj!$C$2:$C$1000 = $D$2), 0), MATCH(TEXT(F$80, "####"), df_proj!$E$1:$AD$1,0)),5)</f>
        <v>#N/A</v>
      </c>
      <c r="G81" s="564" t="e">
        <f t="array" ref="G81">MROUND(INDEX(df_proj!$E$2:$AD$1000, MATCH(1, ($C$2 = df_proj!$A$2:$A$1000) * (df_proj!$B$2:$B$1000 = $B81) * (df_proj!$C$2:$C$1000 = $D$2), 0), MATCH(TEXT(G$80, "####"), df_proj!$E$1:$AD$1,0)),5)</f>
        <v>#N/A</v>
      </c>
      <c r="H81" s="566" t="e">
        <f t="array" ref="H81">MROUND(INDEX(df_proj!$E$2:$AD$1000, MATCH(1, ($C$2 = df_proj!$A$2:$A$1000) * (df_proj!$B$2:$B$1000 = $B81) * (df_proj!$C$2:$C$1000 = $D$2), 0), MATCH(TEXT(H$80, "####"), df_proj!$E$1:$AD$1,0)),5)</f>
        <v>#N/A</v>
      </c>
      <c r="I81" s="239"/>
      <c r="J81" s="500" t="s">
        <v>6</v>
      </c>
      <c r="K81" s="564" t="e">
        <f t="shared" ref="K81:P81" si="10">C81</f>
        <v>#N/A</v>
      </c>
      <c r="L81" s="566" t="e">
        <f t="shared" si="10"/>
        <v>#N/A</v>
      </c>
      <c r="M81" s="564" t="e">
        <f t="shared" si="10"/>
        <v>#N/A</v>
      </c>
      <c r="N81" s="566" t="e">
        <f t="shared" si="10"/>
        <v>#N/A</v>
      </c>
      <c r="O81" s="564" t="e">
        <f t="shared" si="10"/>
        <v>#N/A</v>
      </c>
      <c r="P81" s="566" t="e">
        <f t="shared" si="10"/>
        <v>#N/A</v>
      </c>
      <c r="R81" s="500" t="s">
        <v>6</v>
      </c>
      <c r="S81" s="572">
        <f t="array" ref="S81:S88">IFERROR(IF(L81:L88/K81:K88-1 &gt; 0, "+"&amp;TEXT(L81:L88/K81:K88-1,"##0%"), L81:L88/K81:K88-1),0)</f>
        <v>0</v>
      </c>
      <c r="T81" s="481" t="e">
        <f t="array" ref="T81:T88">IF(N81:N88/M81:M88-1 &gt; 0, "+"&amp;TEXT(N81:N88/M81:M88-1,"##0%"), N81:N88/M81:M88-1)</f>
        <v>#N/A</v>
      </c>
      <c r="U81" s="482" t="e">
        <f t="array" ref="U81:U88">IF(P81:P88/O81:O88-1 &gt; 0, "+"&amp;TEXT(P81:P88/O81:O88-1,"##0%"), P81:P88/O81:O88-1)</f>
        <v>#N/A</v>
      </c>
    </row>
    <row r="82" spans="1:21" ht="20.100000000000001" customHeight="1" x14ac:dyDescent="0.2">
      <c r="A82" s="299">
        <v>10</v>
      </c>
      <c r="B82" s="495" t="s">
        <v>159</v>
      </c>
      <c r="C82" s="557" t="e">
        <f t="array" ref="C82">IFERROR(MROUND(INDEX(df_proj!$E$2:$AD$1000, MATCH(1, ($A$2 = df_proj!$A$2:$A$1000) * (df_proj!$B$2:$B$1000 = $B82) * (df_proj!$C$2:$C$1000 = $D$2), 0), MATCH(TEXT(C$80, "####"), df_proj!$D$1:$AD$1,0)),5),MROUND(popn_now!D13/popn_now!G13*popn_now!M13,5))</f>
        <v>#N/A</v>
      </c>
      <c r="D82" s="556" t="e">
        <f t="array" ref="D82">IFERROR(MROUND(INDEX(df_proj!$E$2:$AD$1000, MATCH(1, ($A$2 = df_proj!$A$2:$A$1000) * (df_proj!$B$2:$B$1000 = $B82) * (df_proj!$C$2:$C$1000 = $D$2), 0), MATCH(TEXT(D$80, "####"), df_proj!$E$1:$AD$1,0)),5),MROUND(C82/E82*F82,5))</f>
        <v>#N/A</v>
      </c>
      <c r="E82" s="557" t="e">
        <f t="array" ref="E82">MROUND(INDEX(df_proj!$E$2:$AD$1000, MATCH(1, ($B$2 = df_proj!$A$2:$A$1000) * (df_proj!$B$2:$B$1000 = $B82) * (df_proj!$C$2:$C$1000 = $D$2), 0), MATCH(TEXT(E$80, "####"), df_proj!$E$1:$AD$1,0)),5)</f>
        <v>#N/A</v>
      </c>
      <c r="F82" s="556" t="e">
        <f t="array" ref="F82">MROUND(INDEX(df_proj!$E$2:$AD$1000, MATCH(1, ($B$2 = df_proj!$A$2:$A$1000) * (df_proj!$B$2:$B$1000 = $B82) * (df_proj!$C$2:$C$1000 = $D$2), 0), MATCH(TEXT(F$80, "####"), df_proj!$E$1:$AD$1,0)),5)</f>
        <v>#N/A</v>
      </c>
      <c r="G82" s="557" t="e">
        <f t="array" ref="G82">MROUND(INDEX(df_proj!$E$2:$AD$1000, MATCH(1, ($C$2 = df_proj!$A$2:$A$1000) * (df_proj!$B$2:$B$1000 = $B82) * (df_proj!$C$2:$C$1000 = $D$2), 0), MATCH(TEXT(G$80, "####"), df_proj!$E$1:$AD$1,0)),5)</f>
        <v>#N/A</v>
      </c>
      <c r="H82" s="556" t="e">
        <f t="array" ref="H82">MROUND(INDEX(df_proj!$E$2:$AD$1000, MATCH(1, ($C$2 = df_proj!$A$2:$A$1000) * (df_proj!$B$2:$B$1000 = $B82) * (df_proj!$C$2:$C$1000 = $D$2), 0), MATCH(TEXT(H$80, "####"), df_proj!$E$1:$AD$1,0)),5)</f>
        <v>#N/A</v>
      </c>
      <c r="I82" s="239"/>
      <c r="J82" s="495" t="s">
        <v>169</v>
      </c>
      <c r="K82" s="557" t="e">
        <f t="shared" ref="K82:P82" si="11">SUM(C82:C84)</f>
        <v>#N/A</v>
      </c>
      <c r="L82" s="556" t="e">
        <f t="shared" si="11"/>
        <v>#N/A</v>
      </c>
      <c r="M82" s="557" t="e">
        <f t="shared" si="11"/>
        <v>#N/A</v>
      </c>
      <c r="N82" s="556" t="e">
        <f t="shared" si="11"/>
        <v>#N/A</v>
      </c>
      <c r="O82" s="557" t="e">
        <f t="shared" si="11"/>
        <v>#N/A</v>
      </c>
      <c r="P82" s="556" t="e">
        <f t="shared" si="11"/>
        <v>#N/A</v>
      </c>
      <c r="R82" s="495" t="s">
        <v>169</v>
      </c>
      <c r="S82" s="588">
        <v>0</v>
      </c>
      <c r="T82" s="589" t="e">
        <v>#N/A</v>
      </c>
      <c r="U82" s="502" t="e">
        <v>#N/A</v>
      </c>
    </row>
    <row r="83" spans="1:21" ht="20.100000000000001" customHeight="1" x14ac:dyDescent="0.2">
      <c r="A83" s="299">
        <v>11</v>
      </c>
      <c r="B83" s="496" t="s">
        <v>160</v>
      </c>
      <c r="C83" s="558" t="e">
        <f t="array" ref="C83">IFERROR(MROUND(INDEX(df_proj!$E$2:$AD$1000, MATCH(1, ($A$2 = df_proj!$A$2:$A$1000) * (df_proj!$B$2:$B$1000 = $B83) * (df_proj!$C$2:$C$1000 = $D$2), 0), MATCH(TEXT(C$80, "####"), df_proj!$D$1:$AD$1,0)),5),MROUND(popn_now!D14/popn_now!G14*popn_now!M14,5))</f>
        <v>#N/A</v>
      </c>
      <c r="D83" s="552" t="e">
        <f t="array" ref="D83">IFERROR(MROUND(INDEX(df_proj!$E$2:$AD$1000, MATCH(1, ($A$2 = df_proj!$A$2:$A$1000) * (df_proj!$B$2:$B$1000 = $B83) * (df_proj!$C$2:$C$1000 = $D$2), 0), MATCH(TEXT(D$80, "####"), df_proj!$E$1:$AD$1,0)),5),MROUND(C83/E83*F83,5))</f>
        <v>#N/A</v>
      </c>
      <c r="E83" s="558" t="e">
        <f t="array" ref="E83">MROUND(INDEX(df_proj!$E$2:$AD$1000, MATCH(1, ($B$2 = df_proj!$A$2:$A$1000) * (df_proj!$B$2:$B$1000 = $B83) * (df_proj!$C$2:$C$1000 = $D$2), 0), MATCH(TEXT(E$80, "####"), df_proj!$E$1:$AD$1,0)),5)</f>
        <v>#N/A</v>
      </c>
      <c r="F83" s="552" t="e">
        <f t="array" ref="F83">MROUND(INDEX(df_proj!$E$2:$AD$1000, MATCH(1, ($B$2 = df_proj!$A$2:$A$1000) * (df_proj!$B$2:$B$1000 = $B83) * (df_proj!$C$2:$C$1000 = $D$2), 0), MATCH(TEXT(F$80, "####"), df_proj!$E$1:$AD$1,0)),5)</f>
        <v>#N/A</v>
      </c>
      <c r="G83" s="558" t="e">
        <f t="array" ref="G83">MROUND(INDEX(df_proj!$E$2:$AD$1000, MATCH(1, ($C$2 = df_proj!$A$2:$A$1000) * (df_proj!$B$2:$B$1000 = $B83) * (df_proj!$C$2:$C$1000 = $D$2), 0), MATCH(TEXT(G$80, "####"), df_proj!$E$1:$AD$1,0)),5)</f>
        <v>#N/A</v>
      </c>
      <c r="H83" s="552" t="e">
        <f t="array" ref="H83">MROUND(INDEX(df_proj!$E$2:$AD$1000, MATCH(1, ($C$2 = df_proj!$A$2:$A$1000) * (df_proj!$B$2:$B$1000 = $B83) * (df_proj!$C$2:$C$1000 = $D$2), 0), MATCH(TEXT(H$80, "####"), df_proj!$E$1:$AD$1,0)),5)</f>
        <v>#N/A</v>
      </c>
      <c r="I83" s="239"/>
      <c r="J83" s="496" t="s">
        <v>60</v>
      </c>
      <c r="K83" s="558" t="e">
        <f t="shared" ref="K83:P83" si="12">SUM(C85:C86)</f>
        <v>#N/A</v>
      </c>
      <c r="L83" s="552" t="e">
        <f t="shared" si="12"/>
        <v>#N/A</v>
      </c>
      <c r="M83" s="558" t="e">
        <f t="shared" si="12"/>
        <v>#N/A</v>
      </c>
      <c r="N83" s="552" t="e">
        <f t="shared" si="12"/>
        <v>#N/A</v>
      </c>
      <c r="O83" s="558" t="e">
        <f t="shared" si="12"/>
        <v>#N/A</v>
      </c>
      <c r="P83" s="552" t="e">
        <f t="shared" si="12"/>
        <v>#N/A</v>
      </c>
      <c r="R83" s="496" t="s">
        <v>60</v>
      </c>
      <c r="S83" s="590">
        <v>0</v>
      </c>
      <c r="T83" s="591" t="e">
        <v>#N/A</v>
      </c>
      <c r="U83" s="503" t="e">
        <v>#N/A</v>
      </c>
    </row>
    <row r="84" spans="1:21" ht="20.100000000000001" customHeight="1" x14ac:dyDescent="0.2">
      <c r="A84" s="299">
        <v>12</v>
      </c>
      <c r="B84" s="496" t="s">
        <v>118</v>
      </c>
      <c r="C84" s="558" t="e">
        <f t="array" ref="C84">IFERROR(MROUND(INDEX(df_proj!$E$2:$AD$1000, MATCH(1, ($A$2 = df_proj!$A$2:$A$1000) * (df_proj!$B$2:$B$1000 = $B84) * (df_proj!$C$2:$C$1000 = $D$2), 0), MATCH(TEXT(C$80, "####"), df_proj!$D$1:$AD$1,0)),5),MROUND(popn_now!D15/popn_now!G15*popn_now!M15,5))</f>
        <v>#N/A</v>
      </c>
      <c r="D84" s="552" t="e">
        <f t="array" ref="D84">IFERROR(MROUND(INDEX(df_proj!$E$2:$AD$1000, MATCH(1, ($A$2 = df_proj!$A$2:$A$1000) * (df_proj!$B$2:$B$1000 = $B84) * (df_proj!$C$2:$C$1000 = $D$2), 0), MATCH(TEXT(D$80, "####"), df_proj!$E$1:$AD$1,0)),5),MROUND(C84/E84*F84,5))</f>
        <v>#N/A</v>
      </c>
      <c r="E84" s="558" t="e">
        <f t="array" ref="E84">MROUND(INDEX(df_proj!$E$2:$AD$1000, MATCH(1, ($B$2 = df_proj!$A$2:$A$1000) * (df_proj!$B$2:$B$1000 = $B84) * (df_proj!$C$2:$C$1000 = $D$2), 0), MATCH(TEXT(E$80, "####"), df_proj!$E$1:$AD$1,0)),5)</f>
        <v>#N/A</v>
      </c>
      <c r="F84" s="552" t="e">
        <f t="array" ref="F84">MROUND(INDEX(df_proj!$E$2:$AD$1000, MATCH(1, ($B$2 = df_proj!$A$2:$A$1000) * (df_proj!$B$2:$B$1000 = $B84) * (df_proj!$C$2:$C$1000 = $D$2), 0), MATCH(TEXT(F$80, "####"), df_proj!$E$1:$AD$1,0)),5)</f>
        <v>#N/A</v>
      </c>
      <c r="G84" s="558" t="e">
        <f t="array" ref="G84">MROUND(INDEX(df_proj!$E$2:$AD$1000, MATCH(1, ($C$2 = df_proj!$A$2:$A$1000) * (df_proj!$B$2:$B$1000 = $B84) * (df_proj!$C$2:$C$1000 = $D$2), 0), MATCH(TEXT(G$80, "####"), df_proj!$E$1:$AD$1,0)),5)</f>
        <v>#N/A</v>
      </c>
      <c r="H84" s="552" t="e">
        <f t="array" ref="H84">MROUND(INDEX(df_proj!$E$2:$AD$1000, MATCH(1, ($C$2 = df_proj!$A$2:$A$1000) * (df_proj!$B$2:$B$1000 = $B84) * (df_proj!$C$2:$C$1000 = $D$2), 0), MATCH(TEXT(H$80, "####"), df_proj!$E$1:$AD$1,0)),5)</f>
        <v>#N/A</v>
      </c>
      <c r="I84" s="239"/>
      <c r="J84" s="496" t="s">
        <v>61</v>
      </c>
      <c r="K84" s="558" t="e">
        <f t="shared" ref="K84:P84" si="13">SUM(C87:C88)</f>
        <v>#N/A</v>
      </c>
      <c r="L84" s="552" t="e">
        <f t="shared" si="13"/>
        <v>#N/A</v>
      </c>
      <c r="M84" s="558" t="e">
        <f t="shared" si="13"/>
        <v>#N/A</v>
      </c>
      <c r="N84" s="552" t="e">
        <f t="shared" si="13"/>
        <v>#N/A</v>
      </c>
      <c r="O84" s="558" t="e">
        <f t="shared" si="13"/>
        <v>#N/A</v>
      </c>
      <c r="P84" s="552" t="e">
        <f t="shared" si="13"/>
        <v>#N/A</v>
      </c>
      <c r="R84" s="496" t="s">
        <v>61</v>
      </c>
      <c r="S84" s="590">
        <v>0</v>
      </c>
      <c r="T84" s="591" t="e">
        <v>#N/A</v>
      </c>
      <c r="U84" s="503" t="e">
        <v>#N/A</v>
      </c>
    </row>
    <row r="85" spans="1:21" ht="20.100000000000001" customHeight="1" x14ac:dyDescent="0.2">
      <c r="A85" s="299">
        <v>14</v>
      </c>
      <c r="B85" s="496" t="s">
        <v>119</v>
      </c>
      <c r="C85" s="558" t="e">
        <f t="array" ref="C85">IFERROR(MROUND(INDEX(df_proj!$E$2:$AD$1000, MATCH(1, ($A$2 = df_proj!$A$2:$A$1000) * (df_proj!$B$2:$B$1000 = $B85) * (df_proj!$C$2:$C$1000 = $D$2), 0), MATCH(TEXT(C$80, "####"), df_proj!$D$1:$AD$1,0)),5),MROUND(popn_now!D16/popn_now!G16*popn_now!M16,5))</f>
        <v>#N/A</v>
      </c>
      <c r="D85" s="552" t="e">
        <f t="array" ref="D85">IFERROR(MROUND(INDEX(df_proj!$E$2:$AD$1000, MATCH(1, ($A$2 = df_proj!$A$2:$A$1000) * (df_proj!$B$2:$B$1000 = $B85) * (df_proj!$C$2:$C$1000 = $D$2), 0), MATCH(TEXT(D$80, "####"), df_proj!$E$1:$AD$1,0)),5),MROUND(C85/E85*F85,5))</f>
        <v>#N/A</v>
      </c>
      <c r="E85" s="558" t="e">
        <f t="array" ref="E85">MROUND(INDEX(df_proj!$E$2:$AD$1000, MATCH(1, ($B$2 = df_proj!$A$2:$A$1000) * (df_proj!$B$2:$B$1000 = $B85) * (df_proj!$C$2:$C$1000 = $D$2), 0), MATCH(TEXT(E$80, "####"), df_proj!$E$1:$AD$1,0)),5)</f>
        <v>#N/A</v>
      </c>
      <c r="F85" s="552" t="e">
        <f t="array" ref="F85">MROUND(INDEX(df_proj!$E$2:$AD$1000, MATCH(1, ($B$2 = df_proj!$A$2:$A$1000) * (df_proj!$B$2:$B$1000 = $B85) * (df_proj!$C$2:$C$1000 = $D$2), 0), MATCH(TEXT(F$80, "####"), df_proj!$E$1:$AD$1,0)),5)</f>
        <v>#N/A</v>
      </c>
      <c r="G85" s="558" t="e">
        <f t="array" ref="G85">MROUND(INDEX(df_proj!$E$2:$AD$1000, MATCH(1, ($C$2 = df_proj!$A$2:$A$1000) * (df_proj!$B$2:$B$1000 = $B85) * (df_proj!$C$2:$C$1000 = $D$2), 0), MATCH(TEXT(G$80, "####"), df_proj!$E$1:$AD$1,0)),5)</f>
        <v>#N/A</v>
      </c>
      <c r="H85" s="552" t="e">
        <f t="array" ref="H85">MROUND(INDEX(df_proj!$E$2:$AD$1000, MATCH(1, ($C$2 = df_proj!$A$2:$A$1000) * (df_proj!$B$2:$B$1000 = $B85) * (df_proj!$C$2:$C$1000 = $D$2), 0), MATCH(TEXT(H$80, "####"), df_proj!$E$1:$AD$1,0)),5)</f>
        <v>#N/A</v>
      </c>
      <c r="I85" s="239"/>
      <c r="J85" s="496" t="s">
        <v>172</v>
      </c>
      <c r="K85" s="558" t="e">
        <f t="shared" ref="K85:P85" si="14">SUM(C89:C92)</f>
        <v>#N/A</v>
      </c>
      <c r="L85" s="552" t="e">
        <f t="shared" si="14"/>
        <v>#N/A</v>
      </c>
      <c r="M85" s="558" t="e">
        <f t="shared" si="14"/>
        <v>#N/A</v>
      </c>
      <c r="N85" s="552" t="e">
        <f t="shared" si="14"/>
        <v>#N/A</v>
      </c>
      <c r="O85" s="558" t="e">
        <f t="shared" si="14"/>
        <v>#N/A</v>
      </c>
      <c r="P85" s="552" t="e">
        <f t="shared" si="14"/>
        <v>#N/A</v>
      </c>
      <c r="R85" s="496" t="s">
        <v>172</v>
      </c>
      <c r="S85" s="590">
        <v>0</v>
      </c>
      <c r="T85" s="591" t="e">
        <v>#N/A</v>
      </c>
      <c r="U85" s="503" t="e">
        <v>#N/A</v>
      </c>
    </row>
    <row r="86" spans="1:21" ht="20.100000000000001" customHeight="1" x14ac:dyDescent="0.2">
      <c r="A86" s="299">
        <v>15</v>
      </c>
      <c r="B86" s="496" t="s">
        <v>120</v>
      </c>
      <c r="C86" s="558" t="e">
        <f t="array" ref="C86">IFERROR(MROUND(INDEX(df_proj!$E$2:$AD$1000, MATCH(1, ($A$2 = df_proj!$A$2:$A$1000) * (df_proj!$B$2:$B$1000 = $B86) * (df_proj!$C$2:$C$1000 = $D$2), 0), MATCH(TEXT(C$80, "####"), df_proj!$D$1:$AD$1,0)),5),MROUND(popn_now!D17/popn_now!G17*popn_now!M17,5))</f>
        <v>#N/A</v>
      </c>
      <c r="D86" s="552" t="e">
        <f t="array" ref="D86">IFERROR(MROUND(INDEX(df_proj!$E$2:$AD$1000, MATCH(1, ($A$2 = df_proj!$A$2:$A$1000) * (df_proj!$B$2:$B$1000 = $B86) * (df_proj!$C$2:$C$1000 = $D$2), 0), MATCH(TEXT(D$80, "####"), df_proj!$E$1:$AD$1,0)),5),MROUND(C86/E86*F86,5))</f>
        <v>#N/A</v>
      </c>
      <c r="E86" s="558" t="e">
        <f t="array" ref="E86">MROUND(INDEX(df_proj!$E$2:$AD$1000, MATCH(1, ($B$2 = df_proj!$A$2:$A$1000) * (df_proj!$B$2:$B$1000 = $B86) * (df_proj!$C$2:$C$1000 = $D$2), 0), MATCH(TEXT(E$80, "####"), df_proj!$E$1:$AD$1,0)),5)</f>
        <v>#N/A</v>
      </c>
      <c r="F86" s="552" t="e">
        <f t="array" ref="F86">MROUND(INDEX(df_proj!$E$2:$AD$1000, MATCH(1, ($B$2 = df_proj!$A$2:$A$1000) * (df_proj!$B$2:$B$1000 = $B86) * (df_proj!$C$2:$C$1000 = $D$2), 0), MATCH(TEXT(F$80, "####"), df_proj!$E$1:$AD$1,0)),5)</f>
        <v>#N/A</v>
      </c>
      <c r="G86" s="558" t="e">
        <f t="array" ref="G86">MROUND(INDEX(df_proj!$E$2:$AD$1000, MATCH(1, ($C$2 = df_proj!$A$2:$A$1000) * (df_proj!$B$2:$B$1000 = $B86) * (df_proj!$C$2:$C$1000 = $D$2), 0), MATCH(TEXT(G$80, "####"), df_proj!$E$1:$AD$1,0)),5)</f>
        <v>#N/A</v>
      </c>
      <c r="H86" s="552" t="e">
        <f t="array" ref="H86">MROUND(INDEX(df_proj!$E$2:$AD$1000, MATCH(1, ($C$2 = df_proj!$A$2:$A$1000) * (df_proj!$B$2:$B$1000 = $B86) * (df_proj!$C$2:$C$1000 = $D$2), 0), MATCH(TEXT(H$80, "####"), df_proj!$E$1:$AD$1,0)),5)</f>
        <v>#N/A</v>
      </c>
      <c r="I86" s="239"/>
      <c r="J86" s="496" t="s">
        <v>64</v>
      </c>
      <c r="K86" s="558" t="e">
        <f t="shared" ref="K86:P86" si="15">SUM(C93:C94)</f>
        <v>#N/A</v>
      </c>
      <c r="L86" s="552" t="e">
        <f t="shared" si="15"/>
        <v>#N/A</v>
      </c>
      <c r="M86" s="558" t="e">
        <f t="shared" si="15"/>
        <v>#N/A</v>
      </c>
      <c r="N86" s="552" t="e">
        <f t="shared" si="15"/>
        <v>#N/A</v>
      </c>
      <c r="O86" s="558" t="e">
        <f t="shared" si="15"/>
        <v>#N/A</v>
      </c>
      <c r="P86" s="552" t="e">
        <f t="shared" si="15"/>
        <v>#N/A</v>
      </c>
      <c r="R86" s="496" t="s">
        <v>64</v>
      </c>
      <c r="S86" s="590">
        <v>0</v>
      </c>
      <c r="T86" s="591" t="e">
        <v>#N/A</v>
      </c>
      <c r="U86" s="503" t="e">
        <v>#N/A</v>
      </c>
    </row>
    <row r="87" spans="1:21" ht="20.100000000000001" customHeight="1" x14ac:dyDescent="0.2">
      <c r="A87" s="299">
        <v>16</v>
      </c>
      <c r="B87" s="496" t="s">
        <v>121</v>
      </c>
      <c r="C87" s="558" t="e">
        <f t="array" ref="C87">IFERROR(MROUND(INDEX(df_proj!$E$2:$AD$1000, MATCH(1, ($A$2 = df_proj!$A$2:$A$1000) * (df_proj!$B$2:$B$1000 = $B87) * (df_proj!$C$2:$C$1000 = $D$2), 0), MATCH(TEXT(C$80, "####"), df_proj!$D$1:$AD$1,0)),5),MROUND(popn_now!D18/popn_now!G18*popn_now!M18,5))</f>
        <v>#N/A</v>
      </c>
      <c r="D87" s="552" t="e">
        <f t="array" ref="D87">IFERROR(MROUND(INDEX(df_proj!$E$2:$AD$1000, MATCH(1, ($A$2 = df_proj!$A$2:$A$1000) * (df_proj!$B$2:$B$1000 = $B87) * (df_proj!$C$2:$C$1000 = $D$2), 0), MATCH(TEXT(D$80, "####"), df_proj!$E$1:$AD$1,0)),5),MROUND(C87/E87*F87,5))</f>
        <v>#N/A</v>
      </c>
      <c r="E87" s="558" t="e">
        <f t="array" ref="E87">MROUND(INDEX(df_proj!$E$2:$AD$1000, MATCH(1, ($B$2 = df_proj!$A$2:$A$1000) * (df_proj!$B$2:$B$1000 = $B87) * (df_proj!$C$2:$C$1000 = $D$2), 0), MATCH(TEXT(E$80, "####"), df_proj!$E$1:$AD$1,0)),5)</f>
        <v>#N/A</v>
      </c>
      <c r="F87" s="552" t="e">
        <f t="array" ref="F87">MROUND(INDEX(df_proj!$E$2:$AD$1000, MATCH(1, ($B$2 = df_proj!$A$2:$A$1000) * (df_proj!$B$2:$B$1000 = $B87) * (df_proj!$C$2:$C$1000 = $D$2), 0), MATCH(TEXT(F$80, "####"), df_proj!$E$1:$AD$1,0)),5)</f>
        <v>#N/A</v>
      </c>
      <c r="G87" s="558" t="e">
        <f t="array" ref="G87">MROUND(INDEX(df_proj!$E$2:$AD$1000, MATCH(1, ($C$2 = df_proj!$A$2:$A$1000) * (df_proj!$B$2:$B$1000 = $B87) * (df_proj!$C$2:$C$1000 = $D$2), 0), MATCH(TEXT(G$80, "####"), df_proj!$E$1:$AD$1,0)),5)</f>
        <v>#N/A</v>
      </c>
      <c r="H87" s="552" t="e">
        <f t="array" ref="H87">MROUND(INDEX(df_proj!$E$2:$AD$1000, MATCH(1, ($C$2 = df_proj!$A$2:$A$1000) * (df_proj!$B$2:$B$1000 = $B87) * (df_proj!$C$2:$C$1000 = $D$2), 0), MATCH(TEXT(H$80, "####"), df_proj!$E$1:$AD$1,0)),5)</f>
        <v>#N/A</v>
      </c>
      <c r="I87" s="239"/>
      <c r="J87" s="496" t="s">
        <v>170</v>
      </c>
      <c r="K87" s="558" t="e">
        <f t="shared" ref="K87:P87" si="16">SUM(C95:C98)</f>
        <v>#N/A</v>
      </c>
      <c r="L87" s="552" t="e">
        <f t="shared" si="16"/>
        <v>#N/A</v>
      </c>
      <c r="M87" s="558" t="e">
        <f t="shared" si="16"/>
        <v>#N/A</v>
      </c>
      <c r="N87" s="552" t="e">
        <f t="shared" si="16"/>
        <v>#N/A</v>
      </c>
      <c r="O87" s="558" t="e">
        <f t="shared" si="16"/>
        <v>#N/A</v>
      </c>
      <c r="P87" s="552" t="e">
        <f t="shared" si="16"/>
        <v>#N/A</v>
      </c>
      <c r="R87" s="496" t="s">
        <v>170</v>
      </c>
      <c r="S87" s="590">
        <v>0</v>
      </c>
      <c r="T87" s="591" t="e">
        <v>#N/A</v>
      </c>
      <c r="U87" s="503" t="e">
        <v>#N/A</v>
      </c>
    </row>
    <row r="88" spans="1:21" ht="20.100000000000001" customHeight="1" x14ac:dyDescent="0.2">
      <c r="A88" s="299">
        <v>17</v>
      </c>
      <c r="B88" s="496" t="s">
        <v>122</v>
      </c>
      <c r="C88" s="558" t="e">
        <f t="array" ref="C88">IFERROR(MROUND(INDEX(df_proj!$E$2:$AD$1000, MATCH(1, ($A$2 = df_proj!$A$2:$A$1000) * (df_proj!$B$2:$B$1000 = $B88) * (df_proj!$C$2:$C$1000 = $D$2), 0), MATCH(TEXT(C$80, "####"), df_proj!$D$1:$AD$1,0)),5),MROUND(popn_now!D19/popn_now!G19*popn_now!M19,5))</f>
        <v>#N/A</v>
      </c>
      <c r="D88" s="552" t="e">
        <f t="array" ref="D88">IFERROR(MROUND(INDEX(df_proj!$E$2:$AD$1000, MATCH(1, ($A$2 = df_proj!$A$2:$A$1000) * (df_proj!$B$2:$B$1000 = $B88) * (df_proj!$C$2:$C$1000 = $D$2), 0), MATCH(TEXT(D$80, "####"), df_proj!$E$1:$AD$1,0)),5),MROUND(C88/E88*F88,5))</f>
        <v>#N/A</v>
      </c>
      <c r="E88" s="558" t="e">
        <f t="array" ref="E88">MROUND(INDEX(df_proj!$E$2:$AD$1000, MATCH(1, ($B$2 = df_proj!$A$2:$A$1000) * (df_proj!$B$2:$B$1000 = $B88) * (df_proj!$C$2:$C$1000 = $D$2), 0), MATCH(TEXT(E$80, "####"), df_proj!$E$1:$AD$1,0)),5)</f>
        <v>#N/A</v>
      </c>
      <c r="F88" s="552" t="e">
        <f t="array" ref="F88">MROUND(INDEX(df_proj!$E$2:$AD$1000, MATCH(1, ($B$2 = df_proj!$A$2:$A$1000) * (df_proj!$B$2:$B$1000 = $B88) * (df_proj!$C$2:$C$1000 = $D$2), 0), MATCH(TEXT(F$80, "####"), df_proj!$E$1:$AD$1,0)),5)</f>
        <v>#N/A</v>
      </c>
      <c r="G88" s="558" t="e">
        <f t="array" ref="G88">MROUND(INDEX(df_proj!$E$2:$AD$1000, MATCH(1, ($C$2 = df_proj!$A$2:$A$1000) * (df_proj!$B$2:$B$1000 = $B88) * (df_proj!$C$2:$C$1000 = $D$2), 0), MATCH(TEXT(G$80, "####"), df_proj!$E$1:$AD$1,0)),5)</f>
        <v>#N/A</v>
      </c>
      <c r="H88" s="552" t="e">
        <f t="array" ref="H88">MROUND(INDEX(df_proj!$E$2:$AD$1000, MATCH(1, ($C$2 = df_proj!$A$2:$A$1000) * (df_proj!$B$2:$B$1000 = $B88) * (df_proj!$C$2:$C$1000 = $D$2), 0), MATCH(TEXT(H$80, "####"), df_proj!$E$1:$AD$1,0)),5)</f>
        <v>#N/A</v>
      </c>
      <c r="I88" s="239"/>
      <c r="J88" s="497" t="s">
        <v>5</v>
      </c>
      <c r="K88" s="559" t="e">
        <f t="shared" ref="K88:P88" si="17">C99</f>
        <v>#N/A</v>
      </c>
      <c r="L88" s="554" t="e">
        <f t="shared" si="17"/>
        <v>#N/A</v>
      </c>
      <c r="M88" s="559" t="e">
        <f t="shared" si="17"/>
        <v>#N/A</v>
      </c>
      <c r="N88" s="554" t="e">
        <f t="shared" si="17"/>
        <v>#N/A</v>
      </c>
      <c r="O88" s="559" t="e">
        <f t="shared" si="17"/>
        <v>#N/A</v>
      </c>
      <c r="P88" s="554" t="e">
        <f t="shared" si="17"/>
        <v>#N/A</v>
      </c>
      <c r="R88" s="497" t="s">
        <v>5</v>
      </c>
      <c r="S88" s="592">
        <v>0</v>
      </c>
      <c r="T88" s="593" t="e">
        <v>#N/A</v>
      </c>
      <c r="U88" s="504" t="e">
        <v>#N/A</v>
      </c>
    </row>
    <row r="89" spans="1:21" ht="20.100000000000001" customHeight="1" x14ac:dyDescent="0.2">
      <c r="A89" s="299">
        <v>18</v>
      </c>
      <c r="B89" s="496" t="s">
        <v>123</v>
      </c>
      <c r="C89" s="558" t="e">
        <f t="array" ref="C89">IFERROR(MROUND(INDEX(df_proj!$E$2:$AD$1000, MATCH(1, ($A$2 = df_proj!$A$2:$A$1000) * (df_proj!$B$2:$B$1000 = $B89) * (df_proj!$C$2:$C$1000 = $D$2), 0), MATCH(TEXT(C$80, "####"), df_proj!$D$1:$AD$1,0)),5),MROUND(popn_now!D20/popn_now!G20*popn_now!M20,5))</f>
        <v>#N/A</v>
      </c>
      <c r="D89" s="552" t="e">
        <f t="array" ref="D89">IFERROR(MROUND(INDEX(df_proj!$E$2:$AD$1000, MATCH(1, ($A$2 = df_proj!$A$2:$A$1000) * (df_proj!$B$2:$B$1000 = $B89) * (df_proj!$C$2:$C$1000 = $D$2), 0), MATCH(TEXT(D$80, "####"), df_proj!$E$1:$AD$1,0)),5),MROUND(C89/E89*F89,5))</f>
        <v>#N/A</v>
      </c>
      <c r="E89" s="558" t="e">
        <f t="array" ref="E89">MROUND(INDEX(df_proj!$E$2:$AD$1000, MATCH(1, ($B$2 = df_proj!$A$2:$A$1000) * (df_proj!$B$2:$B$1000 = $B89) * (df_proj!$C$2:$C$1000 = $D$2), 0), MATCH(TEXT(E$80, "####"), df_proj!$E$1:$AD$1,0)),5)</f>
        <v>#N/A</v>
      </c>
      <c r="F89" s="552" t="e">
        <f t="array" ref="F89">MROUND(INDEX(df_proj!$E$2:$AD$1000, MATCH(1, ($B$2 = df_proj!$A$2:$A$1000) * (df_proj!$B$2:$B$1000 = $B89) * (df_proj!$C$2:$C$1000 = $D$2), 0), MATCH(TEXT(F$80, "####"), df_proj!$E$1:$AD$1,0)),5)</f>
        <v>#N/A</v>
      </c>
      <c r="G89" s="558" t="e">
        <f t="array" ref="G89">MROUND(INDEX(df_proj!$E$2:$AD$1000, MATCH(1, ($C$2 = df_proj!$A$2:$A$1000) * (df_proj!$B$2:$B$1000 = $B89) * (df_proj!$C$2:$C$1000 = $D$2), 0), MATCH(TEXT(G$80, "####"), df_proj!$E$1:$AD$1,0)),5)</f>
        <v>#N/A</v>
      </c>
      <c r="H89" s="552" t="e">
        <f t="array" ref="H89">MROUND(INDEX(df_proj!$E$2:$AD$1000, MATCH(1, ($C$2 = df_proj!$A$2:$A$1000) * (df_proj!$B$2:$B$1000 = $B89) * (df_proj!$C$2:$C$1000 = $D$2), 0), MATCH(TEXT(H$80, "####"), df_proj!$E$1:$AD$1,0)),5)</f>
        <v>#N/A</v>
      </c>
      <c r="I89" s="239"/>
      <c r="J89" s="239"/>
      <c r="K89" s="239"/>
      <c r="L89" s="239"/>
    </row>
    <row r="90" spans="1:21" ht="20.100000000000001" customHeight="1" x14ac:dyDescent="0.2">
      <c r="A90" s="299">
        <v>19</v>
      </c>
      <c r="B90" s="496" t="s">
        <v>124</v>
      </c>
      <c r="C90" s="558" t="e">
        <f t="array" ref="C90">IFERROR(MROUND(INDEX(df_proj!$E$2:$AD$1000, MATCH(1, ($A$2 = df_proj!$A$2:$A$1000) * (df_proj!$B$2:$B$1000 = $B90) * (df_proj!$C$2:$C$1000 = $D$2), 0), MATCH(TEXT(C$80, "####"), df_proj!$D$1:$AD$1,0)),5),MROUND(popn_now!D21/popn_now!G21*popn_now!M21,5))</f>
        <v>#N/A</v>
      </c>
      <c r="D90" s="552" t="e">
        <f t="array" ref="D90">IFERROR(MROUND(INDEX(df_proj!$E$2:$AD$1000, MATCH(1, ($A$2 = df_proj!$A$2:$A$1000) * (df_proj!$B$2:$B$1000 = $B90) * (df_proj!$C$2:$C$1000 = $D$2), 0), MATCH(TEXT(D$80, "####"), df_proj!$E$1:$AD$1,0)),5),MROUND(C90/E90*F90,5))</f>
        <v>#N/A</v>
      </c>
      <c r="E90" s="558" t="e">
        <f t="array" ref="E90">MROUND(INDEX(df_proj!$E$2:$AD$1000, MATCH(1, ($B$2 = df_proj!$A$2:$A$1000) * (df_proj!$B$2:$B$1000 = $B90) * (df_proj!$C$2:$C$1000 = $D$2), 0), MATCH(TEXT(E$80, "####"), df_proj!$E$1:$AD$1,0)),5)</f>
        <v>#N/A</v>
      </c>
      <c r="F90" s="552" t="e">
        <f t="array" ref="F90">MROUND(INDEX(df_proj!$E$2:$AD$1000, MATCH(1, ($B$2 = df_proj!$A$2:$A$1000) * (df_proj!$B$2:$B$1000 = $B90) * (df_proj!$C$2:$C$1000 = $D$2), 0), MATCH(TEXT(F$80, "####"), df_proj!$E$1:$AD$1,0)),5)</f>
        <v>#N/A</v>
      </c>
      <c r="G90" s="558" t="e">
        <f t="array" ref="G90">MROUND(INDEX(df_proj!$E$2:$AD$1000, MATCH(1, ($C$2 = df_proj!$A$2:$A$1000) * (df_proj!$B$2:$B$1000 = $B90) * (df_proj!$C$2:$C$1000 = $D$2), 0), MATCH(TEXT(G$80, "####"), df_proj!$E$1:$AD$1,0)),5)</f>
        <v>#N/A</v>
      </c>
      <c r="H90" s="552" t="e">
        <f t="array" ref="H90">MROUND(INDEX(df_proj!$E$2:$AD$1000, MATCH(1, ($C$2 = df_proj!$A$2:$A$1000) * (df_proj!$B$2:$B$1000 = $B90) * (df_proj!$C$2:$C$1000 = $D$2), 0), MATCH(TEXT(H$80, "####"), df_proj!$E$1:$AD$1,0)),5)</f>
        <v>#N/A</v>
      </c>
      <c r="I90" s="239"/>
      <c r="R90" s="495" t="s">
        <v>697</v>
      </c>
      <c r="S90" s="594" t="e">
        <f>IF(SUM(L83:L84)/SUM(K83:K84)-1&gt;0,"+"&amp;TEXT(SUM(L83:L84)/SUM(K83:K84)-1,"##0%"),SUM(L83:L84)/SUM(K83:K84)-1)</f>
        <v>#N/A</v>
      </c>
    </row>
    <row r="91" spans="1:21" ht="20.100000000000001" customHeight="1" x14ac:dyDescent="0.2">
      <c r="A91" s="299">
        <v>20</v>
      </c>
      <c r="B91" s="496" t="s">
        <v>125</v>
      </c>
      <c r="C91" s="558" t="e">
        <f t="array" ref="C91">IFERROR(MROUND(INDEX(df_proj!$E$2:$AD$1000, MATCH(1, ($A$2 = df_proj!$A$2:$A$1000) * (df_proj!$B$2:$B$1000 = $B91) * (df_proj!$C$2:$C$1000 = $D$2), 0), MATCH(TEXT(C$80, "####"), df_proj!$D$1:$AD$1,0)),5),MROUND(popn_now!D22/popn_now!G22*popn_now!M22,5))</f>
        <v>#N/A</v>
      </c>
      <c r="D91" s="552" t="e">
        <f t="array" ref="D91">IFERROR(MROUND(INDEX(df_proj!$E$2:$AD$1000, MATCH(1, ($A$2 = df_proj!$A$2:$A$1000) * (df_proj!$B$2:$B$1000 = $B91) * (df_proj!$C$2:$C$1000 = $D$2), 0), MATCH(TEXT(D$80, "####"), df_proj!$E$1:$AD$1,0)),5),MROUND(C91/E91*F91,5))</f>
        <v>#N/A</v>
      </c>
      <c r="E91" s="558" t="e">
        <f t="array" ref="E91">MROUND(INDEX(df_proj!$E$2:$AD$1000, MATCH(1, ($B$2 = df_proj!$A$2:$A$1000) * (df_proj!$B$2:$B$1000 = $B91) * (df_proj!$C$2:$C$1000 = $D$2), 0), MATCH(TEXT(E$80, "####"), df_proj!$E$1:$AD$1,0)),5)</f>
        <v>#N/A</v>
      </c>
      <c r="F91" s="552" t="e">
        <f t="array" ref="F91">MROUND(INDEX(df_proj!$E$2:$AD$1000, MATCH(1, ($B$2 = df_proj!$A$2:$A$1000) * (df_proj!$B$2:$B$1000 = $B91) * (df_proj!$C$2:$C$1000 = $D$2), 0), MATCH(TEXT(F$80, "####"), df_proj!$E$1:$AD$1,0)),5)</f>
        <v>#N/A</v>
      </c>
      <c r="G91" s="558" t="e">
        <f t="array" ref="G91">MROUND(INDEX(df_proj!$E$2:$AD$1000, MATCH(1, ($C$2 = df_proj!$A$2:$A$1000) * (df_proj!$B$2:$B$1000 = $B91) * (df_proj!$C$2:$C$1000 = $D$2), 0), MATCH(TEXT(G$80, "####"), df_proj!$E$1:$AD$1,0)),5)</f>
        <v>#N/A</v>
      </c>
      <c r="H91" s="552" t="e">
        <f t="array" ref="H91">MROUND(INDEX(df_proj!$E$2:$AD$1000, MATCH(1, ($C$2 = df_proj!$A$2:$A$1000) * (df_proj!$B$2:$B$1000 = $B91) * (df_proj!$C$2:$C$1000 = $D$2), 0), MATCH(TEXT(H$80, "####"), df_proj!$E$1:$AD$1,0)),5)</f>
        <v>#N/A</v>
      </c>
      <c r="I91" s="239"/>
      <c r="R91" s="497" t="s">
        <v>558</v>
      </c>
      <c r="S91" s="595" t="e">
        <f>IF(SUM(L87:L88)/SUM(K87:K88)-1&gt;0,"+"&amp;TEXT(SUM(L87:L88)/SUM(K87:K88)-1,"##0%"),SUM(L87:L88)/SUM(K87:K88)-1)</f>
        <v>#N/A</v>
      </c>
    </row>
    <row r="92" spans="1:21" ht="20.100000000000001" customHeight="1" x14ac:dyDescent="0.2">
      <c r="A92" s="299">
        <v>21</v>
      </c>
      <c r="B92" s="496" t="s">
        <v>126</v>
      </c>
      <c r="C92" s="558" t="e">
        <f t="array" ref="C92">IFERROR(MROUND(INDEX(df_proj!$E$2:$AD$1000, MATCH(1, ($A$2 = df_proj!$A$2:$A$1000) * (df_proj!$B$2:$B$1000 = $B92) * (df_proj!$C$2:$C$1000 = $D$2), 0), MATCH(TEXT(C$80, "####"), df_proj!$D$1:$AD$1,0)),5),MROUND(popn_now!D23/popn_now!G23*popn_now!M23,5))</f>
        <v>#N/A</v>
      </c>
      <c r="D92" s="552" t="e">
        <f t="array" ref="D92">IFERROR(MROUND(INDEX(df_proj!$E$2:$AD$1000, MATCH(1, ($A$2 = df_proj!$A$2:$A$1000) * (df_proj!$B$2:$B$1000 = $B92) * (df_proj!$C$2:$C$1000 = $D$2), 0), MATCH(TEXT(D$80, "####"), df_proj!$E$1:$AD$1,0)),5),MROUND(C92/E92*F92,5))</f>
        <v>#N/A</v>
      </c>
      <c r="E92" s="558" t="e">
        <f t="array" ref="E92">MROUND(INDEX(df_proj!$E$2:$AD$1000, MATCH(1, ($B$2 = df_proj!$A$2:$A$1000) * (df_proj!$B$2:$B$1000 = $B92) * (df_proj!$C$2:$C$1000 = $D$2), 0), MATCH(TEXT(E$80, "####"), df_proj!$E$1:$AD$1,0)),5)</f>
        <v>#N/A</v>
      </c>
      <c r="F92" s="552" t="e">
        <f t="array" ref="F92">MROUND(INDEX(df_proj!$E$2:$AD$1000, MATCH(1, ($B$2 = df_proj!$A$2:$A$1000) * (df_proj!$B$2:$B$1000 = $B92) * (df_proj!$C$2:$C$1000 = $D$2), 0), MATCH(TEXT(F$80, "####"), df_proj!$E$1:$AD$1,0)),5)</f>
        <v>#N/A</v>
      </c>
      <c r="G92" s="558" t="e">
        <f t="array" ref="G92">MROUND(INDEX(df_proj!$E$2:$AD$1000, MATCH(1, ($C$2 = df_proj!$A$2:$A$1000) * (df_proj!$B$2:$B$1000 = $B92) * (df_proj!$C$2:$C$1000 = $D$2), 0), MATCH(TEXT(G$80, "####"), df_proj!$E$1:$AD$1,0)),5)</f>
        <v>#N/A</v>
      </c>
      <c r="H92" s="552" t="e">
        <f t="array" ref="H92">MROUND(INDEX(df_proj!$E$2:$AD$1000, MATCH(1, ($C$2 = df_proj!$A$2:$A$1000) * (df_proj!$B$2:$B$1000 = $B92) * (df_proj!$C$2:$C$1000 = $D$2), 0), MATCH(TEXT(H$80, "####"), df_proj!$E$1:$AD$1,0)),5)</f>
        <v>#N/A</v>
      </c>
      <c r="I92" s="239"/>
    </row>
    <row r="93" spans="1:21" ht="20.100000000000001" customHeight="1" x14ac:dyDescent="0.2">
      <c r="A93" s="299">
        <v>22</v>
      </c>
      <c r="B93" s="496" t="s">
        <v>127</v>
      </c>
      <c r="C93" s="558" t="e">
        <f t="array" ref="C93">IFERROR(MROUND(INDEX(df_proj!$E$2:$AD$1000, MATCH(1, ($A$2 = df_proj!$A$2:$A$1000) * (df_proj!$B$2:$B$1000 = $B93) * (df_proj!$C$2:$C$1000 = $D$2), 0), MATCH(TEXT(C$80, "####"), df_proj!$D$1:$AD$1,0)),5),MROUND(popn_now!D24/popn_now!G24*popn_now!M24,5))</f>
        <v>#N/A</v>
      </c>
      <c r="D93" s="552" t="e">
        <f t="array" ref="D93">IFERROR(MROUND(INDEX(df_proj!$E$2:$AD$1000, MATCH(1, ($A$2 = df_proj!$A$2:$A$1000) * (df_proj!$B$2:$B$1000 = $B93) * (df_proj!$C$2:$C$1000 = $D$2), 0), MATCH(TEXT(D$80, "####"), df_proj!$E$1:$AD$1,0)),5),MROUND(C93/E93*F93,5))</f>
        <v>#N/A</v>
      </c>
      <c r="E93" s="558" t="e">
        <f t="array" ref="E93">MROUND(INDEX(df_proj!$E$2:$AD$1000, MATCH(1, ($B$2 = df_proj!$A$2:$A$1000) * (df_proj!$B$2:$B$1000 = $B93) * (df_proj!$C$2:$C$1000 = $D$2), 0), MATCH(TEXT(E$80, "####"), df_proj!$E$1:$AD$1,0)),5)</f>
        <v>#N/A</v>
      </c>
      <c r="F93" s="552" t="e">
        <f t="array" ref="F93">MROUND(INDEX(df_proj!$E$2:$AD$1000, MATCH(1, ($B$2 = df_proj!$A$2:$A$1000) * (df_proj!$B$2:$B$1000 = $B93) * (df_proj!$C$2:$C$1000 = $D$2), 0), MATCH(TEXT(F$80, "####"), df_proj!$E$1:$AD$1,0)),5)</f>
        <v>#N/A</v>
      </c>
      <c r="G93" s="558" t="e">
        <f t="array" ref="G93">MROUND(INDEX(df_proj!$E$2:$AD$1000, MATCH(1, ($C$2 = df_proj!$A$2:$A$1000) * (df_proj!$B$2:$B$1000 = $B93) * (df_proj!$C$2:$C$1000 = $D$2), 0), MATCH(TEXT(G$80, "####"), df_proj!$E$1:$AD$1,0)),5)</f>
        <v>#N/A</v>
      </c>
      <c r="H93" s="552" t="e">
        <f t="array" ref="H93">MROUND(INDEX(df_proj!$E$2:$AD$1000, MATCH(1, ($C$2 = df_proj!$A$2:$A$1000) * (df_proj!$B$2:$B$1000 = $B93) * (df_proj!$C$2:$C$1000 = $D$2), 0), MATCH(TEXT(H$80, "####"), df_proj!$E$1:$AD$1,0)),5)</f>
        <v>#N/A</v>
      </c>
      <c r="I93" s="239"/>
    </row>
    <row r="94" spans="1:21" ht="20.100000000000001" customHeight="1" x14ac:dyDescent="0.2">
      <c r="A94" s="299">
        <v>23</v>
      </c>
      <c r="B94" s="496" t="s">
        <v>128</v>
      </c>
      <c r="C94" s="558" t="e">
        <f t="array" ref="C94">IFERROR(MROUND(INDEX(df_proj!$E$2:$AD$1000, MATCH(1, ($A$2 = df_proj!$A$2:$A$1000) * (df_proj!$B$2:$B$1000 = $B94) * (df_proj!$C$2:$C$1000 = $D$2), 0), MATCH(TEXT(C$80, "####"), df_proj!$D$1:$AD$1,0)),5),MROUND(popn_now!D25/popn_now!G25*popn_now!M25,5))</f>
        <v>#N/A</v>
      </c>
      <c r="D94" s="552" t="e">
        <f t="array" ref="D94">IFERROR(MROUND(INDEX(df_proj!$E$2:$AD$1000, MATCH(1, ($A$2 = df_proj!$A$2:$A$1000) * (df_proj!$B$2:$B$1000 = $B94) * (df_proj!$C$2:$C$1000 = $D$2), 0), MATCH(TEXT(D$80, "####"), df_proj!$E$1:$AD$1,0)),5),MROUND(C94/E94*F94,5))</f>
        <v>#N/A</v>
      </c>
      <c r="E94" s="558" t="e">
        <f t="array" ref="E94">MROUND(INDEX(df_proj!$E$2:$AD$1000, MATCH(1, ($B$2 = df_proj!$A$2:$A$1000) * (df_proj!$B$2:$B$1000 = $B94) * (df_proj!$C$2:$C$1000 = $D$2), 0), MATCH(TEXT(E$80, "####"), df_proj!$E$1:$AD$1,0)),5)</f>
        <v>#N/A</v>
      </c>
      <c r="F94" s="552" t="e">
        <f t="array" ref="F94">MROUND(INDEX(df_proj!$E$2:$AD$1000, MATCH(1, ($B$2 = df_proj!$A$2:$A$1000) * (df_proj!$B$2:$B$1000 = $B94) * (df_proj!$C$2:$C$1000 = $D$2), 0), MATCH(TEXT(F$80, "####"), df_proj!$E$1:$AD$1,0)),5)</f>
        <v>#N/A</v>
      </c>
      <c r="G94" s="558" t="e">
        <f t="array" ref="G94">MROUND(INDEX(df_proj!$E$2:$AD$1000, MATCH(1, ($C$2 = df_proj!$A$2:$A$1000) * (df_proj!$B$2:$B$1000 = $B94) * (df_proj!$C$2:$C$1000 = $D$2), 0), MATCH(TEXT(G$80, "####"), df_proj!$E$1:$AD$1,0)),5)</f>
        <v>#N/A</v>
      </c>
      <c r="H94" s="552" t="e">
        <f t="array" ref="H94">MROUND(INDEX(df_proj!$E$2:$AD$1000, MATCH(1, ($C$2 = df_proj!$A$2:$A$1000) * (df_proj!$B$2:$B$1000 = $B94) * (df_proj!$C$2:$C$1000 = $D$2), 0), MATCH(TEXT(H$80, "####"), df_proj!$E$1:$AD$1,0)),5)</f>
        <v>#N/A</v>
      </c>
      <c r="I94" s="239"/>
    </row>
    <row r="95" spans="1:21" ht="20.100000000000001" customHeight="1" x14ac:dyDescent="0.2">
      <c r="A95" s="299">
        <v>25</v>
      </c>
      <c r="B95" s="496" t="s">
        <v>129</v>
      </c>
      <c r="C95" s="558" t="e">
        <f t="array" ref="C95">IFERROR(MROUND(INDEX(df_proj!$E$2:$AD$1000, MATCH(1, ($A$2 = df_proj!$A$2:$A$1000) * (df_proj!$B$2:$B$1000 = $B95) * (df_proj!$C$2:$C$1000 = $D$2), 0), MATCH(TEXT(C$80, "####"), df_proj!$D$1:$AD$1,0)),5),MROUND(popn_now!D26/popn_now!G26*popn_now!M26,5))</f>
        <v>#N/A</v>
      </c>
      <c r="D95" s="552" t="e">
        <f t="array" ref="D95">IFERROR(MROUND(INDEX(df_proj!$E$2:$AD$1000, MATCH(1, ($A$2 = df_proj!$A$2:$A$1000) * (df_proj!$B$2:$B$1000 = $B95) * (df_proj!$C$2:$C$1000 = $D$2), 0), MATCH(TEXT(D$80, "####"), df_proj!$E$1:$AD$1,0)),5),MROUND(C95/E95*F95,5))</f>
        <v>#N/A</v>
      </c>
      <c r="E95" s="558" t="e">
        <f t="array" ref="E95">MROUND(INDEX(df_proj!$E$2:$AD$1000, MATCH(1, ($B$2 = df_proj!$A$2:$A$1000) * (df_proj!$B$2:$B$1000 = $B95) * (df_proj!$C$2:$C$1000 = $D$2), 0), MATCH(TEXT(E$80, "####"), df_proj!$E$1:$AD$1,0)),5)</f>
        <v>#N/A</v>
      </c>
      <c r="F95" s="552" t="e">
        <f t="array" ref="F95">MROUND(INDEX(df_proj!$E$2:$AD$1000, MATCH(1, ($B$2 = df_proj!$A$2:$A$1000) * (df_proj!$B$2:$B$1000 = $B95) * (df_proj!$C$2:$C$1000 = $D$2), 0), MATCH(TEXT(F$80, "####"), df_proj!$E$1:$AD$1,0)),5)</f>
        <v>#N/A</v>
      </c>
      <c r="G95" s="558" t="e">
        <f t="array" ref="G95">MROUND(INDEX(df_proj!$E$2:$AD$1000, MATCH(1, ($C$2 = df_proj!$A$2:$A$1000) * (df_proj!$B$2:$B$1000 = $B95) * (df_proj!$C$2:$C$1000 = $D$2), 0), MATCH(TEXT(G$80, "####"), df_proj!$E$1:$AD$1,0)),5)</f>
        <v>#N/A</v>
      </c>
      <c r="H95" s="552" t="e">
        <f t="array" ref="H95">MROUND(INDEX(df_proj!$E$2:$AD$1000, MATCH(1, ($C$2 = df_proj!$A$2:$A$1000) * (df_proj!$B$2:$B$1000 = $B95) * (df_proj!$C$2:$C$1000 = $D$2), 0), MATCH(TEXT(H$80, "####"), df_proj!$E$1:$AD$1,0)),5)</f>
        <v>#N/A</v>
      </c>
      <c r="I95" s="239"/>
    </row>
    <row r="96" spans="1:21" ht="20.100000000000001" customHeight="1" x14ac:dyDescent="0.2">
      <c r="A96" s="299">
        <v>26</v>
      </c>
      <c r="B96" s="496" t="s">
        <v>131</v>
      </c>
      <c r="C96" s="558" t="e">
        <f t="array" ref="C96">IFERROR(MROUND(INDEX(df_proj!$E$2:$AD$1000, MATCH(1, ($A$2 = df_proj!$A$2:$A$1000) * (df_proj!$B$2:$B$1000 = $B96) * (df_proj!$C$2:$C$1000 = $D$2), 0), MATCH(TEXT(C$80, "####"), df_proj!$D$1:$AD$1,0)),5),MROUND(popn_now!D27/popn_now!G27*popn_now!M27,5))</f>
        <v>#N/A</v>
      </c>
      <c r="D96" s="552" t="e">
        <f t="array" ref="D96">IFERROR(MROUND(INDEX(df_proj!$E$2:$AD$1000, MATCH(1, ($A$2 = df_proj!$A$2:$A$1000) * (df_proj!$B$2:$B$1000 = $B96) * (df_proj!$C$2:$C$1000 = $D$2), 0), MATCH(TEXT(D$80, "####"), df_proj!$E$1:$AD$1,0)),5),MROUND(C96/E96*F96,5))</f>
        <v>#N/A</v>
      </c>
      <c r="E96" s="558" t="e">
        <f t="array" ref="E96">MROUND(INDEX(df_proj!$E$2:$AD$1000, MATCH(1, ($B$2 = df_proj!$A$2:$A$1000) * (df_proj!$B$2:$B$1000 = $B96) * (df_proj!$C$2:$C$1000 = $D$2), 0), MATCH(TEXT(E$80, "####"), df_proj!$E$1:$AD$1,0)),5)</f>
        <v>#N/A</v>
      </c>
      <c r="F96" s="552" t="e">
        <f t="array" ref="F96">MROUND(INDEX(df_proj!$E$2:$AD$1000, MATCH(1, ($B$2 = df_proj!$A$2:$A$1000) * (df_proj!$B$2:$B$1000 = $B96) * (df_proj!$C$2:$C$1000 = $D$2), 0), MATCH(TEXT(F$80, "####"), df_proj!$E$1:$AD$1,0)),5)</f>
        <v>#N/A</v>
      </c>
      <c r="G96" s="558" t="e">
        <f t="array" ref="G96">MROUND(INDEX(df_proj!$E$2:$AD$1000, MATCH(1, ($C$2 = df_proj!$A$2:$A$1000) * (df_proj!$B$2:$B$1000 = $B96) * (df_proj!$C$2:$C$1000 = $D$2), 0), MATCH(TEXT(G$80, "####"), df_proj!$E$1:$AD$1,0)),5)</f>
        <v>#N/A</v>
      </c>
      <c r="H96" s="552" t="e">
        <f t="array" ref="H96">MROUND(INDEX(df_proj!$E$2:$AD$1000, MATCH(1, ($C$2 = df_proj!$A$2:$A$1000) * (df_proj!$B$2:$B$1000 = $B96) * (df_proj!$C$2:$C$1000 = $D$2), 0), MATCH(TEXT(H$80, "####"), df_proj!$E$1:$AD$1,0)),5)</f>
        <v>#N/A</v>
      </c>
      <c r="I96" s="239"/>
    </row>
    <row r="97" spans="1:23" ht="20.100000000000001" customHeight="1" x14ac:dyDescent="0.2">
      <c r="A97" s="299">
        <v>27</v>
      </c>
      <c r="B97" s="496" t="s">
        <v>130</v>
      </c>
      <c r="C97" s="558" t="e">
        <f t="array" ref="C97">IFERROR(MROUND(INDEX(df_proj!$E$2:$AD$1000, MATCH(1, ($A$2 = df_proj!$A$2:$A$1000) * (df_proj!$B$2:$B$1000 = $B97) * (df_proj!$C$2:$C$1000 = $D$2), 0), MATCH(TEXT(C$80, "####"), df_proj!$D$1:$AD$1,0)),5),MROUND(popn_now!D28/popn_now!G28*popn_now!M28,5))</f>
        <v>#N/A</v>
      </c>
      <c r="D97" s="552" t="e">
        <f t="array" ref="D97">IFERROR(MROUND(INDEX(df_proj!$E$2:$AD$1000, MATCH(1, ($A$2 = df_proj!$A$2:$A$1000) * (df_proj!$B$2:$B$1000 = $B97) * (df_proj!$C$2:$C$1000 = $D$2), 0), MATCH(TEXT(D$80, "####"), df_proj!$E$1:$AD$1,0)),5),MROUND(C97/E97*F97,5))</f>
        <v>#N/A</v>
      </c>
      <c r="E97" s="558" t="e">
        <f t="array" ref="E97">MROUND(INDEX(df_proj!$E$2:$AD$1000, MATCH(1, ($B$2 = df_proj!$A$2:$A$1000) * (df_proj!$B$2:$B$1000 = $B97) * (df_proj!$C$2:$C$1000 = $D$2), 0), MATCH(TEXT(E$80, "####"), df_proj!$E$1:$AD$1,0)),5)</f>
        <v>#N/A</v>
      </c>
      <c r="F97" s="552" t="e">
        <f t="array" ref="F97">MROUND(INDEX(df_proj!$E$2:$AD$1000, MATCH(1, ($B$2 = df_proj!$A$2:$A$1000) * (df_proj!$B$2:$B$1000 = $B97) * (df_proj!$C$2:$C$1000 = $D$2), 0), MATCH(TEXT(F$80, "####"), df_proj!$E$1:$AD$1,0)),5)</f>
        <v>#N/A</v>
      </c>
      <c r="G97" s="558" t="e">
        <f t="array" ref="G97">MROUND(INDEX(df_proj!$E$2:$AD$1000, MATCH(1, ($C$2 = df_proj!$A$2:$A$1000) * (df_proj!$B$2:$B$1000 = $B97) * (df_proj!$C$2:$C$1000 = $D$2), 0), MATCH(TEXT(G$80, "####"), df_proj!$E$1:$AD$1,0)),5)</f>
        <v>#N/A</v>
      </c>
      <c r="H97" s="552" t="e">
        <f t="array" ref="H97">MROUND(INDEX(df_proj!$E$2:$AD$1000, MATCH(1, ($C$2 = df_proj!$A$2:$A$1000) * (df_proj!$B$2:$B$1000 = $B97) * (df_proj!$C$2:$C$1000 = $D$2), 0), MATCH(TEXT(H$80, "####"), df_proj!$E$1:$AD$1,0)),5)</f>
        <v>#N/A</v>
      </c>
      <c r="I97" s="239"/>
    </row>
    <row r="98" spans="1:23" ht="20.100000000000001" customHeight="1" x14ac:dyDescent="0.2">
      <c r="A98" s="299">
        <v>28</v>
      </c>
      <c r="B98" s="496" t="s">
        <v>132</v>
      </c>
      <c r="C98" s="558" t="e">
        <f t="array" ref="C98">IFERROR(MROUND(INDEX(df_proj!$E$2:$AD$1000, MATCH(1, ($A$2 = df_proj!$A$2:$A$1000) * (df_proj!$B$2:$B$1000 = $B98) * (df_proj!$C$2:$C$1000 = $D$2), 0), MATCH(TEXT(C$80, "####"), df_proj!$D$1:$AD$1,0)),5),MROUND(popn_now!D29/popn_now!G29*popn_now!M29,5))</f>
        <v>#N/A</v>
      </c>
      <c r="D98" s="552" t="e">
        <f t="array" ref="D98">IFERROR(MROUND(INDEX(df_proj!$E$2:$AD$1000, MATCH(1, ($A$2 = df_proj!$A$2:$A$1000) * (df_proj!$B$2:$B$1000 = $B98) * (df_proj!$C$2:$C$1000 = $D$2), 0), MATCH(TEXT(D$80, "####"), df_proj!$E$1:$AD$1,0)),5),MROUND(C98/E98*F98,5))</f>
        <v>#N/A</v>
      </c>
      <c r="E98" s="558" t="e">
        <f t="array" ref="E98">MROUND(INDEX(df_proj!$E$2:$AD$1000, MATCH(1, ($B$2 = df_proj!$A$2:$A$1000) * (df_proj!$B$2:$B$1000 = $B98) * (df_proj!$C$2:$C$1000 = $D$2), 0), MATCH(TEXT(E$80, "####"), df_proj!$E$1:$AD$1,0)),5)</f>
        <v>#N/A</v>
      </c>
      <c r="F98" s="552" t="e">
        <f t="array" ref="F98">MROUND(INDEX(df_proj!$E$2:$AD$1000, MATCH(1, ($B$2 = df_proj!$A$2:$A$1000) * (df_proj!$B$2:$B$1000 = $B98) * (df_proj!$C$2:$C$1000 = $D$2), 0), MATCH(TEXT(F$80, "####"), df_proj!$E$1:$AD$1,0)),5)</f>
        <v>#N/A</v>
      </c>
      <c r="G98" s="558" t="e">
        <f t="array" ref="G98">MROUND(INDEX(df_proj!$E$2:$AD$1000, MATCH(1, ($C$2 = df_proj!$A$2:$A$1000) * (df_proj!$B$2:$B$1000 = $B98) * (df_proj!$C$2:$C$1000 = $D$2), 0), MATCH(TEXT(G$80, "####"), df_proj!$E$1:$AD$1,0)),5)</f>
        <v>#N/A</v>
      </c>
      <c r="H98" s="552" t="e">
        <f t="array" ref="H98">MROUND(INDEX(df_proj!$E$2:$AD$1000, MATCH(1, ($C$2 = df_proj!$A$2:$A$1000) * (df_proj!$B$2:$B$1000 = $B98) * (df_proj!$C$2:$C$1000 = $D$2), 0), MATCH(TEXT(H$80, "####"), df_proj!$E$1:$AD$1,0)),5)</f>
        <v>#N/A</v>
      </c>
      <c r="I98" s="239"/>
    </row>
    <row r="99" spans="1:23" ht="20.100000000000001" customHeight="1" x14ac:dyDescent="0.2">
      <c r="A99" s="299">
        <v>29</v>
      </c>
      <c r="B99" s="497" t="s">
        <v>5</v>
      </c>
      <c r="C99" s="559" t="e">
        <f t="array" ref="C99">IFERROR(MROUND(INDEX(df_proj!$E$2:$AD$1000, MATCH(1, ($A$2 = df_proj!$A$2:$A$1000) * (df_proj!$B$2:$B$1000 &amp; "+" = $B99) * (df_proj!$C$2:$C$1000 = $D$2), 0), MATCH(TEXT(C$80, "####"), df_proj!$E$1:$AD$1,0)),5),MROUND(popn_now!D30/popn_now!G30*popn_now!M30,5))</f>
        <v>#N/A</v>
      </c>
      <c r="D99" s="554" t="e">
        <f t="array" ref="D99">IFERROR(MROUND(INDEX(df_proj!$E$2:$AD$1000, MATCH(1, ($A$2 = df_proj!$A$2:$A$1000) * (df_proj!$D$2:$D$1000 = 19) * (df_proj!$C$2:$C$1000 = $D$2), 0), MATCH(TEXT(D$80, "####"), df_proj!$E$1:$AD$1,0)),5),MROUND(C99/E99*F99,5))</f>
        <v>#N/A</v>
      </c>
      <c r="E99" s="559" t="e">
        <f t="array" ref="E99">MROUND(INDEX(df_proj!$E$2:$AD$1000, MATCH(1, ($B$2 = df_proj!$A$2:$A$1000) * (df_proj!$B$2:$B$1000 &amp; "+" = $B99) * (df_proj!$C$2:$C$1000 = $D$2), 0), MATCH(TEXT(E$80, "####"), df_proj!$E$1:$AD$1,0)),5)</f>
        <v>#N/A</v>
      </c>
      <c r="F99" s="554" t="e">
        <f t="array" ref="F99">MROUND(INDEX(df_proj!$E$2:$AD$1000, MATCH(1, ($B$2 = df_proj!$A$2:$A$1000) * (df_proj!$B$2:$B$1000 &amp; "+" = $B99) * (df_proj!$C$2:$C$1000 = $D$2), 0), MATCH(TEXT(F$80, "####"), df_proj!$E$1:$AD$1,0)),5)</f>
        <v>#N/A</v>
      </c>
      <c r="G99" s="559" t="e">
        <f t="array" ref="G99">MROUND(INDEX(df_proj!$E$2:$AD$1000, MATCH(1, ($C$2 = df_proj!$A$2:$A$1000) * (df_proj!$B$2:$B$1000 &amp; "+" = $B99) * (df_proj!$C$2:$C$1000 = $D$2), 0), MATCH(TEXT(G$80, "####"), df_proj!$E$1:$AD$1,0)),5)</f>
        <v>#N/A</v>
      </c>
      <c r="H99" s="554" t="e">
        <f t="array" ref="H99">MROUND(INDEX(df_proj!$E$2:$AD$1000, MATCH(1, ($C$2 = df_proj!$A$2:$A$1000) * (df_proj!$B$2:$B$1000 &amp; "+" = $B99) * (df_proj!$C$2:$C$1000 = $D$2), 0), MATCH(TEXT(H$80, "####"), df_proj!$E$1:$AD$1,0)),5)</f>
        <v>#N/A</v>
      </c>
      <c r="I99" s="239"/>
    </row>
    <row r="100" spans="1:23" ht="20.100000000000001" customHeight="1" x14ac:dyDescent="0.2"/>
    <row r="101" spans="1:23" ht="30" customHeight="1" x14ac:dyDescent="0.2">
      <c r="A101" s="560"/>
      <c r="B101" s="175" t="s">
        <v>1217</v>
      </c>
      <c r="C101" s="310"/>
      <c r="D101" s="310"/>
      <c r="E101" s="310"/>
      <c r="F101" s="310"/>
      <c r="G101" s="310"/>
      <c r="H101" s="310"/>
      <c r="I101" s="310"/>
      <c r="J101" s="310"/>
      <c r="K101" s="310"/>
      <c r="L101" s="310"/>
      <c r="M101" s="310"/>
      <c r="N101" s="310"/>
      <c r="O101" s="310"/>
      <c r="P101" s="310"/>
      <c r="Q101" s="310"/>
      <c r="R101" s="310"/>
      <c r="S101" s="310"/>
      <c r="T101" s="310"/>
      <c r="U101" s="310"/>
    </row>
    <row r="102" spans="1:23" ht="20.100000000000001" customHeight="1" x14ac:dyDescent="0.2"/>
    <row r="103" spans="1:23" ht="20.100000000000001" customHeight="1" x14ac:dyDescent="0.2">
      <c r="A103" s="1"/>
      <c r="B103" s="1243" t="s">
        <v>1218</v>
      </c>
      <c r="C103" s="1243"/>
      <c r="D103" s="1243"/>
      <c r="E103" s="1243"/>
      <c r="F103" s="1243"/>
      <c r="G103" s="1243"/>
      <c r="H103" s="1243"/>
      <c r="I103" s="1243"/>
      <c r="J103" s="1243"/>
      <c r="K103" s="1"/>
      <c r="L103" s="1"/>
      <c r="M103" s="1"/>
      <c r="N103" s="1"/>
      <c r="O103" s="1"/>
      <c r="P103" s="1"/>
      <c r="Q103" s="1"/>
      <c r="R103" s="1"/>
      <c r="S103" s="1"/>
      <c r="T103" s="1"/>
      <c r="U103" s="1"/>
      <c r="V103" s="1"/>
      <c r="W103" s="1"/>
    </row>
    <row r="104" spans="1:23" ht="20.100000000000001" customHeight="1" x14ac:dyDescent="0.2">
      <c r="A104" s="1"/>
      <c r="K104" s="1"/>
      <c r="L104" s="1"/>
      <c r="M104" s="1"/>
      <c r="N104" s="1"/>
      <c r="O104" s="1"/>
      <c r="P104" s="1"/>
      <c r="Q104" s="1"/>
      <c r="R104" s="1"/>
      <c r="S104" s="1"/>
      <c r="T104" s="1"/>
      <c r="U104" s="1"/>
      <c r="V104" s="1"/>
      <c r="W104" s="1"/>
    </row>
    <row r="105" spans="1:23" ht="20.100000000000001" customHeight="1" x14ac:dyDescent="0.2">
      <c r="A105" s="1"/>
      <c r="B105" s="68"/>
      <c r="C105" s="517" t="s">
        <v>6</v>
      </c>
      <c r="D105" s="130" t="s">
        <v>169</v>
      </c>
      <c r="E105" s="246" t="s">
        <v>60</v>
      </c>
      <c r="F105" s="246" t="s">
        <v>61</v>
      </c>
      <c r="G105" s="246" t="s">
        <v>172</v>
      </c>
      <c r="H105" s="246" t="s">
        <v>64</v>
      </c>
      <c r="I105" s="246" t="s">
        <v>170</v>
      </c>
      <c r="J105" s="317" t="s">
        <v>5</v>
      </c>
      <c r="K105" s="1"/>
      <c r="L105" s="1"/>
      <c r="M105" s="1"/>
      <c r="N105" s="1"/>
      <c r="O105" s="1"/>
      <c r="P105" s="1"/>
      <c r="Q105" s="1"/>
      <c r="R105" s="1"/>
      <c r="S105" s="1"/>
      <c r="T105" s="1"/>
      <c r="U105" s="1"/>
      <c r="V105" s="1"/>
      <c r="W105" s="1"/>
    </row>
    <row r="106" spans="1:23" ht="20.100000000000001" customHeight="1" x14ac:dyDescent="0.2">
      <c r="A106" s="1"/>
      <c r="B106" s="529" t="s">
        <v>197</v>
      </c>
      <c r="C106" s="530"/>
      <c r="D106" s="530"/>
      <c r="E106" s="530"/>
      <c r="F106" s="530"/>
      <c r="G106" s="530"/>
      <c r="H106" s="530"/>
      <c r="I106" s="530"/>
      <c r="J106" s="531"/>
      <c r="K106" s="1"/>
      <c r="L106" s="1"/>
      <c r="M106" s="1"/>
      <c r="N106" s="1"/>
      <c r="O106" s="1"/>
      <c r="P106" s="1"/>
      <c r="Q106" s="1"/>
      <c r="R106" s="1"/>
      <c r="S106" s="1"/>
      <c r="T106" s="1"/>
      <c r="U106" s="1"/>
      <c r="V106" s="1"/>
      <c r="W106" s="1"/>
    </row>
    <row r="107" spans="1:23" ht="20.100000000000001" customHeight="1" x14ac:dyDescent="0.2">
      <c r="A107" s="1"/>
      <c r="B107" s="518" t="s">
        <v>257</v>
      </c>
      <c r="C107" s="652" t="str">
        <f t="array" ref="C107:J107">IFERROR(TRANSPOSE(L81:L88),"x")</f>
        <v>x</v>
      </c>
      <c r="D107" s="1275" t="str">
        <v>x</v>
      </c>
      <c r="E107" s="1276" t="str">
        <v>x</v>
      </c>
      <c r="F107" s="1276" t="str">
        <v>x</v>
      </c>
      <c r="G107" s="1276" t="str">
        <v>x</v>
      </c>
      <c r="H107" s="1276" t="str">
        <v>x</v>
      </c>
      <c r="I107" s="1276" t="str">
        <v>x</v>
      </c>
      <c r="J107" s="1277" t="str">
        <v>x</v>
      </c>
      <c r="K107" s="1"/>
      <c r="L107" s="1"/>
      <c r="M107" s="1"/>
      <c r="N107" s="1"/>
      <c r="O107" s="1"/>
      <c r="P107" s="1"/>
      <c r="Q107" s="1"/>
      <c r="R107" s="1"/>
      <c r="S107" s="1"/>
      <c r="T107" s="1"/>
      <c r="U107" s="1"/>
      <c r="V107" s="1"/>
      <c r="W107" s="1"/>
    </row>
    <row r="108" spans="1:23" ht="20.100000000000001" customHeight="1" x14ac:dyDescent="0.2">
      <c r="A108" s="1"/>
      <c r="B108" s="524" t="s">
        <v>258</v>
      </c>
      <c r="C108" s="525">
        <f t="array" ref="C108:J108">TRANSPOSE(S81:S88)</f>
        <v>0</v>
      </c>
      <c r="D108" s="526">
        <v>0</v>
      </c>
      <c r="E108" s="527">
        <v>0</v>
      </c>
      <c r="F108" s="527">
        <v>0</v>
      </c>
      <c r="G108" s="527">
        <v>0</v>
      </c>
      <c r="H108" s="527">
        <v>0</v>
      </c>
      <c r="I108" s="527">
        <v>0</v>
      </c>
      <c r="J108" s="528">
        <v>0</v>
      </c>
      <c r="K108" s="1"/>
      <c r="L108" s="1"/>
      <c r="M108" s="1"/>
      <c r="N108" s="1"/>
      <c r="O108" s="1"/>
      <c r="P108" s="1"/>
      <c r="Q108" s="1"/>
      <c r="R108" s="1"/>
      <c r="S108" s="1"/>
      <c r="T108" s="1"/>
      <c r="U108" s="1"/>
      <c r="V108" s="1"/>
      <c r="W108" s="1"/>
    </row>
    <row r="109" spans="1:23" ht="20.100000000000001" customHeight="1" x14ac:dyDescent="0.2">
      <c r="A109" s="1"/>
      <c r="B109" s="529" t="s">
        <v>261</v>
      </c>
      <c r="C109" s="530"/>
      <c r="D109" s="530"/>
      <c r="E109" s="530"/>
      <c r="F109" s="530"/>
      <c r="G109" s="530"/>
      <c r="H109" s="530"/>
      <c r="I109" s="530"/>
      <c r="J109" s="531"/>
      <c r="K109" s="1"/>
      <c r="L109" s="1"/>
      <c r="M109" s="1"/>
      <c r="N109" s="1"/>
      <c r="O109" s="1"/>
      <c r="P109" s="1"/>
      <c r="Q109" s="1"/>
      <c r="R109" s="1"/>
      <c r="S109" s="1"/>
      <c r="T109" s="1"/>
      <c r="U109" s="1"/>
      <c r="V109" s="1"/>
      <c r="W109" s="1"/>
    </row>
    <row r="110" spans="1:23" ht="20.100000000000001" customHeight="1" x14ac:dyDescent="0.2">
      <c r="A110" s="1"/>
      <c r="B110" s="597" t="s">
        <v>188</v>
      </c>
      <c r="C110" s="598" t="str">
        <f t="array" ref="C110:J110">IFERROR(TRANSPOSE(T81:T88),"x")</f>
        <v>x</v>
      </c>
      <c r="D110" s="599" t="str">
        <v>x</v>
      </c>
      <c r="E110" s="600" t="str">
        <v>x</v>
      </c>
      <c r="F110" s="600" t="str">
        <v>x</v>
      </c>
      <c r="G110" s="600" t="str">
        <v>x</v>
      </c>
      <c r="H110" s="600" t="str">
        <v>x</v>
      </c>
      <c r="I110" s="600" t="str">
        <v>x</v>
      </c>
      <c r="J110" s="601" t="str">
        <v>x</v>
      </c>
      <c r="K110" s="1"/>
      <c r="L110" s="1"/>
      <c r="M110" s="1"/>
      <c r="N110" s="1"/>
      <c r="O110" s="1"/>
      <c r="P110" s="1"/>
      <c r="Q110" s="1"/>
      <c r="R110" s="1"/>
      <c r="S110" s="1"/>
      <c r="T110" s="1"/>
      <c r="U110" s="1"/>
      <c r="V110" s="1"/>
      <c r="W110" s="1"/>
    </row>
    <row r="111" spans="1:23" ht="20.100000000000001" customHeight="1" x14ac:dyDescent="0.2">
      <c r="A111" s="1"/>
      <c r="B111" s="596" t="s">
        <v>189</v>
      </c>
      <c r="C111" s="525" t="str">
        <f t="array" ref="C111:J111">IFERROR(TRANSPOSE(U81:U88),"x")</f>
        <v>x</v>
      </c>
      <c r="D111" s="526" t="str">
        <v>x</v>
      </c>
      <c r="E111" s="527" t="str">
        <v>x</v>
      </c>
      <c r="F111" s="527" t="str">
        <v>x</v>
      </c>
      <c r="G111" s="527" t="str">
        <v>x</v>
      </c>
      <c r="H111" s="527" t="str">
        <v>x</v>
      </c>
      <c r="I111" s="527" t="str">
        <v>x</v>
      </c>
      <c r="J111" s="528" t="str">
        <v>x</v>
      </c>
      <c r="K111" s="1"/>
      <c r="L111" s="1"/>
      <c r="M111" s="1"/>
      <c r="N111" s="1"/>
      <c r="O111" s="1"/>
      <c r="P111" s="1"/>
      <c r="Q111" s="1"/>
      <c r="R111" s="1"/>
      <c r="S111" s="1"/>
      <c r="T111" s="1"/>
      <c r="U111" s="1"/>
      <c r="V111" s="1"/>
      <c r="W111" s="1"/>
    </row>
    <row r="112" spans="1:23" ht="20.100000000000001" customHeight="1" x14ac:dyDescent="0.2">
      <c r="A112" s="1"/>
      <c r="B112" s="1"/>
      <c r="C112" s="1"/>
      <c r="D112" s="1"/>
      <c r="E112" s="1"/>
      <c r="F112" s="1"/>
      <c r="G112" s="1"/>
      <c r="H112" s="1"/>
      <c r="I112" s="1"/>
      <c r="S112" s="1"/>
      <c r="T112" s="1"/>
      <c r="U112" s="1"/>
      <c r="V112" s="1"/>
      <c r="W112" s="1"/>
    </row>
    <row r="113" spans="1:23" ht="20.100000000000001" customHeight="1" x14ac:dyDescent="0.2">
      <c r="A113" s="1"/>
      <c r="S113" s="1"/>
      <c r="T113" s="1"/>
      <c r="U113" s="1"/>
      <c r="V113" s="1"/>
      <c r="W113" s="1"/>
    </row>
    <row r="114" spans="1:23" ht="20.100000000000001" customHeight="1" x14ac:dyDescent="0.2">
      <c r="A114" s="1"/>
      <c r="S114" s="1"/>
      <c r="T114" s="1"/>
      <c r="U114" s="1"/>
      <c r="V114" s="1"/>
      <c r="W114" s="1"/>
    </row>
    <row r="115" spans="1:23" ht="20.100000000000001" customHeight="1" x14ac:dyDescent="0.2">
      <c r="A115" s="1"/>
      <c r="S115" s="1"/>
      <c r="T115" s="1"/>
      <c r="U115" s="1"/>
      <c r="V115" s="1"/>
      <c r="W115" s="1"/>
    </row>
    <row r="116" spans="1:23" ht="20.100000000000001" customHeight="1" x14ac:dyDescent="0.2">
      <c r="A116" s="1"/>
      <c r="S116" s="1"/>
      <c r="T116" s="1"/>
      <c r="U116" s="1"/>
      <c r="V116" s="1"/>
      <c r="W116" s="1"/>
    </row>
    <row r="117" spans="1:23" ht="20.100000000000001" customHeight="1" x14ac:dyDescent="0.2">
      <c r="A117" s="1"/>
      <c r="S117" s="1"/>
      <c r="T117" s="1"/>
      <c r="U117" s="1"/>
      <c r="V117" s="1"/>
      <c r="W117" s="1"/>
    </row>
    <row r="118" spans="1:23" ht="20.100000000000001" customHeight="1" x14ac:dyDescent="0.2">
      <c r="A118" s="1"/>
      <c r="S118" s="1"/>
      <c r="T118" s="1"/>
      <c r="U118" s="1"/>
      <c r="V118" s="1"/>
      <c r="W118" s="1"/>
    </row>
    <row r="119" spans="1:23" ht="20.100000000000001" customHeight="1" x14ac:dyDescent="0.2">
      <c r="A119" s="1"/>
      <c r="S119" s="1"/>
      <c r="T119" s="1"/>
      <c r="U119" s="1"/>
      <c r="V119" s="1"/>
      <c r="W119" s="1"/>
    </row>
    <row r="157" spans="2:5" ht="20.100000000000001" customHeight="1" x14ac:dyDescent="0.2">
      <c r="B157" s="2"/>
      <c r="C157" s="186"/>
      <c r="D157" s="186"/>
      <c r="E157" s="186"/>
    </row>
  </sheetData>
  <mergeCells count="17">
    <mergeCell ref="M20:W21"/>
    <mergeCell ref="M44:W45"/>
    <mergeCell ref="B8:W8"/>
    <mergeCell ref="B23:W23"/>
    <mergeCell ref="B103:J103"/>
    <mergeCell ref="O79:P79"/>
    <mergeCell ref="C79:D79"/>
    <mergeCell ref="E79:F79"/>
    <mergeCell ref="B32:W32"/>
    <mergeCell ref="B47:W47"/>
    <mergeCell ref="B58:H58"/>
    <mergeCell ref="B77:H77"/>
    <mergeCell ref="J77:P77"/>
    <mergeCell ref="R77:U77"/>
    <mergeCell ref="G79:H79"/>
    <mergeCell ref="K79:L79"/>
    <mergeCell ref="M79:N79"/>
  </mergeCells>
  <pageMargins left="0.7" right="0.7" top="0.75" bottom="0.75" header="0.3" footer="0.3"/>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S96"/>
  <sheetViews>
    <sheetView zoomScale="85" zoomScaleNormal="85" workbookViewId="0">
      <pane ySplit="2" topLeftCell="A3" activePane="bottomLeft" state="frozen"/>
      <selection pane="bottomLeft" activeCell="A3" sqref="A3"/>
    </sheetView>
  </sheetViews>
  <sheetFormatPr defaultColWidth="11" defaultRowHeight="14.25" x14ac:dyDescent="0.2"/>
  <sheetData>
    <row r="1" spans="1:13" ht="20.100000000000001" customHeight="1" x14ac:dyDescent="0.2">
      <c r="A1" s="2" t="s">
        <v>181</v>
      </c>
      <c r="B1" s="2" t="s">
        <v>182</v>
      </c>
      <c r="C1" s="2" t="s">
        <v>183</v>
      </c>
    </row>
    <row r="2" spans="1:13" ht="20.100000000000001" customHeight="1" x14ac:dyDescent="0.2">
      <c r="A2" s="2">
        <f>df_geo!A2</f>
        <v>1000000</v>
      </c>
      <c r="B2" s="99">
        <f>_xlfn.NUMBERVALUE(LEFT(A2,4))</f>
        <v>1000</v>
      </c>
      <c r="C2" s="2">
        <f>_xlfn.NUMBERVALUE(LEFT(B2,2))</f>
        <v>10</v>
      </c>
    </row>
    <row r="4" spans="1:13" ht="50.1" customHeight="1" x14ac:dyDescent="0.2">
      <c r="B4" s="159" t="s">
        <v>1279</v>
      </c>
      <c r="C4" s="59"/>
      <c r="D4" s="59"/>
      <c r="E4" s="59"/>
      <c r="F4" s="59"/>
      <c r="G4" s="59"/>
      <c r="H4" s="59"/>
      <c r="I4" s="59"/>
      <c r="J4" s="59"/>
      <c r="K4" s="59"/>
      <c r="L4" s="59"/>
      <c r="M4" s="59"/>
    </row>
    <row r="5" spans="1:13" ht="20.100000000000001" customHeight="1" x14ac:dyDescent="0.2">
      <c r="A5" s="1"/>
      <c r="B5" s="2"/>
      <c r="C5" s="1"/>
      <c r="D5" s="1"/>
      <c r="E5" s="1"/>
      <c r="F5" s="1"/>
      <c r="G5" s="1"/>
      <c r="H5" s="1"/>
      <c r="I5" s="1"/>
      <c r="J5" s="1"/>
      <c r="K5" s="1"/>
      <c r="L5" s="1"/>
      <c r="M5" s="1"/>
    </row>
    <row r="6" spans="1:13" ht="30" customHeight="1" x14ac:dyDescent="0.2">
      <c r="A6" s="560"/>
      <c r="B6" s="175" t="s">
        <v>1216</v>
      </c>
      <c r="C6" s="310"/>
      <c r="D6" s="310"/>
      <c r="E6" s="310"/>
      <c r="F6" s="310"/>
      <c r="G6" s="310"/>
      <c r="H6" s="310"/>
      <c r="I6" s="310"/>
      <c r="J6" s="310"/>
      <c r="K6" s="310"/>
      <c r="L6" s="310"/>
      <c r="M6" s="310"/>
    </row>
    <row r="8" spans="1:13" ht="20.100000000000001" customHeight="1" x14ac:dyDescent="0.2">
      <c r="B8" s="1240" t="s">
        <v>312</v>
      </c>
      <c r="C8" s="1240"/>
      <c r="D8" s="1240"/>
      <c r="E8" s="1240"/>
      <c r="F8" s="1240"/>
      <c r="G8" s="1240"/>
      <c r="I8" s="1240" t="s">
        <v>313</v>
      </c>
      <c r="J8" s="1240"/>
      <c r="K8" s="1240"/>
      <c r="L8" s="1240"/>
      <c r="M8" s="1240"/>
    </row>
    <row r="9" spans="1:13" ht="20.100000000000001" customHeight="1" x14ac:dyDescent="0.2"/>
    <row r="10" spans="1:13" ht="20.100000000000001" customHeight="1" x14ac:dyDescent="0.2">
      <c r="B10" s="206" t="s">
        <v>1280</v>
      </c>
      <c r="C10" s="72"/>
      <c r="D10" s="571" t="s">
        <v>6</v>
      </c>
      <c r="E10" s="128" t="s">
        <v>95</v>
      </c>
      <c r="F10" s="117" t="s">
        <v>96</v>
      </c>
      <c r="G10" s="302" t="s">
        <v>94</v>
      </c>
      <c r="I10" s="206" t="s">
        <v>1280</v>
      </c>
      <c r="J10" s="72"/>
      <c r="K10" s="128" t="s">
        <v>181</v>
      </c>
      <c r="L10" s="117" t="s">
        <v>182</v>
      </c>
      <c r="M10" s="302" t="s">
        <v>183</v>
      </c>
    </row>
    <row r="11" spans="1:13" ht="20.100000000000001" customHeight="1" x14ac:dyDescent="0.2">
      <c r="B11" s="206" t="s">
        <v>6</v>
      </c>
      <c r="C11" s="72"/>
      <c r="D11" s="564" t="e">
        <f t="array" ref="D11">INDEX(df_hh_ten!$D$2:$G$100, MATCH(1, ($A$2 = df_hh_ten!$B$2:$B$100) * (df_hh_ten!$C$2:$C$100 = $B11), 0), MATCH(D$10, df_hh_ten!$D$1:$G$1,0))</f>
        <v>#N/A</v>
      </c>
      <c r="E11" s="564" t="e">
        <f t="array" ref="E11">INDEX(df_hh_ten!$D$2:$G$100, MATCH(1, ($A$2 = df_hh_ten!$B$2:$B$100) * (df_hh_ten!$C$2:$C$100 = $B11), 0), MATCH(E$10, df_hh_ten!$D$1:$G$1,0))</f>
        <v>#N/A</v>
      </c>
      <c r="F11" s="565" t="e">
        <f t="array" ref="F11">INDEX(df_hh_ten!$D$2:$G$100, MATCH(1, ($A$2 = df_hh_ten!$B$2:$B$100) * (df_hh_ten!$C$2:$C$100 = $B11), 0), MATCH(F$10, df_hh_ten!$D$1:$G$1,0))</f>
        <v>#N/A</v>
      </c>
      <c r="G11" s="566" t="e">
        <f t="array" ref="G11">INDEX(df_hh_ten!$D$2:$G$100, MATCH(1, ($A$2 = df_hh_ten!$B$2:$B$100) * (df_hh_ten!$C$2:$C$100 = $B11), 0), MATCH(G$10, df_hh_ten!$D$1:$G$1,0))</f>
        <v>#N/A</v>
      </c>
      <c r="I11" s="206" t="s">
        <v>6</v>
      </c>
      <c r="J11" s="72"/>
      <c r="K11" s="564" t="e">
        <f t="array" ref="K11">INDEX(df_hh_ten!$D$2:$G$100, MATCH(1, (A$2 = df_hh_ten!$B$2:$B$100) * (df_hh_ten!$C$2:$C$100 = $B11), 0), MATCH("Total", df_hh_ten!$D$1:$G$1,0))</f>
        <v>#N/A</v>
      </c>
      <c r="L11" s="565" t="e">
        <f t="array" ref="L11">INDEX(df_hh_ten!$D$2:$G$100, MATCH(1, (B$2 = df_hh_ten!$B$2:$B$100) * (df_hh_ten!$C$2:$C$100 = $B11), 0), MATCH("Total", df_hh_ten!$D$1:$G$1,0))</f>
        <v>#N/A</v>
      </c>
      <c r="M11" s="566" t="e">
        <f t="array" ref="M11">INDEX(df_hh_ten!$D$2:$G$100, MATCH(1, (C$2 = df_hh_ten!$B$2:$B$100) * (df_hh_ten!$C$2:$C$100 = $B11), 0), MATCH("Total", df_hh_ten!$D$1:$G$1,0))</f>
        <v>#N/A</v>
      </c>
    </row>
    <row r="12" spans="1:13" ht="20.100000000000001" customHeight="1" x14ac:dyDescent="0.2">
      <c r="B12" s="570" t="s">
        <v>60</v>
      </c>
      <c r="C12" s="493"/>
      <c r="D12" s="557" t="e">
        <f t="array" ref="D12">INDEX(df_hh_ten!$D$2:$G$100, MATCH(1, ($A$2 = df_hh_ten!$B$2:$B$100) * (df_hh_ten!$C$2:$C$100 = $B12), 0), MATCH(D$10, df_hh_ten!$D$1:$G$1,0))</f>
        <v>#N/A</v>
      </c>
      <c r="E12" s="557" t="e">
        <f t="array" ref="E12">INDEX(df_hh_ten!$D$2:$G$100, MATCH(1, ($A$2 = df_hh_ten!$B$2:$B$100) * (df_hh_ten!$C$2:$C$100 = $B12), 0), MATCH(E$10, df_hh_ten!$D$1:$G$1,0))</f>
        <v>#N/A</v>
      </c>
      <c r="F12" s="555" t="e">
        <f t="array" ref="F12">INDEX(df_hh_ten!$D$2:$G$100, MATCH(1, ($A$2 = df_hh_ten!$B$2:$B$100) * (df_hh_ten!$C$2:$C$100 = $B12), 0), MATCH(F$10, df_hh_ten!$D$1:$G$1,0))</f>
        <v>#N/A</v>
      </c>
      <c r="G12" s="556" t="e">
        <f t="array" ref="G12">INDEX(df_hh_ten!$D$2:$G$100, MATCH(1, ($A$2 = df_hh_ten!$B$2:$B$100) * (df_hh_ten!$C$2:$C$100 = $B12), 0), MATCH(G$10, df_hh_ten!$D$1:$G$1,0))</f>
        <v>#N/A</v>
      </c>
      <c r="I12" s="570" t="s">
        <v>60</v>
      </c>
      <c r="J12" s="493"/>
      <c r="K12" s="557" t="e">
        <f t="array" ref="K12">INDEX(df_hh_ten!$D$2:$G$100, MATCH(1, (A$2 = df_hh_ten!$B$2:$B$100) * (df_hh_ten!$C$2:$C$100 = $B12), 0), MATCH("Total", df_hh_ten!$D$1:$G$1,0))</f>
        <v>#N/A</v>
      </c>
      <c r="L12" s="555" t="e">
        <f t="array" ref="L12">INDEX(df_hh_ten!$D$2:$G$100, MATCH(1, (B$2 = df_hh_ten!$B$2:$B$100) * (df_hh_ten!$C$2:$C$100 = $B12), 0), MATCH("Total", df_hh_ten!$D$1:$G$1,0))</f>
        <v>#N/A</v>
      </c>
      <c r="M12" s="556" t="e">
        <f t="array" ref="M12">INDEX(df_hh_ten!$D$2:$G$100, MATCH(1, (C$2 = df_hh_ten!$B$2:$B$100) * (df_hh_ten!$C$2:$C$100 = $B12), 0), MATCH("Total", df_hh_ten!$D$1:$G$1,0))</f>
        <v>#N/A</v>
      </c>
    </row>
    <row r="13" spans="1:13" ht="20.100000000000001" customHeight="1" x14ac:dyDescent="0.2">
      <c r="B13" s="84" t="s">
        <v>61</v>
      </c>
      <c r="C13" s="173"/>
      <c r="D13" s="558" t="e">
        <f t="array" ref="D13">INDEX(df_hh_ten!$D$2:$G$100, MATCH(1, ($A$2 = df_hh_ten!$B$2:$B$100) * (df_hh_ten!$C$2:$C$100 = $B13), 0), MATCH(D$10, df_hh_ten!$D$1:$G$1,0))</f>
        <v>#N/A</v>
      </c>
      <c r="E13" s="558" t="e">
        <f t="array" ref="E13">INDEX(df_hh_ten!$D$2:$G$100, MATCH(1, ($A$2 = df_hh_ten!$B$2:$B$100) * (df_hh_ten!$C$2:$C$100 = $B13), 0), MATCH(E$10, df_hh_ten!$D$1:$G$1,0))</f>
        <v>#N/A</v>
      </c>
      <c r="F13" s="239" t="e">
        <f t="array" ref="F13">INDEX(df_hh_ten!$D$2:$G$100, MATCH(1, ($A$2 = df_hh_ten!$B$2:$B$100) * (df_hh_ten!$C$2:$C$100 = $B13), 0), MATCH(F$10, df_hh_ten!$D$1:$G$1,0))</f>
        <v>#N/A</v>
      </c>
      <c r="G13" s="552" t="e">
        <f t="array" ref="G13">INDEX(df_hh_ten!$D$2:$G$100, MATCH(1, ($A$2 = df_hh_ten!$B$2:$B$100) * (df_hh_ten!$C$2:$C$100 = $B13), 0), MATCH(G$10, df_hh_ten!$D$1:$G$1,0))</f>
        <v>#N/A</v>
      </c>
      <c r="I13" s="84" t="s">
        <v>61</v>
      </c>
      <c r="J13" s="173"/>
      <c r="K13" s="558" t="e">
        <f t="array" ref="K13">INDEX(df_hh_ten!$D$2:$G$100, MATCH(1, (A$2 = df_hh_ten!$B$2:$B$100) * (df_hh_ten!$C$2:$C$100 = $B13), 0), MATCH("Total", df_hh_ten!$D$1:$G$1,0))</f>
        <v>#N/A</v>
      </c>
      <c r="L13" s="239" t="e">
        <f t="array" ref="L13">INDEX(df_hh_ten!$D$2:$G$100, MATCH(1, (B$2 = df_hh_ten!$B$2:$B$100) * (df_hh_ten!$C$2:$C$100 = $B13), 0), MATCH("Total", df_hh_ten!$D$1:$G$1,0))</f>
        <v>#N/A</v>
      </c>
      <c r="M13" s="552" t="e">
        <f t="array" ref="M13">INDEX(df_hh_ten!$D$2:$G$100, MATCH(1, (C$2 = df_hh_ten!$B$2:$B$100) * (df_hh_ten!$C$2:$C$100 = $B13), 0), MATCH("Total", df_hh_ten!$D$1:$G$1,0))</f>
        <v>#N/A</v>
      </c>
    </row>
    <row r="14" spans="1:13" ht="20.100000000000001" customHeight="1" x14ac:dyDescent="0.2">
      <c r="B14" s="84" t="s">
        <v>62</v>
      </c>
      <c r="C14" s="173"/>
      <c r="D14" s="558" t="e">
        <f t="array" ref="D14">INDEX(df_hh_ten!$D$2:$G$100, MATCH(1, ($A$2 = df_hh_ten!$B$2:$B$100) * (df_hh_ten!$C$2:$C$100 = $B14), 0), MATCH(D$10, df_hh_ten!$D$1:$G$1,0))</f>
        <v>#N/A</v>
      </c>
      <c r="E14" s="558" t="e">
        <f t="array" ref="E14">INDEX(df_hh_ten!$D$2:$G$100, MATCH(1, ($A$2 = df_hh_ten!$B$2:$B$100) * (df_hh_ten!$C$2:$C$100 = $B14), 0), MATCH(E$10, df_hh_ten!$D$1:$G$1,0))</f>
        <v>#N/A</v>
      </c>
      <c r="F14" s="239" t="e">
        <f t="array" ref="F14">INDEX(df_hh_ten!$D$2:$G$100, MATCH(1, ($A$2 = df_hh_ten!$B$2:$B$100) * (df_hh_ten!$C$2:$C$100 = $B14), 0), MATCH(F$10, df_hh_ten!$D$1:$G$1,0))</f>
        <v>#N/A</v>
      </c>
      <c r="G14" s="552" t="e">
        <f t="array" ref="G14">INDEX(df_hh_ten!$D$2:$G$100, MATCH(1, ($A$2 = df_hh_ten!$B$2:$B$100) * (df_hh_ten!$C$2:$C$100 = $B14), 0), MATCH(G$10, df_hh_ten!$D$1:$G$1,0))</f>
        <v>#N/A</v>
      </c>
      <c r="I14" s="84" t="s">
        <v>62</v>
      </c>
      <c r="J14" s="173"/>
      <c r="K14" s="558" t="e">
        <f t="array" ref="K14">INDEX(df_hh_ten!$D$2:$G$100, MATCH(1, (A$2 = df_hh_ten!$B$2:$B$100) * (df_hh_ten!$C$2:$C$100 = $B14), 0), MATCH("Total", df_hh_ten!$D$1:$G$1,0))</f>
        <v>#N/A</v>
      </c>
      <c r="L14" s="239" t="e">
        <f t="array" ref="L14">INDEX(df_hh_ten!$D$2:$G$100, MATCH(1, (B$2 = df_hh_ten!$B$2:$B$100) * (df_hh_ten!$C$2:$C$100 = $B14), 0), MATCH("Total", df_hh_ten!$D$1:$G$1,0))</f>
        <v>#N/A</v>
      </c>
      <c r="M14" s="552" t="e">
        <f t="array" ref="M14">INDEX(df_hh_ten!$D$2:$G$100, MATCH(1, (C$2 = df_hh_ten!$B$2:$B$100) * (df_hh_ten!$C$2:$C$100 = $B14), 0), MATCH("Total", df_hh_ten!$D$1:$G$1,0))</f>
        <v>#N/A</v>
      </c>
    </row>
    <row r="15" spans="1:13" ht="20.100000000000001" customHeight="1" x14ac:dyDescent="0.2">
      <c r="B15" s="84" t="s">
        <v>63</v>
      </c>
      <c r="C15" s="173"/>
      <c r="D15" s="558" t="e">
        <f t="array" ref="D15">INDEX(df_hh_ten!$D$2:$G$100, MATCH(1, ($A$2 = df_hh_ten!$B$2:$B$100) * (df_hh_ten!$C$2:$C$100 = $B15), 0), MATCH(D$10, df_hh_ten!$D$1:$G$1,0))</f>
        <v>#N/A</v>
      </c>
      <c r="E15" s="558" t="e">
        <f t="array" ref="E15">INDEX(df_hh_ten!$D$2:$G$100, MATCH(1, ($A$2 = df_hh_ten!$B$2:$B$100) * (df_hh_ten!$C$2:$C$100 = $B15), 0), MATCH(E$10, df_hh_ten!$D$1:$G$1,0))</f>
        <v>#N/A</v>
      </c>
      <c r="F15" s="239" t="e">
        <f t="array" ref="F15">INDEX(df_hh_ten!$D$2:$G$100, MATCH(1, ($A$2 = df_hh_ten!$B$2:$B$100) * (df_hh_ten!$C$2:$C$100 = $B15), 0), MATCH(F$10, df_hh_ten!$D$1:$G$1,0))</f>
        <v>#N/A</v>
      </c>
      <c r="G15" s="552" t="e">
        <f t="array" ref="G15">INDEX(df_hh_ten!$D$2:$G$100, MATCH(1, ($A$2 = df_hh_ten!$B$2:$B$100) * (df_hh_ten!$C$2:$C$100 = $B15), 0), MATCH(G$10, df_hh_ten!$D$1:$G$1,0))</f>
        <v>#N/A</v>
      </c>
      <c r="I15" s="84" t="s">
        <v>63</v>
      </c>
      <c r="J15" s="173"/>
      <c r="K15" s="558" t="e">
        <f t="array" ref="K15">INDEX(df_hh_ten!$D$2:$G$100, MATCH(1, (A$2 = df_hh_ten!$B$2:$B$100) * (df_hh_ten!$C$2:$C$100 = $B15), 0), MATCH("Total", df_hh_ten!$D$1:$G$1,0))</f>
        <v>#N/A</v>
      </c>
      <c r="L15" s="239" t="e">
        <f t="array" ref="L15">INDEX(df_hh_ten!$D$2:$G$100, MATCH(1, (B$2 = df_hh_ten!$B$2:$B$100) * (df_hh_ten!$C$2:$C$100 = $B15), 0), MATCH("Total", df_hh_ten!$D$1:$G$1,0))</f>
        <v>#N/A</v>
      </c>
      <c r="M15" s="552" t="e">
        <f t="array" ref="M15">INDEX(df_hh_ten!$D$2:$G$100, MATCH(1, (C$2 = df_hh_ten!$B$2:$B$100) * (df_hh_ten!$C$2:$C$100 = $B15), 0), MATCH("Total", df_hh_ten!$D$1:$G$1,0))</f>
        <v>#N/A</v>
      </c>
    </row>
    <row r="16" spans="1:13" ht="20.100000000000001" customHeight="1" x14ac:dyDescent="0.2">
      <c r="B16" s="84" t="s">
        <v>64</v>
      </c>
      <c r="C16" s="173"/>
      <c r="D16" s="558" t="e">
        <f t="array" ref="D16">INDEX(df_hh_ten!$D$2:$G$100, MATCH(1, ($A$2 = df_hh_ten!$B$2:$B$100) * (df_hh_ten!$C$2:$C$100 = $B16), 0), MATCH(D$10, df_hh_ten!$D$1:$G$1,0))</f>
        <v>#N/A</v>
      </c>
      <c r="E16" s="558" t="e">
        <f t="array" ref="E16">INDEX(df_hh_ten!$D$2:$G$100, MATCH(1, ($A$2 = df_hh_ten!$B$2:$B$100) * (df_hh_ten!$C$2:$C$100 = $B16), 0), MATCH(E$10, df_hh_ten!$D$1:$G$1,0))</f>
        <v>#N/A</v>
      </c>
      <c r="F16" s="239" t="e">
        <f t="array" ref="F16">INDEX(df_hh_ten!$D$2:$G$100, MATCH(1, ($A$2 = df_hh_ten!$B$2:$B$100) * (df_hh_ten!$C$2:$C$100 = $B16), 0), MATCH(F$10, df_hh_ten!$D$1:$G$1,0))</f>
        <v>#N/A</v>
      </c>
      <c r="G16" s="552" t="e">
        <f t="array" ref="G16">INDEX(df_hh_ten!$D$2:$G$100, MATCH(1, ($A$2 = df_hh_ten!$B$2:$B$100) * (df_hh_ten!$C$2:$C$100 = $B16), 0), MATCH(G$10, df_hh_ten!$D$1:$G$1,0))</f>
        <v>#N/A</v>
      </c>
      <c r="I16" s="84" t="s">
        <v>64</v>
      </c>
      <c r="J16" s="173"/>
      <c r="K16" s="558" t="e">
        <f t="array" ref="K16">INDEX(df_hh_ten!$D$2:$G$100, MATCH(1, (A$2 = df_hh_ten!$B$2:$B$100) * (df_hh_ten!$C$2:$C$100 = $B16), 0), MATCH("Total", df_hh_ten!$D$1:$G$1,0))</f>
        <v>#N/A</v>
      </c>
      <c r="L16" s="239" t="e">
        <f t="array" ref="L16">INDEX(df_hh_ten!$D$2:$G$100, MATCH(1, (B$2 = df_hh_ten!$B$2:$B$100) * (df_hh_ten!$C$2:$C$100 = $B16), 0), MATCH("Total", df_hh_ten!$D$1:$G$1,0))</f>
        <v>#N/A</v>
      </c>
      <c r="M16" s="552" t="e">
        <f t="array" ref="M16">INDEX(df_hh_ten!$D$2:$G$100, MATCH(1, (C$2 = df_hh_ten!$B$2:$B$100) * (df_hh_ten!$C$2:$C$100 = $B16), 0), MATCH("Total", df_hh_ten!$D$1:$G$1,0))</f>
        <v>#N/A</v>
      </c>
    </row>
    <row r="17" spans="2:13" ht="20.100000000000001" customHeight="1" x14ac:dyDescent="0.2">
      <c r="B17" s="84" t="s">
        <v>65</v>
      </c>
      <c r="C17" s="173"/>
      <c r="D17" s="558" t="e">
        <f t="array" ref="D17">INDEX(df_hh_ten!$D$2:$G$100, MATCH(1, ($A$2 = df_hh_ten!$B$2:$B$100) * (df_hh_ten!$C$2:$C$100 = $B17), 0), MATCH(D$10, df_hh_ten!$D$1:$G$1,0))</f>
        <v>#N/A</v>
      </c>
      <c r="E17" s="558" t="e">
        <f t="array" ref="E17">INDEX(df_hh_ten!$D$2:$G$100, MATCH(1, ($A$2 = df_hh_ten!$B$2:$B$100) * (df_hh_ten!$C$2:$C$100 = $B17), 0), MATCH(E$10, df_hh_ten!$D$1:$G$1,0))</f>
        <v>#N/A</v>
      </c>
      <c r="F17" s="239" t="e">
        <f t="array" ref="F17">INDEX(df_hh_ten!$D$2:$G$100, MATCH(1, ($A$2 = df_hh_ten!$B$2:$B$100) * (df_hh_ten!$C$2:$C$100 = $B17), 0), MATCH(F$10, df_hh_ten!$D$1:$G$1,0))</f>
        <v>#N/A</v>
      </c>
      <c r="G17" s="552" t="e">
        <f t="array" ref="G17">INDEX(df_hh_ten!$D$2:$G$100, MATCH(1, ($A$2 = df_hh_ten!$B$2:$B$100) * (df_hh_ten!$C$2:$C$100 = $B17), 0), MATCH(G$10, df_hh_ten!$D$1:$G$1,0))</f>
        <v>#N/A</v>
      </c>
      <c r="I17" s="84" t="s">
        <v>65</v>
      </c>
      <c r="J17" s="173"/>
      <c r="K17" s="558" t="e">
        <f t="array" ref="K17">INDEX(df_hh_ten!$D$2:$G$100, MATCH(1, (A$2 = df_hh_ten!$B$2:$B$100) * (df_hh_ten!$C$2:$C$100 = $B17), 0), MATCH("Total", df_hh_ten!$D$1:$G$1,0))</f>
        <v>#N/A</v>
      </c>
      <c r="L17" s="239" t="e">
        <f t="array" ref="L17">INDEX(df_hh_ten!$D$2:$G$100, MATCH(1, (B$2 = df_hh_ten!$B$2:$B$100) * (df_hh_ten!$C$2:$C$100 = $B17), 0), MATCH("Total", df_hh_ten!$D$1:$G$1,0))</f>
        <v>#N/A</v>
      </c>
      <c r="M17" s="552" t="e">
        <f t="array" ref="M17">INDEX(df_hh_ten!$D$2:$G$100, MATCH(1, (C$2 = df_hh_ten!$B$2:$B$100) * (df_hh_ten!$C$2:$C$100 = $B17), 0), MATCH("Total", df_hh_ten!$D$1:$G$1,0))</f>
        <v>#N/A</v>
      </c>
    </row>
    <row r="18" spans="2:13" ht="20.100000000000001" customHeight="1" x14ac:dyDescent="0.2">
      <c r="B18" s="84" t="s">
        <v>133</v>
      </c>
      <c r="C18" s="173"/>
      <c r="D18" s="558" t="e">
        <f t="array" ref="D18">INDEX(df_hh_ten!$D$2:$G$100, MATCH(1, ($A$2 = df_hh_ten!$B$2:$B$100) * (df_hh_ten!$C$2:$C$100 = $B18), 0), MATCH(D$10, df_hh_ten!$D$1:$G$1,0))</f>
        <v>#N/A</v>
      </c>
      <c r="E18" s="558" t="e">
        <f t="array" ref="E18">INDEX(df_hh_ten!$D$2:$G$100, MATCH(1, ($A$2 = df_hh_ten!$B$2:$B$100) * (df_hh_ten!$C$2:$C$100 = $B18), 0), MATCH(E$10, df_hh_ten!$D$1:$G$1,0))</f>
        <v>#N/A</v>
      </c>
      <c r="F18" s="239" t="e">
        <f t="array" ref="F18">INDEX(df_hh_ten!$D$2:$G$100, MATCH(1, ($A$2 = df_hh_ten!$B$2:$B$100) * (df_hh_ten!$C$2:$C$100 = $B18), 0), MATCH(F$10, df_hh_ten!$D$1:$G$1,0))</f>
        <v>#N/A</v>
      </c>
      <c r="G18" s="552" t="e">
        <f t="array" ref="G18">INDEX(df_hh_ten!$D$2:$G$100, MATCH(1, ($A$2 = df_hh_ten!$B$2:$B$100) * (df_hh_ten!$C$2:$C$100 = $B18), 0), MATCH(G$10, df_hh_ten!$D$1:$G$1,0))</f>
        <v>#N/A</v>
      </c>
      <c r="I18" s="84" t="s">
        <v>133</v>
      </c>
      <c r="J18" s="173"/>
      <c r="K18" s="558" t="e">
        <f t="array" ref="K18">INDEX(df_hh_ten!$D$2:$G$100, MATCH(1, (A$2 = df_hh_ten!$B$2:$B$100) * (df_hh_ten!$C$2:$C$100 = $B18), 0), MATCH("Total", df_hh_ten!$D$1:$G$1,0))</f>
        <v>#N/A</v>
      </c>
      <c r="L18" s="239" t="e">
        <f t="array" ref="L18">INDEX(df_hh_ten!$D$2:$G$100, MATCH(1, (B$2 = df_hh_ten!$B$2:$B$100) * (df_hh_ten!$C$2:$C$100 = $B18), 0), MATCH("Total", df_hh_ten!$D$1:$G$1,0))</f>
        <v>#N/A</v>
      </c>
      <c r="M18" s="552" t="e">
        <f t="array" ref="M18">INDEX(df_hh_ten!$D$2:$G$100, MATCH(1, (C$2 = df_hh_ten!$B$2:$B$100) * (df_hh_ten!$C$2:$C$100 = $B18), 0), MATCH("Total", df_hh_ten!$D$1:$G$1,0))</f>
        <v>#N/A</v>
      </c>
    </row>
    <row r="19" spans="2:13" ht="20.100000000000001" customHeight="1" x14ac:dyDescent="0.2">
      <c r="B19" s="84" t="s">
        <v>5</v>
      </c>
      <c r="C19" s="173"/>
      <c r="D19" s="558" t="e">
        <f t="array" ref="D19">INDEX(df_hh_ten!$D$2:$G$100, MATCH(1, ($A$2 = df_hh_ten!$B$2:$B$100) * (df_hh_ten!$C$2:$C$100 = $B19), 0), MATCH(D$10, df_hh_ten!$D$1:$G$1,0))</f>
        <v>#N/A</v>
      </c>
      <c r="E19" s="558" t="e">
        <f t="array" ref="E19">INDEX(df_hh_ten!$D$2:$G$100, MATCH(1, ($A$2 = df_hh_ten!$B$2:$B$100) * (df_hh_ten!$C$2:$C$100 = $B19), 0), MATCH(E$10, df_hh_ten!$D$1:$G$1,0))</f>
        <v>#N/A</v>
      </c>
      <c r="F19" s="239" t="e">
        <f t="array" ref="F19">INDEX(df_hh_ten!$D$2:$G$100, MATCH(1, ($A$2 = df_hh_ten!$B$2:$B$100) * (df_hh_ten!$C$2:$C$100 = $B19), 0), MATCH(F$10, df_hh_ten!$D$1:$G$1,0))</f>
        <v>#N/A</v>
      </c>
      <c r="G19" s="552" t="e">
        <f t="array" ref="G19">INDEX(df_hh_ten!$D$2:$G$100, MATCH(1, ($A$2 = df_hh_ten!$B$2:$B$100) * (df_hh_ten!$C$2:$C$100 = $B19), 0), MATCH(G$10, df_hh_ten!$D$1:$G$1,0))</f>
        <v>#N/A</v>
      </c>
      <c r="I19" s="84" t="s">
        <v>5</v>
      </c>
      <c r="J19" s="173"/>
      <c r="K19" s="558" t="e">
        <f t="array" ref="K19">INDEX(df_hh_ten!$D$2:$G$100, MATCH(1, (A$2 = df_hh_ten!$B$2:$B$100) * (df_hh_ten!$C$2:$C$100 = $B19), 0), MATCH("Total", df_hh_ten!$D$1:$G$1,0))</f>
        <v>#N/A</v>
      </c>
      <c r="L19" s="239" t="e">
        <f t="array" ref="L19">INDEX(df_hh_ten!$D$2:$G$100, MATCH(1, (B$2 = df_hh_ten!$B$2:$B$100) * (df_hh_ten!$C$2:$C$100 = $B19), 0), MATCH("Total", df_hh_ten!$D$1:$G$1,0))</f>
        <v>#N/A</v>
      </c>
      <c r="M19" s="552" t="e">
        <f t="array" ref="M19">INDEX(df_hh_ten!$D$2:$G$100, MATCH(1, (C$2 = df_hh_ten!$B$2:$B$100) * (df_hh_ten!$C$2:$C$100 = $B19), 0), MATCH("Total", df_hh_ten!$D$1:$G$1,0))</f>
        <v>#N/A</v>
      </c>
    </row>
    <row r="20" spans="2:13" ht="20.100000000000001" customHeight="1" x14ac:dyDescent="0.2">
      <c r="B20" s="84" t="s">
        <v>302</v>
      </c>
      <c r="C20" s="173"/>
      <c r="D20" s="558" t="e">
        <f t="array" ref="D20">INDEX(df_hh_ten!$D$2:$G$100, MATCH(1, ($A$2 = df_hh_ten!$B$2:$B$100) * (df_hh_ten!$C$2:$C$100 = $B20), 0), MATCH(D$10, df_hh_ten!$D$1:$G$1,0))</f>
        <v>#N/A</v>
      </c>
      <c r="E20" s="558" t="e">
        <f t="array" ref="E20">INDEX(df_hh_ten!$D$2:$G$100, MATCH(1, ($A$2 = df_hh_ten!$B$2:$B$100) * (df_hh_ten!$C$2:$C$100 = $B20), 0), MATCH(E$10, df_hh_ten!$D$1:$G$1,0))</f>
        <v>#N/A</v>
      </c>
      <c r="F20" s="239" t="e">
        <f t="array" ref="F20">INDEX(df_hh_ten!$D$2:$G$100, MATCH(1, ($A$2 = df_hh_ten!$B$2:$B$100) * (df_hh_ten!$C$2:$C$100 = $B20), 0), MATCH(F$10, df_hh_ten!$D$1:$G$1,0))</f>
        <v>#N/A</v>
      </c>
      <c r="G20" s="552" t="e">
        <f t="array" ref="G20">INDEX(df_hh_ten!$D$2:$G$100, MATCH(1, ($A$2 = df_hh_ten!$B$2:$B$100) * (df_hh_ten!$C$2:$C$100 = $B20), 0), MATCH(G$10, df_hh_ten!$D$1:$G$1,0))</f>
        <v>#N/A</v>
      </c>
      <c r="I20" s="84" t="s">
        <v>302</v>
      </c>
      <c r="J20" s="173"/>
      <c r="K20" s="558" t="e">
        <f t="array" ref="K20">INDEX(df_hh_ten!$D$2:$G$100, MATCH(1, (A$2 = df_hh_ten!$B$2:$B$100) * (df_hh_ten!$C$2:$C$100 = $B20), 0), MATCH("Total", df_hh_ten!$D$1:$G$1,0))</f>
        <v>#N/A</v>
      </c>
      <c r="L20" s="239" t="e">
        <f t="array" ref="L20">INDEX(df_hh_ten!$D$2:$G$100, MATCH(1, (B$2 = df_hh_ten!$B$2:$B$100) * (df_hh_ten!$C$2:$C$100 = $B20), 0), MATCH("Total", df_hh_ten!$D$1:$G$1,0))</f>
        <v>#N/A</v>
      </c>
      <c r="M20" s="552" t="e">
        <f t="array" ref="M20">INDEX(df_hh_ten!$D$2:$G$100, MATCH(1, (C$2 = df_hh_ten!$B$2:$B$100) * (df_hh_ten!$C$2:$C$100 = $B20), 0), MATCH("Total", df_hh_ten!$D$1:$G$1,0))</f>
        <v>#N/A</v>
      </c>
    </row>
    <row r="21" spans="2:13" ht="20.100000000000001" customHeight="1" x14ac:dyDescent="0.2">
      <c r="B21" s="84" t="s">
        <v>301</v>
      </c>
      <c r="C21" s="173"/>
      <c r="D21" s="558" t="e">
        <f t="array" ref="D21">INDEX(df_hh_ten!$D$2:$G$100, MATCH(1, ($A$2 = df_hh_ten!$B$2:$B$100) * (df_hh_ten!$C$2:$C$100 = $B21), 0), MATCH(D$10, df_hh_ten!$D$1:$G$1,0))</f>
        <v>#N/A</v>
      </c>
      <c r="E21" s="558" t="e">
        <f t="array" ref="E21">INDEX(df_hh_ten!$D$2:$G$100, MATCH(1, ($A$2 = df_hh_ten!$B$2:$B$100) * (df_hh_ten!$C$2:$C$100 = $B21), 0), MATCH(E$10, df_hh_ten!$D$1:$G$1,0))</f>
        <v>#N/A</v>
      </c>
      <c r="F21" s="239" t="e">
        <f t="array" ref="F21">INDEX(df_hh_ten!$D$2:$G$100, MATCH(1, ($A$2 = df_hh_ten!$B$2:$B$100) * (df_hh_ten!$C$2:$C$100 = $B21), 0), MATCH(F$10, df_hh_ten!$D$1:$G$1,0))</f>
        <v>#N/A</v>
      </c>
      <c r="G21" s="552" t="e">
        <f t="array" ref="G21">INDEX(df_hh_ten!$D$2:$G$100, MATCH(1, ($A$2 = df_hh_ten!$B$2:$B$100) * (df_hh_ten!$C$2:$C$100 = $B21), 0), MATCH(G$10, df_hh_ten!$D$1:$G$1,0))</f>
        <v>#N/A</v>
      </c>
      <c r="I21" s="84" t="s">
        <v>301</v>
      </c>
      <c r="J21" s="173"/>
      <c r="K21" s="558" t="e">
        <f t="array" ref="K21">INDEX(df_hh_ten!$D$2:$G$100, MATCH(1, (A$2 = df_hh_ten!$B$2:$B$100) * (df_hh_ten!$C$2:$C$100 = $B21), 0), MATCH("Total", df_hh_ten!$D$1:$G$1,0))</f>
        <v>#N/A</v>
      </c>
      <c r="L21" s="239" t="e">
        <f t="array" ref="L21">INDEX(df_hh_ten!$D$2:$G$100, MATCH(1, (B$2 = df_hh_ten!$B$2:$B$100) * (df_hh_ten!$C$2:$C$100 = $B21), 0), MATCH("Total", df_hh_ten!$D$1:$G$1,0))</f>
        <v>#N/A</v>
      </c>
      <c r="M21" s="552" t="e">
        <f t="array" ref="M21">INDEX(df_hh_ten!$D$2:$G$100, MATCH(1, (C$2 = df_hh_ten!$B$2:$B$100) * (df_hh_ten!$C$2:$C$100 = $B21), 0), MATCH("Total", df_hh_ten!$D$1:$G$1,0))</f>
        <v>#N/A</v>
      </c>
    </row>
    <row r="22" spans="2:13" ht="20.100000000000001" customHeight="1" x14ac:dyDescent="0.2">
      <c r="B22" s="84" t="s">
        <v>92</v>
      </c>
      <c r="C22" s="173"/>
      <c r="D22" s="558" t="e">
        <f t="array" ref="D22">INDEX(df_hh_ten!$D$2:$G$100, MATCH(1, ($A$2 = df_hh_ten!$B$2:$B$100) * (df_hh_ten!$C$2:$C$100 = $B22), 0), MATCH(D$10, df_hh_ten!$D$1:$G$1,0))</f>
        <v>#N/A</v>
      </c>
      <c r="E22" s="558" t="e">
        <f t="array" ref="E22">INDEX(df_hh_ten!$D$2:$G$100, MATCH(1, ($A$2 = df_hh_ten!$B$2:$B$100) * (df_hh_ten!$C$2:$C$100 = $B22), 0), MATCH(E$10, df_hh_ten!$D$1:$G$1,0))</f>
        <v>#N/A</v>
      </c>
      <c r="F22" s="239" t="e">
        <f t="array" ref="F22">INDEX(df_hh_ten!$D$2:$G$100, MATCH(1, ($A$2 = df_hh_ten!$B$2:$B$100) * (df_hh_ten!$C$2:$C$100 = $B22), 0), MATCH(F$10, df_hh_ten!$D$1:$G$1,0))</f>
        <v>#N/A</v>
      </c>
      <c r="G22" s="552" t="e">
        <f t="array" ref="G22">INDEX(df_hh_ten!$D$2:$G$100, MATCH(1, ($A$2 = df_hh_ten!$B$2:$B$100) * (df_hh_ten!$C$2:$C$100 = $B22), 0), MATCH(G$10, df_hh_ten!$D$1:$G$1,0))</f>
        <v>#N/A</v>
      </c>
      <c r="I22" s="84" t="s">
        <v>92</v>
      </c>
      <c r="J22" s="173"/>
      <c r="K22" s="558" t="e">
        <f t="array" ref="K22">INDEX(df_hh_ten!$D$2:$G$100, MATCH(1, (A$2 = df_hh_ten!$B$2:$B$100) * (df_hh_ten!$C$2:$C$100 = $B22), 0), MATCH("Total", df_hh_ten!$D$1:$G$1,0))</f>
        <v>#N/A</v>
      </c>
      <c r="L22" s="239" t="e">
        <f t="array" ref="L22">INDEX(df_hh_ten!$D$2:$G$100, MATCH(1, (B$2 = df_hh_ten!$B$2:$B$100) * (df_hh_ten!$C$2:$C$100 = $B22), 0), MATCH("Total", df_hh_ten!$D$1:$G$1,0))</f>
        <v>#N/A</v>
      </c>
      <c r="M22" s="552" t="e">
        <f t="array" ref="M22">INDEX(df_hh_ten!$D$2:$G$100, MATCH(1, (C$2 = df_hh_ten!$B$2:$B$100) * (df_hh_ten!$C$2:$C$100 = $B22), 0), MATCH("Total", df_hh_ten!$D$1:$G$1,0))</f>
        <v>#N/A</v>
      </c>
    </row>
    <row r="23" spans="2:13" ht="20.100000000000001" customHeight="1" x14ac:dyDescent="0.2">
      <c r="B23" s="84" t="s">
        <v>94</v>
      </c>
      <c r="C23" s="173"/>
      <c r="D23" s="558" t="e">
        <f t="array" ref="D23">INDEX(df_hh_ten!$D$2:$G$100, MATCH(1, ($A$2 = df_hh_ten!$B$2:$B$100) * (df_hh_ten!$C$2:$C$100 = $B23), 0), MATCH(D$10, df_hh_ten!$D$1:$G$1,0))</f>
        <v>#N/A</v>
      </c>
      <c r="E23" s="558" t="e">
        <f t="array" ref="E23">INDEX(df_hh_ten!$D$2:$G$100, MATCH(1, ($A$2 = df_hh_ten!$B$2:$B$100) * (df_hh_ten!$C$2:$C$100 = $B23), 0), MATCH(E$10, df_hh_ten!$D$1:$G$1,0))</f>
        <v>#N/A</v>
      </c>
      <c r="F23" s="239" t="e">
        <f t="array" ref="F23">INDEX(df_hh_ten!$D$2:$G$100, MATCH(1, ($A$2 = df_hh_ten!$B$2:$B$100) * (df_hh_ten!$C$2:$C$100 = $B23), 0), MATCH(F$10, df_hh_ten!$D$1:$G$1,0))</f>
        <v>#N/A</v>
      </c>
      <c r="G23" s="552" t="e">
        <f t="array" ref="G23">INDEX(df_hh_ten!$D$2:$G$100, MATCH(1, ($A$2 = df_hh_ten!$B$2:$B$100) * (df_hh_ten!$C$2:$C$100 = $B23), 0), MATCH(G$10, df_hh_ten!$D$1:$G$1,0))</f>
        <v>#N/A</v>
      </c>
      <c r="I23" s="84" t="s">
        <v>94</v>
      </c>
      <c r="J23" s="173"/>
      <c r="K23" s="558" t="e">
        <f t="array" ref="K23">INDEX(df_hh_ten!$D$2:$G$100, MATCH(1, (A$2 = df_hh_ten!$B$2:$B$100) * (df_hh_ten!$C$2:$C$100 = $B23), 0), MATCH("Total", df_hh_ten!$D$1:$G$1,0))</f>
        <v>#N/A</v>
      </c>
      <c r="L23" s="239" t="e">
        <f t="array" ref="L23">INDEX(df_hh_ten!$D$2:$G$100, MATCH(1, (B$2 = df_hh_ten!$B$2:$B$100) * (df_hh_ten!$C$2:$C$100 = $B23), 0), MATCH("Total", df_hh_ten!$D$1:$G$1,0))</f>
        <v>#N/A</v>
      </c>
      <c r="M23" s="552" t="e">
        <f t="array" ref="M23">INDEX(df_hh_ten!$D$2:$G$100, MATCH(1, (C$2 = df_hh_ten!$B$2:$B$100) * (df_hh_ten!$C$2:$C$100 = $B23), 0), MATCH("Total", df_hh_ten!$D$1:$G$1,0))</f>
        <v>#N/A</v>
      </c>
    </row>
    <row r="24" spans="2:13" ht="20.100000000000001" customHeight="1" x14ac:dyDescent="0.2">
      <c r="B24" s="84" t="s">
        <v>93</v>
      </c>
      <c r="C24" s="173"/>
      <c r="D24" s="558" t="e">
        <f t="array" ref="D24">INDEX(df_hh_ten!$D$2:$G$100, MATCH(1, ($A$2 = df_hh_ten!$B$2:$B$100) * (df_hh_ten!$C$2:$C$100 = $B24), 0), MATCH(D$10, df_hh_ten!$D$1:$G$1,0))</f>
        <v>#N/A</v>
      </c>
      <c r="E24" s="558" t="e">
        <f t="array" ref="E24">INDEX(df_hh_ten!$D$2:$G$100, MATCH(1, ($A$2 = df_hh_ten!$B$2:$B$100) * (df_hh_ten!$C$2:$C$100 = $B24), 0), MATCH(E$10, df_hh_ten!$D$1:$G$1,0))</f>
        <v>#N/A</v>
      </c>
      <c r="F24" s="239" t="e">
        <f t="array" ref="F24">INDEX(df_hh_ten!$D$2:$G$100, MATCH(1, ($A$2 = df_hh_ten!$B$2:$B$100) * (df_hh_ten!$C$2:$C$100 = $B24), 0), MATCH(F$10, df_hh_ten!$D$1:$G$1,0))</f>
        <v>#N/A</v>
      </c>
      <c r="G24" s="552" t="e">
        <f t="array" ref="G24">INDEX(df_hh_ten!$D$2:$G$100, MATCH(1, ($A$2 = df_hh_ten!$B$2:$B$100) * (df_hh_ten!$C$2:$C$100 = $B24), 0), MATCH(G$10, df_hh_ten!$D$1:$G$1,0))</f>
        <v>#N/A</v>
      </c>
      <c r="I24" s="84" t="s">
        <v>93</v>
      </c>
      <c r="J24" s="173"/>
      <c r="K24" s="558" t="e">
        <f t="array" ref="K24">INDEX(df_hh_ten!$D$2:$G$100, MATCH(1, (A$2 = df_hh_ten!$B$2:$B$100) * (df_hh_ten!$C$2:$C$100 = $B24), 0), MATCH("Total", df_hh_ten!$D$1:$G$1,0))</f>
        <v>#N/A</v>
      </c>
      <c r="L24" s="239" t="e">
        <f t="array" ref="L24">INDEX(df_hh_ten!$D$2:$G$100, MATCH(1, (B$2 = df_hh_ten!$B$2:$B$100) * (df_hh_ten!$C$2:$C$100 = $B24), 0), MATCH("Total", df_hh_ten!$D$1:$G$1,0))</f>
        <v>#N/A</v>
      </c>
      <c r="M24" s="552" t="e">
        <f t="array" ref="M24">INDEX(df_hh_ten!$D$2:$G$100, MATCH(1, (C$2 = df_hh_ten!$B$2:$B$100) * (df_hh_ten!$C$2:$C$100 = $B24), 0), MATCH("Total", df_hh_ten!$D$1:$G$1,0))</f>
        <v>#N/A</v>
      </c>
    </row>
    <row r="25" spans="2:13" ht="20.100000000000001" customHeight="1" x14ac:dyDescent="0.2">
      <c r="B25" s="84" t="s">
        <v>83</v>
      </c>
      <c r="C25" s="173"/>
      <c r="D25" s="558" t="e">
        <f t="array" ref="D25">INDEX(df_hh_ten!$D$2:$G$100, MATCH(1, ($A$2 = df_hh_ten!$B$2:$B$100) * (df_hh_ten!$C$2:$C$100 = $B25), 0), MATCH(D$10, df_hh_ten!$D$1:$G$1,0))</f>
        <v>#N/A</v>
      </c>
      <c r="E25" s="558" t="e">
        <f t="array" ref="E25">INDEX(df_hh_ten!$D$2:$G$100, MATCH(1, ($A$2 = df_hh_ten!$B$2:$B$100) * (df_hh_ten!$C$2:$C$100 = $B25), 0), MATCH(E$10, df_hh_ten!$D$1:$G$1,0))</f>
        <v>#N/A</v>
      </c>
      <c r="F25" s="239" t="e">
        <f t="array" ref="F25">INDEX(df_hh_ten!$D$2:$G$100, MATCH(1, ($A$2 = df_hh_ten!$B$2:$B$100) * (df_hh_ten!$C$2:$C$100 = $B25), 0), MATCH(F$10, df_hh_ten!$D$1:$G$1,0))</f>
        <v>#N/A</v>
      </c>
      <c r="G25" s="552" t="e">
        <f t="array" ref="G25">INDEX(df_hh_ten!$D$2:$G$100, MATCH(1, ($A$2 = df_hh_ten!$B$2:$B$100) * (df_hh_ten!$C$2:$C$100 = $B25), 0), MATCH(G$10, df_hh_ten!$D$1:$G$1,0))</f>
        <v>#N/A</v>
      </c>
      <c r="I25" s="84" t="s">
        <v>83</v>
      </c>
      <c r="J25" s="173"/>
      <c r="K25" s="558" t="e">
        <f t="array" ref="K25">INDEX(df_hh_ten!$D$2:$G$100, MATCH(1, (A$2 = df_hh_ten!$B$2:$B$100) * (df_hh_ten!$C$2:$C$100 = $B25), 0), MATCH("Total", df_hh_ten!$D$1:$G$1,0))</f>
        <v>#N/A</v>
      </c>
      <c r="L25" s="239" t="e">
        <f t="array" ref="L25">INDEX(df_hh_ten!$D$2:$G$100, MATCH(1, (B$2 = df_hh_ten!$B$2:$B$100) * (df_hh_ten!$C$2:$C$100 = $B25), 0), MATCH("Total", df_hh_ten!$D$1:$G$1,0))</f>
        <v>#N/A</v>
      </c>
      <c r="M25" s="552" t="e">
        <f t="array" ref="M25">INDEX(df_hh_ten!$D$2:$G$100, MATCH(1, (C$2 = df_hh_ten!$B$2:$B$100) * (df_hh_ten!$C$2:$C$100 = $B25), 0), MATCH("Total", df_hh_ten!$D$1:$G$1,0))</f>
        <v>#N/A</v>
      </c>
    </row>
    <row r="26" spans="2:13" ht="20.100000000000001" customHeight="1" x14ac:dyDescent="0.2">
      <c r="B26" s="84" t="s">
        <v>308</v>
      </c>
      <c r="C26" s="173"/>
      <c r="D26" s="558" t="e">
        <f t="array" ref="D26">INDEX(df_hh_ten!$D$2:$G$100, MATCH(1, ($A$2 = df_hh_ten!$B$2:$B$100) * (df_hh_ten!$C$2:$C$100 = $B26), 0), MATCH(D$10, df_hh_ten!$D$1:$G$1,0))</f>
        <v>#N/A</v>
      </c>
      <c r="E26" s="558" t="e">
        <f t="array" ref="E26">INDEX(df_hh_ten!$D$2:$G$100, MATCH(1, ($A$2 = df_hh_ten!$B$2:$B$100) * (df_hh_ten!$C$2:$C$100 = $B26), 0), MATCH(E$10, df_hh_ten!$D$1:$G$1,0))</f>
        <v>#N/A</v>
      </c>
      <c r="F26" s="239" t="e">
        <f t="array" ref="F26">INDEX(df_hh_ten!$D$2:$G$100, MATCH(1, ($A$2 = df_hh_ten!$B$2:$B$100) * (df_hh_ten!$C$2:$C$100 = $B26), 0), MATCH(F$10, df_hh_ten!$D$1:$G$1,0))</f>
        <v>#N/A</v>
      </c>
      <c r="G26" s="552" t="e">
        <f t="array" ref="G26">INDEX(df_hh_ten!$D$2:$G$100, MATCH(1, ($A$2 = df_hh_ten!$B$2:$B$100) * (df_hh_ten!$C$2:$C$100 = $B26), 0), MATCH(G$10, df_hh_ten!$D$1:$G$1,0))</f>
        <v>#N/A</v>
      </c>
      <c r="I26" s="84" t="s">
        <v>308</v>
      </c>
      <c r="J26" s="173"/>
      <c r="K26" s="558" t="e">
        <f t="array" ref="K26">INDEX(df_hh_ten!$D$2:$G$100, MATCH(1, (A$2 = df_hh_ten!$B$2:$B$100) * (df_hh_ten!$C$2:$C$100 = $B26), 0), MATCH("Total", df_hh_ten!$D$1:$G$1,0))</f>
        <v>#N/A</v>
      </c>
      <c r="L26" s="239" t="e">
        <f t="array" ref="L26">INDEX(df_hh_ten!$D$2:$G$100, MATCH(1, (B$2 = df_hh_ten!$B$2:$B$100) * (df_hh_ten!$C$2:$C$100 = $B26), 0), MATCH("Total", df_hh_ten!$D$1:$G$1,0))</f>
        <v>#N/A</v>
      </c>
      <c r="M26" s="552" t="e">
        <f t="array" ref="M26">INDEX(df_hh_ten!$D$2:$G$100, MATCH(1, (C$2 = df_hh_ten!$B$2:$B$100) * (df_hh_ten!$C$2:$C$100 = $B26), 0), MATCH("Total", df_hh_ten!$D$1:$G$1,0))</f>
        <v>#N/A</v>
      </c>
    </row>
    <row r="27" spans="2:13" ht="20.100000000000001" customHeight="1" x14ac:dyDescent="0.2">
      <c r="B27" s="84" t="s">
        <v>309</v>
      </c>
      <c r="C27" s="173"/>
      <c r="D27" s="558" t="e">
        <f t="array" ref="D27">INDEX(df_hh_ten!$D$2:$G$100, MATCH(1, ($A$2 = df_hh_ten!$B$2:$B$100) * (df_hh_ten!$C$2:$C$100 = $B27), 0), MATCH(D$10, df_hh_ten!$D$1:$G$1,0))</f>
        <v>#N/A</v>
      </c>
      <c r="E27" s="558" t="e">
        <f t="array" ref="E27">INDEX(df_hh_ten!$D$2:$G$100, MATCH(1, ($A$2 = df_hh_ten!$B$2:$B$100) * (df_hh_ten!$C$2:$C$100 = $B27), 0), MATCH(E$10, df_hh_ten!$D$1:$G$1,0))</f>
        <v>#N/A</v>
      </c>
      <c r="F27" s="239" t="e">
        <f t="array" ref="F27">INDEX(df_hh_ten!$D$2:$G$100, MATCH(1, ($A$2 = df_hh_ten!$B$2:$B$100) * (df_hh_ten!$C$2:$C$100 = $B27), 0), MATCH(F$10, df_hh_ten!$D$1:$G$1,0))</f>
        <v>#N/A</v>
      </c>
      <c r="G27" s="552" t="e">
        <f t="array" ref="G27">INDEX(df_hh_ten!$D$2:$G$100, MATCH(1, ($A$2 = df_hh_ten!$B$2:$B$100) * (df_hh_ten!$C$2:$C$100 = $B27), 0), MATCH(G$10, df_hh_ten!$D$1:$G$1,0))</f>
        <v>#N/A</v>
      </c>
      <c r="I27" s="84" t="s">
        <v>309</v>
      </c>
      <c r="J27" s="173"/>
      <c r="K27" s="558" t="e">
        <f t="array" ref="K27">INDEX(df_hh_ten!$D$2:$G$100, MATCH(1, (A$2 = df_hh_ten!$B$2:$B$100) * (df_hh_ten!$C$2:$C$100 = $B27), 0), MATCH("Total", df_hh_ten!$D$1:$G$1,0))</f>
        <v>#N/A</v>
      </c>
      <c r="L27" s="239" t="e">
        <f t="array" ref="L27">INDEX(df_hh_ten!$D$2:$G$100, MATCH(1, (B$2 = df_hh_ten!$B$2:$B$100) * (df_hh_ten!$C$2:$C$100 = $B27), 0), MATCH("Total", df_hh_ten!$D$1:$G$1,0))</f>
        <v>#N/A</v>
      </c>
      <c r="M27" s="552" t="e">
        <f t="array" ref="M27">INDEX(df_hh_ten!$D$2:$G$100, MATCH(1, (C$2 = df_hh_ten!$B$2:$B$100) * (df_hh_ten!$C$2:$C$100 = $B27), 0), MATCH("Total", df_hh_ten!$D$1:$G$1,0))</f>
        <v>#N/A</v>
      </c>
    </row>
    <row r="28" spans="2:13" ht="20.100000000000001" customHeight="1" x14ac:dyDescent="0.2">
      <c r="B28" s="84" t="s">
        <v>310</v>
      </c>
      <c r="C28" s="173"/>
      <c r="D28" s="558" t="e">
        <f t="array" ref="D28">INDEX(df_hh_ten!$D$2:$G$100, MATCH(1, ($A$2 = df_hh_ten!$B$2:$B$100) * (df_hh_ten!$C$2:$C$100 = $B28), 0), MATCH(D$10, df_hh_ten!$D$1:$G$1,0))</f>
        <v>#N/A</v>
      </c>
      <c r="E28" s="558" t="e">
        <f t="array" ref="E28">INDEX(df_hh_ten!$D$2:$G$100, MATCH(1, ($A$2 = df_hh_ten!$B$2:$B$100) * (df_hh_ten!$C$2:$C$100 = $B28), 0), MATCH(E$10, df_hh_ten!$D$1:$G$1,0))</f>
        <v>#N/A</v>
      </c>
      <c r="F28" s="239" t="e">
        <f t="array" ref="F28">INDEX(df_hh_ten!$D$2:$G$100, MATCH(1, ($A$2 = df_hh_ten!$B$2:$B$100) * (df_hh_ten!$C$2:$C$100 = $B28), 0), MATCH(F$10, df_hh_ten!$D$1:$G$1,0))</f>
        <v>#N/A</v>
      </c>
      <c r="G28" s="552" t="e">
        <f t="array" ref="G28">INDEX(df_hh_ten!$D$2:$G$100, MATCH(1, ($A$2 = df_hh_ten!$B$2:$B$100) * (df_hh_ten!$C$2:$C$100 = $B28), 0), MATCH(G$10, df_hh_ten!$D$1:$G$1,0))</f>
        <v>#N/A</v>
      </c>
      <c r="I28" s="84" t="s">
        <v>310</v>
      </c>
      <c r="J28" s="173"/>
      <c r="K28" s="558" t="e">
        <f t="array" ref="K28">INDEX(df_hh_ten!$D$2:$G$100, MATCH(1, (A$2 = df_hh_ten!$B$2:$B$100) * (df_hh_ten!$C$2:$C$100 = $B28), 0), MATCH("Total", df_hh_ten!$D$1:$G$1,0))</f>
        <v>#N/A</v>
      </c>
      <c r="L28" s="239" t="e">
        <f t="array" ref="L28">INDEX(df_hh_ten!$D$2:$G$100, MATCH(1, (B$2 = df_hh_ten!$B$2:$B$100) * (df_hh_ten!$C$2:$C$100 = $B28), 0), MATCH("Total", df_hh_ten!$D$1:$G$1,0))</f>
        <v>#N/A</v>
      </c>
      <c r="M28" s="552" t="e">
        <f t="array" ref="M28">INDEX(df_hh_ten!$D$2:$G$100, MATCH(1, (C$2 = df_hh_ten!$B$2:$B$100) * (df_hh_ten!$C$2:$C$100 = $B28), 0), MATCH("Total", df_hh_ten!$D$1:$G$1,0))</f>
        <v>#N/A</v>
      </c>
    </row>
    <row r="29" spans="2:13" ht="20.100000000000001" customHeight="1" x14ac:dyDescent="0.2">
      <c r="B29" s="84" t="s">
        <v>87</v>
      </c>
      <c r="C29" s="173"/>
      <c r="D29" s="558" t="e">
        <f t="array" ref="D29">INDEX(df_hh_ten!$D$2:$G$100, MATCH(1, ($A$2 = df_hh_ten!$B$2:$B$100) * (df_hh_ten!$C$2:$C$100 = $B29), 0), MATCH(D$10, df_hh_ten!$D$1:$G$1,0))</f>
        <v>#N/A</v>
      </c>
      <c r="E29" s="558" t="e">
        <f t="array" ref="E29">INDEX(df_hh_ten!$D$2:$G$100, MATCH(1, ($A$2 = df_hh_ten!$B$2:$B$100) * (df_hh_ten!$C$2:$C$100 = $B29), 0), MATCH(E$10, df_hh_ten!$D$1:$G$1,0))</f>
        <v>#N/A</v>
      </c>
      <c r="F29" s="239" t="e">
        <f t="array" ref="F29">INDEX(df_hh_ten!$D$2:$G$100, MATCH(1, ($A$2 = df_hh_ten!$B$2:$B$100) * (df_hh_ten!$C$2:$C$100 = $B29), 0), MATCH(F$10, df_hh_ten!$D$1:$G$1,0))</f>
        <v>#N/A</v>
      </c>
      <c r="G29" s="552" t="e">
        <f t="array" ref="G29">INDEX(df_hh_ten!$D$2:$G$100, MATCH(1, ($A$2 = df_hh_ten!$B$2:$B$100) * (df_hh_ten!$C$2:$C$100 = $B29), 0), MATCH(G$10, df_hh_ten!$D$1:$G$1,0))</f>
        <v>#N/A</v>
      </c>
      <c r="I29" s="84" t="s">
        <v>87</v>
      </c>
      <c r="J29" s="173"/>
      <c r="K29" s="558" t="e">
        <f t="array" ref="K29">INDEX(df_hh_ten!$D$2:$G$100, MATCH(1, (A$2 = df_hh_ten!$B$2:$B$100) * (df_hh_ten!$C$2:$C$100 = $B29), 0), MATCH("Total", df_hh_ten!$D$1:$G$1,0))</f>
        <v>#N/A</v>
      </c>
      <c r="L29" s="239" t="e">
        <f t="array" ref="L29">INDEX(df_hh_ten!$D$2:$G$100, MATCH(1, (B$2 = df_hh_ten!$B$2:$B$100) * (df_hh_ten!$C$2:$C$100 = $B29), 0), MATCH("Total", df_hh_ten!$D$1:$G$1,0))</f>
        <v>#N/A</v>
      </c>
      <c r="M29" s="552" t="e">
        <f t="array" ref="M29">INDEX(df_hh_ten!$D$2:$G$100, MATCH(1, (C$2 = df_hh_ten!$B$2:$B$100) * (df_hh_ten!$C$2:$C$100 = $B29), 0), MATCH("Total", df_hh_ten!$D$1:$G$1,0))</f>
        <v>#N/A</v>
      </c>
    </row>
    <row r="30" spans="2:13" ht="20.100000000000001" customHeight="1" x14ac:dyDescent="0.2">
      <c r="B30" s="569" t="s">
        <v>311</v>
      </c>
      <c r="C30" s="494"/>
      <c r="D30" s="602" t="e">
        <f t="array" ref="D30">INDEX(df_hh_ten!$D$2:$G$100, MATCH(1, ($A$2 = df_hh_ten!$B$2:$B$100) * (df_hh_ten!$C$2:$C$100 = $B30), 0), MATCH(D$10, df_hh_ten!$D$1:$G$1,0))</f>
        <v>#N/A</v>
      </c>
      <c r="E30" s="602" t="e">
        <f t="array" ref="E30">INDEX(df_hh_ten!$D$2:$G$100, MATCH(1, ($A$2 = df_hh_ten!$B$2:$B$100) * (df_hh_ten!$C$2:$C$100 = $B30), 0), MATCH(E$10, df_hh_ten!$D$1:$G$1,0))</f>
        <v>#N/A</v>
      </c>
      <c r="F30" s="603" t="e">
        <f t="array" ref="F30">INDEX(df_hh_ten!$D$2:$G$100, MATCH(1, ($A$2 = df_hh_ten!$B$2:$B$100) * (df_hh_ten!$C$2:$C$100 = $B30), 0), MATCH(F$10, df_hh_ten!$D$1:$G$1,0))</f>
        <v>#N/A</v>
      </c>
      <c r="G30" s="604" t="e">
        <f t="array" ref="G30">INDEX(df_hh_ten!$D$2:$G$100, MATCH(1, ($A$2 = df_hh_ten!$B$2:$B$100) * (df_hh_ten!$C$2:$C$100 = $B30), 0), MATCH(G$10, df_hh_ten!$D$1:$G$1,0))</f>
        <v>#N/A</v>
      </c>
      <c r="I30" s="569" t="s">
        <v>311</v>
      </c>
      <c r="J30" s="494"/>
      <c r="K30" s="602" t="e">
        <f t="array" ref="K30">INDEX(df_hh_ten!$D$2:$G$100, MATCH(1, (A$2 = df_hh_ten!$B$2:$B$100) * (df_hh_ten!$C$2:$C$100 = $B30), 0), MATCH("Total", df_hh_ten!$D$1:$G$1,0))</f>
        <v>#N/A</v>
      </c>
      <c r="L30" s="603" t="e">
        <f t="array" ref="L30">INDEX(df_hh_ten!$D$2:$G$100, MATCH(1, (B$2 = df_hh_ten!$B$2:$B$100) * (df_hh_ten!$C$2:$C$100 = $B30), 0), MATCH("Total", df_hh_ten!$D$1:$G$1,0))</f>
        <v>#N/A</v>
      </c>
      <c r="M30" s="604" t="e">
        <f t="array" ref="M30">INDEX(df_hh_ten!$D$2:$G$100, MATCH(1, (C$2 = df_hh_ten!$B$2:$B$100) * (df_hh_ten!$C$2:$C$100 = $B30), 0), MATCH("Total", df_hh_ten!$D$1:$G$1,0))</f>
        <v>#N/A</v>
      </c>
    </row>
    <row r="31" spans="2:13" ht="20.100000000000001" customHeight="1" x14ac:dyDescent="0.2">
      <c r="I31" s="206" t="s">
        <v>1133</v>
      </c>
      <c r="J31" s="72"/>
      <c r="K31" s="226" t="e">
        <f t="array" ref="K31">INDEX(df_hh_ten!$D$2:$G$100, MATCH(1, (A$2 = df_hh_ten!$B$2:$B$100) * (df_hh_ten!$C$2:$C$100 = $B25), 0), MATCH("Renter", df_hh_ten!$D$1:$G$1,0)) / INDEX(df_hh_ten!$D$2:$G$100, MATCH(1, (A$2 = df_hh_ten!$B$2:$B$100) * (df_hh_ten!$C$2:$C$100 = $B11), 0), MATCH("Renter", df_hh_ten!$D$1:$G$1,0))</f>
        <v>#N/A</v>
      </c>
      <c r="L31" s="346" t="e">
        <f t="array" ref="L31">INDEX(df_hh_ten!$D$2:$G$100, MATCH(1, (B$2 = df_hh_ten!$B$2:$B$100) * (df_hh_ten!$C$2:$C$100 = $B25), 0), MATCH("Renter", df_hh_ten!$D$1:$G$1,0)) / INDEX(df_hh_ten!$D$2:$G$100, MATCH(1, (B$2 = df_hh_ten!$B$2:$B$100) * (df_hh_ten!$C$2:$C$100 = $B11), 0), MATCH("Renter", df_hh_ten!$D$1:$G$1,0))</f>
        <v>#N/A</v>
      </c>
      <c r="M31" s="353" t="e">
        <f t="array" ref="M31">INDEX(df_hh_ten!$D$2:$G$100, MATCH(1, (C$2 = df_hh_ten!$B$2:$B$100) * (df_hh_ten!$C$2:$C$100 = $B25), 0), MATCH("Renter", df_hh_ten!$D$1:$G$1,0)) / INDEX(df_hh_ten!$D$2:$G$100, MATCH(1, (C$2 = df_hh_ten!$B$2:$B$100) * (df_hh_ten!$C$2:$C$100 = $B11), 0), MATCH("Renter", df_hh_ten!$D$1:$G$1,0))</f>
        <v>#N/A</v>
      </c>
    </row>
    <row r="32" spans="2:13" ht="20.100000000000001" customHeight="1" x14ac:dyDescent="0.2"/>
    <row r="33" spans="1:13" ht="30" customHeight="1" x14ac:dyDescent="0.2">
      <c r="A33" s="560"/>
      <c r="B33" s="175" t="s">
        <v>1217</v>
      </c>
      <c r="C33" s="310"/>
      <c r="D33" s="310"/>
      <c r="E33" s="310"/>
      <c r="F33" s="310"/>
      <c r="G33" s="310"/>
      <c r="H33" s="310"/>
      <c r="I33" s="310"/>
      <c r="J33" s="310"/>
      <c r="K33" s="310"/>
      <c r="L33" s="310"/>
      <c r="M33" s="310"/>
    </row>
    <row r="34" spans="1:13" ht="20.100000000000001" customHeight="1" x14ac:dyDescent="0.2"/>
    <row r="35" spans="1:13" ht="20.100000000000001" customHeight="1" x14ac:dyDescent="0.2">
      <c r="B35" s="1243" t="s">
        <v>1218</v>
      </c>
      <c r="C35" s="1243"/>
      <c r="D35" s="1243"/>
      <c r="E35" s="1243"/>
      <c r="F35" s="1243"/>
      <c r="G35" s="1243"/>
      <c r="H35" s="1243"/>
    </row>
    <row r="36" spans="1:13" ht="20.100000000000001" customHeight="1" x14ac:dyDescent="0.2"/>
    <row r="37" spans="1:13" ht="20.100000000000001" customHeight="1" x14ac:dyDescent="0.2">
      <c r="B37" s="613"/>
      <c r="C37" s="1234" t="s">
        <v>314</v>
      </c>
      <c r="D37" s="1257"/>
      <c r="E37" s="1235"/>
      <c r="F37" s="1254" t="s">
        <v>319</v>
      </c>
      <c r="G37" s="1255"/>
      <c r="H37" s="1256"/>
    </row>
    <row r="38" spans="1:13" ht="20.100000000000001" customHeight="1" x14ac:dyDescent="0.2">
      <c r="B38" s="639" t="s">
        <v>315</v>
      </c>
      <c r="C38" s="615" t="s">
        <v>6</v>
      </c>
      <c r="D38" s="616" t="s">
        <v>698</v>
      </c>
      <c r="E38" s="617" t="s">
        <v>699</v>
      </c>
      <c r="F38" s="618" t="s">
        <v>187</v>
      </c>
      <c r="G38" s="619" t="s">
        <v>188</v>
      </c>
      <c r="H38" s="620" t="s">
        <v>189</v>
      </c>
    </row>
    <row r="39" spans="1:13" ht="20.100000000000001" customHeight="1" x14ac:dyDescent="0.2">
      <c r="B39" s="637" t="s">
        <v>6</v>
      </c>
      <c r="C39" s="646" t="str">
        <f t="array" ref="C39">IFERROR(D11,"x")</f>
        <v>x</v>
      </c>
      <c r="D39" s="647" t="str">
        <f>IFERROR(E11/SUM($E11:$F11),"x")</f>
        <v>x</v>
      </c>
      <c r="E39" s="648" t="str">
        <f>IFERROR(F11/SUM($E11:$F11),"x")</f>
        <v>x</v>
      </c>
      <c r="F39" s="630" t="str">
        <f>IFERROR(K11,"x")</f>
        <v>x</v>
      </c>
      <c r="G39" s="649" t="str">
        <f t="shared" ref="G39:H39" si="0">IFERROR(L11,"x")</f>
        <v>x</v>
      </c>
      <c r="H39" s="631" t="str">
        <f t="shared" si="0"/>
        <v>x</v>
      </c>
    </row>
    <row r="40" spans="1:13" ht="20.100000000000001" customHeight="1" x14ac:dyDescent="0.2">
      <c r="B40" s="636" t="s">
        <v>316</v>
      </c>
      <c r="C40" s="650"/>
      <c r="D40" s="650"/>
      <c r="E40" s="650"/>
      <c r="F40" s="650"/>
      <c r="G40" s="650"/>
      <c r="H40" s="651"/>
    </row>
    <row r="41" spans="1:13" ht="20.100000000000001" customHeight="1" x14ac:dyDescent="0.2">
      <c r="B41" s="535" t="s">
        <v>60</v>
      </c>
      <c r="C41" s="652" t="str">
        <f>IFERROR(D12,"x")</f>
        <v>x</v>
      </c>
      <c r="D41" s="645" t="str">
        <f t="shared" ref="D41:E48" si="1">IFERROR(E12/SUM($E12:$F12),"x")</f>
        <v>x</v>
      </c>
      <c r="E41" s="653" t="str">
        <f t="shared" si="1"/>
        <v>x</v>
      </c>
      <c r="F41" s="654" t="str">
        <f>IFERROR(IF(K12/K$11=0,"x",K12/K$11),"x")</f>
        <v>x</v>
      </c>
      <c r="G41" s="655" t="str">
        <f t="shared" ref="G41:H48" si="2">IFERROR(IF(L12/L$11=0,"x",L12/L$11),"x")</f>
        <v>x</v>
      </c>
      <c r="H41" s="653" t="str">
        <f t="shared" si="2"/>
        <v>x</v>
      </c>
    </row>
    <row r="42" spans="1:13" ht="20.100000000000001" customHeight="1" x14ac:dyDescent="0.2">
      <c r="B42" s="533" t="s">
        <v>61</v>
      </c>
      <c r="C42" s="656" t="str">
        <f t="shared" ref="C42:C48" si="3">IFERROR(D13,"x")</f>
        <v>x</v>
      </c>
      <c r="D42" s="657" t="str">
        <f t="shared" si="1"/>
        <v>x</v>
      </c>
      <c r="E42" s="658" t="str">
        <f t="shared" si="1"/>
        <v>x</v>
      </c>
      <c r="F42" s="659" t="str">
        <f t="shared" ref="F42:F48" si="4">IFERROR(IF(K13/K$11=0,"x",K13/K$11),"x")</f>
        <v>x</v>
      </c>
      <c r="G42" s="660" t="str">
        <f t="shared" si="2"/>
        <v>x</v>
      </c>
      <c r="H42" s="658" t="str">
        <f t="shared" si="2"/>
        <v>x</v>
      </c>
    </row>
    <row r="43" spans="1:13" ht="20.100000000000001" customHeight="1" x14ac:dyDescent="0.2">
      <c r="B43" s="534" t="s">
        <v>62</v>
      </c>
      <c r="C43" s="661" t="str">
        <f t="shared" si="3"/>
        <v>x</v>
      </c>
      <c r="D43" s="662" t="str">
        <f t="shared" si="1"/>
        <v>x</v>
      </c>
      <c r="E43" s="601" t="str">
        <f t="shared" si="1"/>
        <v>x</v>
      </c>
      <c r="F43" s="599" t="str">
        <f t="shared" si="4"/>
        <v>x</v>
      </c>
      <c r="G43" s="600" t="str">
        <f t="shared" si="2"/>
        <v>x</v>
      </c>
      <c r="H43" s="601" t="str">
        <f t="shared" si="2"/>
        <v>x</v>
      </c>
    </row>
    <row r="44" spans="1:13" ht="20.100000000000001" customHeight="1" x14ac:dyDescent="0.2">
      <c r="B44" s="533" t="s">
        <v>63</v>
      </c>
      <c r="C44" s="656" t="str">
        <f t="shared" si="3"/>
        <v>x</v>
      </c>
      <c r="D44" s="657" t="str">
        <f t="shared" si="1"/>
        <v>x</v>
      </c>
      <c r="E44" s="658" t="str">
        <f t="shared" si="1"/>
        <v>x</v>
      </c>
      <c r="F44" s="659" t="str">
        <f t="shared" si="4"/>
        <v>x</v>
      </c>
      <c r="G44" s="660" t="str">
        <f t="shared" si="2"/>
        <v>x</v>
      </c>
      <c r="H44" s="658" t="str">
        <f t="shared" si="2"/>
        <v>x</v>
      </c>
    </row>
    <row r="45" spans="1:13" ht="20.100000000000001" customHeight="1" x14ac:dyDescent="0.2">
      <c r="B45" s="534" t="s">
        <v>64</v>
      </c>
      <c r="C45" s="661" t="str">
        <f t="shared" si="3"/>
        <v>x</v>
      </c>
      <c r="D45" s="662" t="str">
        <f t="shared" si="1"/>
        <v>x</v>
      </c>
      <c r="E45" s="601" t="str">
        <f t="shared" si="1"/>
        <v>x</v>
      </c>
      <c r="F45" s="599" t="str">
        <f t="shared" si="4"/>
        <v>x</v>
      </c>
      <c r="G45" s="600" t="str">
        <f t="shared" si="2"/>
        <v>x</v>
      </c>
      <c r="H45" s="601" t="str">
        <f t="shared" si="2"/>
        <v>x</v>
      </c>
    </row>
    <row r="46" spans="1:13" ht="20.100000000000001" customHeight="1" x14ac:dyDescent="0.2">
      <c r="B46" s="533" t="s">
        <v>65</v>
      </c>
      <c r="C46" s="656" t="str">
        <f t="shared" si="3"/>
        <v>x</v>
      </c>
      <c r="D46" s="657" t="str">
        <f t="shared" si="1"/>
        <v>x</v>
      </c>
      <c r="E46" s="658" t="str">
        <f t="shared" si="1"/>
        <v>x</v>
      </c>
      <c r="F46" s="659" t="str">
        <f t="shared" si="4"/>
        <v>x</v>
      </c>
      <c r="G46" s="660" t="str">
        <f t="shared" si="2"/>
        <v>x</v>
      </c>
      <c r="H46" s="658" t="str">
        <f t="shared" si="2"/>
        <v>x</v>
      </c>
    </row>
    <row r="47" spans="1:13" ht="20.100000000000001" customHeight="1" x14ac:dyDescent="0.2">
      <c r="B47" s="534" t="s">
        <v>133</v>
      </c>
      <c r="C47" s="661" t="str">
        <f t="shared" si="3"/>
        <v>x</v>
      </c>
      <c r="D47" s="662" t="str">
        <f t="shared" si="1"/>
        <v>x</v>
      </c>
      <c r="E47" s="601" t="str">
        <f t="shared" si="1"/>
        <v>x</v>
      </c>
      <c r="F47" s="599" t="str">
        <f t="shared" si="4"/>
        <v>x</v>
      </c>
      <c r="G47" s="600" t="str">
        <f t="shared" si="2"/>
        <v>x</v>
      </c>
      <c r="H47" s="601" t="str">
        <f t="shared" si="2"/>
        <v>x</v>
      </c>
    </row>
    <row r="48" spans="1:13" ht="20.100000000000001" customHeight="1" x14ac:dyDescent="0.2">
      <c r="B48" s="532" t="s">
        <v>5</v>
      </c>
      <c r="C48" s="663" t="str">
        <f t="shared" si="3"/>
        <v>x</v>
      </c>
      <c r="D48" s="664" t="str">
        <f t="shared" si="1"/>
        <v>x</v>
      </c>
      <c r="E48" s="665" t="str">
        <f t="shared" si="1"/>
        <v>x</v>
      </c>
      <c r="F48" s="659" t="str">
        <f t="shared" si="4"/>
        <v>x</v>
      </c>
      <c r="G48" s="666" t="str">
        <f t="shared" si="2"/>
        <v>x</v>
      </c>
      <c r="H48" s="665" t="str">
        <f t="shared" si="2"/>
        <v>x</v>
      </c>
    </row>
    <row r="49" spans="2:18" ht="20.100000000000001" customHeight="1" x14ac:dyDescent="0.2">
      <c r="B49" s="636" t="s">
        <v>320</v>
      </c>
      <c r="C49" s="650"/>
      <c r="D49" s="650"/>
      <c r="E49" s="650"/>
      <c r="F49" s="650"/>
      <c r="G49" s="650"/>
      <c r="H49" s="651"/>
    </row>
    <row r="50" spans="2:18" ht="20.100000000000001" customHeight="1" x14ac:dyDescent="0.2">
      <c r="B50" s="535" t="s">
        <v>90</v>
      </c>
      <c r="C50" s="652" t="str">
        <f>IFERROR(D20,"x")</f>
        <v>x</v>
      </c>
      <c r="D50" s="645" t="str">
        <f t="shared" ref="D50:E54" si="5">IFERROR(E20/SUM($E20:$F20),"x")</f>
        <v>x</v>
      </c>
      <c r="E50" s="653" t="str">
        <f t="shared" si="5"/>
        <v>x</v>
      </c>
      <c r="F50" s="645" t="str">
        <f>IFERROR(IF(K20/K$11 = 0, "x", K20/K$11),"x")</f>
        <v>x</v>
      </c>
      <c r="G50" s="655" t="str">
        <f t="shared" ref="G50:H54" si="6">IFERROR(IF(L20/L$11 = 0, "x", L20/L$11),"x")</f>
        <v>x</v>
      </c>
      <c r="H50" s="653" t="str">
        <f t="shared" si="6"/>
        <v>x</v>
      </c>
    </row>
    <row r="51" spans="2:18" ht="20.100000000000001" customHeight="1" x14ac:dyDescent="0.2">
      <c r="B51" s="533" t="s">
        <v>91</v>
      </c>
      <c r="C51" s="656" t="str">
        <f t="shared" ref="C51:C54" si="7">IFERROR(D21,"x")</f>
        <v>x</v>
      </c>
      <c r="D51" s="657" t="str">
        <f t="shared" si="5"/>
        <v>x</v>
      </c>
      <c r="E51" s="658" t="str">
        <f t="shared" si="5"/>
        <v>x</v>
      </c>
      <c r="F51" s="657" t="str">
        <f t="shared" ref="F51:F54" si="8">IFERROR(IF(K21/K$11 = 0, "x", K21/K$11),"x")</f>
        <v>x</v>
      </c>
      <c r="G51" s="660" t="str">
        <f t="shared" si="6"/>
        <v>x</v>
      </c>
      <c r="H51" s="658" t="str">
        <f t="shared" si="6"/>
        <v>x</v>
      </c>
    </row>
    <row r="52" spans="2:18" ht="20.100000000000001" customHeight="1" x14ac:dyDescent="0.2">
      <c r="B52" s="534" t="s">
        <v>92</v>
      </c>
      <c r="C52" s="661" t="str">
        <f t="shared" si="7"/>
        <v>x</v>
      </c>
      <c r="D52" s="662" t="str">
        <f t="shared" si="5"/>
        <v>x</v>
      </c>
      <c r="E52" s="601" t="str">
        <f t="shared" si="5"/>
        <v>x</v>
      </c>
      <c r="F52" s="662" t="str">
        <f t="shared" si="8"/>
        <v>x</v>
      </c>
      <c r="G52" s="600" t="str">
        <f t="shared" si="6"/>
        <v>x</v>
      </c>
      <c r="H52" s="601" t="str">
        <f t="shared" si="6"/>
        <v>x</v>
      </c>
    </row>
    <row r="53" spans="2:18" ht="20.100000000000001" customHeight="1" x14ac:dyDescent="0.2">
      <c r="B53" s="533" t="s">
        <v>317</v>
      </c>
      <c r="C53" s="656" t="str">
        <f t="shared" si="7"/>
        <v>x</v>
      </c>
      <c r="D53" s="657" t="str">
        <f t="shared" si="5"/>
        <v>x</v>
      </c>
      <c r="E53" s="658" t="str">
        <f t="shared" si="5"/>
        <v>x</v>
      </c>
      <c r="F53" s="657" t="str">
        <f t="shared" si="8"/>
        <v>x</v>
      </c>
      <c r="G53" s="660" t="str">
        <f t="shared" si="6"/>
        <v>x</v>
      </c>
      <c r="H53" s="658" t="str">
        <f t="shared" si="6"/>
        <v>x</v>
      </c>
    </row>
    <row r="54" spans="2:18" ht="20.100000000000001" customHeight="1" x14ac:dyDescent="0.2">
      <c r="B54" s="536" t="s">
        <v>321</v>
      </c>
      <c r="C54" s="667" t="str">
        <f t="shared" si="7"/>
        <v>x</v>
      </c>
      <c r="D54" s="668" t="str">
        <f t="shared" si="5"/>
        <v>x</v>
      </c>
      <c r="E54" s="669" t="str">
        <f t="shared" si="5"/>
        <v>x</v>
      </c>
      <c r="F54" s="668" t="str">
        <f t="shared" si="8"/>
        <v>x</v>
      </c>
      <c r="G54" s="670" t="str">
        <f t="shared" si="6"/>
        <v>x</v>
      </c>
      <c r="H54" s="669" t="str">
        <f t="shared" si="6"/>
        <v>x</v>
      </c>
    </row>
    <row r="55" spans="2:18" ht="20.100000000000001" customHeight="1" x14ac:dyDescent="0.2">
      <c r="B55" s="636" t="s">
        <v>318</v>
      </c>
      <c r="C55" s="650"/>
      <c r="D55" s="650"/>
      <c r="E55" s="650"/>
      <c r="F55" s="650"/>
      <c r="G55" s="650"/>
      <c r="H55" s="651"/>
    </row>
    <row r="56" spans="2:18" ht="20.100000000000001" customHeight="1" x14ac:dyDescent="0.2">
      <c r="B56" s="535" t="s">
        <v>83</v>
      </c>
      <c r="C56" s="652" t="str">
        <f>IFERROR(D25,"x")</f>
        <v>x</v>
      </c>
      <c r="D56" s="645" t="str">
        <f t="shared" ref="D56:E60" si="9">IFERROR(E25/SUM($E25:$F25),"x")</f>
        <v>x</v>
      </c>
      <c r="E56" s="653" t="str">
        <f t="shared" si="9"/>
        <v>x</v>
      </c>
      <c r="F56" s="645" t="str">
        <f>IFERROR(IF(K25/K$11 = 0, "x", K25/K$11),"x")</f>
        <v>x</v>
      </c>
      <c r="G56" s="655" t="str">
        <f t="shared" ref="G56:H60" si="10">IFERROR(IF(L25/L$11 = 0, "x", L25/L$11),"x")</f>
        <v>x</v>
      </c>
      <c r="H56" s="653" t="str">
        <f t="shared" si="10"/>
        <v>x</v>
      </c>
    </row>
    <row r="57" spans="2:18" ht="20.100000000000001" customHeight="1" x14ac:dyDescent="0.2">
      <c r="B57" s="533" t="s">
        <v>308</v>
      </c>
      <c r="C57" s="656" t="str">
        <f t="shared" ref="C57:C60" si="11">IFERROR(D26,"x")</f>
        <v>x</v>
      </c>
      <c r="D57" s="657" t="str">
        <f t="shared" si="9"/>
        <v>x</v>
      </c>
      <c r="E57" s="658" t="str">
        <f t="shared" si="9"/>
        <v>x</v>
      </c>
      <c r="F57" s="657" t="str">
        <f t="shared" ref="F57:F60" si="12">IFERROR(IF(K26/K$11 = 0, "x", K26/K$11),"x")</f>
        <v>x</v>
      </c>
      <c r="G57" s="660" t="str">
        <f t="shared" si="10"/>
        <v>x</v>
      </c>
      <c r="H57" s="658" t="str">
        <f t="shared" si="10"/>
        <v>x</v>
      </c>
    </row>
    <row r="58" spans="2:18" ht="20.100000000000001" customHeight="1" x14ac:dyDescent="0.2">
      <c r="B58" s="534" t="s">
        <v>309</v>
      </c>
      <c r="C58" s="661" t="str">
        <f t="shared" si="11"/>
        <v>x</v>
      </c>
      <c r="D58" s="662" t="str">
        <f t="shared" si="9"/>
        <v>x</v>
      </c>
      <c r="E58" s="601" t="str">
        <f t="shared" si="9"/>
        <v>x</v>
      </c>
      <c r="F58" s="662" t="str">
        <f t="shared" si="12"/>
        <v>x</v>
      </c>
      <c r="G58" s="600" t="str">
        <f t="shared" si="10"/>
        <v>x</v>
      </c>
      <c r="H58" s="601" t="str">
        <f t="shared" si="10"/>
        <v>x</v>
      </c>
    </row>
    <row r="59" spans="2:18" ht="20.100000000000001" customHeight="1" x14ac:dyDescent="0.2">
      <c r="B59" s="533" t="s">
        <v>310</v>
      </c>
      <c r="C59" s="656" t="str">
        <f t="shared" si="11"/>
        <v>x</v>
      </c>
      <c r="D59" s="657" t="str">
        <f t="shared" si="9"/>
        <v>x</v>
      </c>
      <c r="E59" s="658" t="str">
        <f t="shared" si="9"/>
        <v>x</v>
      </c>
      <c r="F59" s="657" t="str">
        <f t="shared" si="12"/>
        <v>x</v>
      </c>
      <c r="G59" s="660" t="str">
        <f t="shared" si="10"/>
        <v>x</v>
      </c>
      <c r="H59" s="658" t="str">
        <f t="shared" si="10"/>
        <v>x</v>
      </c>
    </row>
    <row r="60" spans="2:18" ht="20.100000000000001" customHeight="1" x14ac:dyDescent="0.2">
      <c r="B60" s="638" t="s">
        <v>87</v>
      </c>
      <c r="C60" s="667" t="str">
        <f t="shared" si="11"/>
        <v>x</v>
      </c>
      <c r="D60" s="671" t="str">
        <f t="shared" si="9"/>
        <v>x</v>
      </c>
      <c r="E60" s="672" t="str">
        <f t="shared" si="9"/>
        <v>x</v>
      </c>
      <c r="F60" s="668" t="str">
        <f t="shared" si="12"/>
        <v>x</v>
      </c>
      <c r="G60" s="673" t="str">
        <f t="shared" si="10"/>
        <v>x</v>
      </c>
      <c r="H60" s="672" t="str">
        <f t="shared" si="10"/>
        <v>x</v>
      </c>
    </row>
    <row r="61" spans="2:18" ht="20.100000000000001" customHeight="1" x14ac:dyDescent="0.2">
      <c r="B61" s="614" t="s">
        <v>322</v>
      </c>
      <c r="C61" s="674" t="str">
        <f>IFERROR(D30,"x")</f>
        <v>x</v>
      </c>
      <c r="D61" s="675" t="str">
        <f>IFERROR(E30,"x")</f>
        <v>x</v>
      </c>
      <c r="E61" s="676" t="str">
        <f>IFERROR(F30,"x")</f>
        <v>x</v>
      </c>
      <c r="F61" s="677" t="str">
        <f>C61</f>
        <v>x</v>
      </c>
      <c r="G61" s="678" t="str">
        <f t="shared" ref="G61:H61" si="13">D61</f>
        <v>x</v>
      </c>
      <c r="H61" s="676" t="str">
        <f t="shared" si="13"/>
        <v>x</v>
      </c>
    </row>
    <row r="62" spans="2:18" ht="20.100000000000001" customHeight="1" x14ac:dyDescent="0.2"/>
    <row r="63" spans="2:18" ht="20.100000000000001" customHeight="1" x14ac:dyDescent="0.2"/>
    <row r="64" spans="2:18" ht="50.1" customHeight="1" x14ac:dyDescent="0.2">
      <c r="B64" s="159" t="s">
        <v>1281</v>
      </c>
      <c r="C64" s="59"/>
      <c r="D64" s="59"/>
      <c r="E64" s="59"/>
      <c r="F64" s="59"/>
      <c r="G64" s="59"/>
      <c r="H64" s="59"/>
      <c r="I64" s="59"/>
      <c r="J64" s="59"/>
      <c r="K64" s="59"/>
      <c r="L64" s="59"/>
      <c r="M64" s="59"/>
      <c r="N64" s="59"/>
      <c r="O64" s="59"/>
      <c r="P64" s="59"/>
      <c r="Q64" s="59"/>
      <c r="R64" s="59"/>
    </row>
    <row r="65" spans="1:19" ht="20.100000000000001" customHeight="1" x14ac:dyDescent="0.2">
      <c r="A65" s="1"/>
      <c r="B65" s="2"/>
      <c r="C65" s="1"/>
      <c r="D65" s="1"/>
      <c r="E65" s="1"/>
      <c r="F65" s="1"/>
      <c r="G65" s="1"/>
      <c r="H65" s="1"/>
      <c r="I65" s="1"/>
      <c r="J65" s="1"/>
      <c r="K65" s="1"/>
      <c r="L65" s="1"/>
      <c r="M65" s="1"/>
      <c r="N65" s="1"/>
      <c r="O65" s="1"/>
      <c r="P65" s="1"/>
      <c r="Q65" s="1"/>
      <c r="R65" s="1"/>
    </row>
    <row r="66" spans="1:19" ht="30" customHeight="1" x14ac:dyDescent="0.2">
      <c r="A66" s="560"/>
      <c r="B66" s="175" t="s">
        <v>1216</v>
      </c>
      <c r="C66" s="310"/>
      <c r="D66" s="310"/>
      <c r="E66" s="310"/>
      <c r="F66" s="310"/>
      <c r="G66" s="310"/>
      <c r="H66" s="310"/>
      <c r="I66" s="310"/>
      <c r="J66" s="310"/>
      <c r="K66" s="310"/>
      <c r="L66" s="310"/>
      <c r="M66" s="310"/>
      <c r="N66" s="310"/>
      <c r="O66" s="310"/>
      <c r="P66" s="310"/>
      <c r="Q66" s="310"/>
      <c r="R66" s="310"/>
    </row>
    <row r="67" spans="1:19" ht="20.100000000000001" customHeight="1" x14ac:dyDescent="0.2"/>
    <row r="68" spans="1:19" ht="20.100000000000001" customHeight="1" x14ac:dyDescent="0.2">
      <c r="B68" s="1240" t="s">
        <v>827</v>
      </c>
      <c r="C68" s="1240"/>
      <c r="D68" s="1240"/>
      <c r="E68" s="1240"/>
      <c r="F68" s="1240"/>
      <c r="G68" s="1240"/>
      <c r="H68" s="1240"/>
      <c r="I68" s="1240"/>
      <c r="K68" s="1240" t="s">
        <v>828</v>
      </c>
      <c r="L68" s="1240"/>
      <c r="M68" s="1240"/>
      <c r="N68" s="1240"/>
      <c r="O68" s="1240"/>
      <c r="P68" s="1240"/>
      <c r="Q68" s="1240"/>
      <c r="R68" s="1240"/>
    </row>
    <row r="69" spans="1:19" ht="20.100000000000001" customHeight="1" x14ac:dyDescent="0.2"/>
    <row r="70" spans="1:19" ht="20.100000000000001" customHeight="1" x14ac:dyDescent="0.2">
      <c r="B70" s="492"/>
      <c r="C70" s="72"/>
      <c r="D70" s="1238" t="s">
        <v>30</v>
      </c>
      <c r="E70" s="1239"/>
      <c r="F70" s="1238" t="s">
        <v>323</v>
      </c>
      <c r="G70" s="1239"/>
      <c r="H70" s="1238" t="s">
        <v>324</v>
      </c>
      <c r="I70" s="1239"/>
      <c r="K70" s="492"/>
      <c r="L70" s="72"/>
      <c r="M70" s="1238" t="s">
        <v>30</v>
      </c>
      <c r="N70" s="1239"/>
      <c r="O70" s="1238" t="s">
        <v>323</v>
      </c>
      <c r="P70" s="1239"/>
      <c r="Q70" s="1238" t="s">
        <v>324</v>
      </c>
      <c r="R70" s="1239"/>
    </row>
    <row r="71" spans="1:19" ht="20.100000000000001" customHeight="1" x14ac:dyDescent="0.2">
      <c r="B71" s="206" t="s">
        <v>1282</v>
      </c>
      <c r="C71" s="72"/>
      <c r="D71" s="206">
        <v>2016</v>
      </c>
      <c r="E71" s="562">
        <v>2021</v>
      </c>
      <c r="F71" s="206">
        <v>2016</v>
      </c>
      <c r="G71" s="562">
        <v>2021</v>
      </c>
      <c r="H71" s="206">
        <v>2016</v>
      </c>
      <c r="I71" s="562">
        <v>2021</v>
      </c>
      <c r="K71" s="206" t="s">
        <v>1282</v>
      </c>
      <c r="L71" s="72"/>
      <c r="M71" s="206">
        <v>2016</v>
      </c>
      <c r="N71" s="562">
        <v>2021</v>
      </c>
      <c r="O71" s="206">
        <v>2016</v>
      </c>
      <c r="P71" s="562">
        <v>2021</v>
      </c>
      <c r="Q71" s="206">
        <v>2016</v>
      </c>
      <c r="R71" s="562">
        <v>2021</v>
      </c>
    </row>
    <row r="72" spans="1:19" ht="20.100000000000001" customHeight="1" x14ac:dyDescent="0.2">
      <c r="A72" s="299">
        <v>1658</v>
      </c>
      <c r="B72" s="206" t="s">
        <v>6</v>
      </c>
      <c r="C72" s="72"/>
      <c r="D72" s="564" t="e">
        <f t="array" ref="D72">INDEX(df_main!$D$2:$D$100, MATCH(1, ($A$2 = df_main!$A$2:$A$100) * (df_main!$B$2:$B$100 = D$71) * (df_main!$C$2:$C$100 = $A72), 0), 0)</f>
        <v>#N/A</v>
      </c>
      <c r="E72" s="566" t="e">
        <f t="array" ref="E72">INDEX(df_main!$D$2:$D$100, MATCH(1, ($A$2 = df_main!$A$2:$A$100) * (df_main!$B$2:$B$100 = E$71) * (df_main!$C$2:$C$100 = $A72-202), 0), 0)</f>
        <v>#N/A</v>
      </c>
      <c r="F72" s="564" t="e">
        <f>popn_now!C12</f>
        <v>#N/A</v>
      </c>
      <c r="G72" s="566" t="e">
        <f>popn_now!D12</f>
        <v>#N/A</v>
      </c>
      <c r="H72" s="605" t="e">
        <f>D72/F72</f>
        <v>#N/A</v>
      </c>
      <c r="I72" s="606" t="e">
        <f>E72/G72</f>
        <v>#N/A</v>
      </c>
      <c r="J72" s="299">
        <v>1658</v>
      </c>
      <c r="K72" s="206" t="s">
        <v>6</v>
      </c>
      <c r="L72" s="72"/>
      <c r="M72" s="564" t="e">
        <f t="array" ref="M72">INDEX(df_main!$D$2:$D$100, MATCH(1, ($B$2 = df_main!$A$2:$A$100) * (df_main!$B$2:$B$100 = D$71) * (df_main!$C$2:$C$100 = $J72), 0), 0)</f>
        <v>#N/A</v>
      </c>
      <c r="N72" s="566" t="e">
        <f t="array" ref="N72">INDEX(df_main!$D$2:$D$100, MATCH(1, ($B$2 = df_main!$A$2:$A$100) * (df_main!$B$2:$B$100 = E$71) * (df_main!$C$2:$C$100 = $J72-202), 0), 0)</f>
        <v>#N/A</v>
      </c>
      <c r="O72" s="564" t="e">
        <f>popn_now!F12</f>
        <v>#N/A</v>
      </c>
      <c r="P72" s="566" t="e">
        <f>popn_now!G12</f>
        <v>#N/A</v>
      </c>
      <c r="Q72" s="605" t="e">
        <f>M72/O72</f>
        <v>#N/A</v>
      </c>
      <c r="R72" s="606" t="e">
        <f>N72/P72</f>
        <v>#N/A</v>
      </c>
    </row>
    <row r="73" spans="1:19" ht="20.100000000000001" customHeight="1" x14ac:dyDescent="0.2">
      <c r="A73" s="299">
        <v>1659</v>
      </c>
      <c r="B73" s="570" t="s">
        <v>294</v>
      </c>
      <c r="C73" s="493"/>
      <c r="D73" s="557" t="e">
        <f t="array" ref="D73">INDEX(df_main!$D$2:$D$100, MATCH(1, ($A$2 = df_main!$A$2:$A$100) * (df_main!$B$2:$B$100 = D$71) * (df_main!$C$2:$C$100 = $A73), 0), 0)</f>
        <v>#N/A</v>
      </c>
      <c r="E73" s="556" t="e">
        <f t="array" ref="E73">INDEX(df_main!$D$2:$D$100, MATCH(1, ($A$2 = df_main!$A$2:$A$100) * (df_main!$B$2:$B$100 = E$71) * (df_main!$C$2:$C$100 = $A73-202), 0), 0)</f>
        <v>#N/A</v>
      </c>
      <c r="F73" s="557" t="e">
        <f>SUM(popn_now!C16:C17)</f>
        <v>#N/A</v>
      </c>
      <c r="G73" s="556" t="e">
        <f>SUM(popn_now!D16:D17)</f>
        <v>#N/A</v>
      </c>
      <c r="H73" s="607" t="e">
        <f>IF(D73/F73 &gt; 1, 1, D73/F73)</f>
        <v>#N/A</v>
      </c>
      <c r="I73" s="556" t="e">
        <f>IFERROR(IF(E73/G73 &gt; 1, 1, E73/G73),NA())</f>
        <v>#N/A</v>
      </c>
      <c r="J73" s="299">
        <v>1659</v>
      </c>
      <c r="K73" s="570" t="s">
        <v>294</v>
      </c>
      <c r="L73" s="493"/>
      <c r="M73" s="557" t="e">
        <f t="array" ref="M73">INDEX(df_main!$D$2:$D$100, MATCH(1, ($B$2 = df_main!$A$2:$A$100) * (df_main!$B$2:$B$100 = D$71) * (df_main!$C$2:$C$100 = $J73), 0), 0)</f>
        <v>#N/A</v>
      </c>
      <c r="N73" s="556" t="e">
        <f t="array" ref="N73">INDEX(df_main!$D$2:$D$100, MATCH(1, ($B$2 = df_main!$A$2:$A$100) * (df_main!$B$2:$B$100 = E$71) * (df_main!$C$2:$C$100 = $J73-202), 0), 0)</f>
        <v>#N/A</v>
      </c>
      <c r="O73" s="557" t="e">
        <f>SUM(popn_now!F16:F17)</f>
        <v>#N/A</v>
      </c>
      <c r="P73" s="556" t="e">
        <f>SUM(popn_now!G16:G17)</f>
        <v>#N/A</v>
      </c>
      <c r="Q73" s="607" t="e">
        <f t="shared" ref="Q73:Q80" si="14">M73/O73</f>
        <v>#N/A</v>
      </c>
      <c r="R73" s="608" t="e">
        <f t="shared" ref="R73:R80" si="15">N73/P73</f>
        <v>#N/A</v>
      </c>
      <c r="S73" s="1"/>
    </row>
    <row r="74" spans="1:19" ht="20.100000000000001" customHeight="1" x14ac:dyDescent="0.2">
      <c r="A74" s="299">
        <v>1660</v>
      </c>
      <c r="B74" s="84" t="s">
        <v>295</v>
      </c>
      <c r="C74" s="173"/>
      <c r="D74" s="558" t="e">
        <f t="array" ref="D74">INDEX(df_main!$D$2:$D$100, MATCH(1, ($A$2 = df_main!$A$2:$A$100) * (df_main!$B$2:$B$100 = D$71) * (df_main!$C$2:$C$100 = $A74), 0), 0)</f>
        <v>#N/A</v>
      </c>
      <c r="E74" s="552" t="e">
        <f t="array" ref="E74">INDEX(df_main!$D$2:$D$100, MATCH(1, ($A$2 = df_main!$A$2:$A$100) * (df_main!$B$2:$B$100 = E$71) * (df_main!$C$2:$C$100 = $A74-202), 0), 0)</f>
        <v>#N/A</v>
      </c>
      <c r="F74" s="558" t="e">
        <f>SUM(popn_now!C18:C19)</f>
        <v>#N/A</v>
      </c>
      <c r="G74" s="552" t="e">
        <f>SUM(popn_now!D18:D19)</f>
        <v>#N/A</v>
      </c>
      <c r="H74" s="609" t="e">
        <f t="shared" ref="H74:H80" si="16">IF(D74/F74 &gt; 1, 1, D74/F74)</f>
        <v>#N/A</v>
      </c>
      <c r="I74" s="552" t="e">
        <f t="shared" ref="I74:I80" si="17">IFERROR(IF(E74/G74 &gt; 1, 1, E74/G74),NA())</f>
        <v>#N/A</v>
      </c>
      <c r="J74" s="299">
        <v>1660</v>
      </c>
      <c r="K74" s="84" t="s">
        <v>295</v>
      </c>
      <c r="L74" s="173"/>
      <c r="M74" s="558" t="e">
        <f t="array" ref="M74">INDEX(df_main!$D$2:$D$100, MATCH(1, ($B$2 = df_main!$A$2:$A$100) * (df_main!$B$2:$B$100 = D$71) * (df_main!$C$2:$C$100 = $J74), 0), 0)</f>
        <v>#N/A</v>
      </c>
      <c r="N74" s="552" t="e">
        <f t="array" ref="N74">INDEX(df_main!$D$2:$D$100, MATCH(1, ($B$2 = df_main!$A$2:$A$100) * (df_main!$B$2:$B$100 = E$71) * (df_main!$C$2:$C$100 = $J74-202), 0), 0)</f>
        <v>#N/A</v>
      </c>
      <c r="O74" s="558" t="e">
        <f>SUM(popn_now!F18:F19)</f>
        <v>#N/A</v>
      </c>
      <c r="P74" s="552" t="e">
        <f>SUM(popn_now!G18:G19)</f>
        <v>#N/A</v>
      </c>
      <c r="Q74" s="609" t="e">
        <f t="shared" si="14"/>
        <v>#N/A</v>
      </c>
      <c r="R74" s="610" t="e">
        <f t="shared" si="15"/>
        <v>#N/A</v>
      </c>
    </row>
    <row r="75" spans="1:19" ht="20.100000000000001" customHeight="1" x14ac:dyDescent="0.2">
      <c r="A75" s="299">
        <v>1661</v>
      </c>
      <c r="B75" s="84" t="s">
        <v>296</v>
      </c>
      <c r="C75" s="173"/>
      <c r="D75" s="558" t="e">
        <f t="array" ref="D75">INDEX(df_main!$D$2:$D$100, MATCH(1, ($A$2 = df_main!$A$2:$A$100) * (df_main!$B$2:$B$100 = D$71) * (df_main!$C$2:$C$100 = $A75), 0), 0)</f>
        <v>#N/A</v>
      </c>
      <c r="E75" s="552" t="e">
        <f t="array" ref="E75">INDEX(df_main!$D$2:$D$100, MATCH(1, ($A$2 = df_main!$A$2:$A$100) * (df_main!$B$2:$B$100 = E$71) * (df_main!$C$2:$C$100 = $A75-202), 0), 0)</f>
        <v>#N/A</v>
      </c>
      <c r="F75" s="558" t="e">
        <f>SUM(popn_now!C20:C21)</f>
        <v>#N/A</v>
      </c>
      <c r="G75" s="552" t="e">
        <f>SUM(popn_now!D20:D21)</f>
        <v>#N/A</v>
      </c>
      <c r="H75" s="609" t="e">
        <f t="shared" si="16"/>
        <v>#N/A</v>
      </c>
      <c r="I75" s="552" t="e">
        <f t="shared" si="17"/>
        <v>#N/A</v>
      </c>
      <c r="J75" s="299">
        <v>1661</v>
      </c>
      <c r="K75" s="84" t="s">
        <v>296</v>
      </c>
      <c r="L75" s="173"/>
      <c r="M75" s="558" t="e">
        <f t="array" ref="M75">INDEX(df_main!$D$2:$D$100, MATCH(1, ($B$2 = df_main!$A$2:$A$100) * (df_main!$B$2:$B$100 = D$71) * (df_main!$C$2:$C$100 = $J75), 0), 0)</f>
        <v>#N/A</v>
      </c>
      <c r="N75" s="552" t="e">
        <f t="array" ref="N75">INDEX(df_main!$D$2:$D$100, MATCH(1, ($B$2 = df_main!$A$2:$A$100) * (df_main!$B$2:$B$100 = E$71) * (df_main!$C$2:$C$100 = $J75-202), 0), 0)</f>
        <v>#N/A</v>
      </c>
      <c r="O75" s="558" t="e">
        <f>SUM(popn_now!F20:F21)</f>
        <v>#N/A</v>
      </c>
      <c r="P75" s="552" t="e">
        <f>SUM(popn_now!G20:G21)</f>
        <v>#N/A</v>
      </c>
      <c r="Q75" s="609" t="e">
        <f t="shared" si="14"/>
        <v>#N/A</v>
      </c>
      <c r="R75" s="610" t="e">
        <f t="shared" si="15"/>
        <v>#N/A</v>
      </c>
    </row>
    <row r="76" spans="1:19" ht="20.100000000000001" customHeight="1" x14ac:dyDescent="0.2">
      <c r="A76" s="299">
        <v>1662</v>
      </c>
      <c r="B76" s="84" t="s">
        <v>297</v>
      </c>
      <c r="C76" s="173"/>
      <c r="D76" s="558" t="e">
        <f t="array" ref="D76">INDEX(df_main!$D$2:$D$100, MATCH(1, ($A$2 = df_main!$A$2:$A$100) * (df_main!$B$2:$B$100 = D$71) * (df_main!$C$2:$C$100 = $A76), 0), 0)</f>
        <v>#N/A</v>
      </c>
      <c r="E76" s="552" t="e">
        <f t="array" ref="E76">INDEX(df_main!$D$2:$D$100, MATCH(1, ($A$2 = df_main!$A$2:$A$100) * (df_main!$B$2:$B$100 = E$71) * (df_main!$C$2:$C$100 = $A76-202), 0), 0)</f>
        <v>#N/A</v>
      </c>
      <c r="F76" s="558" t="e">
        <f>SUM(popn_now!C22:C23)</f>
        <v>#N/A</v>
      </c>
      <c r="G76" s="552" t="e">
        <f>SUM(popn_now!D22:D23)</f>
        <v>#N/A</v>
      </c>
      <c r="H76" s="609" t="e">
        <f t="shared" si="16"/>
        <v>#N/A</v>
      </c>
      <c r="I76" s="552" t="e">
        <f t="shared" si="17"/>
        <v>#N/A</v>
      </c>
      <c r="J76" s="299">
        <v>1662</v>
      </c>
      <c r="K76" s="84" t="s">
        <v>297</v>
      </c>
      <c r="L76" s="173"/>
      <c r="M76" s="558" t="e">
        <f t="array" ref="M76">INDEX(df_main!$D$2:$D$100, MATCH(1, ($B$2 = df_main!$A$2:$A$100) * (df_main!$B$2:$B$100 = D$71) * (df_main!$C$2:$C$100 = $J76), 0), 0)</f>
        <v>#N/A</v>
      </c>
      <c r="N76" s="552" t="e">
        <f t="array" ref="N76">INDEX(df_main!$D$2:$D$100, MATCH(1, ($B$2 = df_main!$A$2:$A$100) * (df_main!$B$2:$B$100 = E$71) * (df_main!$C$2:$C$100 = $J76-202), 0), 0)</f>
        <v>#N/A</v>
      </c>
      <c r="O76" s="558" t="e">
        <f>SUM(popn_now!F22:F23)</f>
        <v>#N/A</v>
      </c>
      <c r="P76" s="552" t="e">
        <f>SUM(popn_now!G22:G23)</f>
        <v>#N/A</v>
      </c>
      <c r="Q76" s="609" t="e">
        <f t="shared" si="14"/>
        <v>#N/A</v>
      </c>
      <c r="R76" s="610" t="e">
        <f t="shared" si="15"/>
        <v>#N/A</v>
      </c>
    </row>
    <row r="77" spans="1:19" ht="20.100000000000001" customHeight="1" x14ac:dyDescent="0.2">
      <c r="A77" s="299">
        <v>1663</v>
      </c>
      <c r="B77" s="84" t="s">
        <v>298</v>
      </c>
      <c r="C77" s="173"/>
      <c r="D77" s="558" t="e">
        <f t="array" ref="D77">INDEX(df_main!$D$2:$D$100, MATCH(1, ($A$2 = df_main!$A$2:$A$100) * (df_main!$B$2:$B$100 = D$71) * (df_main!$C$2:$C$100 = $A77), 0), 0)</f>
        <v>#N/A</v>
      </c>
      <c r="E77" s="552" t="e">
        <f t="array" ref="E77">INDEX(df_main!$D$2:$D$100, MATCH(1, ($A$2 = df_main!$A$2:$A$100) * (df_main!$B$2:$B$100 = E$71) * (df_main!$C$2:$C$100 = $A77-202), 0), 0)</f>
        <v>#N/A</v>
      </c>
      <c r="F77" s="558" t="e">
        <f>SUM(popn_now!C24:C25)</f>
        <v>#N/A</v>
      </c>
      <c r="G77" s="552" t="e">
        <f>SUM(popn_now!D24:D25)</f>
        <v>#N/A</v>
      </c>
      <c r="H77" s="609" t="e">
        <f t="shared" si="16"/>
        <v>#N/A</v>
      </c>
      <c r="I77" s="552" t="e">
        <f t="shared" si="17"/>
        <v>#N/A</v>
      </c>
      <c r="J77" s="299">
        <v>1663</v>
      </c>
      <c r="K77" s="84" t="s">
        <v>298</v>
      </c>
      <c r="L77" s="173"/>
      <c r="M77" s="558" t="e">
        <f t="array" ref="M77">INDEX(df_main!$D$2:$D$100, MATCH(1, ($B$2 = df_main!$A$2:$A$100) * (df_main!$B$2:$B$100 = D$71) * (df_main!$C$2:$C$100 = $J77), 0), 0)</f>
        <v>#N/A</v>
      </c>
      <c r="N77" s="552" t="e">
        <f t="array" ref="N77">INDEX(df_main!$D$2:$D$100, MATCH(1, ($B$2 = df_main!$A$2:$A$100) * (df_main!$B$2:$B$100 = E$71) * (df_main!$C$2:$C$100 = $J77-202), 0), 0)</f>
        <v>#N/A</v>
      </c>
      <c r="O77" s="558" t="e">
        <f>SUM(popn_now!F24:F25)</f>
        <v>#N/A</v>
      </c>
      <c r="P77" s="552" t="e">
        <f>SUM(popn_now!G24:G25)</f>
        <v>#N/A</v>
      </c>
      <c r="Q77" s="609" t="e">
        <f t="shared" si="14"/>
        <v>#N/A</v>
      </c>
      <c r="R77" s="610" t="e">
        <f t="shared" si="15"/>
        <v>#N/A</v>
      </c>
    </row>
    <row r="78" spans="1:19" ht="20.100000000000001" customHeight="1" x14ac:dyDescent="0.2">
      <c r="A78" s="299">
        <v>1664</v>
      </c>
      <c r="B78" s="84" t="s">
        <v>299</v>
      </c>
      <c r="C78" s="173"/>
      <c r="D78" s="558" t="e">
        <f t="array" ref="D78">INDEX(df_main!$D$2:$D$100, MATCH(1, ($A$2 = df_main!$A$2:$A$100) * (df_main!$B$2:$B$100 = D$71) * (df_main!$C$2:$C$100 = $A78), 0), 0)</f>
        <v>#N/A</v>
      </c>
      <c r="E78" s="552" t="e">
        <f t="array" ref="E78">INDEX(df_main!$D$2:$D$100, MATCH(1, ($A$2 = df_main!$A$2:$A$100) * (df_main!$B$2:$B$100 = E$71) * (df_main!$C$2:$C$100 = $A78-202), 0), 0)</f>
        <v>#N/A</v>
      </c>
      <c r="F78" s="558" t="e">
        <f>SUM(popn_now!C26:C27)</f>
        <v>#N/A</v>
      </c>
      <c r="G78" s="552" t="e">
        <f>SUM(popn_now!D26:D27)</f>
        <v>#N/A</v>
      </c>
      <c r="H78" s="609" t="e">
        <f t="shared" si="16"/>
        <v>#N/A</v>
      </c>
      <c r="I78" s="552" t="e">
        <f t="shared" si="17"/>
        <v>#N/A</v>
      </c>
      <c r="J78" s="299">
        <v>1664</v>
      </c>
      <c r="K78" s="84" t="s">
        <v>299</v>
      </c>
      <c r="L78" s="173"/>
      <c r="M78" s="558" t="e">
        <f t="array" ref="M78">INDEX(df_main!$D$2:$D$100, MATCH(1, ($B$2 = df_main!$A$2:$A$100) * (df_main!$B$2:$B$100 = D$71) * (df_main!$C$2:$C$100 = $J78), 0), 0)</f>
        <v>#N/A</v>
      </c>
      <c r="N78" s="552" t="e">
        <f t="array" ref="N78">INDEX(df_main!$D$2:$D$100, MATCH(1, ($B$2 = df_main!$A$2:$A$100) * (df_main!$B$2:$B$100 = E$71) * (df_main!$C$2:$C$100 = $J78-202), 0), 0)</f>
        <v>#N/A</v>
      </c>
      <c r="O78" s="558" t="e">
        <f>SUM(popn_now!F26:F27)</f>
        <v>#N/A</v>
      </c>
      <c r="P78" s="552" t="e">
        <f>SUM(popn_now!G26:G27)</f>
        <v>#N/A</v>
      </c>
      <c r="Q78" s="609" t="e">
        <f t="shared" si="14"/>
        <v>#N/A</v>
      </c>
      <c r="R78" s="610" t="e">
        <f t="shared" si="15"/>
        <v>#N/A</v>
      </c>
    </row>
    <row r="79" spans="1:19" ht="20.100000000000001" customHeight="1" x14ac:dyDescent="0.2">
      <c r="A79" s="299">
        <v>1665</v>
      </c>
      <c r="B79" s="84" t="s">
        <v>300</v>
      </c>
      <c r="C79" s="173"/>
      <c r="D79" s="558" t="e">
        <f t="array" ref="D79">INDEX(df_main!$D$2:$D$100, MATCH(1, ($A$2 = df_main!$A$2:$A$100) * (df_main!$B$2:$B$100 = D$71) * (df_main!$C$2:$C$100 = $A79), 0), 0)</f>
        <v>#N/A</v>
      </c>
      <c r="E79" s="552" t="e">
        <f t="array" ref="E79">INDEX(df_main!$D$2:$D$100, MATCH(1, ($A$2 = df_main!$A$2:$A$100) * (df_main!$B$2:$B$100 = E$71) * (df_main!$C$2:$C$100 = $A79-202), 0), 0)</f>
        <v>#N/A</v>
      </c>
      <c r="F79" s="558" t="e">
        <f>SUM(popn_now!C28:C29)</f>
        <v>#N/A</v>
      </c>
      <c r="G79" s="552" t="e">
        <f>SUM(popn_now!D28:D29)</f>
        <v>#N/A</v>
      </c>
      <c r="H79" s="609" t="e">
        <f t="shared" si="16"/>
        <v>#N/A</v>
      </c>
      <c r="I79" s="552" t="e">
        <f t="shared" si="17"/>
        <v>#N/A</v>
      </c>
      <c r="J79" s="299">
        <v>1665</v>
      </c>
      <c r="K79" s="84" t="s">
        <v>300</v>
      </c>
      <c r="L79" s="173"/>
      <c r="M79" s="558" t="e">
        <f t="array" ref="M79">INDEX(df_main!$D$2:$D$100, MATCH(1, ($B$2 = df_main!$A$2:$A$100) * (df_main!$B$2:$B$100 = D$71) * (df_main!$C$2:$C$100 = $J79), 0), 0)</f>
        <v>#N/A</v>
      </c>
      <c r="N79" s="552" t="e">
        <f t="array" ref="N79">INDEX(df_main!$D$2:$D$100, MATCH(1, ($B$2 = df_main!$A$2:$A$100) * (df_main!$B$2:$B$100 = E$71) * (df_main!$C$2:$C$100 = $J79-202), 0), 0)</f>
        <v>#N/A</v>
      </c>
      <c r="O79" s="558" t="e">
        <f>SUM(popn_now!F28:F29)</f>
        <v>#N/A</v>
      </c>
      <c r="P79" s="552" t="e">
        <f>SUM(popn_now!G28:G29)</f>
        <v>#N/A</v>
      </c>
      <c r="Q79" s="609" t="e">
        <f t="shared" si="14"/>
        <v>#N/A</v>
      </c>
      <c r="R79" s="610" t="e">
        <f t="shared" si="15"/>
        <v>#N/A</v>
      </c>
    </row>
    <row r="80" spans="1:19" ht="20.100000000000001" customHeight="1" x14ac:dyDescent="0.2">
      <c r="A80" s="299">
        <v>1666</v>
      </c>
      <c r="B80" s="569" t="s">
        <v>293</v>
      </c>
      <c r="C80" s="494"/>
      <c r="D80" s="559" t="e">
        <f t="array" ref="D80">INDEX(df_main!$D$2:$D$100, MATCH(1, ($A$2 = df_main!$A$2:$A$100) * (df_main!$B$2:$B$100 = D$71) * (df_main!$C$2:$C$100 = $A80), 0), 0)</f>
        <v>#N/A</v>
      </c>
      <c r="E80" s="554" t="e">
        <f t="array" ref="E80">INDEX(df_main!$D$2:$D$100, MATCH(1, ($A$2 = df_main!$A$2:$A$100) * (df_main!$B$2:$B$100 = E$71) * (df_main!$C$2:$C$100 = $A80-202), 0), 0)</f>
        <v>#N/A</v>
      </c>
      <c r="F80" s="559" t="e">
        <f>popn_now!C30</f>
        <v>#N/A</v>
      </c>
      <c r="G80" s="554" t="e">
        <f>popn_now!D30</f>
        <v>#N/A</v>
      </c>
      <c r="H80" s="611" t="e">
        <f t="shared" si="16"/>
        <v>#N/A</v>
      </c>
      <c r="I80" s="554" t="e">
        <f t="shared" si="17"/>
        <v>#N/A</v>
      </c>
      <c r="J80" s="299">
        <v>1666</v>
      </c>
      <c r="K80" s="569" t="s">
        <v>293</v>
      </c>
      <c r="L80" s="494"/>
      <c r="M80" s="559" t="e">
        <f t="array" ref="M80">INDEX(df_main!$D$2:$D$100, MATCH(1, ($B$2 = df_main!$A$2:$A$100) * (df_main!$B$2:$B$100 = D$71) * (df_main!$C$2:$C$100 = $J80), 0), 0)</f>
        <v>#N/A</v>
      </c>
      <c r="N80" s="554" t="e">
        <f t="array" ref="N80">INDEX(df_main!$D$2:$D$100, MATCH(1, ($B$2 = df_main!$A$2:$A$100) * (df_main!$B$2:$B$100 = E$71) * (df_main!$C$2:$C$100 = $J80-202), 0), 0)</f>
        <v>#N/A</v>
      </c>
      <c r="O80" s="559" t="e">
        <f>popn_now!F30</f>
        <v>#N/A</v>
      </c>
      <c r="P80" s="554" t="e">
        <f>popn_now!G30</f>
        <v>#N/A</v>
      </c>
      <c r="Q80" s="611" t="e">
        <f t="shared" si="14"/>
        <v>#N/A</v>
      </c>
      <c r="R80" s="612" t="e">
        <f t="shared" si="15"/>
        <v>#N/A</v>
      </c>
    </row>
    <row r="81" spans="1:18" ht="20.100000000000001" customHeight="1" x14ac:dyDescent="0.2"/>
    <row r="82" spans="1:18" ht="30" customHeight="1" x14ac:dyDescent="0.2">
      <c r="A82" s="560"/>
      <c r="B82" s="175" t="s">
        <v>1217</v>
      </c>
      <c r="C82" s="310"/>
      <c r="D82" s="310"/>
      <c r="E82" s="310"/>
      <c r="F82" s="310"/>
      <c r="G82" s="310"/>
      <c r="H82" s="310"/>
      <c r="I82" s="310"/>
      <c r="J82" s="310"/>
      <c r="K82" s="310"/>
      <c r="L82" s="310"/>
      <c r="M82" s="310"/>
      <c r="N82" s="310"/>
      <c r="O82" s="310"/>
      <c r="P82" s="310"/>
      <c r="Q82" s="310"/>
      <c r="R82" s="310"/>
    </row>
    <row r="83" spans="1:18" ht="20.100000000000001" customHeight="1" x14ac:dyDescent="0.2"/>
    <row r="84" spans="1:18" ht="20.100000000000001" customHeight="1" x14ac:dyDescent="0.2">
      <c r="B84" s="1243" t="s">
        <v>1218</v>
      </c>
      <c r="C84" s="1243"/>
      <c r="D84" s="1243"/>
      <c r="E84" s="1243"/>
      <c r="F84" s="1243"/>
      <c r="G84" s="1243"/>
    </row>
    <row r="85" spans="1:18" ht="20.100000000000001" customHeight="1" x14ac:dyDescent="0.2"/>
    <row r="86" spans="1:18" ht="20.100000000000001" customHeight="1" x14ac:dyDescent="0.2">
      <c r="B86" s="613"/>
      <c r="C86" s="1234" t="s">
        <v>324</v>
      </c>
      <c r="D86" s="1235"/>
      <c r="E86" s="1250" t="s">
        <v>325</v>
      </c>
      <c r="F86" s="1251"/>
      <c r="G86" s="1252" t="s">
        <v>328</v>
      </c>
    </row>
    <row r="87" spans="1:18" ht="20.100000000000001" customHeight="1" x14ac:dyDescent="0.2">
      <c r="B87" s="68" t="s">
        <v>329</v>
      </c>
      <c r="C87" s="621">
        <v>2016</v>
      </c>
      <c r="D87" s="622">
        <v>2021</v>
      </c>
      <c r="E87" s="618" t="s">
        <v>326</v>
      </c>
      <c r="F87" s="620" t="s">
        <v>327</v>
      </c>
      <c r="G87" s="1253"/>
    </row>
    <row r="88" spans="1:18" ht="20.100000000000001" customHeight="1" x14ac:dyDescent="0.2">
      <c r="B88" s="629" t="s">
        <v>6</v>
      </c>
      <c r="C88" s="640" t="str">
        <f>IFERROR(IFERROR(H72,Q72),"x")</f>
        <v>x</v>
      </c>
      <c r="D88" s="1282" t="str">
        <f>IFERROR(IFERROR(I72,R72),"x")</f>
        <v>x</v>
      </c>
      <c r="E88" s="630" t="str">
        <f>IFERROR(E72,"x")</f>
        <v>x</v>
      </c>
      <c r="F88" s="631">
        <f>SUM(F89:F96)</f>
        <v>0</v>
      </c>
      <c r="G88" s="646" t="str">
        <f>IFERROR(F88-E88,"x")</f>
        <v>x</v>
      </c>
    </row>
    <row r="89" spans="1:18" ht="20.100000000000001" customHeight="1" x14ac:dyDescent="0.2">
      <c r="B89" s="623" t="s">
        <v>60</v>
      </c>
      <c r="C89" s="641" t="str">
        <f t="shared" ref="C89:D89" si="18">IFERROR(IFERROR(H73,Q73),"x")</f>
        <v>x</v>
      </c>
      <c r="D89" s="1283" t="str">
        <f t="shared" si="18"/>
        <v>x</v>
      </c>
      <c r="E89" s="624" t="str">
        <f t="shared" ref="E89:E96" si="19">IFERROR(E73,"x")</f>
        <v>x</v>
      </c>
      <c r="F89" s="625" t="str">
        <f>IFERROR(MROUND(C89*G73,5),"x")</f>
        <v>x</v>
      </c>
      <c r="G89" s="881" t="str">
        <f t="shared" ref="G89:G96" si="20">IFERROR(F89-E89,"x")</f>
        <v>x</v>
      </c>
    </row>
    <row r="90" spans="1:18" ht="20.100000000000001" customHeight="1" x14ac:dyDescent="0.2">
      <c r="B90" s="597" t="s">
        <v>61</v>
      </c>
      <c r="C90" s="642" t="str">
        <f t="shared" ref="C90:D90" si="21">IFERROR(IFERROR(H74,Q74),"x")</f>
        <v>x</v>
      </c>
      <c r="D90" s="1284" t="str">
        <f t="shared" si="21"/>
        <v>x</v>
      </c>
      <c r="E90" s="632" t="str">
        <f t="shared" si="19"/>
        <v>x</v>
      </c>
      <c r="F90" s="633" t="str">
        <f t="shared" ref="F90:F96" si="22">IFERROR(MROUND(C90*G74,5),"x")</f>
        <v>x</v>
      </c>
      <c r="G90" s="661" t="str">
        <f t="shared" si="20"/>
        <v>x</v>
      </c>
    </row>
    <row r="91" spans="1:18" ht="20.100000000000001" customHeight="1" x14ac:dyDescent="0.2">
      <c r="B91" s="626" t="s">
        <v>62</v>
      </c>
      <c r="C91" s="643" t="str">
        <f t="shared" ref="C91:D91" si="23">IFERROR(IFERROR(H75,Q75),"x")</f>
        <v>x</v>
      </c>
      <c r="D91" s="1285" t="str">
        <f t="shared" si="23"/>
        <v>x</v>
      </c>
      <c r="E91" s="627" t="str">
        <f t="shared" si="19"/>
        <v>x</v>
      </c>
      <c r="F91" s="628" t="str">
        <f t="shared" si="22"/>
        <v>x</v>
      </c>
      <c r="G91" s="656" t="str">
        <f t="shared" si="20"/>
        <v>x</v>
      </c>
    </row>
    <row r="92" spans="1:18" ht="20.100000000000001" customHeight="1" x14ac:dyDescent="0.2">
      <c r="B92" s="597" t="s">
        <v>63</v>
      </c>
      <c r="C92" s="642" t="str">
        <f t="shared" ref="C92:D92" si="24">IFERROR(IFERROR(H76,Q76),"x")</f>
        <v>x</v>
      </c>
      <c r="D92" s="1284" t="str">
        <f t="shared" si="24"/>
        <v>x</v>
      </c>
      <c r="E92" s="632" t="str">
        <f t="shared" si="19"/>
        <v>x</v>
      </c>
      <c r="F92" s="633" t="str">
        <f t="shared" si="22"/>
        <v>x</v>
      </c>
      <c r="G92" s="661" t="str">
        <f t="shared" si="20"/>
        <v>x</v>
      </c>
    </row>
    <row r="93" spans="1:18" ht="20.100000000000001" customHeight="1" x14ac:dyDescent="0.2">
      <c r="B93" s="626" t="s">
        <v>64</v>
      </c>
      <c r="C93" s="643" t="str">
        <f t="shared" ref="C93:D93" si="25">IFERROR(IFERROR(H77,Q77),"x")</f>
        <v>x</v>
      </c>
      <c r="D93" s="1285" t="str">
        <f t="shared" si="25"/>
        <v>x</v>
      </c>
      <c r="E93" s="627" t="str">
        <f t="shared" si="19"/>
        <v>x</v>
      </c>
      <c r="F93" s="628" t="str">
        <f t="shared" si="22"/>
        <v>x</v>
      </c>
      <c r="G93" s="656" t="str">
        <f t="shared" si="20"/>
        <v>x</v>
      </c>
    </row>
    <row r="94" spans="1:18" ht="20.100000000000001" customHeight="1" x14ac:dyDescent="0.2">
      <c r="B94" s="597" t="s">
        <v>65</v>
      </c>
      <c r="C94" s="642" t="str">
        <f t="shared" ref="C94:D94" si="26">IFERROR(IFERROR(H78,Q78),"x")</f>
        <v>x</v>
      </c>
      <c r="D94" s="1284" t="str">
        <f t="shared" si="26"/>
        <v>x</v>
      </c>
      <c r="E94" s="632" t="str">
        <f t="shared" si="19"/>
        <v>x</v>
      </c>
      <c r="F94" s="633" t="str">
        <f t="shared" si="22"/>
        <v>x</v>
      </c>
      <c r="G94" s="661" t="str">
        <f t="shared" si="20"/>
        <v>x</v>
      </c>
    </row>
    <row r="95" spans="1:18" ht="20.100000000000001" customHeight="1" x14ac:dyDescent="0.2">
      <c r="B95" s="626" t="s">
        <v>133</v>
      </c>
      <c r="C95" s="643" t="str">
        <f t="shared" ref="C95:D95" si="27">IFERROR(IFERROR(H79,Q79),"x")</f>
        <v>x</v>
      </c>
      <c r="D95" s="1285" t="str">
        <f t="shared" si="27"/>
        <v>x</v>
      </c>
      <c r="E95" s="627" t="str">
        <f t="shared" si="19"/>
        <v>x</v>
      </c>
      <c r="F95" s="628" t="str">
        <f t="shared" si="22"/>
        <v>x</v>
      </c>
      <c r="G95" s="656" t="str">
        <f t="shared" si="20"/>
        <v>x</v>
      </c>
    </row>
    <row r="96" spans="1:18" ht="20.100000000000001" customHeight="1" x14ac:dyDescent="0.2">
      <c r="B96" s="522" t="s">
        <v>5</v>
      </c>
      <c r="C96" s="644" t="str">
        <f t="shared" ref="C96:D96" si="28">IFERROR(IFERROR(H80,Q80),"x")</f>
        <v>x</v>
      </c>
      <c r="D96" s="1286" t="str">
        <f t="shared" si="28"/>
        <v>x</v>
      </c>
      <c r="E96" s="634" t="str">
        <f t="shared" si="19"/>
        <v>x</v>
      </c>
      <c r="F96" s="635" t="str">
        <f t="shared" si="22"/>
        <v>x</v>
      </c>
      <c r="G96" s="667" t="str">
        <f t="shared" si="20"/>
        <v>x</v>
      </c>
    </row>
  </sheetData>
  <mergeCells count="17">
    <mergeCell ref="C86:D86"/>
    <mergeCell ref="E86:F86"/>
    <mergeCell ref="G86:G87"/>
    <mergeCell ref="F37:H37"/>
    <mergeCell ref="C37:E37"/>
    <mergeCell ref="D70:E70"/>
    <mergeCell ref="F70:G70"/>
    <mergeCell ref="H70:I70"/>
    <mergeCell ref="B84:G84"/>
    <mergeCell ref="B68:I68"/>
    <mergeCell ref="M70:N70"/>
    <mergeCell ref="O70:P70"/>
    <mergeCell ref="Q70:R70"/>
    <mergeCell ref="K68:R68"/>
    <mergeCell ref="B8:G8"/>
    <mergeCell ref="I8:M8"/>
    <mergeCell ref="B35:H35"/>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U147"/>
  <sheetViews>
    <sheetView zoomScale="85" zoomScaleNormal="85" workbookViewId="0">
      <pane ySplit="2" topLeftCell="A3" activePane="bottomLeft" state="frozen"/>
      <selection pane="bottomLeft" activeCell="A3" sqref="A3"/>
    </sheetView>
  </sheetViews>
  <sheetFormatPr defaultColWidth="11" defaultRowHeight="14.25" x14ac:dyDescent="0.2"/>
  <sheetData>
    <row r="1" spans="1:12" ht="20.100000000000001" customHeight="1" x14ac:dyDescent="0.2">
      <c r="A1" s="2" t="s">
        <v>181</v>
      </c>
      <c r="B1" s="2" t="s">
        <v>182</v>
      </c>
      <c r="C1" s="2" t="s">
        <v>183</v>
      </c>
    </row>
    <row r="2" spans="1:12" ht="20.100000000000001" customHeight="1" x14ac:dyDescent="0.2">
      <c r="A2" s="2">
        <f>df_geo!A2</f>
        <v>1000000</v>
      </c>
      <c r="B2" s="99">
        <f>_xlfn.NUMBERVALUE(LEFT(A2,4))</f>
        <v>1000</v>
      </c>
      <c r="C2" s="2">
        <f>_xlfn.NUMBERVALUE(LEFT(B2,2))</f>
        <v>10</v>
      </c>
    </row>
    <row r="4" spans="1:12" ht="50.1" customHeight="1" x14ac:dyDescent="0.2">
      <c r="B4" s="159" t="s">
        <v>1283</v>
      </c>
      <c r="C4" s="59"/>
      <c r="D4" s="59"/>
      <c r="E4" s="59"/>
      <c r="F4" s="59"/>
      <c r="G4" s="59"/>
      <c r="H4" s="59"/>
      <c r="I4" s="59"/>
      <c r="J4" s="59"/>
      <c r="K4" s="59"/>
      <c r="L4" s="59"/>
    </row>
    <row r="5" spans="1:12" ht="20.100000000000001" customHeight="1" x14ac:dyDescent="0.2">
      <c r="A5" s="1"/>
      <c r="B5" s="2"/>
      <c r="C5" s="1"/>
      <c r="D5" s="1"/>
      <c r="E5" s="1"/>
      <c r="F5" s="1"/>
      <c r="G5" s="1"/>
      <c r="H5" s="1"/>
      <c r="I5" s="1"/>
      <c r="J5" s="1"/>
      <c r="K5" s="1"/>
      <c r="L5" s="1"/>
    </row>
    <row r="6" spans="1:12" ht="30" customHeight="1" x14ac:dyDescent="0.2">
      <c r="A6" s="560"/>
      <c r="B6" s="175" t="s">
        <v>1216</v>
      </c>
      <c r="C6" s="310"/>
      <c r="D6" s="310"/>
      <c r="E6" s="310"/>
      <c r="F6" s="310"/>
      <c r="G6" s="310"/>
      <c r="H6" s="310"/>
      <c r="I6" s="310"/>
      <c r="J6" s="310"/>
      <c r="K6" s="310"/>
      <c r="L6" s="310"/>
    </row>
    <row r="8" spans="1:12" ht="20.100000000000001" customHeight="1" x14ac:dyDescent="0.2">
      <c r="B8" s="1240" t="s">
        <v>262</v>
      </c>
      <c r="C8" s="1240"/>
      <c r="D8" s="1240"/>
      <c r="E8" s="1240"/>
      <c r="F8" s="1240"/>
    </row>
    <row r="9" spans="1:12" ht="20.100000000000001" customHeight="1" x14ac:dyDescent="0.2"/>
    <row r="10" spans="1:12" ht="20.100000000000001" customHeight="1" x14ac:dyDescent="0.2">
      <c r="B10" s="206" t="s">
        <v>478</v>
      </c>
      <c r="C10" s="72"/>
      <c r="D10" s="128" t="s">
        <v>181</v>
      </c>
      <c r="E10" s="117" t="s">
        <v>182</v>
      </c>
      <c r="F10" s="302" t="s">
        <v>183</v>
      </c>
    </row>
    <row r="11" spans="1:12" ht="20.100000000000001" customHeight="1" x14ac:dyDescent="0.2">
      <c r="A11" s="299">
        <v>2224</v>
      </c>
      <c r="B11" s="570" t="s">
        <v>240</v>
      </c>
      <c r="C11" s="493"/>
      <c r="D11" s="557" t="e">
        <f t="array" ref="D11">INDEX(df_lf!$C$2:$C$100, MATCH(1, (A$2 = df_lf!$A$2:$A$100) * (df_lf!$B$2:$B$100 = $A11), 0), 0)</f>
        <v>#N/A</v>
      </c>
      <c r="E11" s="555" t="e">
        <f t="array" ref="E11">INDEX(df_lf!$C$2:$C$100, MATCH(1, (B$2 = df_lf!$A$2:$A$100) * (df_lf!$B$2:$B$100 = $A11), 0), 0)</f>
        <v>#N/A</v>
      </c>
      <c r="F11" s="556" t="e">
        <f t="array" ref="F11">INDEX(df_lf!$C$2:$C$100, MATCH(1, (C$2 = df_lf!$A$2:$A$100) * (df_lf!$B$2:$B$100 = $A11), 0), 0)</f>
        <v>#N/A</v>
      </c>
    </row>
    <row r="12" spans="1:12" ht="20.100000000000001" customHeight="1" x14ac:dyDescent="0.2">
      <c r="A12" s="299">
        <v>2225</v>
      </c>
      <c r="B12" s="731" t="s">
        <v>241</v>
      </c>
      <c r="C12" s="173"/>
      <c r="D12" s="558" t="e">
        <f t="array" ref="D12">INDEX(df_lf!$C$2:$C$100, MATCH(1, (A$2 = df_lf!$A$2:$A$100) * (df_lf!$B$2:$B$100 = $A12), 0), 0)</f>
        <v>#N/A</v>
      </c>
      <c r="E12" s="239" t="e">
        <f t="array" ref="E12">INDEX(df_lf!$C$2:$C$100, MATCH(1, (B$2 = df_lf!$A$2:$A$100) * (df_lf!$B$2:$B$100 = $A12), 0), 0)</f>
        <v>#N/A</v>
      </c>
      <c r="F12" s="552" t="e">
        <f t="array" ref="F12">INDEX(df_lf!$C$2:$C$100, MATCH(1, (C$2 = df_lf!$A$2:$A$100) * (df_lf!$B$2:$B$100 = $A12), 0), 0)</f>
        <v>#N/A</v>
      </c>
    </row>
    <row r="13" spans="1:12" ht="20.100000000000001" customHeight="1" x14ac:dyDescent="0.2">
      <c r="A13" s="299">
        <v>2226</v>
      </c>
      <c r="B13" s="731" t="s">
        <v>242</v>
      </c>
      <c r="C13" s="173"/>
      <c r="D13" s="558" t="e">
        <f t="array" ref="D13">INDEX(df_lf!$C$2:$C$100, MATCH(1, (A$2 = df_lf!$A$2:$A$100) * (df_lf!$B$2:$B$100 = $A13), 0), 0)</f>
        <v>#N/A</v>
      </c>
      <c r="E13" s="239" t="e">
        <f t="array" ref="E13">INDEX(df_lf!$C$2:$C$100, MATCH(1, (B$2 = df_lf!$A$2:$A$100) * (df_lf!$B$2:$B$100 = $A13), 0), 0)</f>
        <v>#N/A</v>
      </c>
      <c r="F13" s="552" t="e">
        <f t="array" ref="F13">INDEX(df_lf!$C$2:$C$100, MATCH(1, (C$2 = df_lf!$A$2:$A$100) * (df_lf!$B$2:$B$100 = $A13), 0), 0)</f>
        <v>#N/A</v>
      </c>
    </row>
    <row r="14" spans="1:12" ht="20.100000000000001" customHeight="1" x14ac:dyDescent="0.2">
      <c r="A14" s="299">
        <v>2227</v>
      </c>
      <c r="B14" s="569" t="s">
        <v>243</v>
      </c>
      <c r="C14" s="494"/>
      <c r="D14" s="559" t="e">
        <f t="array" ref="D14">INDEX(df_lf!$C$2:$C$100, MATCH(1, (A$2 = df_lf!$A$2:$A$100) * (df_lf!$B$2:$B$100 = $A14), 0), 0)</f>
        <v>#N/A</v>
      </c>
      <c r="E14" s="553" t="e">
        <f t="array" ref="E14">INDEX(df_lf!$C$2:$C$100, MATCH(1, (B$2 = df_lf!$A$2:$A$100) * (df_lf!$B$2:$B$100 = $A14), 0), 0)</f>
        <v>#N/A</v>
      </c>
      <c r="F14" s="554" t="e">
        <f t="array" ref="F14">INDEX(df_lf!$C$2:$C$100, MATCH(1, (C$2 = df_lf!$A$2:$A$100) * (df_lf!$B$2:$B$100 = $A14), 0), 0)</f>
        <v>#N/A</v>
      </c>
    </row>
    <row r="15" spans="1:12" ht="20.100000000000001" customHeight="1" x14ac:dyDescent="0.2">
      <c r="A15" s="299">
        <v>2228</v>
      </c>
      <c r="B15" s="570" t="s">
        <v>244</v>
      </c>
      <c r="C15" s="493"/>
      <c r="D15" s="726" t="e">
        <f t="array" ref="D15">INDEX(df_lf!$C$2:$C$100, MATCH(1, (A$2 = df_lf!$A$2:$A$100) * (df_lf!$B$2:$B$100 = $A15), 0), 0)/100</f>
        <v>#N/A</v>
      </c>
      <c r="E15" s="727" t="e">
        <f t="array" ref="E15">INDEX(df_lf!$C$2:$C$100, MATCH(1, (B$2 = df_lf!$A$2:$A$100) * (df_lf!$B$2:$B$100 = $A15), 0), 0)/100</f>
        <v>#N/A</v>
      </c>
      <c r="F15" s="728" t="e">
        <f t="array" ref="F15">INDEX(df_lf!$C$2:$C$100, MATCH(1, (C$2 = df_lf!$A$2:$A$100) * (df_lf!$B$2:$B$100 = $A15), 0), 0)/100</f>
        <v>#N/A</v>
      </c>
    </row>
    <row r="16" spans="1:12" ht="20.100000000000001" customHeight="1" x14ac:dyDescent="0.2">
      <c r="A16" s="299">
        <v>2229</v>
      </c>
      <c r="B16" s="84" t="s">
        <v>245</v>
      </c>
      <c r="C16" s="173"/>
      <c r="D16" s="679" t="e">
        <f t="array" ref="D16">INDEX(df_lf!$C$2:$C$100, MATCH(1, (A$2 = df_lf!$A$2:$A$100) * (df_lf!$B$2:$B$100 = $A16), 0), 0)/100</f>
        <v>#N/A</v>
      </c>
      <c r="E16" s="686" t="e">
        <f t="array" ref="E16">INDEX(df_lf!$C$2:$C$100, MATCH(1, (B$2 = df_lf!$A$2:$A$100) * (df_lf!$B$2:$B$100 = $A16), 0), 0)/100</f>
        <v>#N/A</v>
      </c>
      <c r="F16" s="505" t="e">
        <f t="array" ref="F16">INDEX(df_lf!$C$2:$C$100, MATCH(1, (C$2 = df_lf!$A$2:$A$100) * (df_lf!$B$2:$B$100 = $A16), 0), 0)/100</f>
        <v>#N/A</v>
      </c>
    </row>
    <row r="17" spans="1:19" ht="20.100000000000001" customHeight="1" x14ac:dyDescent="0.2">
      <c r="A17" s="299">
        <v>2230</v>
      </c>
      <c r="B17" s="569" t="s">
        <v>246</v>
      </c>
      <c r="C17" s="494"/>
      <c r="D17" s="729" t="e">
        <f t="array" ref="D17">INDEX(df_lf!$C$2:$C$100, MATCH(1, (A$2 = df_lf!$A$2:$A$100) * (df_lf!$B$2:$B$100 = $A17), 0), 0)/100</f>
        <v>#N/A</v>
      </c>
      <c r="E17" s="730" t="e">
        <f t="array" ref="E17">INDEX(df_lf!$C$2:$C$100, MATCH(1, (B$2 = df_lf!$A$2:$A$100) * (df_lf!$B$2:$B$100 = $A17), 0), 0)/100</f>
        <v>#N/A</v>
      </c>
      <c r="F17" s="568" t="e">
        <f t="array" ref="F17">INDEX(df_lf!$C$2:$C$100, MATCH(1, (C$2 = df_lf!$A$2:$A$100) * (df_lf!$B$2:$B$100 = $A17), 0), 0)/100</f>
        <v>#N/A</v>
      </c>
    </row>
    <row r="19" spans="1:19" ht="30" customHeight="1" x14ac:dyDescent="0.2">
      <c r="A19" s="560"/>
      <c r="B19" s="175" t="s">
        <v>1217</v>
      </c>
      <c r="C19" s="310"/>
      <c r="D19" s="310"/>
      <c r="E19" s="310"/>
      <c r="F19" s="310"/>
      <c r="G19" s="310"/>
      <c r="H19" s="310"/>
      <c r="I19" s="310"/>
      <c r="J19" s="310"/>
      <c r="K19" s="310"/>
      <c r="L19" s="310"/>
    </row>
    <row r="21" spans="1:19" ht="20.100000000000001" customHeight="1" x14ac:dyDescent="0.2">
      <c r="B21" s="1243" t="s">
        <v>1218</v>
      </c>
      <c r="C21" s="1243"/>
      <c r="D21" s="1243"/>
      <c r="E21" s="1243"/>
    </row>
    <row r="22" spans="1:19" ht="20.100000000000001" customHeight="1" x14ac:dyDescent="0.2"/>
    <row r="23" spans="1:19" ht="20.100000000000001" customHeight="1" x14ac:dyDescent="0.2">
      <c r="B23" s="282" t="s">
        <v>263</v>
      </c>
      <c r="C23" s="130" t="s">
        <v>187</v>
      </c>
      <c r="D23" s="246" t="s">
        <v>188</v>
      </c>
      <c r="E23" s="317" t="s">
        <v>189</v>
      </c>
    </row>
    <row r="24" spans="1:19" ht="20.100000000000001" customHeight="1" x14ac:dyDescent="0.2">
      <c r="B24" s="535" t="s">
        <v>244</v>
      </c>
      <c r="C24" s="537" t="str">
        <f>IFERROR(D15,"x")</f>
        <v>x</v>
      </c>
      <c r="D24" s="538" t="str">
        <f t="shared" ref="D24:E24" si="0">IFERROR(E15,"x")</f>
        <v>x</v>
      </c>
      <c r="E24" s="539" t="str">
        <f t="shared" si="0"/>
        <v>x</v>
      </c>
    </row>
    <row r="25" spans="1:19" ht="20.100000000000001" customHeight="1" x14ac:dyDescent="0.2">
      <c r="B25" s="533" t="s">
        <v>245</v>
      </c>
      <c r="C25" s="540" t="str">
        <f t="shared" ref="C25:E25" si="1">IFERROR(D16,"x")</f>
        <v>x</v>
      </c>
      <c r="D25" s="541" t="str">
        <f t="shared" si="1"/>
        <v>x</v>
      </c>
      <c r="E25" s="542" t="str">
        <f t="shared" si="1"/>
        <v>x</v>
      </c>
    </row>
    <row r="26" spans="1:19" ht="20.100000000000001" customHeight="1" x14ac:dyDescent="0.2">
      <c r="B26" s="536" t="s">
        <v>246</v>
      </c>
      <c r="C26" s="549" t="str">
        <f t="shared" ref="C26:E26" si="2">IFERROR(D17,"x")</f>
        <v>x</v>
      </c>
      <c r="D26" s="550" t="str">
        <f t="shared" si="2"/>
        <v>x</v>
      </c>
      <c r="E26" s="551" t="str">
        <f t="shared" si="2"/>
        <v>x</v>
      </c>
    </row>
    <row r="29" spans="1:19" ht="50.1" customHeight="1" x14ac:dyDescent="0.2">
      <c r="B29" s="159" t="s">
        <v>1284</v>
      </c>
      <c r="C29" s="59"/>
      <c r="D29" s="59"/>
      <c r="E29" s="59"/>
      <c r="F29" s="59"/>
      <c r="G29" s="59"/>
      <c r="H29" s="59"/>
      <c r="I29" s="59"/>
      <c r="J29" s="59"/>
      <c r="K29" s="59"/>
      <c r="L29" s="59"/>
      <c r="M29" s="59"/>
      <c r="N29" s="59"/>
      <c r="O29" s="59"/>
      <c r="P29" s="59"/>
      <c r="Q29" s="59"/>
      <c r="R29" s="59"/>
      <c r="S29" s="59"/>
    </row>
    <row r="30" spans="1:19" ht="20.100000000000001" customHeight="1" x14ac:dyDescent="0.2">
      <c r="A30" s="1"/>
      <c r="B30" s="2"/>
      <c r="C30" s="1"/>
      <c r="D30" s="1"/>
      <c r="E30" s="1"/>
      <c r="F30" s="1"/>
      <c r="G30" s="1"/>
      <c r="H30" s="1"/>
      <c r="I30" s="1"/>
      <c r="J30" s="1"/>
      <c r="K30" s="1"/>
      <c r="L30" s="1"/>
      <c r="M30" s="1"/>
      <c r="N30" s="1"/>
      <c r="O30" s="1"/>
      <c r="P30" s="1"/>
      <c r="Q30" s="1"/>
      <c r="R30" s="1"/>
      <c r="S30" s="1"/>
    </row>
    <row r="31" spans="1:19" ht="30" customHeight="1" x14ac:dyDescent="0.2">
      <c r="A31" s="560"/>
      <c r="B31" s="175" t="s">
        <v>1216</v>
      </c>
      <c r="C31" s="310"/>
      <c r="D31" s="310"/>
      <c r="E31" s="310"/>
      <c r="F31" s="310"/>
      <c r="G31" s="310"/>
      <c r="H31" s="310"/>
      <c r="I31" s="310"/>
      <c r="J31" s="310"/>
      <c r="K31" s="310"/>
      <c r="L31" s="310"/>
      <c r="M31" s="310"/>
      <c r="N31" s="310"/>
      <c r="O31" s="310"/>
      <c r="P31" s="310"/>
      <c r="Q31" s="310"/>
      <c r="R31" s="310"/>
      <c r="S31" s="310"/>
    </row>
    <row r="33" spans="1:21" ht="20.100000000000001" customHeight="1" x14ac:dyDescent="0.2">
      <c r="B33" s="1240" t="s">
        <v>264</v>
      </c>
      <c r="C33" s="1240"/>
      <c r="D33" s="1240"/>
      <c r="E33" s="1240"/>
      <c r="F33" s="1240"/>
      <c r="H33" s="1240" t="s">
        <v>285</v>
      </c>
      <c r="I33" s="1240"/>
      <c r="J33" s="1240"/>
      <c r="K33" s="1240"/>
      <c r="L33" s="1240"/>
      <c r="N33" s="1240" t="s">
        <v>287</v>
      </c>
      <c r="O33" s="1240"/>
      <c r="P33" s="1240"/>
      <c r="Q33" s="1240"/>
      <c r="R33" s="1240"/>
      <c r="S33" s="1240"/>
    </row>
    <row r="34" spans="1:21" ht="20.100000000000001" customHeight="1" x14ac:dyDescent="0.2"/>
    <row r="35" spans="1:21" ht="20.100000000000001" customHeight="1" x14ac:dyDescent="0.2">
      <c r="B35" s="206" t="s">
        <v>1285</v>
      </c>
      <c r="C35" s="72"/>
      <c r="D35" s="128" t="s">
        <v>181</v>
      </c>
      <c r="E35" s="117" t="s">
        <v>182</v>
      </c>
      <c r="F35" s="302" t="s">
        <v>183</v>
      </c>
      <c r="H35" s="206" t="s">
        <v>1285</v>
      </c>
      <c r="I35" s="72"/>
      <c r="J35" s="128" t="s">
        <v>181</v>
      </c>
      <c r="K35" s="117" t="s">
        <v>182</v>
      </c>
      <c r="L35" s="302" t="s">
        <v>183</v>
      </c>
      <c r="P35" s="1238" t="s">
        <v>181</v>
      </c>
      <c r="Q35" s="1239"/>
      <c r="R35" s="571" t="s">
        <v>182</v>
      </c>
      <c r="S35" s="571" t="s">
        <v>183</v>
      </c>
    </row>
    <row r="36" spans="1:21" ht="20.100000000000001" customHeight="1" x14ac:dyDescent="0.2">
      <c r="A36" s="299">
        <v>2259</v>
      </c>
      <c r="B36" s="206" t="s">
        <v>265</v>
      </c>
      <c r="C36" s="72"/>
      <c r="D36" s="564" t="e">
        <f t="array" ref="D36">INDEX(df_naics!$C$2:$C$100, MATCH(1, (A$2 = df_naics!$A$2:$A$100) * (df_naics!$B$2:$B$100 = $A36), 0), 0)</f>
        <v>#N/A</v>
      </c>
      <c r="E36" s="565" t="e">
        <f t="array" ref="E36">INDEX(df_naics!$C$2:$C$100, MATCH(1, (B$2 = df_naics!$A$2:$A$100) * (df_naics!$B$2:$B$100 = $A36), 0), 0)</f>
        <v>#N/A</v>
      </c>
      <c r="F36" s="566" t="e">
        <f t="array" ref="F36">INDEX(df_naics!$C$2:$C$100, MATCH(1, (C$2 = df_naics!$A$2:$A$100) * (df_naics!$B$2:$B$100 = $A36), 0), 0)</f>
        <v>#N/A</v>
      </c>
      <c r="H36" s="206" t="s">
        <v>265</v>
      </c>
      <c r="I36" s="72"/>
      <c r="J36" s="226" t="e">
        <f>D36/D$36</f>
        <v>#N/A</v>
      </c>
      <c r="K36" s="346" t="e">
        <f t="shared" ref="K36:L36" si="3">E36/E$36</f>
        <v>#N/A</v>
      </c>
      <c r="L36" s="353" t="e">
        <f t="shared" si="3"/>
        <v>#N/A</v>
      </c>
      <c r="N36" s="206" t="s">
        <v>1285</v>
      </c>
      <c r="O36" s="72"/>
      <c r="P36" s="117" t="s">
        <v>6</v>
      </c>
      <c r="Q36" s="302" t="s">
        <v>290</v>
      </c>
      <c r="R36" s="571" t="s">
        <v>290</v>
      </c>
      <c r="S36" s="571" t="s">
        <v>290</v>
      </c>
    </row>
    <row r="37" spans="1:21" ht="20.100000000000001" customHeight="1" x14ac:dyDescent="0.2">
      <c r="A37" s="299">
        <v>2262</v>
      </c>
      <c r="B37" s="570" t="s">
        <v>266</v>
      </c>
      <c r="C37" s="493"/>
      <c r="D37" s="557" t="e">
        <f t="array" ref="D37">INDEX(df_naics!$C$2:$C$100, MATCH(1, (A$2 = df_naics!$A$2:$A$100) * (df_naics!$B$2:$B$100 = $A37), 0), 0)</f>
        <v>#N/A</v>
      </c>
      <c r="E37" s="555" t="e">
        <f t="array" ref="E37">INDEX(df_naics!$C$2:$C$100, MATCH(1, (B$2 = df_naics!$A$2:$A$100) * (df_naics!$B$2:$B$100 = $A37), 0), 0)</f>
        <v>#N/A</v>
      </c>
      <c r="F37" s="556" t="e">
        <f t="array" ref="F37">INDEX(df_naics!$C$2:$C$100, MATCH(1, (C$2 = df_naics!$A$2:$A$100) * (df_naics!$B$2:$B$100 = $A37), 0), 0)</f>
        <v>#N/A</v>
      </c>
      <c r="H37" s="570" t="s">
        <v>266</v>
      </c>
      <c r="I37" s="493"/>
      <c r="J37" s="485" t="e">
        <f t="shared" ref="J37:J56" si="4">D37/D$36</f>
        <v>#N/A</v>
      </c>
      <c r="K37" s="509" t="e">
        <f t="shared" ref="K37:K56" si="5">E37/E$36</f>
        <v>#N/A</v>
      </c>
      <c r="L37" s="510" t="e">
        <f t="shared" ref="L37:L56" si="6">F37/F$36</f>
        <v>#N/A</v>
      </c>
      <c r="M37" s="299">
        <v>1</v>
      </c>
      <c r="N37" s="206" t="str">
        <f t="array" ref="N37">IFERROR(INDEX($H$36:$H$56, MATCH(0, COUNTIF($N$36:N36, $H$36:$H$56) + ($J$36:$J$56 &lt;&gt; Q37), 0)), "")</f>
        <v/>
      </c>
      <c r="O37" s="72"/>
      <c r="P37" s="683"/>
      <c r="Q37" s="353" t="e">
        <f t="shared" ref="Q37:Q57" si="7">LARGE($J$36:$J$56, M37)</f>
        <v>#N/A</v>
      </c>
      <c r="R37" s="573" t="e">
        <f t="array" ref="R37">INDEX(K$36:K$56, MATCH($N37,$H$36:$H$56,0),0)</f>
        <v>#N/A</v>
      </c>
      <c r="S37" s="573" t="e">
        <f t="array" ref="S37">INDEX(L$36:L$56, MATCH($N37,$H$36:$H$56,0),0)</f>
        <v>#N/A</v>
      </c>
    </row>
    <row r="38" spans="1:21" ht="20.100000000000001" customHeight="1" x14ac:dyDescent="0.2">
      <c r="A38" s="299">
        <v>2263</v>
      </c>
      <c r="B38" s="84" t="s">
        <v>267</v>
      </c>
      <c r="C38" s="173"/>
      <c r="D38" s="558" t="e">
        <f t="array" ref="D38">INDEX(df_naics!$C$2:$C$100, MATCH(1, (A$2 = df_naics!$A$2:$A$100) * (df_naics!$B$2:$B$100 = $A38), 0), 0)</f>
        <v>#N/A</v>
      </c>
      <c r="E38" s="239" t="e">
        <f t="array" ref="E38">INDEX(df_naics!$C$2:$C$100, MATCH(1, (B$2 = df_naics!$A$2:$A$100) * (df_naics!$B$2:$B$100 = $A38), 0), 0)</f>
        <v>#N/A</v>
      </c>
      <c r="F38" s="552" t="e">
        <f t="array" ref="F38">INDEX(df_naics!$C$2:$C$100, MATCH(1, (C$2 = df_naics!$A$2:$A$100) * (df_naics!$B$2:$B$100 = $A38), 0), 0)</f>
        <v>#N/A</v>
      </c>
      <c r="H38" s="84" t="s">
        <v>267</v>
      </c>
      <c r="I38" s="173"/>
      <c r="J38" s="138" t="e">
        <f t="shared" si="4"/>
        <v>#N/A</v>
      </c>
      <c r="K38" s="262" t="e">
        <f t="shared" si="5"/>
        <v>#N/A</v>
      </c>
      <c r="L38" s="201" t="e">
        <f t="shared" si="6"/>
        <v>#N/A</v>
      </c>
      <c r="M38" s="299">
        <v>2</v>
      </c>
      <c r="N38" s="570" t="str">
        <f t="array" ref="N38">IFERROR(INDEX($H$36:$H$56, MATCH(0, COUNTIF($N$36:N37, $H$36:$H$56) + ($J$36:$J$56 &lt;&gt; Q38), 0)), "")</f>
        <v/>
      </c>
      <c r="O38" s="493"/>
      <c r="P38" s="555" t="e">
        <f t="shared" ref="P38:P57" si="8">LARGE($D$36:$D$56, M38)</f>
        <v>#N/A</v>
      </c>
      <c r="Q38" s="728" t="e">
        <f t="shared" si="7"/>
        <v>#N/A</v>
      </c>
      <c r="R38" s="680" t="e">
        <f t="array" ref="R38">INDEX(K$36:K$56, MATCH($N38,$H$36:$H$56,0),0)</f>
        <v>#N/A</v>
      </c>
      <c r="S38" s="680" t="e">
        <f t="array" ref="S38">INDEX(L$36:L$56, MATCH($N38,$H$36:$H$56,0),0)</f>
        <v>#N/A</v>
      </c>
    </row>
    <row r="39" spans="1:21" ht="20.100000000000001" customHeight="1" x14ac:dyDescent="0.2">
      <c r="A39" s="299">
        <v>2264</v>
      </c>
      <c r="B39" s="84" t="s">
        <v>268</v>
      </c>
      <c r="C39" s="173"/>
      <c r="D39" s="558" t="e">
        <f t="array" ref="D39">INDEX(df_naics!$C$2:$C$100, MATCH(1, (A$2 = df_naics!$A$2:$A$100) * (df_naics!$B$2:$B$100 = $A39), 0), 0)</f>
        <v>#N/A</v>
      </c>
      <c r="E39" s="239" t="e">
        <f t="array" ref="E39">INDEX(df_naics!$C$2:$C$100, MATCH(1, (B$2 = df_naics!$A$2:$A$100) * (df_naics!$B$2:$B$100 = $A39), 0), 0)</f>
        <v>#N/A</v>
      </c>
      <c r="F39" s="552" t="e">
        <f t="array" ref="F39">INDEX(df_naics!$C$2:$C$100, MATCH(1, (C$2 = df_naics!$A$2:$A$100) * (df_naics!$B$2:$B$100 = $A39), 0), 0)</f>
        <v>#N/A</v>
      </c>
      <c r="H39" s="84" t="s">
        <v>268</v>
      </c>
      <c r="I39" s="173"/>
      <c r="J39" s="138" t="e">
        <f t="shared" si="4"/>
        <v>#N/A</v>
      </c>
      <c r="K39" s="262" t="e">
        <f t="shared" si="5"/>
        <v>#N/A</v>
      </c>
      <c r="L39" s="201" t="e">
        <f t="shared" si="6"/>
        <v>#N/A</v>
      </c>
      <c r="M39" s="299">
        <v>3</v>
      </c>
      <c r="N39" s="84" t="str">
        <f t="array" ref="N39">IFERROR(INDEX($H$36:$H$56, MATCH(0, COUNTIF($N$36:N38, $H$36:$H$56) + ($J$36:$J$56 &lt;&gt; Q39), 0)), "")</f>
        <v/>
      </c>
      <c r="O39" s="173"/>
      <c r="P39" s="239" t="e">
        <f t="shared" si="8"/>
        <v>#N/A</v>
      </c>
      <c r="Q39" s="505" t="e">
        <f t="shared" si="7"/>
        <v>#N/A</v>
      </c>
      <c r="R39" s="681" t="e">
        <f t="array" ref="R39">INDEX(K$36:K$56, MATCH($N39,$H$36:$H$56,0),0)</f>
        <v>#N/A</v>
      </c>
      <c r="S39" s="681" t="e">
        <f t="array" ref="S39">INDEX(L$36:L$56, MATCH($N39,$H$36:$H$56,0),0)</f>
        <v>#N/A</v>
      </c>
    </row>
    <row r="40" spans="1:21" ht="20.100000000000001" customHeight="1" x14ac:dyDescent="0.2">
      <c r="A40" s="299">
        <v>2265</v>
      </c>
      <c r="B40" s="84" t="s">
        <v>269</v>
      </c>
      <c r="C40" s="173"/>
      <c r="D40" s="558" t="e">
        <f t="array" ref="D40">INDEX(df_naics!$C$2:$C$100, MATCH(1, (A$2 = df_naics!$A$2:$A$100) * (df_naics!$B$2:$B$100 = $A40), 0), 0)</f>
        <v>#N/A</v>
      </c>
      <c r="E40" s="239" t="e">
        <f t="array" ref="E40">INDEX(df_naics!$C$2:$C$100, MATCH(1, (B$2 = df_naics!$A$2:$A$100) * (df_naics!$B$2:$B$100 = $A40), 0), 0)</f>
        <v>#N/A</v>
      </c>
      <c r="F40" s="552" t="e">
        <f t="array" ref="F40">INDEX(df_naics!$C$2:$C$100, MATCH(1, (C$2 = df_naics!$A$2:$A$100) * (df_naics!$B$2:$B$100 = $A40), 0), 0)</f>
        <v>#N/A</v>
      </c>
      <c r="H40" s="84" t="s">
        <v>269</v>
      </c>
      <c r="I40" s="173"/>
      <c r="J40" s="138" t="e">
        <f t="shared" si="4"/>
        <v>#N/A</v>
      </c>
      <c r="K40" s="262" t="e">
        <f t="shared" si="5"/>
        <v>#N/A</v>
      </c>
      <c r="L40" s="201" t="e">
        <f t="shared" si="6"/>
        <v>#N/A</v>
      </c>
      <c r="M40" s="299">
        <v>4</v>
      </c>
      <c r="N40" s="84" t="str">
        <f t="array" ref="N40">IFERROR(INDEX($H$36:$H$56, MATCH(0, COUNTIF($N$36:N39, $H$36:$H$56) + ($J$36:$J$56 &lt;&gt; Q40), 0)), "")</f>
        <v/>
      </c>
      <c r="O40" s="173"/>
      <c r="P40" s="239" t="e">
        <f t="shared" si="8"/>
        <v>#N/A</v>
      </c>
      <c r="Q40" s="505" t="e">
        <f t="shared" si="7"/>
        <v>#N/A</v>
      </c>
      <c r="R40" s="681" t="e">
        <f t="array" ref="R40">INDEX(K$36:K$56, MATCH($N40,$H$36:$H$56,0),0)</f>
        <v>#N/A</v>
      </c>
      <c r="S40" s="681" t="e">
        <f t="array" ref="S40">INDEX(L$36:L$56, MATCH($N40,$H$36:$H$56,0),0)</f>
        <v>#N/A</v>
      </c>
    </row>
    <row r="41" spans="1:21" ht="20.100000000000001" customHeight="1" x14ac:dyDescent="0.2">
      <c r="A41" s="299">
        <v>2266</v>
      </c>
      <c r="B41" s="84" t="s">
        <v>270</v>
      </c>
      <c r="C41" s="173"/>
      <c r="D41" s="558" t="e">
        <f t="array" ref="D41">INDEX(df_naics!$C$2:$C$100, MATCH(1, (A$2 = df_naics!$A$2:$A$100) * (df_naics!$B$2:$B$100 = $A41), 0), 0)</f>
        <v>#N/A</v>
      </c>
      <c r="E41" s="239" t="e">
        <f t="array" ref="E41">INDEX(df_naics!$C$2:$C$100, MATCH(1, (B$2 = df_naics!$A$2:$A$100) * (df_naics!$B$2:$B$100 = $A41), 0), 0)</f>
        <v>#N/A</v>
      </c>
      <c r="F41" s="552" t="e">
        <f t="array" ref="F41">INDEX(df_naics!$C$2:$C$100, MATCH(1, (C$2 = df_naics!$A$2:$A$100) * (df_naics!$B$2:$B$100 = $A41), 0), 0)</f>
        <v>#N/A</v>
      </c>
      <c r="H41" s="84" t="s">
        <v>270</v>
      </c>
      <c r="I41" s="173"/>
      <c r="J41" s="138" t="e">
        <f t="shared" si="4"/>
        <v>#N/A</v>
      </c>
      <c r="K41" s="262" t="e">
        <f t="shared" si="5"/>
        <v>#N/A</v>
      </c>
      <c r="L41" s="201" t="e">
        <f t="shared" si="6"/>
        <v>#N/A</v>
      </c>
      <c r="M41" s="299">
        <v>5</v>
      </c>
      <c r="N41" s="84" t="str">
        <f t="array" ref="N41">IFERROR(INDEX($H$36:$H$56, MATCH(0, COUNTIF($N$36:N40, $H$36:$H$56) + ($J$36:$J$56 &lt;&gt; Q41), 0)), "")</f>
        <v/>
      </c>
      <c r="O41" s="173"/>
      <c r="P41" s="239" t="e">
        <f t="shared" si="8"/>
        <v>#N/A</v>
      </c>
      <c r="Q41" s="505" t="e">
        <f t="shared" si="7"/>
        <v>#N/A</v>
      </c>
      <c r="R41" s="681" t="e">
        <f t="array" ref="R41">INDEX(K$36:K$56, MATCH($N41,$H$36:$H$56,0),0)</f>
        <v>#N/A</v>
      </c>
      <c r="S41" s="681" t="e">
        <f t="array" ref="S41">INDEX(L$36:L$56, MATCH($N41,$H$36:$H$56,0),0)</f>
        <v>#N/A</v>
      </c>
    </row>
    <row r="42" spans="1:21" ht="20.100000000000001" customHeight="1" x14ac:dyDescent="0.2">
      <c r="A42" s="299">
        <v>2267</v>
      </c>
      <c r="B42" s="84" t="s">
        <v>271</v>
      </c>
      <c r="C42" s="173"/>
      <c r="D42" s="558" t="e">
        <f t="array" ref="D42">INDEX(df_naics!$C$2:$C$100, MATCH(1, (A$2 = df_naics!$A$2:$A$100) * (df_naics!$B$2:$B$100 = $A42), 0), 0)</f>
        <v>#N/A</v>
      </c>
      <c r="E42" s="239" t="e">
        <f t="array" ref="E42">INDEX(df_naics!$C$2:$C$100, MATCH(1, (B$2 = df_naics!$A$2:$A$100) * (df_naics!$B$2:$B$100 = $A42), 0), 0)</f>
        <v>#N/A</v>
      </c>
      <c r="F42" s="552" t="e">
        <f t="array" ref="F42">INDEX(df_naics!$C$2:$C$100, MATCH(1, (C$2 = df_naics!$A$2:$A$100) * (df_naics!$B$2:$B$100 = $A42), 0), 0)</f>
        <v>#N/A</v>
      </c>
      <c r="H42" s="84" t="s">
        <v>271</v>
      </c>
      <c r="I42" s="173"/>
      <c r="J42" s="138" t="e">
        <f t="shared" si="4"/>
        <v>#N/A</v>
      </c>
      <c r="K42" s="262" t="e">
        <f t="shared" si="5"/>
        <v>#N/A</v>
      </c>
      <c r="L42" s="201" t="e">
        <f t="shared" si="6"/>
        <v>#N/A</v>
      </c>
      <c r="M42" s="299">
        <v>6</v>
      </c>
      <c r="N42" s="84" t="str">
        <f t="array" ref="N42">IFERROR(INDEX($H$36:$H$56, MATCH(0, COUNTIF($N$36:N41, $H$36:$H$56) + ($J$36:$J$56 &lt;&gt; Q42), 0)), "")</f>
        <v/>
      </c>
      <c r="O42" s="173"/>
      <c r="P42" s="239" t="e">
        <f t="shared" si="8"/>
        <v>#N/A</v>
      </c>
      <c r="Q42" s="505" t="e">
        <f t="shared" si="7"/>
        <v>#N/A</v>
      </c>
      <c r="R42" s="681" t="e">
        <f t="array" ref="R42">INDEX(K$36:K$56, MATCH($N42,$H$36:$H$56,0),0)</f>
        <v>#N/A</v>
      </c>
      <c r="S42" s="681" t="e">
        <f t="array" ref="S42">INDEX(L$36:L$56, MATCH($N42,$H$36:$H$56,0),0)</f>
        <v>#N/A</v>
      </c>
    </row>
    <row r="43" spans="1:21" ht="20.100000000000001" customHeight="1" x14ac:dyDescent="0.2">
      <c r="A43" s="299">
        <v>2268</v>
      </c>
      <c r="B43" s="84" t="s">
        <v>272</v>
      </c>
      <c r="C43" s="173"/>
      <c r="D43" s="558" t="e">
        <f t="array" ref="D43">INDEX(df_naics!$C$2:$C$100, MATCH(1, (A$2 = df_naics!$A$2:$A$100) * (df_naics!$B$2:$B$100 = $A43), 0), 0)</f>
        <v>#N/A</v>
      </c>
      <c r="E43" s="239" t="e">
        <f t="array" ref="E43">INDEX(df_naics!$C$2:$C$100, MATCH(1, (B$2 = df_naics!$A$2:$A$100) * (df_naics!$B$2:$B$100 = $A43), 0), 0)</f>
        <v>#N/A</v>
      </c>
      <c r="F43" s="552" t="e">
        <f t="array" ref="F43">INDEX(df_naics!$C$2:$C$100, MATCH(1, (C$2 = df_naics!$A$2:$A$100) * (df_naics!$B$2:$B$100 = $A43), 0), 0)</f>
        <v>#N/A</v>
      </c>
      <c r="H43" s="84" t="s">
        <v>272</v>
      </c>
      <c r="I43" s="173"/>
      <c r="J43" s="138" t="e">
        <f t="shared" si="4"/>
        <v>#N/A</v>
      </c>
      <c r="K43" s="262" t="e">
        <f t="shared" si="5"/>
        <v>#N/A</v>
      </c>
      <c r="L43" s="201" t="e">
        <f t="shared" si="6"/>
        <v>#N/A</v>
      </c>
      <c r="M43" s="299">
        <v>7</v>
      </c>
      <c r="N43" s="84" t="str">
        <f t="array" ref="N43">IFERROR(INDEX($H$36:$H$56, MATCH(0, COUNTIF($N$36:N42, $H$36:$H$56) + ($J$36:$J$56 &lt;&gt; Q43), 0)), "")</f>
        <v/>
      </c>
      <c r="O43" s="173"/>
      <c r="P43" s="239" t="e">
        <f t="shared" si="8"/>
        <v>#N/A</v>
      </c>
      <c r="Q43" s="505" t="e">
        <f t="shared" si="7"/>
        <v>#N/A</v>
      </c>
      <c r="R43" s="681" t="e">
        <f t="array" ref="R43">INDEX(K$36:K$56, MATCH($N43,$H$36:$H$56,0),0)</f>
        <v>#N/A</v>
      </c>
      <c r="S43" s="681" t="e">
        <f t="array" ref="S43">INDEX(L$36:L$56, MATCH($N43,$H$36:$H$56,0),0)</f>
        <v>#N/A</v>
      </c>
    </row>
    <row r="44" spans="1:21" ht="20.100000000000001" customHeight="1" x14ac:dyDescent="0.2">
      <c r="A44" s="299">
        <v>2269</v>
      </c>
      <c r="B44" s="84" t="s">
        <v>273</v>
      </c>
      <c r="C44" s="173"/>
      <c r="D44" s="558" t="e">
        <f t="array" ref="D44">INDEX(df_naics!$C$2:$C$100, MATCH(1, (A$2 = df_naics!$A$2:$A$100) * (df_naics!$B$2:$B$100 = $A44), 0), 0)</f>
        <v>#N/A</v>
      </c>
      <c r="E44" s="239" t="e">
        <f t="array" ref="E44">INDEX(df_naics!$C$2:$C$100, MATCH(1, (B$2 = df_naics!$A$2:$A$100) * (df_naics!$B$2:$B$100 = $A44), 0), 0)</f>
        <v>#N/A</v>
      </c>
      <c r="F44" s="552" t="e">
        <f t="array" ref="F44">INDEX(df_naics!$C$2:$C$100, MATCH(1, (C$2 = df_naics!$A$2:$A$100) * (df_naics!$B$2:$B$100 = $A44), 0), 0)</f>
        <v>#N/A</v>
      </c>
      <c r="H44" s="84" t="s">
        <v>273</v>
      </c>
      <c r="I44" s="173"/>
      <c r="J44" s="138" t="e">
        <f t="shared" si="4"/>
        <v>#N/A</v>
      </c>
      <c r="K44" s="262" t="e">
        <f t="shared" si="5"/>
        <v>#N/A</v>
      </c>
      <c r="L44" s="201" t="e">
        <f t="shared" si="6"/>
        <v>#N/A</v>
      </c>
      <c r="M44" s="299">
        <v>8</v>
      </c>
      <c r="N44" s="84" t="str">
        <f t="array" ref="N44">IFERROR(INDEX($H$36:$H$56, MATCH(0, COUNTIF($N$36:N43, $H$36:$H$56) + ($J$36:$J$56 &lt;&gt; Q44), 0)), "")</f>
        <v/>
      </c>
      <c r="O44" s="173"/>
      <c r="P44" s="239" t="e">
        <f t="shared" si="8"/>
        <v>#N/A</v>
      </c>
      <c r="Q44" s="505" t="e">
        <f t="shared" si="7"/>
        <v>#N/A</v>
      </c>
      <c r="R44" s="681" t="e">
        <f t="array" ref="R44">INDEX(K$36:K$56, MATCH($N44,$H$36:$H$56,0),0)</f>
        <v>#N/A</v>
      </c>
      <c r="S44" s="681" t="e">
        <f t="array" ref="S44">INDEX(L$36:L$56, MATCH($N44,$H$36:$H$56,0),0)</f>
        <v>#N/A</v>
      </c>
    </row>
    <row r="45" spans="1:21" ht="20.100000000000001" customHeight="1" x14ac:dyDescent="0.2">
      <c r="A45" s="299">
        <v>2270</v>
      </c>
      <c r="B45" s="84" t="s">
        <v>274</v>
      </c>
      <c r="C45" s="173"/>
      <c r="D45" s="558" t="e">
        <f t="array" ref="D45">INDEX(df_naics!$C$2:$C$100, MATCH(1, (A$2 = df_naics!$A$2:$A$100) * (df_naics!$B$2:$B$100 = $A45), 0), 0)</f>
        <v>#N/A</v>
      </c>
      <c r="E45" s="239" t="e">
        <f t="array" ref="E45">INDEX(df_naics!$C$2:$C$100, MATCH(1, (B$2 = df_naics!$A$2:$A$100) * (df_naics!$B$2:$B$100 = $A45), 0), 0)</f>
        <v>#N/A</v>
      </c>
      <c r="F45" s="552" t="e">
        <f t="array" ref="F45">INDEX(df_naics!$C$2:$C$100, MATCH(1, (C$2 = df_naics!$A$2:$A$100) * (df_naics!$B$2:$B$100 = $A45), 0), 0)</f>
        <v>#N/A</v>
      </c>
      <c r="H45" s="84" t="s">
        <v>274</v>
      </c>
      <c r="I45" s="173"/>
      <c r="J45" s="138" t="e">
        <f t="shared" si="4"/>
        <v>#N/A</v>
      </c>
      <c r="K45" s="262" t="e">
        <f t="shared" si="5"/>
        <v>#N/A</v>
      </c>
      <c r="L45" s="201" t="e">
        <f t="shared" si="6"/>
        <v>#N/A</v>
      </c>
      <c r="M45" s="299">
        <v>9</v>
      </c>
      <c r="N45" s="84" t="str">
        <f t="array" ref="N45">IFERROR(INDEX($H$36:$H$56, MATCH(0, COUNTIF($N$36:N44, $H$36:$H$56) + ($J$36:$J$56 &lt;&gt; Q45), 0)), "")</f>
        <v/>
      </c>
      <c r="O45" s="173"/>
      <c r="P45" s="239" t="e">
        <f t="shared" si="8"/>
        <v>#N/A</v>
      </c>
      <c r="Q45" s="505" t="e">
        <f t="shared" si="7"/>
        <v>#N/A</v>
      </c>
      <c r="R45" s="681" t="e">
        <f t="array" ref="R45">INDEX(K$36:K$56, MATCH($N45,$H$36:$H$56,0),0)</f>
        <v>#N/A</v>
      </c>
      <c r="S45" s="681" t="e">
        <f t="array" ref="S45">INDEX(L$36:L$56, MATCH($N45,$H$36:$H$56,0),0)</f>
        <v>#N/A</v>
      </c>
    </row>
    <row r="46" spans="1:21" ht="20.100000000000001" customHeight="1" x14ac:dyDescent="0.2">
      <c r="A46" s="299">
        <v>2271</v>
      </c>
      <c r="B46" s="84" t="s">
        <v>275</v>
      </c>
      <c r="C46" s="173"/>
      <c r="D46" s="558" t="e">
        <f t="array" ref="D46">INDEX(df_naics!$C$2:$C$100, MATCH(1, (A$2 = df_naics!$A$2:$A$100) * (df_naics!$B$2:$B$100 = $A46), 0), 0)</f>
        <v>#N/A</v>
      </c>
      <c r="E46" s="239" t="e">
        <f t="array" ref="E46">INDEX(df_naics!$C$2:$C$100, MATCH(1, (B$2 = df_naics!$A$2:$A$100) * (df_naics!$B$2:$B$100 = $A46), 0), 0)</f>
        <v>#N/A</v>
      </c>
      <c r="F46" s="552" t="e">
        <f t="array" ref="F46">INDEX(df_naics!$C$2:$C$100, MATCH(1, (C$2 = df_naics!$A$2:$A$100) * (df_naics!$B$2:$B$100 = $A46), 0), 0)</f>
        <v>#N/A</v>
      </c>
      <c r="H46" s="84" t="s">
        <v>275</v>
      </c>
      <c r="I46" s="173"/>
      <c r="J46" s="138" t="e">
        <f t="shared" si="4"/>
        <v>#N/A</v>
      </c>
      <c r="K46" s="262" t="e">
        <f t="shared" si="5"/>
        <v>#N/A</v>
      </c>
      <c r="L46" s="201" t="e">
        <f t="shared" si="6"/>
        <v>#N/A</v>
      </c>
      <c r="M46" s="299">
        <v>10</v>
      </c>
      <c r="N46" s="84" t="str">
        <f t="array" ref="N46">IFERROR(INDEX($H$36:$H$56, MATCH(0, COUNTIF($N$36:N45, $H$36:$H$56) + ($J$36:$J$56 &lt;&gt; Q46), 0)), "")</f>
        <v/>
      </c>
      <c r="O46" s="173"/>
      <c r="P46" s="239" t="e">
        <f t="shared" si="8"/>
        <v>#N/A</v>
      </c>
      <c r="Q46" s="505" t="e">
        <f t="shared" si="7"/>
        <v>#N/A</v>
      </c>
      <c r="R46" s="681" t="e">
        <f t="array" ref="R46">INDEX(K$36:K$56, MATCH($N46,$H$36:$H$56,0),0)</f>
        <v>#N/A</v>
      </c>
      <c r="S46" s="681" t="e">
        <f t="array" ref="S46">INDEX(L$36:L$56, MATCH($N46,$H$36:$H$56,0),0)</f>
        <v>#N/A</v>
      </c>
    </row>
    <row r="47" spans="1:21" ht="20.100000000000001" customHeight="1" x14ac:dyDescent="0.2">
      <c r="A47" s="299">
        <v>2272</v>
      </c>
      <c r="B47" s="84" t="s">
        <v>276</v>
      </c>
      <c r="C47" s="173"/>
      <c r="D47" s="558" t="e">
        <f t="array" ref="D47">INDEX(df_naics!$C$2:$C$100, MATCH(1, (A$2 = df_naics!$A$2:$A$100) * (df_naics!$B$2:$B$100 = $A47), 0), 0)</f>
        <v>#N/A</v>
      </c>
      <c r="E47" s="239" t="e">
        <f t="array" ref="E47">INDEX(df_naics!$C$2:$C$100, MATCH(1, (B$2 = df_naics!$A$2:$A$100) * (df_naics!$B$2:$B$100 = $A47), 0), 0)</f>
        <v>#N/A</v>
      </c>
      <c r="F47" s="552" t="e">
        <f t="array" ref="F47">INDEX(df_naics!$C$2:$C$100, MATCH(1, (C$2 = df_naics!$A$2:$A$100) * (df_naics!$B$2:$B$100 = $A47), 0), 0)</f>
        <v>#N/A</v>
      </c>
      <c r="H47" s="84" t="s">
        <v>276</v>
      </c>
      <c r="I47" s="173"/>
      <c r="J47" s="138" t="e">
        <f t="shared" si="4"/>
        <v>#N/A</v>
      </c>
      <c r="K47" s="262" t="e">
        <f t="shared" si="5"/>
        <v>#N/A</v>
      </c>
      <c r="L47" s="201" t="e">
        <f t="shared" si="6"/>
        <v>#N/A</v>
      </c>
      <c r="M47" s="299">
        <v>11</v>
      </c>
      <c r="N47" s="84" t="str">
        <f t="array" ref="N47">IFERROR(INDEX($H$36:$H$56, MATCH(0, COUNTIF($N$36:N46, $H$36:$H$56) + ($J$36:$J$56 &lt;&gt; Q47), 0)), "")</f>
        <v/>
      </c>
      <c r="O47" s="173"/>
      <c r="P47" s="239" t="e">
        <f t="shared" si="8"/>
        <v>#N/A</v>
      </c>
      <c r="Q47" s="505" t="e">
        <f t="shared" si="7"/>
        <v>#N/A</v>
      </c>
      <c r="R47" s="681" t="e">
        <f t="array" ref="R47">INDEX(K$36:K$56, MATCH($N47,$H$36:$H$56,0),0)</f>
        <v>#N/A</v>
      </c>
      <c r="S47" s="681" t="e">
        <f t="array" ref="S47">INDEX(L$36:L$56, MATCH($N47,$H$36:$H$56,0),0)</f>
        <v>#N/A</v>
      </c>
      <c r="U47" s="686"/>
    </row>
    <row r="48" spans="1:21" ht="20.100000000000001" customHeight="1" x14ac:dyDescent="0.2">
      <c r="A48" s="299">
        <v>2273</v>
      </c>
      <c r="B48" s="84" t="s">
        <v>277</v>
      </c>
      <c r="C48" s="173"/>
      <c r="D48" s="558" t="e">
        <f t="array" ref="D48">INDEX(df_naics!$C$2:$C$100, MATCH(1, (A$2 = df_naics!$A$2:$A$100) * (df_naics!$B$2:$B$100 = $A48), 0), 0)</f>
        <v>#N/A</v>
      </c>
      <c r="E48" s="239" t="e">
        <f t="array" ref="E48">INDEX(df_naics!$C$2:$C$100, MATCH(1, (B$2 = df_naics!$A$2:$A$100) * (df_naics!$B$2:$B$100 = $A48), 0), 0)</f>
        <v>#N/A</v>
      </c>
      <c r="F48" s="552" t="e">
        <f t="array" ref="F48">INDEX(df_naics!$C$2:$C$100, MATCH(1, (C$2 = df_naics!$A$2:$A$100) * (df_naics!$B$2:$B$100 = $A48), 0), 0)</f>
        <v>#N/A</v>
      </c>
      <c r="H48" s="84" t="s">
        <v>277</v>
      </c>
      <c r="I48" s="173"/>
      <c r="J48" s="138" t="e">
        <f t="shared" si="4"/>
        <v>#N/A</v>
      </c>
      <c r="K48" s="262" t="e">
        <f t="shared" si="5"/>
        <v>#N/A</v>
      </c>
      <c r="L48" s="201" t="e">
        <f t="shared" si="6"/>
        <v>#N/A</v>
      </c>
      <c r="M48" s="299">
        <v>12</v>
      </c>
      <c r="N48" s="84" t="str">
        <f t="array" ref="N48">IFERROR(INDEX($H$36:$H$56, MATCH(0, COUNTIF($N$36:N47, $H$36:$H$56) + ($J$36:$J$56 &lt;&gt; Q48), 0)), "")</f>
        <v/>
      </c>
      <c r="O48" s="173"/>
      <c r="P48" s="239" t="e">
        <f t="shared" si="8"/>
        <v>#N/A</v>
      </c>
      <c r="Q48" s="505" t="e">
        <f t="shared" si="7"/>
        <v>#N/A</v>
      </c>
      <c r="R48" s="681" t="e">
        <f t="array" ref="R48">INDEX(K$36:K$56, MATCH($N48,$H$36:$H$56,0),0)</f>
        <v>#N/A</v>
      </c>
      <c r="S48" s="681" t="e">
        <f t="array" ref="S48">INDEX(L$36:L$56, MATCH($N48,$H$36:$H$56,0),0)</f>
        <v>#N/A</v>
      </c>
      <c r="U48" s="686"/>
    </row>
    <row r="49" spans="1:21" ht="20.100000000000001" customHeight="1" x14ac:dyDescent="0.2">
      <c r="A49" s="299">
        <v>2274</v>
      </c>
      <c r="B49" s="84" t="s">
        <v>278</v>
      </c>
      <c r="C49" s="173"/>
      <c r="D49" s="558" t="e">
        <f t="array" ref="D49">INDEX(df_naics!$C$2:$C$100, MATCH(1, (A$2 = df_naics!$A$2:$A$100) * (df_naics!$B$2:$B$100 = $A49), 0), 0)</f>
        <v>#N/A</v>
      </c>
      <c r="E49" s="239" t="e">
        <f t="array" ref="E49">INDEX(df_naics!$C$2:$C$100, MATCH(1, (B$2 = df_naics!$A$2:$A$100) * (df_naics!$B$2:$B$100 = $A49), 0), 0)</f>
        <v>#N/A</v>
      </c>
      <c r="F49" s="552" t="e">
        <f t="array" ref="F49">INDEX(df_naics!$C$2:$C$100, MATCH(1, (C$2 = df_naics!$A$2:$A$100) * (df_naics!$B$2:$B$100 = $A49), 0), 0)</f>
        <v>#N/A</v>
      </c>
      <c r="H49" s="84" t="s">
        <v>278</v>
      </c>
      <c r="I49" s="173"/>
      <c r="J49" s="138" t="e">
        <f t="shared" si="4"/>
        <v>#N/A</v>
      </c>
      <c r="K49" s="262" t="e">
        <f t="shared" si="5"/>
        <v>#N/A</v>
      </c>
      <c r="L49" s="201" t="e">
        <f t="shared" si="6"/>
        <v>#N/A</v>
      </c>
      <c r="M49" s="299">
        <v>13</v>
      </c>
      <c r="N49" s="84" t="str">
        <f t="array" ref="N49">IFERROR(INDEX($H$36:$H$56, MATCH(0, COUNTIF($N$36:N48, $H$36:$H$56) + ($J$36:$J$56 &lt;&gt; Q49), 0)), "")</f>
        <v/>
      </c>
      <c r="O49" s="173"/>
      <c r="P49" s="239" t="e">
        <f t="shared" si="8"/>
        <v>#N/A</v>
      </c>
      <c r="Q49" s="505" t="e">
        <f t="shared" si="7"/>
        <v>#N/A</v>
      </c>
      <c r="R49" s="681" t="e">
        <f t="array" ref="R49">INDEX(K$36:K$56, MATCH($N49,$H$36:$H$56,0),0)</f>
        <v>#N/A</v>
      </c>
      <c r="S49" s="681" t="e">
        <f t="array" ref="S49">INDEX(L$36:L$56, MATCH($N49,$H$36:$H$56,0),0)</f>
        <v>#N/A</v>
      </c>
      <c r="U49" s="686"/>
    </row>
    <row r="50" spans="1:21" ht="20.100000000000001" customHeight="1" x14ac:dyDescent="0.2">
      <c r="A50" s="299">
        <v>2275</v>
      </c>
      <c r="B50" s="84" t="s">
        <v>279</v>
      </c>
      <c r="C50" s="173"/>
      <c r="D50" s="558" t="e">
        <f t="array" ref="D50">INDEX(df_naics!$C$2:$C$100, MATCH(1, (A$2 = df_naics!$A$2:$A$100) * (df_naics!$B$2:$B$100 = $A50), 0), 0)</f>
        <v>#N/A</v>
      </c>
      <c r="E50" s="239" t="e">
        <f t="array" ref="E50">INDEX(df_naics!$C$2:$C$100, MATCH(1, (B$2 = df_naics!$A$2:$A$100) * (df_naics!$B$2:$B$100 = $A50), 0), 0)</f>
        <v>#N/A</v>
      </c>
      <c r="F50" s="552" t="e">
        <f t="array" ref="F50">INDEX(df_naics!$C$2:$C$100, MATCH(1, (C$2 = df_naics!$A$2:$A$100) * (df_naics!$B$2:$B$100 = $A50), 0), 0)</f>
        <v>#N/A</v>
      </c>
      <c r="H50" s="84" t="s">
        <v>279</v>
      </c>
      <c r="I50" s="173"/>
      <c r="J50" s="138" t="e">
        <f t="shared" si="4"/>
        <v>#N/A</v>
      </c>
      <c r="K50" s="262" t="e">
        <f t="shared" si="5"/>
        <v>#N/A</v>
      </c>
      <c r="L50" s="201" t="e">
        <f t="shared" si="6"/>
        <v>#N/A</v>
      </c>
      <c r="M50" s="299">
        <v>14</v>
      </c>
      <c r="N50" s="84" t="str">
        <f t="array" ref="N50">IFERROR(INDEX($H$36:$H$56, MATCH(0, COUNTIF($N$36:N49, $H$36:$H$56) + ($J$36:$J$56 &lt;&gt; Q50), 0)), "")</f>
        <v/>
      </c>
      <c r="O50" s="173"/>
      <c r="P50" s="239" t="e">
        <f t="shared" si="8"/>
        <v>#N/A</v>
      </c>
      <c r="Q50" s="505" t="e">
        <f t="shared" si="7"/>
        <v>#N/A</v>
      </c>
      <c r="R50" s="681" t="e">
        <f t="array" ref="R50">INDEX(K$36:K$56, MATCH($N50,$H$36:$H$56,0),0)</f>
        <v>#N/A</v>
      </c>
      <c r="S50" s="681" t="e">
        <f t="array" ref="S50">INDEX(L$36:L$56, MATCH($N50,$H$36:$H$56,0),0)</f>
        <v>#N/A</v>
      </c>
      <c r="U50" s="686"/>
    </row>
    <row r="51" spans="1:21" ht="20.100000000000001" customHeight="1" x14ac:dyDescent="0.2">
      <c r="A51" s="299">
        <v>2276</v>
      </c>
      <c r="B51" s="84" t="s">
        <v>280</v>
      </c>
      <c r="C51" s="173"/>
      <c r="D51" s="558" t="e">
        <f t="array" ref="D51">INDEX(df_naics!$C$2:$C$100, MATCH(1, (A$2 = df_naics!$A$2:$A$100) * (df_naics!$B$2:$B$100 = $A51), 0), 0)</f>
        <v>#N/A</v>
      </c>
      <c r="E51" s="239" t="e">
        <f t="array" ref="E51">INDEX(df_naics!$C$2:$C$100, MATCH(1, (B$2 = df_naics!$A$2:$A$100) * (df_naics!$B$2:$B$100 = $A51), 0), 0)</f>
        <v>#N/A</v>
      </c>
      <c r="F51" s="552" t="e">
        <f t="array" ref="F51">INDEX(df_naics!$C$2:$C$100, MATCH(1, (C$2 = df_naics!$A$2:$A$100) * (df_naics!$B$2:$B$100 = $A51), 0), 0)</f>
        <v>#N/A</v>
      </c>
      <c r="H51" s="84" t="s">
        <v>280</v>
      </c>
      <c r="I51" s="173"/>
      <c r="J51" s="138" t="e">
        <f t="shared" si="4"/>
        <v>#N/A</v>
      </c>
      <c r="K51" s="262" t="e">
        <f t="shared" si="5"/>
        <v>#N/A</v>
      </c>
      <c r="L51" s="201" t="e">
        <f t="shared" si="6"/>
        <v>#N/A</v>
      </c>
      <c r="M51" s="299">
        <v>15</v>
      </c>
      <c r="N51" s="84" t="str">
        <f t="array" ref="N51">IFERROR(INDEX($H$36:$H$56, MATCH(0, COUNTIF($N$36:N50, $H$36:$H$56) + ($J$36:$J$56 &lt;&gt; Q51), 0)), "")</f>
        <v/>
      </c>
      <c r="O51" s="173"/>
      <c r="P51" s="239" t="e">
        <f t="shared" si="8"/>
        <v>#N/A</v>
      </c>
      <c r="Q51" s="505" t="e">
        <f t="shared" si="7"/>
        <v>#N/A</v>
      </c>
      <c r="R51" s="681" t="e">
        <f t="array" ref="R51">INDEX(K$36:K$56, MATCH($N51,$H$36:$H$56,0),0)</f>
        <v>#N/A</v>
      </c>
      <c r="S51" s="681" t="e">
        <f t="array" ref="S51">INDEX(L$36:L$56, MATCH($N51,$H$36:$H$56,0),0)</f>
        <v>#N/A</v>
      </c>
      <c r="U51" s="686"/>
    </row>
    <row r="52" spans="1:21" ht="20.100000000000001" customHeight="1" x14ac:dyDescent="0.2">
      <c r="A52" s="299">
        <v>2277</v>
      </c>
      <c r="B52" s="84" t="s">
        <v>281</v>
      </c>
      <c r="C52" s="173"/>
      <c r="D52" s="558" t="e">
        <f t="array" ref="D52">INDEX(df_naics!$C$2:$C$100, MATCH(1, (A$2 = df_naics!$A$2:$A$100) * (df_naics!$B$2:$B$100 = $A52), 0), 0)</f>
        <v>#N/A</v>
      </c>
      <c r="E52" s="239" t="e">
        <f t="array" ref="E52">INDEX(df_naics!$C$2:$C$100, MATCH(1, (B$2 = df_naics!$A$2:$A$100) * (df_naics!$B$2:$B$100 = $A52), 0), 0)</f>
        <v>#N/A</v>
      </c>
      <c r="F52" s="552" t="e">
        <f t="array" ref="F52">INDEX(df_naics!$C$2:$C$100, MATCH(1, (C$2 = df_naics!$A$2:$A$100) * (df_naics!$B$2:$B$100 = $A52), 0), 0)</f>
        <v>#N/A</v>
      </c>
      <c r="H52" s="84" t="s">
        <v>281</v>
      </c>
      <c r="I52" s="173"/>
      <c r="J52" s="138" t="e">
        <f t="shared" si="4"/>
        <v>#N/A</v>
      </c>
      <c r="K52" s="262" t="e">
        <f t="shared" si="5"/>
        <v>#N/A</v>
      </c>
      <c r="L52" s="201" t="e">
        <f t="shared" si="6"/>
        <v>#N/A</v>
      </c>
      <c r="M52" s="299">
        <v>16</v>
      </c>
      <c r="N52" s="84" t="str">
        <f t="array" ref="N52">IFERROR(INDEX($H$36:$H$56, MATCH(0, COUNTIF($N$36:N51, $H$36:$H$56) + ($J$36:$J$56 &lt;&gt; Q52), 0)), "")</f>
        <v/>
      </c>
      <c r="O52" s="173"/>
      <c r="P52" s="239" t="e">
        <f t="shared" si="8"/>
        <v>#N/A</v>
      </c>
      <c r="Q52" s="505" t="e">
        <f t="shared" si="7"/>
        <v>#N/A</v>
      </c>
      <c r="R52" s="681" t="e">
        <f t="array" ref="R52">INDEX(K$36:K$56, MATCH($N52,$H$36:$H$56,0),0)</f>
        <v>#N/A</v>
      </c>
      <c r="S52" s="681" t="e">
        <f t="array" ref="S52">INDEX(L$36:L$56, MATCH($N52,$H$36:$H$56,0),0)</f>
        <v>#N/A</v>
      </c>
      <c r="U52" s="686"/>
    </row>
    <row r="53" spans="1:21" ht="20.100000000000001" customHeight="1" x14ac:dyDescent="0.2">
      <c r="A53" s="299">
        <v>2278</v>
      </c>
      <c r="B53" s="84" t="s">
        <v>282</v>
      </c>
      <c r="C53" s="173"/>
      <c r="D53" s="558" t="e">
        <f t="array" ref="D53">INDEX(df_naics!$C$2:$C$100, MATCH(1, (A$2 = df_naics!$A$2:$A$100) * (df_naics!$B$2:$B$100 = $A53), 0), 0)</f>
        <v>#N/A</v>
      </c>
      <c r="E53" s="239" t="e">
        <f t="array" ref="E53">INDEX(df_naics!$C$2:$C$100, MATCH(1, (B$2 = df_naics!$A$2:$A$100) * (df_naics!$B$2:$B$100 = $A53), 0), 0)</f>
        <v>#N/A</v>
      </c>
      <c r="F53" s="552" t="e">
        <f t="array" ref="F53">INDEX(df_naics!$C$2:$C$100, MATCH(1, (C$2 = df_naics!$A$2:$A$100) * (df_naics!$B$2:$B$100 = $A53), 0), 0)</f>
        <v>#N/A</v>
      </c>
      <c r="H53" s="84" t="s">
        <v>282</v>
      </c>
      <c r="I53" s="173"/>
      <c r="J53" s="138" t="e">
        <f t="shared" si="4"/>
        <v>#N/A</v>
      </c>
      <c r="K53" s="262" t="e">
        <f t="shared" si="5"/>
        <v>#N/A</v>
      </c>
      <c r="L53" s="201" t="e">
        <f t="shared" si="6"/>
        <v>#N/A</v>
      </c>
      <c r="M53" s="299">
        <v>17</v>
      </c>
      <c r="N53" s="84" t="str">
        <f t="array" ref="N53">IFERROR(INDEX($H$36:$H$56, MATCH(0, COUNTIF($N$36:N52, $H$36:$H$56) + ($J$36:$J$56 &lt;&gt; Q53), 0)), "")</f>
        <v/>
      </c>
      <c r="O53" s="173"/>
      <c r="P53" s="239" t="e">
        <f t="shared" si="8"/>
        <v>#N/A</v>
      </c>
      <c r="Q53" s="505" t="e">
        <f t="shared" si="7"/>
        <v>#N/A</v>
      </c>
      <c r="R53" s="681" t="e">
        <f t="array" ref="R53">INDEX(K$36:K$56, MATCH($N53,$H$36:$H$56,0),0)</f>
        <v>#N/A</v>
      </c>
      <c r="S53" s="681" t="e">
        <f t="array" ref="S53">INDEX(L$36:L$56, MATCH($N53,$H$36:$H$56,0),0)</f>
        <v>#N/A</v>
      </c>
      <c r="U53" s="686"/>
    </row>
    <row r="54" spans="1:21" ht="20.100000000000001" customHeight="1" x14ac:dyDescent="0.2">
      <c r="A54" s="299">
        <v>2279</v>
      </c>
      <c r="B54" s="84" t="s">
        <v>283</v>
      </c>
      <c r="C54" s="173"/>
      <c r="D54" s="558" t="e">
        <f t="array" ref="D54">INDEX(df_naics!$C$2:$C$100, MATCH(1, (A$2 = df_naics!$A$2:$A$100) * (df_naics!$B$2:$B$100 = $A54), 0), 0)</f>
        <v>#N/A</v>
      </c>
      <c r="E54" s="239" t="e">
        <f t="array" ref="E54">INDEX(df_naics!$C$2:$C$100, MATCH(1, (B$2 = df_naics!$A$2:$A$100) * (df_naics!$B$2:$B$100 = $A54), 0), 0)</f>
        <v>#N/A</v>
      </c>
      <c r="F54" s="552" t="e">
        <f t="array" ref="F54">INDEX(df_naics!$C$2:$C$100, MATCH(1, (C$2 = df_naics!$A$2:$A$100) * (df_naics!$B$2:$B$100 = $A54), 0), 0)</f>
        <v>#N/A</v>
      </c>
      <c r="H54" s="84" t="s">
        <v>283</v>
      </c>
      <c r="I54" s="173"/>
      <c r="J54" s="138" t="e">
        <f t="shared" si="4"/>
        <v>#N/A</v>
      </c>
      <c r="K54" s="262" t="e">
        <f t="shared" si="5"/>
        <v>#N/A</v>
      </c>
      <c r="L54" s="201" t="e">
        <f t="shared" si="6"/>
        <v>#N/A</v>
      </c>
      <c r="M54" s="299">
        <v>18</v>
      </c>
      <c r="N54" s="84" t="str">
        <f t="array" ref="N54">IFERROR(INDEX($H$36:$H$56, MATCH(0, COUNTIF($N$36:N53, $H$36:$H$56) + ($J$36:$J$56 &lt;&gt; Q54), 0)), "")</f>
        <v/>
      </c>
      <c r="O54" s="173"/>
      <c r="P54" s="239" t="e">
        <f t="shared" si="8"/>
        <v>#N/A</v>
      </c>
      <c r="Q54" s="505" t="e">
        <f t="shared" si="7"/>
        <v>#N/A</v>
      </c>
      <c r="R54" s="681" t="e">
        <f t="array" ref="R54">INDEX(K$36:K$56, MATCH($N54,$H$36:$H$56,0),0)</f>
        <v>#N/A</v>
      </c>
      <c r="S54" s="681" t="e">
        <f t="array" ref="S54">INDEX(L$36:L$56, MATCH($N54,$H$36:$H$56,0),0)</f>
        <v>#N/A</v>
      </c>
      <c r="U54" s="686"/>
    </row>
    <row r="55" spans="1:21" ht="20.100000000000001" customHeight="1" x14ac:dyDescent="0.2">
      <c r="A55" s="299">
        <v>2280</v>
      </c>
      <c r="B55" s="84" t="s">
        <v>284</v>
      </c>
      <c r="C55" s="173"/>
      <c r="D55" s="558" t="e">
        <f t="array" ref="D55">INDEX(df_naics!$C$2:$C$100, MATCH(1, (A$2 = df_naics!$A$2:$A$100) * (df_naics!$B$2:$B$100 = $A55), 0), 0)</f>
        <v>#N/A</v>
      </c>
      <c r="E55" s="239" t="e">
        <f t="array" ref="E55">INDEX(df_naics!$C$2:$C$100, MATCH(1, (B$2 = df_naics!$A$2:$A$100) * (df_naics!$B$2:$B$100 = $A55), 0), 0)</f>
        <v>#N/A</v>
      </c>
      <c r="F55" s="552" t="e">
        <f t="array" ref="F55">INDEX(df_naics!$C$2:$C$100, MATCH(1, (C$2 = df_naics!$A$2:$A$100) * (df_naics!$B$2:$B$100 = $A55), 0), 0)</f>
        <v>#N/A</v>
      </c>
      <c r="H55" s="84" t="s">
        <v>284</v>
      </c>
      <c r="I55" s="173"/>
      <c r="J55" s="138" t="e">
        <f t="shared" si="4"/>
        <v>#N/A</v>
      </c>
      <c r="K55" s="262" t="e">
        <f t="shared" si="5"/>
        <v>#N/A</v>
      </c>
      <c r="L55" s="201" t="e">
        <f t="shared" si="6"/>
        <v>#N/A</v>
      </c>
      <c r="M55" s="299">
        <v>19</v>
      </c>
      <c r="N55" s="84" t="str">
        <f t="array" ref="N55">IFERROR(INDEX($H$36:$H$56, MATCH(0, COUNTIF($N$36:N54, $H$36:$H$56) + ($J$36:$J$56 &lt;&gt; Q55), 0)), "")</f>
        <v/>
      </c>
      <c r="O55" s="173"/>
      <c r="P55" s="239" t="e">
        <f t="shared" si="8"/>
        <v>#N/A</v>
      </c>
      <c r="Q55" s="505" t="e">
        <f t="shared" si="7"/>
        <v>#N/A</v>
      </c>
      <c r="R55" s="681" t="e">
        <f t="array" ref="R55">INDEX(K$36:K$56, MATCH($N55,$H$36:$H$56,0),0)</f>
        <v>#N/A</v>
      </c>
      <c r="S55" s="681" t="e">
        <f t="array" ref="S55">INDEX(L$36:L$56, MATCH($N55,$H$36:$H$56,0),0)</f>
        <v>#N/A</v>
      </c>
      <c r="U55" s="686"/>
    </row>
    <row r="56" spans="1:21" ht="20.100000000000001" customHeight="1" x14ac:dyDescent="0.2">
      <c r="A56" s="299">
        <v>2281</v>
      </c>
      <c r="B56" s="569" t="s">
        <v>286</v>
      </c>
      <c r="C56" s="494"/>
      <c r="D56" s="559" t="e">
        <f t="array" ref="D56">INDEX(df_naics!$C$2:$C$100, MATCH(1, (A$2 = df_naics!$A$2:$A$100) * (df_naics!$B$2:$B$100 = $A56), 0), 0)</f>
        <v>#N/A</v>
      </c>
      <c r="E56" s="553" t="e">
        <f t="array" ref="E56">INDEX(df_naics!$C$2:$C$100, MATCH(1, (B$2 = df_naics!$A$2:$A$100) * (df_naics!$B$2:$B$100 = $A56), 0), 0)</f>
        <v>#N/A</v>
      </c>
      <c r="F56" s="554" t="e">
        <f t="array" ref="F56">INDEX(df_naics!$C$2:$C$100, MATCH(1, (C$2 = df_naics!$A$2:$A$100) * (df_naics!$B$2:$B$100 = $A56), 0), 0)</f>
        <v>#N/A</v>
      </c>
      <c r="H56" s="569" t="s">
        <v>286</v>
      </c>
      <c r="I56" s="494"/>
      <c r="J56" s="486" t="e">
        <f t="shared" si="4"/>
        <v>#N/A</v>
      </c>
      <c r="K56" s="514" t="e">
        <f t="shared" si="5"/>
        <v>#N/A</v>
      </c>
      <c r="L56" s="515" t="e">
        <f t="shared" si="6"/>
        <v>#N/A</v>
      </c>
      <c r="M56" s="299">
        <v>20</v>
      </c>
      <c r="N56" s="84" t="str">
        <f t="array" ref="N56">IFERROR(INDEX($H$36:$H$56, MATCH(0, COUNTIF($N$36:N55, $H$36:$H$56) + ($J$36:$J$56 &lt;&gt; Q56), 0)), "")</f>
        <v/>
      </c>
      <c r="O56" s="173"/>
      <c r="P56" s="239" t="e">
        <f t="shared" si="8"/>
        <v>#N/A</v>
      </c>
      <c r="Q56" s="201" t="e">
        <f t="shared" si="7"/>
        <v>#N/A</v>
      </c>
      <c r="R56" s="681" t="e">
        <f t="array" ref="R56">INDEX(K$36:K$56, MATCH($N56,$H$36:$H$56,0),0)</f>
        <v>#N/A</v>
      </c>
      <c r="S56" s="681" t="e">
        <f t="array" ref="S56">INDEX(L$36:L$56, MATCH($N56,$H$36:$H$56,0),0)</f>
        <v>#N/A</v>
      </c>
      <c r="U56" s="686"/>
    </row>
    <row r="57" spans="1:21" ht="20.100000000000001" customHeight="1" x14ac:dyDescent="0.2">
      <c r="M57" s="299">
        <v>21</v>
      </c>
      <c r="N57" s="569" t="str">
        <f t="array" ref="N57">IFERROR(INDEX($H$36:$H$56, MATCH(0, COUNTIF($N$36:N56, $H$36:$H$56) + ($J$36:$J$56 &lt;&gt; Q57), 0)), "")</f>
        <v/>
      </c>
      <c r="O57" s="494"/>
      <c r="P57" s="553" t="e">
        <f t="shared" si="8"/>
        <v>#N/A</v>
      </c>
      <c r="Q57" s="515" t="e">
        <f t="shared" si="7"/>
        <v>#N/A</v>
      </c>
      <c r="R57" s="682" t="e">
        <f t="array" ref="R57">INDEX(K$36:K$56, MATCH($N57,$H$36:$H$56,0),0)</f>
        <v>#N/A</v>
      </c>
      <c r="S57" s="682" t="e">
        <f t="array" ref="S57">INDEX(L$36:L$56, MATCH($N57,$H$36:$H$56,0),0)</f>
        <v>#N/A</v>
      </c>
    </row>
    <row r="58" spans="1:21" ht="30" customHeight="1" x14ac:dyDescent="0.2">
      <c r="A58" s="560"/>
      <c r="B58" s="175" t="s">
        <v>1217</v>
      </c>
      <c r="C58" s="310"/>
      <c r="D58" s="310"/>
      <c r="E58" s="310"/>
      <c r="F58" s="310"/>
      <c r="G58" s="310"/>
      <c r="H58" s="310"/>
      <c r="I58" s="310"/>
      <c r="J58" s="310"/>
      <c r="K58" s="310"/>
      <c r="L58" s="310"/>
      <c r="M58" s="310"/>
      <c r="N58" s="310"/>
      <c r="O58" s="310"/>
      <c r="P58" s="310"/>
      <c r="Q58" s="310"/>
      <c r="R58" s="310"/>
      <c r="S58" s="310"/>
    </row>
    <row r="60" spans="1:21" ht="20.100000000000001" customHeight="1" x14ac:dyDescent="0.2">
      <c r="B60" s="1243" t="s">
        <v>1218</v>
      </c>
      <c r="C60" s="1243"/>
      <c r="D60" s="1243"/>
      <c r="E60" s="1243"/>
    </row>
    <row r="61" spans="1:21" ht="20.100000000000001" customHeight="1" x14ac:dyDescent="0.2"/>
    <row r="62" spans="1:21" ht="20.100000000000001" customHeight="1" x14ac:dyDescent="0.2">
      <c r="B62" s="282" t="s">
        <v>288</v>
      </c>
      <c r="C62" s="130" t="s">
        <v>187</v>
      </c>
      <c r="D62" s="246" t="s">
        <v>188</v>
      </c>
      <c r="E62" s="317" t="s">
        <v>189</v>
      </c>
    </row>
    <row r="63" spans="1:21" ht="20.100000000000001" customHeight="1" x14ac:dyDescent="0.2">
      <c r="B63" s="535" t="str">
        <f t="shared" ref="B63:B72" si="9">N38</f>
        <v/>
      </c>
      <c r="C63" s="537" t="str">
        <f t="array" ref="C63">IFERROR(Q38,"x")</f>
        <v>x</v>
      </c>
      <c r="D63" s="538" t="str">
        <f t="array" ref="D63">IFERROR(R38,"x")</f>
        <v>x</v>
      </c>
      <c r="E63" s="539" t="str">
        <f t="array" ref="E63">IFERROR(S38,"x")</f>
        <v>x</v>
      </c>
    </row>
    <row r="64" spans="1:21" ht="20.100000000000001" customHeight="1" x14ac:dyDescent="0.2">
      <c r="B64" s="533" t="str">
        <f t="shared" si="9"/>
        <v/>
      </c>
      <c r="C64" s="540" t="str">
        <f t="array" ref="C64">IFERROR(Q39,"x")</f>
        <v>x</v>
      </c>
      <c r="D64" s="541" t="str">
        <f t="array" ref="D64">IFERROR(R39,"x")</f>
        <v>x</v>
      </c>
      <c r="E64" s="542" t="str">
        <f t="array" ref="E64">IFERROR(S39,"x")</f>
        <v>x</v>
      </c>
    </row>
    <row r="65" spans="1:10" ht="20.100000000000001" customHeight="1" x14ac:dyDescent="0.2">
      <c r="B65" s="534" t="str">
        <f t="shared" si="9"/>
        <v/>
      </c>
      <c r="C65" s="543" t="str">
        <f t="array" ref="C65">IFERROR(Q40,"x")</f>
        <v>x</v>
      </c>
      <c r="D65" s="544" t="str">
        <f t="array" ref="D65">IFERROR(R40,"x")</f>
        <v>x</v>
      </c>
      <c r="E65" s="545" t="str">
        <f t="array" ref="E65">IFERROR(S40,"x")</f>
        <v>x</v>
      </c>
    </row>
    <row r="66" spans="1:10" ht="20.100000000000001" customHeight="1" x14ac:dyDescent="0.2">
      <c r="B66" s="533" t="str">
        <f t="shared" si="9"/>
        <v/>
      </c>
      <c r="C66" s="540" t="str">
        <f t="array" ref="C66">IFERROR(Q41,"x")</f>
        <v>x</v>
      </c>
      <c r="D66" s="541" t="str">
        <f t="array" ref="D66">IFERROR(R41,"x")</f>
        <v>x</v>
      </c>
      <c r="E66" s="542" t="str">
        <f t="array" ref="E66">IFERROR(S41,"x")</f>
        <v>x</v>
      </c>
    </row>
    <row r="67" spans="1:10" ht="20.100000000000001" customHeight="1" x14ac:dyDescent="0.2">
      <c r="B67" s="534" t="str">
        <f t="shared" si="9"/>
        <v/>
      </c>
      <c r="C67" s="543" t="str">
        <f t="array" ref="C67">IFERROR(Q42,"x")</f>
        <v>x</v>
      </c>
      <c r="D67" s="544" t="str">
        <f t="array" ref="D67">IFERROR(R42,"x")</f>
        <v>x</v>
      </c>
      <c r="E67" s="545" t="str">
        <f t="array" ref="E67">IFERROR(S42,"x")</f>
        <v>x</v>
      </c>
    </row>
    <row r="68" spans="1:10" ht="20.100000000000001" customHeight="1" x14ac:dyDescent="0.2">
      <c r="B68" s="533" t="str">
        <f t="shared" si="9"/>
        <v/>
      </c>
      <c r="C68" s="540" t="str">
        <f t="array" ref="C68">IFERROR(Q43,"x")</f>
        <v>x</v>
      </c>
      <c r="D68" s="541" t="str">
        <f t="array" ref="D68">IFERROR(R43,"x")</f>
        <v>x</v>
      </c>
      <c r="E68" s="542" t="str">
        <f t="array" ref="E68">IFERROR(S43,"x")</f>
        <v>x</v>
      </c>
    </row>
    <row r="69" spans="1:10" ht="20.100000000000001" customHeight="1" x14ac:dyDescent="0.2">
      <c r="B69" s="534" t="str">
        <f t="shared" si="9"/>
        <v/>
      </c>
      <c r="C69" s="543" t="str">
        <f t="array" ref="C69">IFERROR(Q44,"x")</f>
        <v>x</v>
      </c>
      <c r="D69" s="544" t="str">
        <f t="array" ref="D69">IFERROR(R44,"x")</f>
        <v>x</v>
      </c>
      <c r="E69" s="545" t="str">
        <f t="array" ref="E69">IFERROR(S44,"x")</f>
        <v>x</v>
      </c>
    </row>
    <row r="70" spans="1:10" ht="20.100000000000001" customHeight="1" x14ac:dyDescent="0.2">
      <c r="B70" s="533" t="str">
        <f t="shared" si="9"/>
        <v/>
      </c>
      <c r="C70" s="540" t="str">
        <f t="array" ref="C70">IFERROR(Q45,"x")</f>
        <v>x</v>
      </c>
      <c r="D70" s="541" t="str">
        <f t="array" ref="D70">IFERROR(R45,"x")</f>
        <v>x</v>
      </c>
      <c r="E70" s="542" t="str">
        <f t="array" ref="E70">IFERROR(S45,"x")</f>
        <v>x</v>
      </c>
    </row>
    <row r="71" spans="1:10" ht="20.100000000000001" customHeight="1" x14ac:dyDescent="0.2">
      <c r="B71" s="534" t="str">
        <f t="shared" si="9"/>
        <v/>
      </c>
      <c r="C71" s="543" t="str">
        <f t="array" ref="C71">IFERROR(Q46,"x")</f>
        <v>x</v>
      </c>
      <c r="D71" s="544" t="str">
        <f t="array" ref="D71">IFERROR(R46,"x")</f>
        <v>x</v>
      </c>
      <c r="E71" s="545" t="str">
        <f t="array" ref="E71">IFERROR(S46,"x")</f>
        <v>x</v>
      </c>
    </row>
    <row r="72" spans="1:10" ht="20.100000000000001" customHeight="1" x14ac:dyDescent="0.2">
      <c r="B72" s="532" t="str">
        <f t="shared" si="9"/>
        <v/>
      </c>
      <c r="C72" s="546" t="str">
        <f t="array" ref="C72">IFERROR(Q47,"x")</f>
        <v>x</v>
      </c>
      <c r="D72" s="547" t="str">
        <f t="array" ref="D72">IFERROR(R47,"x")</f>
        <v>x</v>
      </c>
      <c r="E72" s="548" t="str">
        <f t="array" ref="E72">IFERROR(S47,"x")</f>
        <v>x</v>
      </c>
    </row>
    <row r="75" spans="1:10" ht="50.1" customHeight="1" x14ac:dyDescent="0.2">
      <c r="B75" s="159" t="s">
        <v>1286</v>
      </c>
      <c r="C75" s="59"/>
      <c r="D75" s="59"/>
      <c r="E75" s="59"/>
      <c r="F75" s="59"/>
      <c r="G75" s="59"/>
      <c r="H75" s="59"/>
      <c r="I75" s="59"/>
      <c r="J75" s="59"/>
    </row>
    <row r="76" spans="1:10" ht="20.100000000000001" customHeight="1" x14ac:dyDescent="0.2">
      <c r="A76" s="1"/>
      <c r="B76" s="2"/>
      <c r="C76" s="1"/>
      <c r="D76" s="1"/>
      <c r="E76" s="1"/>
      <c r="F76" s="1"/>
      <c r="G76" s="1"/>
      <c r="H76" s="1"/>
      <c r="I76" s="1"/>
      <c r="J76" s="1"/>
    </row>
    <row r="77" spans="1:10" ht="30" customHeight="1" x14ac:dyDescent="0.2">
      <c r="A77" s="560"/>
      <c r="B77" s="175" t="s">
        <v>1216</v>
      </c>
      <c r="C77" s="310"/>
      <c r="D77" s="310"/>
      <c r="E77" s="310"/>
      <c r="F77" s="310"/>
      <c r="G77" s="310"/>
      <c r="H77" s="310"/>
      <c r="I77" s="310"/>
      <c r="J77" s="310"/>
    </row>
    <row r="79" spans="1:10" ht="20.100000000000001" customHeight="1" x14ac:dyDescent="0.2">
      <c r="B79" s="1240" t="s">
        <v>291</v>
      </c>
      <c r="C79" s="1240"/>
      <c r="D79" s="1240"/>
      <c r="E79" s="1240"/>
      <c r="G79" s="1240" t="s">
        <v>292</v>
      </c>
      <c r="H79" s="1240"/>
      <c r="I79" s="1240"/>
      <c r="J79" s="1240"/>
    </row>
    <row r="80" spans="1:10" ht="20.100000000000001" customHeight="1" x14ac:dyDescent="0.2"/>
    <row r="81" spans="1:21" ht="20.100000000000001" customHeight="1" x14ac:dyDescent="0.2">
      <c r="B81" s="206" t="s">
        <v>289</v>
      </c>
      <c r="C81" s="72"/>
      <c r="D81" s="128" t="s">
        <v>6</v>
      </c>
      <c r="E81" s="302" t="s">
        <v>290</v>
      </c>
      <c r="G81" s="206" t="s">
        <v>289</v>
      </c>
      <c r="H81" s="72"/>
      <c r="I81" s="128" t="s">
        <v>6</v>
      </c>
      <c r="J81" s="302" t="s">
        <v>290</v>
      </c>
    </row>
    <row r="82" spans="1:21" ht="20.100000000000001" customHeight="1" x14ac:dyDescent="0.2">
      <c r="A82" s="299">
        <v>1</v>
      </c>
      <c r="B82" s="570" t="str">
        <f t="array" ref="B82">IFERROR(IF(INDEX(df_commute!$O$2:$O$1000, MATCH(0, COUNTIF($B$81:B81, df_commute!$O$2:$O$1000) + (df_commute!$F$2:$F$1000 &lt;&gt; D82), 0)) = 0, "",INDEX(df_commute!$O$2:$O$1000, MATCH(0, COUNTIF($B$81:B81, df_commute!$O$2:$O$1000) + (df_commute!$F$2:$F$1000 &lt;&gt; D82), 0))),"")</f>
        <v/>
      </c>
      <c r="C82" s="493"/>
      <c r="D82" s="557" t="str">
        <f>IFERROR(IF(LARGE(df_commute!$F$2:$F$1000, econ!$A82)&lt;0,"",LARGE(df_commute!$F$2:$F$1000, econ!$A82)),"")</f>
        <v/>
      </c>
      <c r="E82" s="510" t="str">
        <f t="array" ref="E82">IFERROR(INDEX(df_commute!$C$2:$C$1000, MATCH($B82, df_commute!$O$2:$O$1000, 0), 0),"")</f>
        <v/>
      </c>
      <c r="F82" s="299"/>
      <c r="G82" s="570" t="str">
        <f t="array" ref="G82">IFERROR(IF(INDEX(df_commute!$P$2:$P$1000, MATCH(0, COUNTIF($G$81:G81, df_commute!$P$2:$P$1000) + (df_commute!$F$2:$F$1000 &lt;&gt; I82), 0)) = 0, "", INDEX(df_commute!$P$2:$P$1000, MATCH(0, COUNTIF($G$81:G81, df_commute!$P$2:$P$1000) + (df_commute!$F$2:$F$1000 &lt;&gt; I82), 0))), "")</f>
        <v/>
      </c>
      <c r="H82" s="493"/>
      <c r="I82" s="557" t="str">
        <f t="array" ref="I82">IFERROR(IF(SMALL(df_commute!$F$2:$F$1000, econ!$A82) &gt; 0, "", SMALL(df_commute!$F$2:$F$1000, econ!$A82)), "")</f>
        <v/>
      </c>
      <c r="J82" s="510" t="str">
        <f t="array" ref="J82">IFERROR(INDEX(df_commute!$C$2:$C$1000, MATCH(1, ($G82 = df_commute!$P$2:$P$1000) * (df_commute!$F$2:$F$1000 &lt; 0), 0), 0),"")</f>
        <v/>
      </c>
    </row>
    <row r="83" spans="1:21" ht="20.100000000000001" customHeight="1" x14ac:dyDescent="0.2">
      <c r="A83" s="299">
        <v>2</v>
      </c>
      <c r="B83" s="84" t="str">
        <f t="array" ref="B83">IFERROR(IF(INDEX(df_commute!$O$2:$O$1000, MATCH(0, COUNTIF($B$81:B82, df_commute!$O$2:$O$1000) + (df_commute!$F$2:$F$1000 &lt;&gt; D83), 0)) = 0, "",INDEX(df_commute!$O$2:$O$1000, MATCH(0, COUNTIF($B$81:B82, df_commute!$O$2:$O$1000) + (df_commute!$F$2:$F$1000 &lt;&gt; D83), 0))),"")</f>
        <v/>
      </c>
      <c r="C83" s="173"/>
      <c r="D83" s="558" t="str">
        <f>IFERROR(IF(LARGE(df_commute!$F$2:$F$1000, econ!$A83)&lt;0,"",LARGE(df_commute!$F$2:$F$1000, econ!$A83)),"")</f>
        <v/>
      </c>
      <c r="E83" s="201" t="str">
        <f t="array" ref="E83">IFERROR(INDEX(df_commute!$C$2:$C$1000, MATCH($B83, df_commute!$O$2:$O$1000, 0), 0),"")</f>
        <v/>
      </c>
      <c r="F83" s="299"/>
      <c r="G83" s="84" t="str">
        <f t="array" ref="G83">IFERROR(IF(INDEX(df_commute!$P$2:$P$1000, MATCH(0, COUNTIF($G$81:G82, df_commute!$P$2:$P$1000) + (df_commute!$F$2:$F$1000 &lt;&gt; I83), 0)) = 0, "", INDEX(df_commute!$P$2:$P$1000, MATCH(0, COUNTIF($G$81:G82, df_commute!$P$2:$P$1000) + (df_commute!$F$2:$F$1000 &lt;&gt; I83), 0))), "")</f>
        <v/>
      </c>
      <c r="H83" s="173"/>
      <c r="I83" s="558" t="str">
        <f t="array" ref="I83">IFERROR(IF(SMALL(df_commute!$F$2:$F$1000, econ!$A83) &gt; 0, "", SMALL(df_commute!$F$2:$F$1000, econ!$A83)), "")</f>
        <v/>
      </c>
      <c r="J83" s="201" t="str">
        <f t="array" ref="J83">IFERROR(INDEX(df_commute!$C$2:$C$1000, MATCH(1, ($G83 = df_commute!$P$2:$P$1000) * (df_commute!$F$2:$F$1000 &lt; 0), 0), 0),"")</f>
        <v/>
      </c>
    </row>
    <row r="84" spans="1:21" ht="20.100000000000001" customHeight="1" x14ac:dyDescent="0.2">
      <c r="A84" s="299">
        <v>3</v>
      </c>
      <c r="B84" s="84" t="str">
        <f t="array" ref="B84">IFERROR(IF(INDEX(df_commute!$O$2:$O$1000, MATCH(0, COUNTIF($B$81:B83, df_commute!$O$2:$O$1000) + (df_commute!$F$2:$F$1000 &lt;&gt; D84), 0)) = 0, "",INDEX(df_commute!$O$2:$O$1000, MATCH(0, COUNTIF($B$81:B83, df_commute!$O$2:$O$1000) + (df_commute!$F$2:$F$1000 &lt;&gt; D84), 0))),"")</f>
        <v/>
      </c>
      <c r="C84" s="173"/>
      <c r="D84" s="558" t="str">
        <f>IFERROR(IF(LARGE(df_commute!$F$2:$F$1000, econ!$A84)&lt;0,"",LARGE(df_commute!$F$2:$F$1000, econ!$A84)),"")</f>
        <v/>
      </c>
      <c r="E84" s="201" t="str">
        <f t="array" ref="E84">IFERROR(INDEX(df_commute!$C$2:$C$1000, MATCH($B84, df_commute!$O$2:$O$1000, 0), 0),"")</f>
        <v/>
      </c>
      <c r="F84" s="299"/>
      <c r="G84" s="84" t="str">
        <f t="array" ref="G84">IFERROR(IF(INDEX(df_commute!$P$2:$P$1000, MATCH(0, COUNTIF($G$81:G83, df_commute!$P$2:$P$1000) + (df_commute!$F$2:$F$1000 &lt;&gt; I84), 0)) = 0, "", INDEX(df_commute!$P$2:$P$1000, MATCH(0, COUNTIF($G$81:G83, df_commute!$P$2:$P$1000) + (df_commute!$F$2:$F$1000 &lt;&gt; I84), 0))), "")</f>
        <v/>
      </c>
      <c r="H84" s="173"/>
      <c r="I84" s="558" t="str">
        <f t="array" ref="I84">IFERROR(IF(SMALL(df_commute!$F$2:$F$1000, econ!$A84) &gt; 0, "", SMALL(df_commute!$F$2:$F$1000, econ!$A84)), "")</f>
        <v/>
      </c>
      <c r="J84" s="201" t="str">
        <f t="array" ref="J84">IFERROR(INDEX(df_commute!$C$2:$C$1000, MATCH(1, ($G84 = df_commute!$P$2:$P$1000) * (df_commute!$F$2:$F$1000 &lt; 0), 0), 0),"")</f>
        <v/>
      </c>
    </row>
    <row r="85" spans="1:21" ht="20.100000000000001" customHeight="1" x14ac:dyDescent="0.2">
      <c r="A85" s="299">
        <v>4</v>
      </c>
      <c r="B85" s="84" t="str">
        <f t="array" ref="B85">IFERROR(IF(INDEX(df_commute!$O$2:$O$1000, MATCH(0, COUNTIF($B$81:B84, df_commute!$O$2:$O$1000) + (df_commute!$F$2:$F$1000 &lt;&gt; D85), 0)) = 0, "",INDEX(df_commute!$O$2:$O$1000, MATCH(0, COUNTIF($B$81:B84, df_commute!$O$2:$O$1000) + (df_commute!$F$2:$F$1000 &lt;&gt; D85), 0))),"")</f>
        <v/>
      </c>
      <c r="C85" s="173"/>
      <c r="D85" s="558" t="str">
        <f>IFERROR(IF(LARGE(df_commute!$F$2:$F$1000, econ!$A85)&lt;0,"",LARGE(df_commute!$F$2:$F$1000, econ!$A85)),"")</f>
        <v/>
      </c>
      <c r="E85" s="201" t="str">
        <f t="array" ref="E85">IFERROR(INDEX(df_commute!$C$2:$C$1000, MATCH($B85, df_commute!$O$2:$O$1000, 0), 0),"")</f>
        <v/>
      </c>
      <c r="F85" s="299"/>
      <c r="G85" s="84" t="str">
        <f t="array" ref="G85">IFERROR(IF(INDEX(df_commute!$P$2:$P$1000, MATCH(0, COUNTIF($G$81:G84, df_commute!$P$2:$P$1000) + (df_commute!$F$2:$F$1000 &lt;&gt; I85), 0)) = 0, "", INDEX(df_commute!$P$2:$P$1000, MATCH(0, COUNTIF($G$81:G84, df_commute!$P$2:$P$1000) + (df_commute!$F$2:$F$1000 &lt;&gt; I85), 0))), "")</f>
        <v/>
      </c>
      <c r="H85" s="173"/>
      <c r="I85" s="558" t="str">
        <f t="array" ref="I85">IFERROR(IF(SMALL(df_commute!$F$2:$F$1000, econ!$A85) &gt; 0, "", SMALL(df_commute!$F$2:$F$1000, econ!$A85)), "")</f>
        <v/>
      </c>
      <c r="J85" s="201" t="str">
        <f t="array" ref="J85">IFERROR(INDEX(df_commute!$C$2:$C$1000, MATCH(1, ($G85 = df_commute!$P$2:$P$1000) * (df_commute!$F$2:$F$1000 &lt; 0), 0), 0),"")</f>
        <v/>
      </c>
      <c r="U85" s="1"/>
    </row>
    <row r="86" spans="1:21" ht="20.100000000000001" customHeight="1" x14ac:dyDescent="0.2">
      <c r="A86" s="299">
        <v>5</v>
      </c>
      <c r="B86" s="84" t="str">
        <f t="array" ref="B86">IFERROR(IF(INDEX(df_commute!$O$2:$O$1000, MATCH(0, COUNTIF($B$81:B85, df_commute!$O$2:$O$1000) + (df_commute!$F$2:$F$1000 &lt;&gt; D86), 0)) = 0, "",INDEX(df_commute!$O$2:$O$1000, MATCH(0, COUNTIF($B$81:B85, df_commute!$O$2:$O$1000) + (df_commute!$F$2:$F$1000 &lt;&gt; D86), 0))),"")</f>
        <v/>
      </c>
      <c r="C86" s="173"/>
      <c r="D86" s="558" t="str">
        <f>IFERROR(IF(LARGE(df_commute!$F$2:$F$1000, econ!$A86)&lt;0,"",LARGE(df_commute!$F$2:$F$1000, econ!$A86)),"")</f>
        <v/>
      </c>
      <c r="E86" s="201" t="str">
        <f t="array" ref="E86">IFERROR(INDEX(df_commute!$C$2:$C$1000, MATCH($B86, df_commute!$O$2:$O$1000, 0), 0),"")</f>
        <v/>
      </c>
      <c r="F86" s="299"/>
      <c r="G86" s="84" t="str">
        <f t="array" ref="G86">IFERROR(IF(INDEX(df_commute!$P$2:$P$1000, MATCH(0, COUNTIF($G$81:G85, df_commute!$P$2:$P$1000) + (df_commute!$F$2:$F$1000 &lt;&gt; I86), 0)) = 0, "", INDEX(df_commute!$P$2:$P$1000, MATCH(0, COUNTIF($G$81:G85, df_commute!$P$2:$P$1000) + (df_commute!$F$2:$F$1000 &lt;&gt; I86), 0))), "")</f>
        <v/>
      </c>
      <c r="H86" s="173"/>
      <c r="I86" s="558" t="str">
        <f t="array" ref="I86">IFERROR(IF(SMALL(df_commute!$F$2:$F$1000, econ!$A86) &gt; 0, "", SMALL(df_commute!$F$2:$F$1000, econ!$A86)), "")</f>
        <v/>
      </c>
      <c r="J86" s="201" t="str">
        <f t="array" ref="J86">IFERROR(INDEX(df_commute!$C$2:$C$1000, MATCH(1, ($G86 = df_commute!$P$2:$P$1000) * (df_commute!$F$2:$F$1000 &lt; 0), 0), 0),"")</f>
        <v/>
      </c>
      <c r="U86" s="1"/>
    </row>
    <row r="87" spans="1:21" ht="20.100000000000001" customHeight="1" x14ac:dyDescent="0.2">
      <c r="A87" s="299">
        <v>6</v>
      </c>
      <c r="B87" s="84" t="str">
        <f t="array" ref="B87">IFERROR(IF(INDEX(df_commute!$O$2:$O$1000, MATCH(0, COUNTIF($B$81:B86, df_commute!$O$2:$O$1000) + (df_commute!$F$2:$F$1000 &lt;&gt; D87), 0)) = 0, "",INDEX(df_commute!$O$2:$O$1000, MATCH(0, COUNTIF($B$81:B86, df_commute!$O$2:$O$1000) + (df_commute!$F$2:$F$1000 &lt;&gt; D87), 0))),"")</f>
        <v/>
      </c>
      <c r="C87" s="173"/>
      <c r="D87" s="558" t="str">
        <f>IFERROR(IF(LARGE(df_commute!$F$2:$F$1000, econ!$A87)&lt;0,"",LARGE(df_commute!$F$2:$F$1000, econ!$A87)),"")</f>
        <v/>
      </c>
      <c r="E87" s="201" t="str">
        <f t="array" ref="E87">IFERROR(INDEX(df_commute!$C$2:$C$1000, MATCH($B87, df_commute!$O$2:$O$1000, 0), 0),"")</f>
        <v/>
      </c>
      <c r="F87" s="299"/>
      <c r="G87" s="84" t="str">
        <f t="array" ref="G87">IFERROR(IF(INDEX(df_commute!$P$2:$P$1000, MATCH(0, COUNTIF($G$81:G86, df_commute!$P$2:$P$1000) + (df_commute!$F$2:$F$1000 &lt;&gt; I87), 0)) = 0, "", INDEX(df_commute!$P$2:$P$1000, MATCH(0, COUNTIF($G$81:G86, df_commute!$P$2:$P$1000) + (df_commute!$F$2:$F$1000 &lt;&gt; I87), 0))), "")</f>
        <v/>
      </c>
      <c r="H87" s="173"/>
      <c r="I87" s="558" t="str">
        <f t="array" ref="I87">IFERROR(IF(SMALL(df_commute!$F$2:$F$1000, econ!$A87) &gt; 0, "", SMALL(df_commute!$F$2:$F$1000, econ!$A87)), "")</f>
        <v/>
      </c>
      <c r="J87" s="201" t="str">
        <f t="array" ref="J87">IFERROR(INDEX(df_commute!$C$2:$C$1000, MATCH(1, ($G87 = df_commute!$P$2:$P$1000) * (df_commute!$F$2:$F$1000 &lt; 0), 0), 0),"")</f>
        <v/>
      </c>
      <c r="U87" s="1"/>
    </row>
    <row r="88" spans="1:21" ht="20.100000000000001" customHeight="1" x14ac:dyDescent="0.2">
      <c r="A88" s="299">
        <v>7</v>
      </c>
      <c r="B88" s="84" t="str">
        <f t="array" ref="B88">IFERROR(IF(INDEX(df_commute!$O$2:$O$1000, MATCH(0, COUNTIF($B$81:B87, df_commute!$O$2:$O$1000) + (df_commute!$F$2:$F$1000 &lt;&gt; D88), 0)) = 0, "",INDEX(df_commute!$O$2:$O$1000, MATCH(0, COUNTIF($B$81:B87, df_commute!$O$2:$O$1000) + (df_commute!$F$2:$F$1000 &lt;&gt; D88), 0))),"")</f>
        <v/>
      </c>
      <c r="C88" s="173"/>
      <c r="D88" s="558" t="str">
        <f>IFERROR(IF(LARGE(df_commute!$F$2:$F$1000, econ!$A88)&lt;0,"",LARGE(df_commute!$F$2:$F$1000, econ!$A88)),"")</f>
        <v/>
      </c>
      <c r="E88" s="201" t="str">
        <f t="array" ref="E88">IFERROR(INDEX(df_commute!$C$2:$C$1000, MATCH($B88, df_commute!$O$2:$O$1000, 0), 0),"")</f>
        <v/>
      </c>
      <c r="F88" s="299"/>
      <c r="G88" s="84" t="str">
        <f t="array" ref="G88">IFERROR(IF(INDEX(df_commute!$P$2:$P$1000, MATCH(0, COUNTIF($G$81:G87, df_commute!$P$2:$P$1000) + (df_commute!$F$2:$F$1000 &lt;&gt; I88), 0)) = 0, "", INDEX(df_commute!$P$2:$P$1000, MATCH(0, COUNTIF($G$81:G87, df_commute!$P$2:$P$1000) + (df_commute!$F$2:$F$1000 &lt;&gt; I88), 0))), "")</f>
        <v/>
      </c>
      <c r="H88" s="173"/>
      <c r="I88" s="558" t="str">
        <f t="array" ref="I88">IFERROR(IF(SMALL(df_commute!$F$2:$F$1000, econ!$A88) &gt; 0, "", SMALL(df_commute!$F$2:$F$1000, econ!$A88)), "")</f>
        <v/>
      </c>
      <c r="J88" s="201" t="str">
        <f t="array" ref="J88">IFERROR(INDEX(df_commute!$C$2:$C$1000, MATCH(1, ($G88 = df_commute!$P$2:$P$1000) * (df_commute!$F$2:$F$1000 &lt; 0), 0), 0),"")</f>
        <v/>
      </c>
      <c r="U88" s="1"/>
    </row>
    <row r="89" spans="1:21" ht="20.100000000000001" customHeight="1" x14ac:dyDescent="0.2">
      <c r="A89" s="299">
        <v>8</v>
      </c>
      <c r="B89" s="84" t="str">
        <f t="array" ref="B89">IFERROR(IF(INDEX(df_commute!$O$2:$O$1000, MATCH(0, COUNTIF($B$81:B88, df_commute!$O$2:$O$1000) + (df_commute!$F$2:$F$1000 &lt;&gt; D89), 0)) = 0, "",INDEX(df_commute!$O$2:$O$1000, MATCH(0, COUNTIF($B$81:B88, df_commute!$O$2:$O$1000) + (df_commute!$F$2:$F$1000 &lt;&gt; D89), 0))),"")</f>
        <v/>
      </c>
      <c r="C89" s="173"/>
      <c r="D89" s="558" t="str">
        <f>IFERROR(IF(LARGE(df_commute!$F$2:$F$1000, econ!$A89)&lt;0,"",LARGE(df_commute!$F$2:$F$1000, econ!$A89)),"")</f>
        <v/>
      </c>
      <c r="E89" s="201" t="str">
        <f t="array" ref="E89">IFERROR(INDEX(df_commute!$C$2:$C$1000, MATCH($B89, df_commute!$O$2:$O$1000, 0), 0),"")</f>
        <v/>
      </c>
      <c r="F89" s="299"/>
      <c r="G89" s="84" t="str">
        <f t="array" ref="G89">IFERROR(IF(INDEX(df_commute!$P$2:$P$1000, MATCH(0, COUNTIF($G$81:G88, df_commute!$P$2:$P$1000) + (df_commute!$F$2:$F$1000 &lt;&gt; I89), 0)) = 0, "", INDEX(df_commute!$P$2:$P$1000, MATCH(0, COUNTIF($G$81:G88, df_commute!$P$2:$P$1000) + (df_commute!$F$2:$F$1000 &lt;&gt; I89), 0))), "")</f>
        <v/>
      </c>
      <c r="H89" s="173"/>
      <c r="I89" s="558" t="str">
        <f t="array" ref="I89">IFERROR(IF(SMALL(df_commute!$F$2:$F$1000, econ!$A89) &gt; 0, "", SMALL(df_commute!$F$2:$F$1000, econ!$A89)), "")</f>
        <v/>
      </c>
      <c r="J89" s="201" t="str">
        <f t="array" ref="J89">IFERROR(INDEX(df_commute!$C$2:$C$1000, MATCH(1, ($G89 = df_commute!$P$2:$P$1000) * (df_commute!$F$2:$F$1000 &lt; 0), 0), 0),"")</f>
        <v/>
      </c>
      <c r="U89" s="1"/>
    </row>
    <row r="90" spans="1:21" ht="20.100000000000001" customHeight="1" x14ac:dyDescent="0.2">
      <c r="A90" s="299">
        <v>9</v>
      </c>
      <c r="B90" s="84" t="str">
        <f t="array" ref="B90">IFERROR(IF(INDEX(df_commute!$O$2:$O$1000, MATCH(0, COUNTIF($B$81:B89, df_commute!$O$2:$O$1000) + (df_commute!$F$2:$F$1000 &lt;&gt; D90), 0)) = 0, "",INDEX(df_commute!$O$2:$O$1000, MATCH(0, COUNTIF($B$81:B89, df_commute!$O$2:$O$1000) + (df_commute!$F$2:$F$1000 &lt;&gt; D90), 0))),"")</f>
        <v/>
      </c>
      <c r="C90" s="173"/>
      <c r="D90" s="558" t="str">
        <f>IFERROR(IF(LARGE(df_commute!$F$2:$F$1000, econ!$A90)&lt;0,"",LARGE(df_commute!$F$2:$F$1000, econ!$A90)),"")</f>
        <v/>
      </c>
      <c r="E90" s="201" t="str">
        <f t="array" ref="E90">IFERROR(INDEX(df_commute!$C$2:$C$1000, MATCH($B90, df_commute!$O$2:$O$1000, 0), 0),"")</f>
        <v/>
      </c>
      <c r="F90" s="299"/>
      <c r="G90" s="84" t="str">
        <f t="array" ref="G90">IFERROR(IF(INDEX(df_commute!$P$2:$P$1000, MATCH(0, COUNTIF($G$81:G89, df_commute!$P$2:$P$1000) + (df_commute!$F$2:$F$1000 &lt;&gt; I90), 0)) = 0, "", INDEX(df_commute!$P$2:$P$1000, MATCH(0, COUNTIF($G$81:G89, df_commute!$P$2:$P$1000) + (df_commute!$F$2:$F$1000 &lt;&gt; I90), 0))), "")</f>
        <v/>
      </c>
      <c r="H90" s="173"/>
      <c r="I90" s="558" t="str">
        <f t="array" ref="I90">IFERROR(IF(SMALL(df_commute!$F$2:$F$1000, econ!$A90) &gt; 0, "", SMALL(df_commute!$F$2:$F$1000, econ!$A90)), "")</f>
        <v/>
      </c>
      <c r="J90" s="201" t="str">
        <f t="array" ref="J90">IFERROR(INDEX(df_commute!$C$2:$C$1000, MATCH(1, ($G90 = df_commute!$P$2:$P$1000) * (df_commute!$F$2:$F$1000 &lt; 0), 0), 0),"")</f>
        <v/>
      </c>
      <c r="U90" s="1"/>
    </row>
    <row r="91" spans="1:21" ht="20.100000000000001" customHeight="1" x14ac:dyDescent="0.2">
      <c r="A91" s="299">
        <v>10</v>
      </c>
      <c r="B91" s="569" t="str">
        <f t="array" ref="B91">IFERROR(IF(INDEX(df_commute!$O$2:$O$1000, MATCH(0, COUNTIF($B$81:B90, df_commute!$O$2:$O$1000) + (df_commute!$F$2:$F$1000 &lt;&gt; D91), 0)) = 0, "",INDEX(df_commute!$O$2:$O$1000, MATCH(0, COUNTIF($B$81:B90, df_commute!$O$2:$O$1000) + (df_commute!$F$2:$F$1000 &lt;&gt; D91), 0))),"")</f>
        <v/>
      </c>
      <c r="C91" s="494"/>
      <c r="D91" s="559" t="str">
        <f>IFERROR(IF(LARGE(df_commute!$F$2:$F$1000, econ!$A91)&lt;0,"",LARGE(df_commute!$F$2:$F$1000, econ!$A91)),"")</f>
        <v/>
      </c>
      <c r="E91" s="515" t="str">
        <f t="array" ref="E91">IFERROR(INDEX(df_commute!$C$2:$C$1000, MATCH($B91, df_commute!$O$2:$O$1000, 0), 0),"")</f>
        <v/>
      </c>
      <c r="F91" s="299"/>
      <c r="G91" s="569" t="str">
        <f t="array" ref="G91">IFERROR(IF(INDEX(df_commute!$P$2:$P$1000, MATCH(0, COUNTIF($G$81:G90, df_commute!$P$2:$P$1000) + (df_commute!$F$2:$F$1000 &lt;&gt; I91), 0)) = 0, "", INDEX(df_commute!$P$2:$P$1000, MATCH(0, COUNTIF($G$81:G90, df_commute!$P$2:$P$1000) + (df_commute!$F$2:$F$1000 &lt;&gt; I91), 0))), "")</f>
        <v/>
      </c>
      <c r="H91" s="494"/>
      <c r="I91" s="558" t="str">
        <f t="array" ref="I91">IFERROR(IF(SMALL(df_commute!$F$2:$F$1000, econ!$A91) &gt; 0, "", SMALL(df_commute!$F$2:$F$1000, econ!$A91)), "")</f>
        <v/>
      </c>
      <c r="J91" s="201" t="str">
        <f t="array" ref="J91">IFERROR(INDEX(df_commute!$C$2:$C$1000, MATCH(1, ($G91 = df_commute!$P$2:$P$1000) * (df_commute!$F$2:$F$1000 &lt; 0), 0), 0),"")</f>
        <v/>
      </c>
    </row>
    <row r="92" spans="1:21" ht="20.100000000000001" customHeight="1" x14ac:dyDescent="0.2">
      <c r="B92" s="570" t="s">
        <v>6</v>
      </c>
      <c r="C92" s="493"/>
      <c r="D92" s="557">
        <f>SUMIFS(df_commute!$F$2:$F$1000,df_commute!$F$2:$F$1000,"&gt;0")</f>
        <v>0</v>
      </c>
      <c r="E92" s="516"/>
      <c r="G92" s="570" t="s">
        <v>6</v>
      </c>
      <c r="H92" s="508"/>
      <c r="I92" s="557">
        <f>-SUMIFS(df_commute!$F$2:$F$1000,df_commute!$F$2:$F$1000,"&lt;0")</f>
        <v>0</v>
      </c>
      <c r="J92" s="516"/>
    </row>
    <row r="93" spans="1:21" ht="20.100000000000001" customHeight="1" x14ac:dyDescent="0.2">
      <c r="B93" s="569" t="s">
        <v>307</v>
      </c>
      <c r="C93" s="494"/>
      <c r="D93" s="559">
        <f t="array" ref="D93">IF(D92-IFERROR(INDEX(df_commute!$F$2:$F$1000, MATCH(1, (df_commute!$F$2:$F$1000 &gt; 0) * (df_commute!$A$2:$A$1000 = $A$2), 0), 0),0) &lt; 0, 0, D92-IFERROR(INDEX(df_commute!$F$2:$F$1000, MATCH(1, (df_commute!$F$2:$F$1000 &gt; 0) * (df_commute!$A$2:$A$1000 = $A$2), 0), 0),0))</f>
        <v>0</v>
      </c>
      <c r="E93" s="685"/>
      <c r="G93" s="569" t="s">
        <v>307</v>
      </c>
      <c r="H93" s="684"/>
      <c r="I93" s="559">
        <f t="array" ref="I93">IF(I92-IFERROR(INDEX(df_commute!$F$2:$F$1000, MATCH(1, (df_commute!$F$2:$F$1000 &lt; 0) * (df_commute!$B$2:$B$1000 = $A$2), 0), 0),0) &lt; 0, 0, I92+IFERROR(INDEX(df_commute!$F$2:$F$1000, MATCH(1, (df_commute!$F$2:$F$1000 &lt; 0) * (df_commute!$B$2:$B$1000 = $A$2), 0), 0),0))</f>
        <v>0</v>
      </c>
      <c r="J93" s="554">
        <f>D93-I93</f>
        <v>0</v>
      </c>
    </row>
    <row r="94" spans="1:21" ht="20.100000000000001" customHeight="1" x14ac:dyDescent="0.2"/>
    <row r="95" spans="1:21" ht="30" customHeight="1" x14ac:dyDescent="0.2">
      <c r="A95" s="560"/>
      <c r="B95" s="175" t="s">
        <v>1217</v>
      </c>
      <c r="C95" s="310"/>
      <c r="D95" s="310"/>
      <c r="E95" s="310"/>
      <c r="F95" s="310"/>
      <c r="G95" s="310"/>
      <c r="H95" s="310"/>
      <c r="I95" s="310"/>
      <c r="J95" s="310"/>
    </row>
    <row r="96" spans="1:21" ht="20.100000000000001" customHeight="1" x14ac:dyDescent="0.2">
      <c r="L96" s="720"/>
      <c r="M96" s="720"/>
      <c r="N96" s="720"/>
      <c r="O96" s="720"/>
      <c r="P96" s="720"/>
      <c r="Q96" s="720"/>
      <c r="R96" s="720"/>
    </row>
    <row r="97" spans="1:16" ht="20.100000000000001" customHeight="1" x14ac:dyDescent="0.2">
      <c r="B97" s="1243" t="s">
        <v>1218</v>
      </c>
      <c r="C97" s="1243"/>
      <c r="D97" s="1243"/>
      <c r="E97" s="1243"/>
      <c r="F97" s="1243"/>
      <c r="G97" s="1243"/>
      <c r="H97" s="1243"/>
    </row>
    <row r="98" spans="1:16" ht="20.100000000000001" customHeight="1" x14ac:dyDescent="0.2"/>
    <row r="99" spans="1:16" ht="20.100000000000001" customHeight="1" x14ac:dyDescent="0.2">
      <c r="B99" s="282" t="s">
        <v>303</v>
      </c>
      <c r="C99" s="130" t="s">
        <v>304</v>
      </c>
      <c r="D99" s="317" t="s">
        <v>305</v>
      </c>
      <c r="F99" s="717" t="s">
        <v>306</v>
      </c>
      <c r="G99" s="715" t="s">
        <v>304</v>
      </c>
      <c r="H99" s="716" t="s">
        <v>305</v>
      </c>
    </row>
    <row r="100" spans="1:16" ht="20.100000000000001" customHeight="1" x14ac:dyDescent="0.2">
      <c r="B100" s="535" t="str">
        <f>B82</f>
        <v/>
      </c>
      <c r="C100" s="519" t="str">
        <f t="shared" ref="C100:D104" si="10">D82</f>
        <v/>
      </c>
      <c r="D100" s="520" t="str">
        <f t="shared" si="10"/>
        <v/>
      </c>
      <c r="F100" s="535" t="str">
        <f>G82</f>
        <v/>
      </c>
      <c r="G100" s="519" t="str">
        <f t="shared" ref="G100:G101" si="11">IF(F100="", "",-I82)</f>
        <v/>
      </c>
      <c r="H100" s="520" t="str">
        <f>J82</f>
        <v/>
      </c>
    </row>
    <row r="101" spans="1:16" ht="20.100000000000001" customHeight="1" x14ac:dyDescent="0.2">
      <c r="B101" s="533" t="str">
        <f>B83</f>
        <v/>
      </c>
      <c r="C101" s="710" t="str">
        <f t="shared" si="10"/>
        <v/>
      </c>
      <c r="D101" s="713" t="str">
        <f t="shared" si="10"/>
        <v/>
      </c>
      <c r="F101" s="533" t="str">
        <f>G83</f>
        <v/>
      </c>
      <c r="G101" s="710" t="str">
        <f t="shared" si="11"/>
        <v/>
      </c>
      <c r="H101" s="713" t="str">
        <f>J83</f>
        <v/>
      </c>
    </row>
    <row r="102" spans="1:16" ht="20.100000000000001" customHeight="1" x14ac:dyDescent="0.2">
      <c r="B102" s="534" t="str">
        <f>B84</f>
        <v/>
      </c>
      <c r="C102" s="711" t="str">
        <f t="shared" si="10"/>
        <v/>
      </c>
      <c r="D102" s="714" t="str">
        <f t="shared" si="10"/>
        <v/>
      </c>
      <c r="F102" s="534" t="str">
        <f>G84</f>
        <v/>
      </c>
      <c r="G102" s="711" t="str">
        <f>IF(F102="", "",-I84)</f>
        <v/>
      </c>
      <c r="H102" s="714" t="str">
        <f>J84</f>
        <v/>
      </c>
    </row>
    <row r="103" spans="1:16" ht="20.100000000000001" customHeight="1" x14ac:dyDescent="0.2">
      <c r="B103" s="533" t="str">
        <f>B85</f>
        <v/>
      </c>
      <c r="C103" s="710" t="str">
        <f t="shared" si="10"/>
        <v/>
      </c>
      <c r="D103" s="713" t="str">
        <f t="shared" si="10"/>
        <v/>
      </c>
      <c r="F103" s="533" t="str">
        <f>G85</f>
        <v/>
      </c>
      <c r="G103" s="710" t="str">
        <f>IF(F103="", "",-I85)</f>
        <v/>
      </c>
      <c r="H103" s="713" t="str">
        <f>J85</f>
        <v/>
      </c>
    </row>
    <row r="104" spans="1:16" ht="20.100000000000001" customHeight="1" x14ac:dyDescent="0.2">
      <c r="B104" s="536" t="str">
        <f>B86</f>
        <v/>
      </c>
      <c r="C104" s="712" t="str">
        <f t="shared" si="10"/>
        <v/>
      </c>
      <c r="D104" s="523" t="str">
        <f t="shared" si="10"/>
        <v/>
      </c>
      <c r="F104" s="536" t="str">
        <f>G86</f>
        <v/>
      </c>
      <c r="G104" s="712" t="str">
        <f>IF(F104="", "",-I86)</f>
        <v/>
      </c>
      <c r="H104" s="523" t="str">
        <f>J86</f>
        <v/>
      </c>
    </row>
    <row r="105" spans="1:16" ht="20.100000000000001" customHeight="1" x14ac:dyDescent="0.2">
      <c r="B105" s="614" t="s">
        <v>894</v>
      </c>
      <c r="C105" s="719">
        <f>D93</f>
        <v>0</v>
      </c>
      <c r="D105" s="718"/>
      <c r="E105" s="613"/>
      <c r="F105" s="614" t="s">
        <v>894</v>
      </c>
      <c r="G105" s="719">
        <f>I93</f>
        <v>0</v>
      </c>
      <c r="H105" s="718"/>
    </row>
    <row r="106" spans="1:16" ht="20.100000000000001" customHeight="1" x14ac:dyDescent="0.2"/>
    <row r="107" spans="1:16" ht="20.100000000000001" customHeight="1" x14ac:dyDescent="0.2"/>
    <row r="108" spans="1:16" ht="50.1" customHeight="1" x14ac:dyDescent="0.2">
      <c r="B108" s="159" t="s">
        <v>1287</v>
      </c>
      <c r="C108" s="59"/>
      <c r="D108" s="59"/>
      <c r="E108" s="59"/>
      <c r="F108" s="59"/>
      <c r="G108" s="59"/>
      <c r="H108" s="59"/>
      <c r="I108" s="59"/>
      <c r="J108" s="59"/>
      <c r="K108" s="59"/>
      <c r="L108" s="59"/>
      <c r="M108" s="59"/>
      <c r="N108" s="59"/>
      <c r="O108" s="59"/>
      <c r="P108" s="59"/>
    </row>
    <row r="109" spans="1:16" ht="20.100000000000001" customHeight="1" x14ac:dyDescent="0.2">
      <c r="A109" s="1"/>
      <c r="B109" s="2"/>
      <c r="C109" s="1"/>
      <c r="D109" s="1"/>
      <c r="E109" s="1"/>
      <c r="F109" s="1"/>
      <c r="G109" s="1"/>
      <c r="H109" s="1"/>
      <c r="I109" s="1"/>
      <c r="J109" s="1"/>
      <c r="K109" s="1"/>
      <c r="L109" s="1"/>
      <c r="M109" s="1"/>
      <c r="N109" s="1"/>
      <c r="O109" s="1"/>
      <c r="P109" s="1"/>
    </row>
    <row r="110" spans="1:16" ht="30" customHeight="1" x14ac:dyDescent="0.2">
      <c r="A110" s="560"/>
      <c r="B110" s="175" t="s">
        <v>1216</v>
      </c>
      <c r="C110" s="310"/>
      <c r="D110" s="310"/>
      <c r="E110" s="310"/>
      <c r="F110" s="310"/>
      <c r="G110" s="310"/>
      <c r="H110" s="310"/>
      <c r="I110" s="310"/>
      <c r="J110" s="310"/>
      <c r="K110" s="310"/>
      <c r="L110" s="310"/>
      <c r="M110" s="310"/>
      <c r="N110" s="310"/>
      <c r="O110" s="310"/>
      <c r="P110" s="310"/>
    </row>
    <row r="112" spans="1:16" ht="20.100000000000001" customHeight="1" x14ac:dyDescent="0.2">
      <c r="B112" s="1240" t="s">
        <v>1288</v>
      </c>
      <c r="C112" s="1240"/>
      <c r="D112" s="1240"/>
      <c r="E112" s="1240"/>
      <c r="F112" s="1240"/>
      <c r="G112" s="1240"/>
      <c r="H112" s="1240"/>
      <c r="J112" s="1240" t="s">
        <v>1289</v>
      </c>
      <c r="K112" s="1240"/>
      <c r="L112" s="1240"/>
      <c r="M112" s="1240"/>
      <c r="N112" s="1240"/>
      <c r="O112" s="1240"/>
      <c r="P112" s="1240"/>
    </row>
    <row r="113" spans="1:17" ht="20.100000000000001" customHeight="1" x14ac:dyDescent="0.2">
      <c r="Q113" s="264"/>
    </row>
    <row r="114" spans="1:17" ht="20.100000000000001" customHeight="1" x14ac:dyDescent="0.2">
      <c r="B114" s="206" t="s">
        <v>315</v>
      </c>
      <c r="C114" s="72"/>
      <c r="D114" s="128" t="s">
        <v>1103</v>
      </c>
      <c r="E114" s="117" t="s">
        <v>1104</v>
      </c>
      <c r="F114" s="117" t="s">
        <v>1105</v>
      </c>
      <c r="G114" s="117" t="s">
        <v>1106</v>
      </c>
      <c r="H114" s="302" t="s">
        <v>1107</v>
      </c>
      <c r="J114" s="206" t="s">
        <v>315</v>
      </c>
      <c r="K114" s="72"/>
      <c r="L114" s="128" t="s">
        <v>1103</v>
      </c>
      <c r="M114" s="117" t="s">
        <v>1104</v>
      </c>
      <c r="N114" s="117" t="s">
        <v>1105</v>
      </c>
      <c r="O114" s="117" t="s">
        <v>1106</v>
      </c>
      <c r="P114" s="302" t="s">
        <v>1107</v>
      </c>
      <c r="Q114" s="613"/>
    </row>
    <row r="115" spans="1:17" ht="20.100000000000001" customHeight="1" x14ac:dyDescent="0.2">
      <c r="B115" s="206" t="s">
        <v>193</v>
      </c>
      <c r="C115" s="72"/>
      <c r="D115" s="206" t="e">
        <f t="array" ref="D115">INDEX(df_transit!$E$2:$E$1000, MATCH(1, (TEXT($A$2,"###0") = df_transit!$B$2:$B$1000) * (D$114 = df_transit!$C$2:$C$1000) * ($B115 = df_transit!$D$2:$D$1000), 0), 0)</f>
        <v>#N/A</v>
      </c>
      <c r="E115" s="563" t="e">
        <f t="array" ref="E115">INDEX(df_transit!$E$2:$E$1000, MATCH(1, (TEXT($A$2,"###0") = df_transit!$B$2:$B$1000) * (E$114 = df_transit!$C$2:$C$1000) * ($B115 = df_transit!$D$2:$D$1000), 0), 0)</f>
        <v>#N/A</v>
      </c>
      <c r="F115" s="563" t="e">
        <f t="array" ref="F115">INDEX(df_transit!$E$2:$E$1000, MATCH(1, (TEXT($A$2,"###0") = df_transit!$B$2:$B$1000) * (F$114 = df_transit!$C$2:$C$1000) * ($B115 = df_transit!$D$2:$D$1000), 0), 0)</f>
        <v>#N/A</v>
      </c>
      <c r="G115" s="563" t="e">
        <f t="array" ref="G115">INDEX(df_transit!$E$2:$E$1000, MATCH(1, (TEXT($A$2,"###0") = df_transit!$B$2:$B$1000) * (G$114 = df_transit!$C$2:$C$1000) * ($B115 = df_transit!$D$2:$D$1000), 0), 0)</f>
        <v>#N/A</v>
      </c>
      <c r="H115" s="562" t="e">
        <f t="array" ref="H115">INDEX(df_transit!$E$2:$E$1000, MATCH(1, (TEXT($A$2,"###0") = df_transit!$B$2:$B$1000) * (H$114 = df_transit!$C$2:$C$1000) * ($B115 = df_transit!$D$2:$D$1000), 0), 0)</f>
        <v>#N/A</v>
      </c>
      <c r="J115" s="206" t="s">
        <v>193</v>
      </c>
      <c r="K115" s="72"/>
      <c r="L115" s="206" t="e">
        <f t="array" ref="L115">INDEX(df_transit!$E$2:$E$1000, MATCH(1, (TEXT($C$2,"###0") = df_transit!$B$2:$B$1000) * (D$114 = df_transit!$C$2:$C$1000) * ($J115 = df_transit!$D$2:$D$1000), 0), 0)</f>
        <v>#N/A</v>
      </c>
      <c r="M115" s="563" t="e">
        <f t="array" ref="M115">INDEX(df_transit!$E$2:$E$1000, MATCH(1, (TEXT($C$2,"###0") = df_transit!$B$2:$B$1000) * (E$114 = df_transit!$C$2:$C$1000) * ($J115 = df_transit!$D$2:$D$1000), 0), 0)</f>
        <v>#N/A</v>
      </c>
      <c r="N115" s="563" t="e">
        <f t="array" ref="N115">INDEX(df_transit!$E$2:$E$1000, MATCH(1, (TEXT($C$2,"###0") = df_transit!$B$2:$B$1000) * (F$114 = df_transit!$C$2:$C$1000) * ($J115 = df_transit!$D$2:$D$1000), 0), 0)</f>
        <v>#N/A</v>
      </c>
      <c r="O115" s="563" t="e">
        <f t="array" ref="O115">INDEX(df_transit!$E$2:$E$1000, MATCH(1, (TEXT($C$2,"###0") = df_transit!$B$2:$B$1000) * (G$114 = df_transit!$C$2:$C$1000) * ($J115 = df_transit!$D$2:$D$1000), 0), 0)</f>
        <v>#N/A</v>
      </c>
      <c r="P115" s="562" t="e">
        <f t="array" ref="P115">INDEX(df_transit!$E$2:$E$1000, MATCH(1, (TEXT($C$2,"###0") = df_transit!$B$2:$B$1000) * (H$114 = df_transit!$C$2:$C$1000) * ($J115 = df_transit!$D$2:$D$1000), 0), 0)</f>
        <v>#N/A</v>
      </c>
      <c r="Q115" s="613"/>
    </row>
    <row r="116" spans="1:17" ht="20.100000000000001" customHeight="1" x14ac:dyDescent="0.2">
      <c r="B116" s="570" t="s">
        <v>1094</v>
      </c>
      <c r="C116" s="493"/>
      <c r="D116" s="570" t="e">
        <f t="array" ref="D116">INDEX(df_transit!$E$2:$E$1000, MATCH(1, (TEXT($A$2,"###0") = df_transit!$B$2:$B$1000) * (D$114 = df_transit!$C$2:$C$1000) * ($B116 = df_transit!$D$2:$D$1000), 0), 0)</f>
        <v>#N/A</v>
      </c>
      <c r="E116" s="567" t="e">
        <f t="array" ref="E116">INDEX(df_transit!$E$2:$E$1000, MATCH(1, (TEXT($A$2,"###0") = df_transit!$B$2:$B$1000) * (E$114 = df_transit!$C$2:$C$1000) * ($B116 = df_transit!$D$2:$D$1000), 0), 0)</f>
        <v>#N/A</v>
      </c>
      <c r="F116" s="567" t="e">
        <f t="array" ref="F116">INDEX(df_transit!$E$2:$E$1000, MATCH(1, (TEXT($A$2,"###0") = df_transit!$B$2:$B$1000) * (F$114 = df_transit!$C$2:$C$1000) * ($B116 = df_transit!$D$2:$D$1000), 0), 0)</f>
        <v>#N/A</v>
      </c>
      <c r="G116" s="567" t="e">
        <f t="array" ref="G116">INDEX(df_transit!$E$2:$E$1000, MATCH(1, (TEXT($A$2,"###0") = df_transit!$B$2:$B$1000) * (G$114 = df_transit!$C$2:$C$1000) * ($B116 = df_transit!$D$2:$D$1000), 0), 0)</f>
        <v>#N/A</v>
      </c>
      <c r="H116" s="561" t="e">
        <f t="array" ref="H116">INDEX(df_transit!$E$2:$E$1000, MATCH(1, (TEXT($A$2,"###0") = df_transit!$B$2:$B$1000) * (H$114 = df_transit!$C$2:$C$1000) * ($B116 = df_transit!$D$2:$D$1000), 0), 0)</f>
        <v>#N/A</v>
      </c>
      <c r="J116" s="570" t="s">
        <v>1094</v>
      </c>
      <c r="K116" s="493"/>
      <c r="L116" s="570" t="e">
        <f t="array" ref="L116">INDEX(df_transit!$E$2:$E$1000, MATCH(1, (TEXT($C$2,"###0") = df_transit!$B$2:$B$1000) * (D$114 = df_transit!$C$2:$C$1000) * ($J116 = df_transit!$D$2:$D$1000), 0), 0)</f>
        <v>#N/A</v>
      </c>
      <c r="M116" s="567" t="e">
        <f t="array" ref="M116">INDEX(df_transit!$E$2:$E$1000, MATCH(1, (TEXT($C$2,"###0") = df_transit!$B$2:$B$1000) * (E$114 = df_transit!$C$2:$C$1000) * ($J116 = df_transit!$D$2:$D$1000), 0), 0)</f>
        <v>#N/A</v>
      </c>
      <c r="N116" s="567" t="e">
        <f t="array" ref="N116">INDEX(df_transit!$E$2:$E$1000, MATCH(1, (TEXT($C$2,"###0") = df_transit!$B$2:$B$1000) * (F$114 = df_transit!$C$2:$C$1000) * ($J116 = df_transit!$D$2:$D$1000), 0), 0)</f>
        <v>#N/A</v>
      </c>
      <c r="O116" s="567" t="e">
        <f t="array" ref="O116">INDEX(df_transit!$E$2:$E$1000, MATCH(1, (TEXT($C$2,"###0") = df_transit!$B$2:$B$1000) * (G$114 = df_transit!$C$2:$C$1000) * ($J116 = df_transit!$D$2:$D$1000), 0), 0)</f>
        <v>#N/A</v>
      </c>
      <c r="P116" s="561" t="e">
        <f t="array" ref="P116">INDEX(df_transit!$E$2:$E$1000, MATCH(1, (TEXT($C$2,"###0") = df_transit!$B$2:$B$1000) * (H$114 = df_transit!$C$2:$C$1000) * ($J116 = df_transit!$D$2:$D$1000), 0), 0)</f>
        <v>#N/A</v>
      </c>
      <c r="Q116" s="613"/>
    </row>
    <row r="117" spans="1:17" ht="20.100000000000001" customHeight="1" x14ac:dyDescent="0.2">
      <c r="B117" s="84" t="s">
        <v>1095</v>
      </c>
      <c r="C117" s="173"/>
      <c r="D117" s="84" t="e">
        <f t="array" ref="D117">INDEX(df_transit!$E$2:$E$1000, MATCH(1, (TEXT($A$2,"###0") = df_transit!$B$2:$B$1000) * (D$114 = df_transit!$C$2:$C$1000) * ($B117 = df_transit!$D$2:$D$1000), 0), 0)</f>
        <v>#N/A</v>
      </c>
      <c r="E117" s="1" t="e">
        <f t="array" ref="E117">INDEX(df_transit!$E$2:$E$1000, MATCH(1, (TEXT($A$2,"###0") = df_transit!$B$2:$B$1000) * (E$114 = df_transit!$C$2:$C$1000) * ($B117 = df_transit!$D$2:$D$1000), 0), 0)</f>
        <v>#N/A</v>
      </c>
      <c r="F117" s="1" t="e">
        <f t="array" ref="F117">INDEX(df_transit!$E$2:$E$1000, MATCH(1, (TEXT($A$2,"###0") = df_transit!$B$2:$B$1000) * (F$114 = df_transit!$C$2:$C$1000) * ($B117 = df_transit!$D$2:$D$1000), 0), 0)</f>
        <v>#N/A</v>
      </c>
      <c r="G117" s="1" t="e">
        <f t="array" ref="G117">INDEX(df_transit!$E$2:$E$1000, MATCH(1, (TEXT($A$2,"###0") = df_transit!$B$2:$B$1000) * (G$114 = df_transit!$C$2:$C$1000) * ($B117 = df_transit!$D$2:$D$1000), 0), 0)</f>
        <v>#N/A</v>
      </c>
      <c r="H117" s="359" t="e">
        <f t="array" ref="H117">INDEX(df_transit!$E$2:$E$1000, MATCH(1, (TEXT($A$2,"###0") = df_transit!$B$2:$B$1000) * (H$114 = df_transit!$C$2:$C$1000) * ($B117 = df_transit!$D$2:$D$1000), 0), 0)</f>
        <v>#N/A</v>
      </c>
      <c r="J117" s="84" t="s">
        <v>1095</v>
      </c>
      <c r="K117" s="173"/>
      <c r="L117" s="84" t="e">
        <f t="array" ref="L117">INDEX(df_transit!$E$2:$E$1000, MATCH(1, (TEXT($C$2,"###0") = df_transit!$B$2:$B$1000) * (D$114 = df_transit!$C$2:$C$1000) * ($J117 = df_transit!$D$2:$D$1000), 0), 0)</f>
        <v>#N/A</v>
      </c>
      <c r="M117" s="1" t="e">
        <f t="array" ref="M117">INDEX(df_transit!$E$2:$E$1000, MATCH(1, (TEXT($C$2,"###0") = df_transit!$B$2:$B$1000) * (E$114 = df_transit!$C$2:$C$1000) * ($J117 = df_transit!$D$2:$D$1000), 0), 0)</f>
        <v>#N/A</v>
      </c>
      <c r="N117" s="1" t="e">
        <f t="array" ref="N117">INDEX(df_transit!$E$2:$E$1000, MATCH(1, (TEXT($C$2,"###0") = df_transit!$B$2:$B$1000) * (F$114 = df_transit!$C$2:$C$1000) * ($J117 = df_transit!$D$2:$D$1000), 0), 0)</f>
        <v>#N/A</v>
      </c>
      <c r="O117" s="1" t="e">
        <f t="array" ref="O117">INDEX(df_transit!$E$2:$E$1000, MATCH(1, (TEXT($C$2,"###0") = df_transit!$B$2:$B$1000) * (G$114 = df_transit!$C$2:$C$1000) * ($J117 = df_transit!$D$2:$D$1000), 0), 0)</f>
        <v>#N/A</v>
      </c>
      <c r="P117" s="359" t="e">
        <f t="array" ref="P117">INDEX(df_transit!$E$2:$E$1000, MATCH(1, (TEXT($C$2,"###0") = df_transit!$B$2:$B$1000) * (H$114 = df_transit!$C$2:$C$1000) * ($J117 = df_transit!$D$2:$D$1000), 0), 0)</f>
        <v>#N/A</v>
      </c>
      <c r="Q117" s="613"/>
    </row>
    <row r="118" spans="1:17" ht="20.100000000000001" customHeight="1" x14ac:dyDescent="0.2">
      <c r="B118" s="84" t="s">
        <v>746</v>
      </c>
      <c r="C118" s="173"/>
      <c r="D118" s="84" t="e">
        <f t="array" ref="D118">INDEX(df_transit!$E$2:$E$1000, MATCH(1, (TEXT($A$2,"###0") = df_transit!$B$2:$B$1000) * (D$114 = df_transit!$C$2:$C$1000) * ($B118 = df_transit!$D$2:$D$1000), 0), 0)</f>
        <v>#N/A</v>
      </c>
      <c r="E118" s="1" t="e">
        <f t="array" ref="E118">INDEX(df_transit!$E$2:$E$1000, MATCH(1, (TEXT($A$2,"###0") = df_transit!$B$2:$B$1000) * (E$114 = df_transit!$C$2:$C$1000) * ($B118 = df_transit!$D$2:$D$1000), 0), 0)</f>
        <v>#N/A</v>
      </c>
      <c r="F118" s="1" t="e">
        <f t="array" ref="F118">INDEX(df_transit!$E$2:$E$1000, MATCH(1, (TEXT($A$2,"###0") = df_transit!$B$2:$B$1000) * (F$114 = df_transit!$C$2:$C$1000) * ($B118 = df_transit!$D$2:$D$1000), 0), 0)</f>
        <v>#N/A</v>
      </c>
      <c r="G118" s="1" t="e">
        <f t="array" ref="G118">INDEX(df_transit!$E$2:$E$1000, MATCH(1, (TEXT($A$2,"###0") = df_transit!$B$2:$B$1000) * (G$114 = df_transit!$C$2:$C$1000) * ($B118 = df_transit!$D$2:$D$1000), 0), 0)</f>
        <v>#N/A</v>
      </c>
      <c r="H118" s="359" t="e">
        <f t="array" ref="H118">INDEX(df_transit!$E$2:$E$1000, MATCH(1, (TEXT($A$2,"###0") = df_transit!$B$2:$B$1000) * (H$114 = df_transit!$C$2:$C$1000) * ($B118 = df_transit!$D$2:$D$1000), 0), 0)</f>
        <v>#N/A</v>
      </c>
      <c r="J118" s="84" t="s">
        <v>746</v>
      </c>
      <c r="K118" s="173"/>
      <c r="L118" s="84" t="e">
        <f t="array" ref="L118">INDEX(df_transit!$E$2:$E$1000, MATCH(1, (TEXT($C$2,"###0") = df_transit!$B$2:$B$1000) * (D$114 = df_transit!$C$2:$C$1000) * ($J118 = df_transit!$D$2:$D$1000), 0), 0)</f>
        <v>#N/A</v>
      </c>
      <c r="M118" s="1" t="e">
        <f t="array" ref="M118">INDEX(df_transit!$E$2:$E$1000, MATCH(1, (TEXT($C$2,"###0") = df_transit!$B$2:$B$1000) * (E$114 = df_transit!$C$2:$C$1000) * ($J118 = df_transit!$D$2:$D$1000), 0), 0)</f>
        <v>#N/A</v>
      </c>
      <c r="N118" s="1" t="e">
        <f t="array" ref="N118">INDEX(df_transit!$E$2:$E$1000, MATCH(1, (TEXT($C$2,"###0") = df_transit!$B$2:$B$1000) * (F$114 = df_transit!$C$2:$C$1000) * ($J118 = df_transit!$D$2:$D$1000), 0), 0)</f>
        <v>#N/A</v>
      </c>
      <c r="O118" s="1" t="e">
        <f t="array" ref="O118">INDEX(df_transit!$E$2:$E$1000, MATCH(1, (TEXT($C$2,"###0") = df_transit!$B$2:$B$1000) * (G$114 = df_transit!$C$2:$C$1000) * ($J118 = df_transit!$D$2:$D$1000), 0), 0)</f>
        <v>#N/A</v>
      </c>
      <c r="P118" s="359" t="e">
        <f t="array" ref="P118">INDEX(df_transit!$E$2:$E$1000, MATCH(1, (TEXT($C$2,"###0") = df_transit!$B$2:$B$1000) * (H$114 = df_transit!$C$2:$C$1000) * ($J118 = df_transit!$D$2:$D$1000), 0), 0)</f>
        <v>#N/A</v>
      </c>
      <c r="Q118" s="613"/>
    </row>
    <row r="119" spans="1:17" ht="20.100000000000001" customHeight="1" x14ac:dyDescent="0.2">
      <c r="B119" s="84" t="s">
        <v>96</v>
      </c>
      <c r="C119" s="173"/>
      <c r="D119" s="84" t="e">
        <f t="array" ref="D119">INDEX(df_transit!$E$2:$E$1000, MATCH(1, (TEXT($A$2,"###0") = df_transit!$B$2:$B$1000) * (D$114 = df_transit!$C$2:$C$1000) * ($B119 = df_transit!$D$2:$D$1000), 0), 0)</f>
        <v>#N/A</v>
      </c>
      <c r="E119" s="1" t="e">
        <f t="array" ref="E119">INDEX(df_transit!$E$2:$E$1000, MATCH(1, (TEXT($A$2,"###0") = df_transit!$B$2:$B$1000) * (E$114 = df_transit!$C$2:$C$1000) * ($B119 = df_transit!$D$2:$D$1000), 0), 0)</f>
        <v>#N/A</v>
      </c>
      <c r="F119" s="1" t="e">
        <f t="array" ref="F119">INDEX(df_transit!$E$2:$E$1000, MATCH(1, (TEXT($A$2,"###0") = df_transit!$B$2:$B$1000) * (F$114 = df_transit!$C$2:$C$1000) * ($B119 = df_transit!$D$2:$D$1000), 0), 0)</f>
        <v>#N/A</v>
      </c>
      <c r="G119" s="1" t="e">
        <f t="array" ref="G119">INDEX(df_transit!$E$2:$E$1000, MATCH(1, (TEXT($A$2,"###0") = df_transit!$B$2:$B$1000) * (G$114 = df_transit!$C$2:$C$1000) * ($B119 = df_transit!$D$2:$D$1000), 0), 0)</f>
        <v>#N/A</v>
      </c>
      <c r="H119" s="359" t="e">
        <f t="array" ref="H119">INDEX(df_transit!$E$2:$E$1000, MATCH(1, (TEXT($A$2,"###0") = df_transit!$B$2:$B$1000) * (H$114 = df_transit!$C$2:$C$1000) * ($B119 = df_transit!$D$2:$D$1000), 0), 0)</f>
        <v>#N/A</v>
      </c>
      <c r="J119" s="84" t="s">
        <v>96</v>
      </c>
      <c r="K119" s="173"/>
      <c r="L119" s="84" t="e">
        <f t="array" ref="L119">INDEX(df_transit!$E$2:$E$1000, MATCH(1, (TEXT($C$2,"###0") = df_transit!$B$2:$B$1000) * (D$114 = df_transit!$C$2:$C$1000) * ($J119 = df_transit!$D$2:$D$1000), 0), 0)</f>
        <v>#N/A</v>
      </c>
      <c r="M119" s="1" t="e">
        <f t="array" ref="M119">INDEX(df_transit!$E$2:$E$1000, MATCH(1, (TEXT($C$2,"###0") = df_transit!$B$2:$B$1000) * (E$114 = df_transit!$C$2:$C$1000) * ($J119 = df_transit!$D$2:$D$1000), 0), 0)</f>
        <v>#N/A</v>
      </c>
      <c r="N119" s="1" t="e">
        <f t="array" ref="N119">INDEX(df_transit!$E$2:$E$1000, MATCH(1, (TEXT($C$2,"###0") = df_transit!$B$2:$B$1000) * (F$114 = df_transit!$C$2:$C$1000) * ($J119 = df_transit!$D$2:$D$1000), 0), 0)</f>
        <v>#N/A</v>
      </c>
      <c r="O119" s="1" t="e">
        <f t="array" ref="O119">INDEX(df_transit!$E$2:$E$1000, MATCH(1, (TEXT($C$2,"###0") = df_transit!$B$2:$B$1000) * (G$114 = df_transit!$C$2:$C$1000) * ($J119 = df_transit!$D$2:$D$1000), 0), 0)</f>
        <v>#N/A</v>
      </c>
      <c r="P119" s="359" t="e">
        <f t="array" ref="P119">INDEX(df_transit!$E$2:$E$1000, MATCH(1, (TEXT($C$2,"###0") = df_transit!$B$2:$B$1000) * (H$114 = df_transit!$C$2:$C$1000) * ($J119 = df_transit!$D$2:$D$1000), 0), 0)</f>
        <v>#N/A</v>
      </c>
      <c r="Q119" s="613"/>
    </row>
    <row r="120" spans="1:17" ht="20.100000000000001" customHeight="1" x14ac:dyDescent="0.2">
      <c r="B120" s="84" t="s">
        <v>351</v>
      </c>
      <c r="C120" s="173"/>
      <c r="D120" s="84" t="e">
        <f t="array" ref="D120">INDEX(df_transit!$E$2:$E$1000, MATCH(1, (TEXT($A$2,"###0") = df_transit!$B$2:$B$1000) * (D$114 = df_transit!$C$2:$C$1000) * ($B120 = df_transit!$D$2:$D$1000), 0), 0)</f>
        <v>#N/A</v>
      </c>
      <c r="E120" s="1" t="e">
        <f t="array" ref="E120">INDEX(df_transit!$E$2:$E$1000, MATCH(1, (TEXT($A$2,"###0") = df_transit!$B$2:$B$1000) * (E$114 = df_transit!$C$2:$C$1000) * ($B120 = df_transit!$D$2:$D$1000), 0), 0)</f>
        <v>#N/A</v>
      </c>
      <c r="F120" s="1" t="e">
        <f t="array" ref="F120">INDEX(df_transit!$E$2:$E$1000, MATCH(1, (TEXT($A$2,"###0") = df_transit!$B$2:$B$1000) * (F$114 = df_transit!$C$2:$C$1000) * ($B120 = df_transit!$D$2:$D$1000), 0), 0)</f>
        <v>#N/A</v>
      </c>
      <c r="G120" s="1" t="e">
        <f t="array" ref="G120">INDEX(df_transit!$E$2:$E$1000, MATCH(1, (TEXT($A$2,"###0") = df_transit!$B$2:$B$1000) * (G$114 = df_transit!$C$2:$C$1000) * ($B120 = df_transit!$D$2:$D$1000), 0), 0)</f>
        <v>#N/A</v>
      </c>
      <c r="H120" s="359" t="e">
        <f t="array" ref="H120">INDEX(df_transit!$E$2:$E$1000, MATCH(1, (TEXT($A$2,"###0") = df_transit!$B$2:$B$1000) * (H$114 = df_transit!$C$2:$C$1000) * ($B120 = df_transit!$D$2:$D$1000), 0), 0)</f>
        <v>#N/A</v>
      </c>
      <c r="J120" s="84" t="s">
        <v>351</v>
      </c>
      <c r="K120" s="173"/>
      <c r="L120" s="84" t="e">
        <f t="array" ref="L120">INDEX(df_transit!$E$2:$E$1000, MATCH(1, (TEXT($C$2,"###0") = df_transit!$B$2:$B$1000) * (D$114 = df_transit!$C$2:$C$1000) * ($J120 = df_transit!$D$2:$D$1000), 0), 0)</f>
        <v>#N/A</v>
      </c>
      <c r="M120" s="1" t="e">
        <f t="array" ref="M120">INDEX(df_transit!$E$2:$E$1000, MATCH(1, (TEXT($C$2,"###0") = df_transit!$B$2:$B$1000) * (E$114 = df_transit!$C$2:$C$1000) * ($J120 = df_transit!$D$2:$D$1000), 0), 0)</f>
        <v>#N/A</v>
      </c>
      <c r="N120" s="1" t="e">
        <f t="array" ref="N120">INDEX(df_transit!$E$2:$E$1000, MATCH(1, (TEXT($C$2,"###0") = df_transit!$B$2:$B$1000) * (F$114 = df_transit!$C$2:$C$1000) * ($J120 = df_transit!$D$2:$D$1000), 0), 0)</f>
        <v>#N/A</v>
      </c>
      <c r="O120" s="1" t="e">
        <f t="array" ref="O120">INDEX(df_transit!$E$2:$E$1000, MATCH(1, (TEXT($C$2,"###0") = df_transit!$B$2:$B$1000) * (G$114 = df_transit!$C$2:$C$1000) * ($J120 = df_transit!$D$2:$D$1000), 0), 0)</f>
        <v>#N/A</v>
      </c>
      <c r="P120" s="359" t="e">
        <f t="array" ref="P120">INDEX(df_transit!$E$2:$E$1000, MATCH(1, (TEXT($C$2,"###0") = df_transit!$B$2:$B$1000) * (H$114 = df_transit!$C$2:$C$1000) * ($J120 = df_transit!$D$2:$D$1000), 0), 0)</f>
        <v>#N/A</v>
      </c>
      <c r="Q120" s="613"/>
    </row>
    <row r="121" spans="1:17" ht="20.100000000000001" customHeight="1" x14ac:dyDescent="0.2">
      <c r="B121" s="84" t="s">
        <v>205</v>
      </c>
      <c r="C121" s="173"/>
      <c r="D121" s="84" t="e">
        <f t="array" ref="D121">INDEX(df_transit!$E$2:$E$1000, MATCH(1, (TEXT($A$2,"###0") = df_transit!$B$2:$B$1000) * (D$114 = df_transit!$C$2:$C$1000) * ($B121 = df_transit!$D$2:$D$1000), 0), 0)</f>
        <v>#N/A</v>
      </c>
      <c r="E121" s="1" t="e">
        <f t="array" ref="E121">INDEX(df_transit!$E$2:$E$1000, MATCH(1, (TEXT($A$2,"###0") = df_transit!$B$2:$B$1000) * (E$114 = df_transit!$C$2:$C$1000) * ($B121 = df_transit!$D$2:$D$1000), 0), 0)</f>
        <v>#N/A</v>
      </c>
      <c r="F121" s="1" t="e">
        <f t="array" ref="F121">INDEX(df_transit!$E$2:$E$1000, MATCH(1, (TEXT($A$2,"###0") = df_transit!$B$2:$B$1000) * (F$114 = df_transit!$C$2:$C$1000) * ($B121 = df_transit!$D$2:$D$1000), 0), 0)</f>
        <v>#N/A</v>
      </c>
      <c r="G121" s="1" t="e">
        <f t="array" ref="G121">INDEX(df_transit!$E$2:$E$1000, MATCH(1, (TEXT($A$2,"###0") = df_transit!$B$2:$B$1000) * (G$114 = df_transit!$C$2:$C$1000) * ($B121 = df_transit!$D$2:$D$1000), 0), 0)</f>
        <v>#N/A</v>
      </c>
      <c r="H121" s="359" t="e">
        <f t="array" ref="H121">INDEX(df_transit!$E$2:$E$1000, MATCH(1, (TEXT($A$2,"###0") = df_transit!$B$2:$B$1000) * (H$114 = df_transit!$C$2:$C$1000) * ($B121 = df_transit!$D$2:$D$1000), 0), 0)</f>
        <v>#N/A</v>
      </c>
      <c r="J121" s="84" t="s">
        <v>205</v>
      </c>
      <c r="K121" s="173"/>
      <c r="L121" s="84" t="e">
        <f t="array" ref="L121">INDEX(df_transit!$E$2:$E$1000, MATCH(1, (TEXT($C$2,"###0") = df_transit!$B$2:$B$1000) * (D$114 = df_transit!$C$2:$C$1000) * ($J121 = df_transit!$D$2:$D$1000), 0), 0)</f>
        <v>#N/A</v>
      </c>
      <c r="M121" s="1" t="e">
        <f t="array" ref="M121">INDEX(df_transit!$E$2:$E$1000, MATCH(1, (TEXT($C$2,"###0") = df_transit!$B$2:$B$1000) * (E$114 = df_transit!$C$2:$C$1000) * ($J121 = df_transit!$D$2:$D$1000), 0), 0)</f>
        <v>#N/A</v>
      </c>
      <c r="N121" s="1" t="e">
        <f t="array" ref="N121">INDEX(df_transit!$E$2:$E$1000, MATCH(1, (TEXT($C$2,"###0") = df_transit!$B$2:$B$1000) * (F$114 = df_transit!$C$2:$C$1000) * ($J121 = df_transit!$D$2:$D$1000), 0), 0)</f>
        <v>#N/A</v>
      </c>
      <c r="O121" s="1" t="e">
        <f t="array" ref="O121">INDEX(df_transit!$E$2:$E$1000, MATCH(1, (TEXT($C$2,"###0") = df_transit!$B$2:$B$1000) * (G$114 = df_transit!$C$2:$C$1000) * ($J121 = df_transit!$D$2:$D$1000), 0), 0)</f>
        <v>#N/A</v>
      </c>
      <c r="P121" s="359" t="e">
        <f t="array" ref="P121">INDEX(df_transit!$E$2:$E$1000, MATCH(1, (TEXT($C$2,"###0") = df_transit!$B$2:$B$1000) * (H$114 = df_transit!$C$2:$C$1000) * ($J121 = df_transit!$D$2:$D$1000), 0), 0)</f>
        <v>#N/A</v>
      </c>
      <c r="Q121" s="613"/>
    </row>
    <row r="122" spans="1:17" ht="20.100000000000001" customHeight="1" x14ac:dyDescent="0.2">
      <c r="B122" s="569" t="s">
        <v>242</v>
      </c>
      <c r="C122" s="494"/>
      <c r="D122" s="569" t="e">
        <f t="array" ref="D122">INDEX(df_transit!$E$2:$E$1000, MATCH(1, (TEXT($A$2,"###0") = df_transit!$B$2:$B$1000) * (D$114 = df_transit!$C$2:$C$1000) * ($B122 = df_transit!$D$2:$D$1000), 0), 0)</f>
        <v>#N/A</v>
      </c>
      <c r="E122" s="498" t="e">
        <f t="array" ref="E122">INDEX(df_transit!$E$2:$E$1000, MATCH(1, (TEXT($A$2,"###0") = df_transit!$B$2:$B$1000) * (E$114 = df_transit!$C$2:$C$1000) * ($B122 = df_transit!$D$2:$D$1000), 0), 0)</f>
        <v>#N/A</v>
      </c>
      <c r="F122" s="498" t="e">
        <f t="array" ref="F122">INDEX(df_transit!$E$2:$E$1000, MATCH(1, (TEXT($A$2,"###0") = df_transit!$B$2:$B$1000) * (F$114 = df_transit!$C$2:$C$1000) * ($B122 = df_transit!$D$2:$D$1000), 0), 0)</f>
        <v>#N/A</v>
      </c>
      <c r="G122" s="498" t="e">
        <f t="array" ref="G122">INDEX(df_transit!$E$2:$E$1000, MATCH(1, (TEXT($A$2,"###0") = df_transit!$B$2:$B$1000) * (G$114 = df_transit!$C$2:$C$1000) * ($B122 = df_transit!$D$2:$D$1000), 0), 0)</f>
        <v>#N/A</v>
      </c>
      <c r="H122" s="499" t="e">
        <f t="array" ref="H122">INDEX(df_transit!$E$2:$E$1000, MATCH(1, (TEXT($A$2,"###0") = df_transit!$B$2:$B$1000) * (H$114 = df_transit!$C$2:$C$1000) * ($B122 = df_transit!$D$2:$D$1000), 0), 0)</f>
        <v>#N/A</v>
      </c>
      <c r="J122" s="569" t="s">
        <v>242</v>
      </c>
      <c r="K122" s="494"/>
      <c r="L122" s="569" t="e">
        <f t="array" ref="L122">INDEX(df_transit!$E$2:$E$1000, MATCH(1, (TEXT($C$2,"###0") = df_transit!$B$2:$B$1000) * (D$114 = df_transit!$C$2:$C$1000) * ($J122 = df_transit!$D$2:$D$1000), 0), 0)</f>
        <v>#N/A</v>
      </c>
      <c r="M122" s="498" t="e">
        <f t="array" ref="M122">INDEX(df_transit!$E$2:$E$1000, MATCH(1, (TEXT($C$2,"###0") = df_transit!$B$2:$B$1000) * (E$114 = df_transit!$C$2:$C$1000) * ($J122 = df_transit!$D$2:$D$1000), 0), 0)</f>
        <v>#N/A</v>
      </c>
      <c r="N122" s="498" t="e">
        <f t="array" ref="N122">INDEX(df_transit!$E$2:$E$1000, MATCH(1, (TEXT($C$2,"###0") = df_transit!$B$2:$B$1000) * (F$114 = df_transit!$C$2:$C$1000) * ($J122 = df_transit!$D$2:$D$1000), 0), 0)</f>
        <v>#N/A</v>
      </c>
      <c r="O122" s="498" t="e">
        <f t="array" ref="O122">INDEX(df_transit!$E$2:$E$1000, MATCH(1, (TEXT($C$2,"###0") = df_transit!$B$2:$B$1000) * (G$114 = df_transit!$C$2:$C$1000) * ($J122 = df_transit!$D$2:$D$1000), 0), 0)</f>
        <v>#N/A</v>
      </c>
      <c r="P122" s="499" t="e">
        <f t="array" ref="P122">INDEX(df_transit!$E$2:$E$1000, MATCH(1, (TEXT($C$2,"###0") = df_transit!$B$2:$B$1000) * (H$114 = df_transit!$C$2:$C$1000) * ($J122 = df_transit!$D$2:$D$1000), 0), 0)</f>
        <v>#N/A</v>
      </c>
    </row>
    <row r="123" spans="1:17" ht="20.100000000000001" customHeight="1" x14ac:dyDescent="0.2"/>
    <row r="124" spans="1:17" ht="30" customHeight="1" x14ac:dyDescent="0.2">
      <c r="A124" s="560"/>
      <c r="B124" s="175" t="s">
        <v>1217</v>
      </c>
      <c r="C124" s="310"/>
      <c r="D124" s="310"/>
      <c r="E124" s="310"/>
      <c r="F124" s="310"/>
      <c r="G124" s="310"/>
      <c r="H124" s="310"/>
      <c r="I124" s="310"/>
      <c r="J124" s="310"/>
      <c r="K124" s="310"/>
      <c r="L124" s="310"/>
      <c r="M124" s="310"/>
      <c r="N124" s="310"/>
      <c r="O124" s="310"/>
      <c r="P124" s="310"/>
    </row>
    <row r="125" spans="1:17" ht="20.100000000000001" customHeight="1" x14ac:dyDescent="0.2"/>
    <row r="126" spans="1:17" ht="20.100000000000001" customHeight="1" x14ac:dyDescent="0.2">
      <c r="B126" s="1212" t="s">
        <v>1228</v>
      </c>
      <c r="C126" s="1212"/>
      <c r="D126" s="1212"/>
      <c r="E126" s="1212"/>
      <c r="F126" s="1212"/>
      <c r="G126" s="1212"/>
      <c r="I126" s="1258" t="s">
        <v>1218</v>
      </c>
      <c r="J126" s="1258"/>
      <c r="K126" s="1258"/>
      <c r="L126" s="1258"/>
      <c r="M126" s="1258"/>
    </row>
    <row r="127" spans="1:17" ht="20.100000000000001" customHeight="1" x14ac:dyDescent="0.2"/>
    <row r="128" spans="1:17" ht="20.100000000000001" customHeight="1" x14ac:dyDescent="0.2">
      <c r="B128" s="68" t="s">
        <v>1131</v>
      </c>
      <c r="C128" s="130" t="s">
        <v>1123</v>
      </c>
      <c r="D128" s="246" t="s">
        <v>1124</v>
      </c>
      <c r="E128" s="246" t="s">
        <v>1125</v>
      </c>
      <c r="F128" s="246" t="s">
        <v>1126</v>
      </c>
      <c r="G128" s="317" t="s">
        <v>1127</v>
      </c>
      <c r="J128" s="1234" t="s">
        <v>187</v>
      </c>
      <c r="K128" s="1235"/>
      <c r="L128" s="1257" t="s">
        <v>189</v>
      </c>
      <c r="M128" s="1235"/>
    </row>
    <row r="129" spans="2:13" ht="20.100000000000001" customHeight="1" x14ac:dyDescent="0.2">
      <c r="B129" s="703" t="s">
        <v>193</v>
      </c>
      <c r="C129" s="704" t="str">
        <f t="shared" ref="C129:G136" si="12">IFERROR(IF(D115=0,"x",D115/100),"x")</f>
        <v>x</v>
      </c>
      <c r="D129" s="705" t="str">
        <f t="shared" si="12"/>
        <v>x</v>
      </c>
      <c r="E129" s="705" t="str">
        <f t="shared" si="12"/>
        <v>x</v>
      </c>
      <c r="F129" s="705" t="str">
        <f t="shared" si="12"/>
        <v>x</v>
      </c>
      <c r="G129" s="706" t="str">
        <f t="shared" si="12"/>
        <v>x</v>
      </c>
      <c r="I129" s="68" t="s">
        <v>1131</v>
      </c>
      <c r="J129" s="691" t="s">
        <v>1124</v>
      </c>
      <c r="K129" s="692" t="s">
        <v>1125</v>
      </c>
      <c r="L129" s="691" t="s">
        <v>1124</v>
      </c>
      <c r="M129" s="692" t="s">
        <v>1125</v>
      </c>
    </row>
    <row r="130" spans="2:13" ht="20.100000000000001" customHeight="1" x14ac:dyDescent="0.2">
      <c r="B130" s="721" t="s">
        <v>1132</v>
      </c>
      <c r="C130" s="694" t="str">
        <f t="shared" si="12"/>
        <v>x</v>
      </c>
      <c r="D130" s="695" t="str">
        <f t="shared" si="12"/>
        <v>x</v>
      </c>
      <c r="E130" s="695" t="str">
        <f t="shared" si="12"/>
        <v>x</v>
      </c>
      <c r="F130" s="695" t="str">
        <f t="shared" si="12"/>
        <v>x</v>
      </c>
      <c r="G130" s="696" t="str">
        <f t="shared" si="12"/>
        <v>x</v>
      </c>
      <c r="I130" s="703" t="s">
        <v>193</v>
      </c>
      <c r="J130" s="724" t="str">
        <f t="shared" ref="J130:K137" si="13">IFERROR(IF(E115=0,"x",E115/100),"x")</f>
        <v>x</v>
      </c>
      <c r="K130" s="725" t="str">
        <f t="shared" si="13"/>
        <v>x</v>
      </c>
      <c r="L130" s="693" t="str">
        <f t="shared" ref="L130:M137" si="14">IFERROR(IF(M115=0,"x",M115/100),"x")</f>
        <v>x</v>
      </c>
      <c r="M130" s="725" t="str">
        <f t="shared" si="14"/>
        <v>x</v>
      </c>
    </row>
    <row r="131" spans="2:13" ht="20.100000000000001" customHeight="1" x14ac:dyDescent="0.2">
      <c r="B131" s="722" t="s">
        <v>1128</v>
      </c>
      <c r="C131" s="707" t="str">
        <f t="shared" si="12"/>
        <v>x</v>
      </c>
      <c r="D131" s="708" t="str">
        <f t="shared" si="12"/>
        <v>x</v>
      </c>
      <c r="E131" s="708" t="str">
        <f t="shared" si="12"/>
        <v>x</v>
      </c>
      <c r="F131" s="708" t="str">
        <f t="shared" si="12"/>
        <v>x</v>
      </c>
      <c r="G131" s="709" t="str">
        <f t="shared" si="12"/>
        <v>x</v>
      </c>
      <c r="I131" s="721" t="s">
        <v>1132</v>
      </c>
      <c r="J131" s="694" t="str">
        <f t="shared" si="13"/>
        <v>x</v>
      </c>
      <c r="K131" s="696" t="str">
        <f t="shared" si="13"/>
        <v>x</v>
      </c>
      <c r="L131" s="687" t="str">
        <f t="shared" si="14"/>
        <v>x</v>
      </c>
      <c r="M131" s="696" t="str">
        <f t="shared" si="14"/>
        <v>x</v>
      </c>
    </row>
    <row r="132" spans="2:13" ht="20.100000000000001" customHeight="1" x14ac:dyDescent="0.2">
      <c r="B132" s="723" t="s">
        <v>1129</v>
      </c>
      <c r="C132" s="697" t="str">
        <f t="shared" si="12"/>
        <v>x</v>
      </c>
      <c r="D132" s="698" t="str">
        <f t="shared" si="12"/>
        <v>x</v>
      </c>
      <c r="E132" s="698" t="str">
        <f t="shared" si="12"/>
        <v>x</v>
      </c>
      <c r="F132" s="698" t="str">
        <f t="shared" si="12"/>
        <v>x</v>
      </c>
      <c r="G132" s="699" t="str">
        <f t="shared" si="12"/>
        <v>x</v>
      </c>
      <c r="I132" s="722" t="s">
        <v>1128</v>
      </c>
      <c r="J132" s="707" t="str">
        <f t="shared" si="13"/>
        <v>x</v>
      </c>
      <c r="K132" s="709" t="str">
        <f t="shared" si="13"/>
        <v>x</v>
      </c>
      <c r="L132" s="688" t="str">
        <f t="shared" si="14"/>
        <v>x</v>
      </c>
      <c r="M132" s="709" t="str">
        <f t="shared" si="14"/>
        <v>x</v>
      </c>
    </row>
    <row r="133" spans="2:13" ht="20.100000000000001" customHeight="1" x14ac:dyDescent="0.2">
      <c r="B133" s="722" t="s">
        <v>75</v>
      </c>
      <c r="C133" s="707" t="str">
        <f t="shared" si="12"/>
        <v>x</v>
      </c>
      <c r="D133" s="708" t="str">
        <f t="shared" si="12"/>
        <v>x</v>
      </c>
      <c r="E133" s="708" t="str">
        <f t="shared" si="12"/>
        <v>x</v>
      </c>
      <c r="F133" s="708" t="str">
        <f t="shared" si="12"/>
        <v>x</v>
      </c>
      <c r="G133" s="709" t="str">
        <f t="shared" si="12"/>
        <v>x</v>
      </c>
      <c r="I133" s="723" t="s">
        <v>1129</v>
      </c>
      <c r="J133" s="697" t="str">
        <f t="shared" si="13"/>
        <v>x</v>
      </c>
      <c r="K133" s="699" t="str">
        <f t="shared" si="13"/>
        <v>x</v>
      </c>
      <c r="L133" s="689" t="str">
        <f t="shared" si="14"/>
        <v>x</v>
      </c>
      <c r="M133" s="699" t="str">
        <f t="shared" si="14"/>
        <v>x</v>
      </c>
    </row>
    <row r="134" spans="2:13" ht="20.100000000000001" customHeight="1" x14ac:dyDescent="0.2">
      <c r="B134" s="723" t="s">
        <v>200</v>
      </c>
      <c r="C134" s="697" t="str">
        <f t="shared" si="12"/>
        <v>x</v>
      </c>
      <c r="D134" s="698" t="str">
        <f t="shared" si="12"/>
        <v>x</v>
      </c>
      <c r="E134" s="698" t="str">
        <f t="shared" si="12"/>
        <v>x</v>
      </c>
      <c r="F134" s="698" t="str">
        <f t="shared" si="12"/>
        <v>x</v>
      </c>
      <c r="G134" s="699" t="str">
        <f t="shared" si="12"/>
        <v>x</v>
      </c>
      <c r="I134" s="722" t="s">
        <v>75</v>
      </c>
      <c r="J134" s="707" t="str">
        <f t="shared" si="13"/>
        <v>x</v>
      </c>
      <c r="K134" s="709" t="str">
        <f t="shared" si="13"/>
        <v>x</v>
      </c>
      <c r="L134" s="688" t="str">
        <f t="shared" si="14"/>
        <v>x</v>
      </c>
      <c r="M134" s="709" t="str">
        <f t="shared" si="14"/>
        <v>x</v>
      </c>
    </row>
    <row r="135" spans="2:13" ht="20.100000000000001" customHeight="1" x14ac:dyDescent="0.2">
      <c r="B135" s="722" t="s">
        <v>205</v>
      </c>
      <c r="C135" s="707" t="str">
        <f t="shared" si="12"/>
        <v>x</v>
      </c>
      <c r="D135" s="708" t="str">
        <f t="shared" si="12"/>
        <v>x</v>
      </c>
      <c r="E135" s="708" t="str">
        <f t="shared" si="12"/>
        <v>x</v>
      </c>
      <c r="F135" s="708" t="str">
        <f t="shared" si="12"/>
        <v>x</v>
      </c>
      <c r="G135" s="709" t="str">
        <f t="shared" si="12"/>
        <v>x</v>
      </c>
      <c r="I135" s="723" t="s">
        <v>200</v>
      </c>
      <c r="J135" s="697" t="str">
        <f t="shared" si="13"/>
        <v>x</v>
      </c>
      <c r="K135" s="699" t="str">
        <f t="shared" si="13"/>
        <v>x</v>
      </c>
      <c r="L135" s="689" t="str">
        <f t="shared" si="14"/>
        <v>x</v>
      </c>
      <c r="M135" s="699" t="str">
        <f t="shared" si="14"/>
        <v>x</v>
      </c>
    </row>
    <row r="136" spans="2:13" ht="20.100000000000001" customHeight="1" x14ac:dyDescent="0.2">
      <c r="B136" s="280" t="s">
        <v>1130</v>
      </c>
      <c r="C136" s="700" t="str">
        <f t="shared" si="12"/>
        <v>x</v>
      </c>
      <c r="D136" s="701" t="str">
        <f t="shared" si="12"/>
        <v>x</v>
      </c>
      <c r="E136" s="701" t="str">
        <f t="shared" si="12"/>
        <v>x</v>
      </c>
      <c r="F136" s="701" t="str">
        <f t="shared" si="12"/>
        <v>x</v>
      </c>
      <c r="G136" s="702" t="str">
        <f t="shared" si="12"/>
        <v>x</v>
      </c>
      <c r="I136" s="722" t="s">
        <v>205</v>
      </c>
      <c r="J136" s="707" t="str">
        <f t="shared" si="13"/>
        <v>x</v>
      </c>
      <c r="K136" s="709" t="str">
        <f t="shared" si="13"/>
        <v>x</v>
      </c>
      <c r="L136" s="688" t="str">
        <f t="shared" si="14"/>
        <v>x</v>
      </c>
      <c r="M136" s="709" t="str">
        <f t="shared" si="14"/>
        <v>x</v>
      </c>
    </row>
    <row r="137" spans="2:13" ht="20.100000000000001" customHeight="1" x14ac:dyDescent="0.2">
      <c r="I137" s="280" t="s">
        <v>1130</v>
      </c>
      <c r="J137" s="700" t="str">
        <f t="shared" si="13"/>
        <v>x</v>
      </c>
      <c r="K137" s="702" t="str">
        <f t="shared" si="13"/>
        <v>x</v>
      </c>
      <c r="L137" s="690" t="str">
        <f t="shared" si="14"/>
        <v>x</v>
      </c>
      <c r="M137" s="702" t="str">
        <f t="shared" si="14"/>
        <v>x</v>
      </c>
    </row>
    <row r="138" spans="2:13" ht="20.100000000000001" customHeight="1" x14ac:dyDescent="0.2"/>
    <row r="139" spans="2:13" ht="20.100000000000001" customHeight="1" x14ac:dyDescent="0.2"/>
    <row r="140" spans="2:13" ht="20.100000000000001" customHeight="1" x14ac:dyDescent="0.2"/>
    <row r="141" spans="2:13" ht="20.100000000000001" customHeight="1" x14ac:dyDescent="0.2"/>
    <row r="142" spans="2:13" ht="20.100000000000001" customHeight="1" x14ac:dyDescent="0.2"/>
    <row r="143" spans="2:13" ht="20.100000000000001" customHeight="1" x14ac:dyDescent="0.2"/>
    <row r="144" spans="2:13" ht="20.100000000000001" customHeight="1" x14ac:dyDescent="0.2"/>
    <row r="145" ht="20.100000000000001" customHeight="1" x14ac:dyDescent="0.2"/>
    <row r="146" ht="20.100000000000001" customHeight="1" x14ac:dyDescent="0.2"/>
    <row r="147" ht="20.100000000000001" customHeight="1" x14ac:dyDescent="0.2"/>
  </sheetData>
  <mergeCells count="16">
    <mergeCell ref="P35:Q35"/>
    <mergeCell ref="N33:S33"/>
    <mergeCell ref="B60:E60"/>
    <mergeCell ref="B97:H97"/>
    <mergeCell ref="J128:K128"/>
    <mergeCell ref="L128:M128"/>
    <mergeCell ref="B112:H112"/>
    <mergeCell ref="B126:G126"/>
    <mergeCell ref="J112:P112"/>
    <mergeCell ref="I126:M126"/>
    <mergeCell ref="B8:F8"/>
    <mergeCell ref="B79:E79"/>
    <mergeCell ref="G79:J79"/>
    <mergeCell ref="B33:F33"/>
    <mergeCell ref="H33:L33"/>
    <mergeCell ref="B21:E21"/>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AA280"/>
  <sheetViews>
    <sheetView zoomScale="85" zoomScaleNormal="85" workbookViewId="0">
      <pane ySplit="2" topLeftCell="A3" activePane="bottomLeft" state="frozen"/>
      <selection pane="bottomLeft" activeCell="A3" sqref="A3"/>
    </sheetView>
  </sheetViews>
  <sheetFormatPr defaultColWidth="11" defaultRowHeight="14.25" x14ac:dyDescent="0.2"/>
  <sheetData>
    <row r="1" spans="1:12" ht="20.100000000000001" customHeight="1" x14ac:dyDescent="0.2">
      <c r="A1" s="2" t="s">
        <v>181</v>
      </c>
      <c r="B1" s="2" t="s">
        <v>182</v>
      </c>
      <c r="C1" s="2" t="s">
        <v>183</v>
      </c>
    </row>
    <row r="2" spans="1:12" ht="20.100000000000001" customHeight="1" x14ac:dyDescent="0.2">
      <c r="A2" s="2">
        <f>df_geo!A2</f>
        <v>1000000</v>
      </c>
      <c r="B2" s="99">
        <f>_xlfn.NUMBERVALUE(LEFT(A2,4))</f>
        <v>1000</v>
      </c>
      <c r="C2" s="2">
        <f>_xlfn.NUMBERVALUE(LEFT(B2,2))</f>
        <v>10</v>
      </c>
    </row>
    <row r="4" spans="1:12" ht="50.1" customHeight="1" x14ac:dyDescent="0.2">
      <c r="B4" s="159" t="s">
        <v>1290</v>
      </c>
      <c r="C4" s="59"/>
      <c r="D4" s="59"/>
      <c r="E4" s="59"/>
      <c r="F4" s="59"/>
      <c r="G4" s="59"/>
      <c r="H4" s="59"/>
      <c r="I4" s="59"/>
      <c r="J4" s="59"/>
      <c r="K4" s="59"/>
      <c r="L4" s="59"/>
    </row>
    <row r="5" spans="1:12" ht="20.100000000000001" customHeight="1" x14ac:dyDescent="0.2">
      <c r="A5" s="1"/>
      <c r="B5" s="2"/>
      <c r="C5" s="1"/>
      <c r="D5" s="1"/>
      <c r="E5" s="1"/>
      <c r="F5" s="1"/>
      <c r="G5" s="1"/>
      <c r="H5" s="1"/>
      <c r="I5" s="1"/>
      <c r="J5" s="1"/>
      <c r="K5" s="1"/>
      <c r="L5" s="1"/>
    </row>
    <row r="6" spans="1:12" ht="30" customHeight="1" x14ac:dyDescent="0.2">
      <c r="A6" s="560"/>
      <c r="B6" s="175" t="s">
        <v>1216</v>
      </c>
      <c r="C6" s="310"/>
      <c r="D6" s="310"/>
      <c r="E6" s="310"/>
      <c r="F6" s="310"/>
      <c r="G6" s="310"/>
      <c r="H6" s="310"/>
      <c r="I6" s="310"/>
      <c r="J6" s="310"/>
      <c r="K6" s="310"/>
      <c r="L6" s="310"/>
    </row>
    <row r="8" spans="1:12" ht="20.100000000000001" customHeight="1" x14ac:dyDescent="0.2">
      <c r="B8" s="1240" t="s">
        <v>512</v>
      </c>
      <c r="C8" s="1240"/>
      <c r="D8" s="1240"/>
      <c r="E8" s="1240"/>
      <c r="F8" s="1240"/>
      <c r="H8" s="1240" t="s">
        <v>513</v>
      </c>
      <c r="I8" s="1240"/>
      <c r="J8" s="1240"/>
      <c r="K8" s="1240"/>
      <c r="L8" s="1240"/>
    </row>
    <row r="9" spans="1:12" ht="20.100000000000001" customHeight="1" x14ac:dyDescent="0.2"/>
    <row r="10" spans="1:12" ht="20.100000000000001" customHeight="1" x14ac:dyDescent="0.2">
      <c r="B10" s="206" t="s">
        <v>478</v>
      </c>
      <c r="C10" s="72"/>
      <c r="D10" s="128" t="s">
        <v>181</v>
      </c>
      <c r="E10" s="117" t="s">
        <v>182</v>
      </c>
      <c r="F10" s="302" t="s">
        <v>183</v>
      </c>
      <c r="H10" s="206" t="s">
        <v>478</v>
      </c>
      <c r="I10" s="72"/>
      <c r="J10" s="128" t="s">
        <v>181</v>
      </c>
      <c r="K10" s="117" t="s">
        <v>182</v>
      </c>
      <c r="L10" s="302" t="s">
        <v>183</v>
      </c>
    </row>
    <row r="11" spans="1:12" ht="20.100000000000001" customHeight="1" x14ac:dyDescent="0.2">
      <c r="B11" s="206" t="s">
        <v>6</v>
      </c>
      <c r="C11" s="744" t="e">
        <f t="array" ref="C11">IF(D11=0,E11,D11)</f>
        <v>#N/A</v>
      </c>
      <c r="D11" s="859" t="e">
        <f t="array" ref="D11">INDEX(df_inc_char!$H$2:$H$100, MATCH(1, (A$2 = df_inc_char!$C$2:$C$100) * (df_inc_char!$D$2:$D$100 = $B11) * ("Total" = df_inc_char!$E$2:$E$100), 0), 0)</f>
        <v>#N/A</v>
      </c>
      <c r="E11" s="860" t="e">
        <f t="array" ref="E11">INDEX(df_inc_char!$H$2:$H$100, MATCH(1, (B$2 = df_inc_char!$C$2:$C$100) * (df_inc_char!$D$2:$D$100 = $B11) * ("Total" = df_inc_char!$E$2:$E$100), 0), 0)</f>
        <v>#N/A</v>
      </c>
      <c r="F11" s="861" t="e">
        <f t="array" ref="F11">INDEX(df_inc_char!$H$2:$H$100, MATCH(1, (C$2 = df_inc_char!$C$2:$C$100) * (df_inc_char!$D$2:$D$100 = $B11) * ("Total" = df_inc_char!$E$2:$E$100), 0), 0)</f>
        <v>#N/A</v>
      </c>
      <c r="H11" s="206" t="s">
        <v>6</v>
      </c>
      <c r="I11" s="744"/>
      <c r="J11" s="859" t="e">
        <f t="array" ref="J11">INDEX(df_inc_char!$H$2:$H$100, MATCH(1, (A$2 = df_inc_char!$C$2:$C$100) * (df_inc_char!$D$2:$D$100 = "Total") * ($H11 = df_inc_char!$E$2:$E$100), 0), 0)</f>
        <v>#N/A</v>
      </c>
      <c r="K11" s="860" t="e">
        <f t="array" ref="K11">INDEX(df_inc_char!$H$2:$H$100, MATCH(1, (B$2 = df_inc_char!$C$2:$C$100) * (df_inc_char!$D$2:$D$100 = "Total") * ($H11 = df_inc_char!$E$2:$E$100), 0), 0)</f>
        <v>#N/A</v>
      </c>
      <c r="L11" s="861" t="e">
        <f t="array" ref="L11">INDEX(df_inc_char!$H$2:$H$100, MATCH(1, (C$2 = df_inc_char!$C$2:$C$100) * (df_inc_char!$D$2:$D$100 = "Total") * ($H11 = df_inc_char!$E$2:$E$100), 0), 0)</f>
        <v>#N/A</v>
      </c>
    </row>
    <row r="12" spans="1:12" ht="20.100000000000001" customHeight="1" x14ac:dyDescent="0.2">
      <c r="B12" s="570" t="s">
        <v>83</v>
      </c>
      <c r="C12" s="745" t="e">
        <f t="array" ref="C12">IF(D12=0,E12,D12)</f>
        <v>#N/A</v>
      </c>
      <c r="D12" s="862" t="e">
        <f t="array" ref="D12">INDEX(df_inc_char!$H$2:$H$100, MATCH(1, (A$2 = df_inc_char!$C$2:$C$100) * (df_inc_char!$D$2:$D$100 = $B12) * ("Total" = df_inc_char!$E$2:$E$100), 0), 0)</f>
        <v>#N/A</v>
      </c>
      <c r="E12" s="863" t="e">
        <f t="array" ref="E12">INDEX(df_inc_char!$H$2:$H$100, MATCH(1, (B$2 = df_inc_char!$C$2:$C$100) * (df_inc_char!$D$2:$D$100 = $B12) * ("Total" = df_inc_char!$E$2:$E$100), 0), 0)</f>
        <v>#N/A</v>
      </c>
      <c r="F12" s="864" t="e">
        <f t="array" ref="F12">INDEX(df_inc_char!$H$2:$H$100, MATCH(1, (C$2 = df_inc_char!$C$2:$C$100) * (df_inc_char!$D$2:$D$100 = $B12) * ("Total" = df_inc_char!$E$2:$E$100), 0), 0)</f>
        <v>#N/A</v>
      </c>
      <c r="H12" s="570" t="s">
        <v>302</v>
      </c>
      <c r="I12" s="745"/>
      <c r="J12" s="862" t="e">
        <f t="array" ref="J12">INDEX(df_inc_char!$H$2:$H$100, MATCH(1, (A$2 = df_inc_char!$C$2:$C$100) * (df_inc_char!$D$2:$D$100 = "Total") * ($H12 = df_inc_char!$E$2:$E$100), 0), 0)</f>
        <v>#N/A</v>
      </c>
      <c r="K12" s="863" t="e">
        <f t="array" ref="K12">INDEX(df_inc_char!$H$2:$H$100, MATCH(1, (B$2 = df_inc_char!$C$2:$C$100) * (df_inc_char!$D$2:$D$100 = "Total") * ($H12 = df_inc_char!$E$2:$E$100), 0), 0)</f>
        <v>#N/A</v>
      </c>
      <c r="L12" s="864" t="e">
        <f t="array" ref="L12">INDEX(df_inc_char!$H$2:$H$100, MATCH(1, (C$2 = df_inc_char!$C$2:$C$100) * (df_inc_char!$D$2:$D$100 = "Total") * ($H12 = df_inc_char!$E$2:$E$100), 0), 0)</f>
        <v>#N/A</v>
      </c>
    </row>
    <row r="13" spans="1:12" ht="20.100000000000001" customHeight="1" x14ac:dyDescent="0.2">
      <c r="B13" s="84" t="s">
        <v>308</v>
      </c>
      <c r="C13" s="746" t="e">
        <f t="array" ref="C13">IF(D13=0,E13,D13)</f>
        <v>#N/A</v>
      </c>
      <c r="D13" s="865" t="e">
        <f t="array" ref="D13">INDEX(df_inc_char!$H$2:$H$100, MATCH(1, (A$2 = df_inc_char!$C$2:$C$100) * (df_inc_char!$D$2:$D$100 = $B13) * ("Total" = df_inc_char!$E$2:$E$100), 0), 0)</f>
        <v>#N/A</v>
      </c>
      <c r="E13" s="793" t="e">
        <f t="array" ref="E13">INDEX(df_inc_char!$H$2:$H$100, MATCH(1, (B$2 = df_inc_char!$C$2:$C$100) * (df_inc_char!$D$2:$D$100 = $B13) * ("Total" = df_inc_char!$E$2:$E$100), 0), 0)</f>
        <v>#N/A</v>
      </c>
      <c r="F13" s="866" t="e">
        <f t="array" ref="F13">INDEX(df_inc_char!$H$2:$H$100, MATCH(1, (C$2 = df_inc_char!$C$2:$C$100) * (df_inc_char!$D$2:$D$100 = $B13) * ("Total" = df_inc_char!$E$2:$E$100), 0), 0)</f>
        <v>#N/A</v>
      </c>
      <c r="H13" s="84" t="s">
        <v>301</v>
      </c>
      <c r="I13" s="746"/>
      <c r="J13" s="865" t="e">
        <f t="array" ref="J13">INDEX(df_inc_char!$H$2:$H$100, MATCH(1, (A$2 = df_inc_char!$C$2:$C$100) * (df_inc_char!$D$2:$D$100 = "Total") * ($H13 = df_inc_char!$E$2:$E$100), 0), 0)</f>
        <v>#N/A</v>
      </c>
      <c r="K13" s="793" t="e">
        <f t="array" ref="K13">INDEX(df_inc_char!$H$2:$H$100, MATCH(1, (B$2 = df_inc_char!$C$2:$C$100) * (df_inc_char!$D$2:$D$100 = "Total") * ($H13 = df_inc_char!$E$2:$E$100), 0), 0)</f>
        <v>#N/A</v>
      </c>
      <c r="L13" s="866" t="e">
        <f t="array" ref="L13">INDEX(df_inc_char!$H$2:$H$100, MATCH(1, (C$2 = df_inc_char!$C$2:$C$100) * (df_inc_char!$D$2:$D$100 = "Total") * ($H13 = df_inc_char!$E$2:$E$100), 0), 0)</f>
        <v>#N/A</v>
      </c>
    </row>
    <row r="14" spans="1:12" ht="20.100000000000001" customHeight="1" x14ac:dyDescent="0.2">
      <c r="B14" s="84" t="s">
        <v>309</v>
      </c>
      <c r="C14" s="746" t="e">
        <f t="array" ref="C14">IF(D14=0,E14,D14)</f>
        <v>#N/A</v>
      </c>
      <c r="D14" s="865" t="e">
        <f t="array" ref="D14">INDEX(df_inc_char!$H$2:$H$100, MATCH(1, (A$2 = df_inc_char!$C$2:$C$100) * (df_inc_char!$D$2:$D$100 = $B14) * ("Total" = df_inc_char!$E$2:$E$100), 0), 0)</f>
        <v>#N/A</v>
      </c>
      <c r="E14" s="793" t="e">
        <f t="array" ref="E14">INDEX(df_inc_char!$H$2:$H$100, MATCH(1, (B$2 = df_inc_char!$C$2:$C$100) * (df_inc_char!$D$2:$D$100 = $B14) * ("Total" = df_inc_char!$E$2:$E$100), 0), 0)</f>
        <v>#N/A</v>
      </c>
      <c r="F14" s="866" t="e">
        <f t="array" ref="F14">INDEX(df_inc_char!$H$2:$H$100, MATCH(1, (C$2 = df_inc_char!$C$2:$C$100) * (df_inc_char!$D$2:$D$100 = $B14) * ("Total" = df_inc_char!$E$2:$E$100), 0), 0)</f>
        <v>#N/A</v>
      </c>
      <c r="H14" s="84" t="s">
        <v>92</v>
      </c>
      <c r="I14" s="746"/>
      <c r="J14" s="865" t="e">
        <f t="array" ref="J14">INDEX(df_inc_char!$H$2:$H$100, MATCH(1, (A$2 = df_inc_char!$C$2:$C$100) * (df_inc_char!$D$2:$D$100 = "Total") * ($H14 = df_inc_char!$E$2:$E$100), 0), 0)</f>
        <v>#N/A</v>
      </c>
      <c r="K14" s="793" t="e">
        <f t="array" ref="K14">INDEX(df_inc_char!$H$2:$H$100, MATCH(1, (B$2 = df_inc_char!$C$2:$C$100) * (df_inc_char!$D$2:$D$100 = "Total") * ($H14 = df_inc_char!$E$2:$E$100), 0), 0)</f>
        <v>#N/A</v>
      </c>
      <c r="L14" s="866" t="e">
        <f t="array" ref="L14">INDEX(df_inc_char!$H$2:$H$100, MATCH(1, (C$2 = df_inc_char!$C$2:$C$100) * (df_inc_char!$D$2:$D$100 = "Total") * ($H14 = df_inc_char!$E$2:$E$100), 0), 0)</f>
        <v>#N/A</v>
      </c>
    </row>
    <row r="15" spans="1:12" ht="20.100000000000001" customHeight="1" x14ac:dyDescent="0.2">
      <c r="B15" s="84" t="s">
        <v>310</v>
      </c>
      <c r="C15" s="746" t="e">
        <f t="array" ref="C15">IF(D15=0,E15,D15)</f>
        <v>#N/A</v>
      </c>
      <c r="D15" s="865" t="e">
        <f t="array" ref="D15">INDEX(df_inc_char!$H$2:$H$100, MATCH(1, (A$2 = df_inc_char!$C$2:$C$100) * (df_inc_char!$D$2:$D$100 = $B15) * ("Total" = df_inc_char!$E$2:$E$100), 0), 0)</f>
        <v>#N/A</v>
      </c>
      <c r="E15" s="793" t="e">
        <f t="array" ref="E15">INDEX(df_inc_char!$H$2:$H$100, MATCH(1, (B$2 = df_inc_char!$C$2:$C$100) * (df_inc_char!$D$2:$D$100 = $B15) * ("Total" = df_inc_char!$E$2:$E$100), 0), 0)</f>
        <v>#N/A</v>
      </c>
      <c r="F15" s="866" t="e">
        <f t="array" ref="F15">INDEX(df_inc_char!$H$2:$H$100, MATCH(1, (C$2 = df_inc_char!$C$2:$C$100) * (df_inc_char!$D$2:$D$100 = $B15) * ("Total" = df_inc_char!$E$2:$E$100), 0), 0)</f>
        <v>#N/A</v>
      </c>
      <c r="H15" s="569" t="s">
        <v>93</v>
      </c>
      <c r="I15" s="747"/>
      <c r="J15" s="867" t="e">
        <f t="array" ref="J15">INDEX(df_inc_char!$H$2:$H$100, MATCH(1, (A$2 = df_inc_char!$C$2:$C$100) * (df_inc_char!$D$2:$D$100 = "Total") * ($H15 = df_inc_char!$E$2:$E$100), 0), 0)</f>
        <v>#N/A</v>
      </c>
      <c r="K15" s="868" t="e">
        <f t="array" ref="K15">INDEX(df_inc_char!$H$2:$H$100, MATCH(1, (B$2 = df_inc_char!$C$2:$C$100) * (df_inc_char!$D$2:$D$100 = "Total") * ($H15 = df_inc_char!$E$2:$E$100), 0), 0)</f>
        <v>#N/A</v>
      </c>
      <c r="L15" s="869" t="e">
        <f t="array" ref="L15">INDEX(df_inc_char!$H$2:$H$100, MATCH(1, (C$2 = df_inc_char!$C$2:$C$100) * (df_inc_char!$D$2:$D$100 = "Total") * ($H15 = df_inc_char!$E$2:$E$100), 0), 0)</f>
        <v>#N/A</v>
      </c>
    </row>
    <row r="16" spans="1:12" ht="20.100000000000001" customHeight="1" x14ac:dyDescent="0.2">
      <c r="B16" s="569" t="s">
        <v>509</v>
      </c>
      <c r="C16" s="747" t="e">
        <f t="array" ref="C16">IF(D16=0,E16,D16)</f>
        <v>#N/A</v>
      </c>
      <c r="D16" s="867" t="e">
        <f t="array" ref="D16">INDEX(df_inc_char!$H$2:$H$100, MATCH(1, (A$2 = df_inc_char!$C$2:$C$100) * (df_inc_char!$D$2:$D$100 = $B16) * ("Total" = df_inc_char!$E$2:$E$100), 0), 0)</f>
        <v>#N/A</v>
      </c>
      <c r="E16" s="868" t="e">
        <f t="array" ref="E16">INDEX(df_inc_char!$H$2:$H$100, MATCH(1, (B$2 = df_inc_char!$C$2:$C$100) * (df_inc_char!$D$2:$D$100 = $B16) * ("Total" = df_inc_char!$E$2:$E$100), 0), 0)</f>
        <v>#N/A</v>
      </c>
      <c r="F16" s="869" t="e">
        <f t="array" ref="F16">INDEX(df_inc_char!$H$2:$H$100, MATCH(1, (C$2 = df_inc_char!$C$2:$C$100) * (df_inc_char!$D$2:$D$100 = $B16) * ("Total" = df_inc_char!$E$2:$E$100), 0), 0)</f>
        <v>#N/A</v>
      </c>
    </row>
    <row r="17" spans="2:12" ht="20.100000000000001" customHeight="1" x14ac:dyDescent="0.2">
      <c r="D17" s="186"/>
      <c r="E17" s="186"/>
      <c r="F17" s="186"/>
    </row>
    <row r="18" spans="2:12" ht="20.100000000000001" customHeight="1" x14ac:dyDescent="0.2">
      <c r="B18" s="1240" t="s">
        <v>514</v>
      </c>
      <c r="C18" s="1240"/>
      <c r="D18" s="1240"/>
      <c r="E18" s="1240"/>
      <c r="F18" s="1240"/>
      <c r="H18" s="1240" t="s">
        <v>515</v>
      </c>
      <c r="I18" s="1240"/>
      <c r="J18" s="1240"/>
      <c r="K18" s="1240"/>
      <c r="L18" s="1240"/>
    </row>
    <row r="19" spans="2:12" ht="20.100000000000001" customHeight="1" x14ac:dyDescent="0.2"/>
    <row r="20" spans="2:12" ht="20.100000000000001" customHeight="1" x14ac:dyDescent="0.2">
      <c r="B20" s="206" t="s">
        <v>478</v>
      </c>
      <c r="C20" s="748" t="s">
        <v>95</v>
      </c>
      <c r="D20" s="128" t="s">
        <v>181</v>
      </c>
      <c r="E20" s="117" t="s">
        <v>182</v>
      </c>
      <c r="F20" s="302" t="s">
        <v>183</v>
      </c>
      <c r="H20" s="206" t="s">
        <v>478</v>
      </c>
      <c r="I20" s="748" t="s">
        <v>96</v>
      </c>
      <c r="J20" s="128" t="s">
        <v>181</v>
      </c>
      <c r="K20" s="117" t="s">
        <v>182</v>
      </c>
      <c r="L20" s="302" t="s">
        <v>183</v>
      </c>
    </row>
    <row r="21" spans="2:12" ht="20.100000000000001" customHeight="1" x14ac:dyDescent="0.2">
      <c r="B21" s="206" t="s">
        <v>6</v>
      </c>
      <c r="C21" s="72"/>
      <c r="D21" s="749" t="e">
        <f t="array" ref="D21">INDEX(df_hh_ten!$D$2:$G$100, MATCH(1, (A$2 = df_hh_ten!$B$2:$B$100) * (df_hh_ten!$C$2:$C$100 = $B21), 0), MATCH($C$20,df_hh_ten!$D$1:$G$1, 0))</f>
        <v>#N/A</v>
      </c>
      <c r="E21" s="506" t="e">
        <f t="array" ref="E21">INDEX(df_hh_ten!$D$2:$G$100, MATCH(1, (B$2 = df_hh_ten!$B$2:$B$100) * (df_hh_ten!$C$2:$C$100 = $B21), 0), MATCH($C$20,df_hh_ten!$D$1:$G$1, 0))</f>
        <v>#N/A</v>
      </c>
      <c r="F21" s="750" t="e">
        <f t="array" ref="F21">INDEX(df_hh_ten!$D$2:$G$100, MATCH(1, (C$2 = df_hh_ten!$B$2:$B$100) * (df_hh_ten!$C$2:$C$100 = $B21), 0), MATCH($C$20,df_hh_ten!$D$1:$G$1, 0))</f>
        <v>#N/A</v>
      </c>
      <c r="H21" s="206" t="s">
        <v>6</v>
      </c>
      <c r="I21" s="72"/>
      <c r="J21" s="749" t="e">
        <f t="array" ref="J21">INDEX(df_hh_ten!$D$2:$G$100, MATCH(1, (A$2 = df_hh_ten!$B$2:$B$100) * (df_hh_ten!$C$2:$C$100 = $H21), 0), MATCH($I$20,df_hh_ten!$D$1:$G$1, 0))</f>
        <v>#N/A</v>
      </c>
      <c r="K21" s="506" t="e">
        <f t="array" ref="K21">INDEX(df_hh_ten!$D$2:$G$100, MATCH(1, (B$2 = df_hh_ten!$B$2:$B$100) * (df_hh_ten!$C$2:$C$100 = $H21), 0), MATCH($I$20,df_hh_ten!$D$1:$G$1, 0))</f>
        <v>#N/A</v>
      </c>
      <c r="L21" s="750" t="e">
        <f t="array" ref="L21">INDEX(df_hh_ten!$D$2:$G$100, MATCH(1, (C$2 = df_hh_ten!$B$2:$B$100) * (df_hh_ten!$C$2:$C$100 = $H21), 0), MATCH($I$20,df_hh_ten!$D$1:$G$1, 0))</f>
        <v>#N/A</v>
      </c>
    </row>
    <row r="22" spans="2:12" ht="20.100000000000001" customHeight="1" x14ac:dyDescent="0.2">
      <c r="B22" s="570" t="s">
        <v>83</v>
      </c>
      <c r="C22" s="493"/>
      <c r="D22" s="751" t="e">
        <f t="array" ref="D22">INDEX(df_hh_ten!$D$2:$G$100, MATCH(1, (A$2 = df_hh_ten!$B$2:$B$100) * (df_hh_ten!$C$2:$C$100 = $B22), 0), MATCH($C$20,df_hh_ten!$D$1:$G$1, 0))</f>
        <v>#N/A</v>
      </c>
      <c r="E22" s="752" t="e">
        <f t="array" ref="E22">INDEX(df_hh_ten!$D$2:$G$100, MATCH(1, (B$2 = df_hh_ten!$B$2:$B$100) * (df_hh_ten!$C$2:$C$100 = $B22), 0), MATCH($C$20,df_hh_ten!$D$1:$G$1, 0))</f>
        <v>#N/A</v>
      </c>
      <c r="F22" s="753" t="e">
        <f t="array" ref="F22">INDEX(df_hh_ten!$D$2:$G$100, MATCH(1, (C$2 = df_hh_ten!$B$2:$B$100) * (df_hh_ten!$C$2:$C$100 = $B22), 0), MATCH($C$20,df_hh_ten!$D$1:$G$1, 0))</f>
        <v>#N/A</v>
      </c>
      <c r="H22" s="570" t="s">
        <v>83</v>
      </c>
      <c r="I22" s="493"/>
      <c r="J22" s="751" t="e">
        <f t="array" ref="J22">INDEX(df_hh_ten!$D$2:$G$100, MATCH(1, (A$2 = df_hh_ten!$B$2:$B$100) * (df_hh_ten!$C$2:$C$100 = $H22), 0), MATCH($I$20,df_hh_ten!$D$1:$G$1, 0))</f>
        <v>#N/A</v>
      </c>
      <c r="K22" s="752" t="e">
        <f t="array" ref="K22">INDEX(df_hh_ten!$D$2:$G$100, MATCH(1, (B$2 = df_hh_ten!$B$2:$B$100) * (df_hh_ten!$C$2:$C$100 = $H22), 0), MATCH($I$20,df_hh_ten!$D$1:$G$1, 0))</f>
        <v>#N/A</v>
      </c>
      <c r="L22" s="753" t="e">
        <f t="array" ref="L22">INDEX(df_hh_ten!$D$2:$G$100, MATCH(1, (C$2 = df_hh_ten!$B$2:$B$100) * (df_hh_ten!$C$2:$C$100 = $H22), 0), MATCH($I$20,df_hh_ten!$D$1:$G$1, 0))</f>
        <v>#N/A</v>
      </c>
    </row>
    <row r="23" spans="2:12" ht="20.100000000000001" customHeight="1" x14ac:dyDescent="0.2">
      <c r="B23" s="84" t="s">
        <v>308</v>
      </c>
      <c r="C23" s="173"/>
      <c r="D23" s="754" t="e">
        <f t="array" ref="D23">INDEX(df_hh_ten!$D$2:$G$100, MATCH(1, (A$2 = df_hh_ten!$B$2:$B$100) * (df_hh_ten!$C$2:$C$100 = $B23), 0), MATCH($C$20,df_hh_ten!$D$1:$G$1, 0))</f>
        <v>#N/A</v>
      </c>
      <c r="E23" s="787" t="e">
        <f t="array" ref="E23">INDEX(df_hh_ten!$D$2:$G$100, MATCH(1, (B$2 = df_hh_ten!$B$2:$B$100) * (df_hh_ten!$C$2:$C$100 = $B23), 0), MATCH($C$20,df_hh_ten!$D$1:$G$1, 0))</f>
        <v>#N/A</v>
      </c>
      <c r="F23" s="755" t="e">
        <f t="array" ref="F23">INDEX(df_hh_ten!$D$2:$G$100, MATCH(1, (C$2 = df_hh_ten!$B$2:$B$100) * (df_hh_ten!$C$2:$C$100 = $B23), 0), MATCH($C$20,df_hh_ten!$D$1:$G$1, 0))</f>
        <v>#N/A</v>
      </c>
      <c r="H23" s="84" t="s">
        <v>308</v>
      </c>
      <c r="I23" s="173"/>
      <c r="J23" s="754" t="e">
        <f t="array" ref="J23">INDEX(df_hh_ten!$D$2:$G$100, MATCH(1, (A$2 = df_hh_ten!$B$2:$B$100) * (df_hh_ten!$C$2:$C$100 = $H23), 0), MATCH($I$20,df_hh_ten!$D$1:$G$1, 0))</f>
        <v>#N/A</v>
      </c>
      <c r="K23" s="787" t="e">
        <f t="array" ref="K23">INDEX(df_hh_ten!$D$2:$G$100, MATCH(1, (B$2 = df_hh_ten!$B$2:$B$100) * (df_hh_ten!$C$2:$C$100 = $H23), 0), MATCH($I$20,df_hh_ten!$D$1:$G$1, 0))</f>
        <v>#N/A</v>
      </c>
      <c r="L23" s="755" t="e">
        <f t="array" ref="L23">INDEX(df_hh_ten!$D$2:$G$100, MATCH(1, (C$2 = df_hh_ten!$B$2:$B$100) * (df_hh_ten!$C$2:$C$100 = $H23), 0), MATCH($I$20,df_hh_ten!$D$1:$G$1, 0))</f>
        <v>#N/A</v>
      </c>
    </row>
    <row r="24" spans="2:12" ht="20.100000000000001" customHeight="1" x14ac:dyDescent="0.2">
      <c r="B24" s="84" t="s">
        <v>309</v>
      </c>
      <c r="C24" s="173"/>
      <c r="D24" s="754" t="e">
        <f t="array" ref="D24">INDEX(df_hh_ten!$D$2:$G$100, MATCH(1, (A$2 = df_hh_ten!$B$2:$B$100) * (df_hh_ten!$C$2:$C$100 = $B24), 0), MATCH($C$20,df_hh_ten!$D$1:$G$1, 0))</f>
        <v>#N/A</v>
      </c>
      <c r="E24" s="787" t="e">
        <f t="array" ref="E24">INDEX(df_hh_ten!$D$2:$G$100, MATCH(1, (B$2 = df_hh_ten!$B$2:$B$100) * (df_hh_ten!$C$2:$C$100 = $B24), 0), MATCH($C$20,df_hh_ten!$D$1:$G$1, 0))</f>
        <v>#N/A</v>
      </c>
      <c r="F24" s="755" t="e">
        <f t="array" ref="F24">INDEX(df_hh_ten!$D$2:$G$100, MATCH(1, (C$2 = df_hh_ten!$B$2:$B$100) * (df_hh_ten!$C$2:$C$100 = $B24), 0), MATCH($C$20,df_hh_ten!$D$1:$G$1, 0))</f>
        <v>#N/A</v>
      </c>
      <c r="H24" s="84" t="s">
        <v>309</v>
      </c>
      <c r="I24" s="173"/>
      <c r="J24" s="754" t="e">
        <f t="array" ref="J24">INDEX(df_hh_ten!$D$2:$G$100, MATCH(1, (A$2 = df_hh_ten!$B$2:$B$100) * (df_hh_ten!$C$2:$C$100 = $H24), 0), MATCH($I$20,df_hh_ten!$D$1:$G$1, 0))</f>
        <v>#N/A</v>
      </c>
      <c r="K24" s="787" t="e">
        <f t="array" ref="K24">INDEX(df_hh_ten!$D$2:$G$100, MATCH(1, (B$2 = df_hh_ten!$B$2:$B$100) * (df_hh_ten!$C$2:$C$100 = $H24), 0), MATCH($I$20,df_hh_ten!$D$1:$G$1, 0))</f>
        <v>#N/A</v>
      </c>
      <c r="L24" s="755" t="e">
        <f t="array" ref="L24">INDEX(df_hh_ten!$D$2:$G$100, MATCH(1, (C$2 = df_hh_ten!$B$2:$B$100) * (df_hh_ten!$C$2:$C$100 = $H24), 0), MATCH($I$20,df_hh_ten!$D$1:$G$1, 0))</f>
        <v>#N/A</v>
      </c>
    </row>
    <row r="25" spans="2:12" ht="20.100000000000001" customHeight="1" x14ac:dyDescent="0.2">
      <c r="B25" s="84" t="s">
        <v>310</v>
      </c>
      <c r="C25" s="173"/>
      <c r="D25" s="754" t="e">
        <f t="array" ref="D25">INDEX(df_hh_ten!$D$2:$G$100, MATCH(1, (A$2 = df_hh_ten!$B$2:$B$100) * (df_hh_ten!$C$2:$C$100 = $B25), 0), MATCH($C$20,df_hh_ten!$D$1:$G$1, 0))</f>
        <v>#N/A</v>
      </c>
      <c r="E25" s="787" t="e">
        <f t="array" ref="E25">INDEX(df_hh_ten!$D$2:$G$100, MATCH(1, (B$2 = df_hh_ten!$B$2:$B$100) * (df_hh_ten!$C$2:$C$100 = $B25), 0), MATCH($C$20,df_hh_ten!$D$1:$G$1, 0))</f>
        <v>#N/A</v>
      </c>
      <c r="F25" s="755" t="e">
        <f t="array" ref="F25">INDEX(df_hh_ten!$D$2:$G$100, MATCH(1, (C$2 = df_hh_ten!$B$2:$B$100) * (df_hh_ten!$C$2:$C$100 = $B25), 0), MATCH($C$20,df_hh_ten!$D$1:$G$1, 0))</f>
        <v>#N/A</v>
      </c>
      <c r="H25" s="84" t="s">
        <v>310</v>
      </c>
      <c r="I25" s="173"/>
      <c r="J25" s="754" t="e">
        <f t="array" ref="J25">INDEX(df_hh_ten!$D$2:$G$100, MATCH(1, (A$2 = df_hh_ten!$B$2:$B$100) * (df_hh_ten!$C$2:$C$100 = $H25), 0), MATCH($I$20,df_hh_ten!$D$1:$G$1, 0))</f>
        <v>#N/A</v>
      </c>
      <c r="K25" s="787" t="e">
        <f t="array" ref="K25">INDEX(df_hh_ten!$D$2:$G$100, MATCH(1, (B$2 = df_hh_ten!$B$2:$B$100) * (df_hh_ten!$C$2:$C$100 = $H25), 0), MATCH($I$20,df_hh_ten!$D$1:$G$1, 0))</f>
        <v>#N/A</v>
      </c>
      <c r="L25" s="755" t="e">
        <f t="array" ref="L25">INDEX(df_hh_ten!$D$2:$G$100, MATCH(1, (C$2 = df_hh_ten!$B$2:$B$100) * (df_hh_ten!$C$2:$C$100 = $H25), 0), MATCH($I$20,df_hh_ten!$D$1:$G$1, 0))</f>
        <v>#N/A</v>
      </c>
    </row>
    <row r="26" spans="2:12" ht="20.100000000000001" customHeight="1" x14ac:dyDescent="0.2">
      <c r="B26" s="569" t="s">
        <v>87</v>
      </c>
      <c r="C26" s="494"/>
      <c r="D26" s="756" t="e">
        <f t="array" ref="D26">INDEX(df_hh_ten!$D$2:$G$100, MATCH(1, (A$2 = df_hh_ten!$B$2:$B$100) * (df_hh_ten!$C$2:$C$100 = $B26), 0), MATCH($C$20,df_hh_ten!$D$1:$G$1, 0))</f>
        <v>#N/A</v>
      </c>
      <c r="E26" s="757" t="e">
        <f t="array" ref="E26">INDEX(df_hh_ten!$D$2:$G$100, MATCH(1, (B$2 = df_hh_ten!$B$2:$B$100) * (df_hh_ten!$C$2:$C$100 = $B26), 0), MATCH($C$20,df_hh_ten!$D$1:$G$1, 0))</f>
        <v>#N/A</v>
      </c>
      <c r="F26" s="758" t="e">
        <f t="array" ref="F26">INDEX(df_hh_ten!$D$2:$G$100, MATCH(1, (C$2 = df_hh_ten!$B$2:$B$100) * (df_hh_ten!$C$2:$C$100 = $B26), 0), MATCH($C$20,df_hh_ten!$D$1:$G$1, 0))</f>
        <v>#N/A</v>
      </c>
      <c r="H26" s="569" t="s">
        <v>87</v>
      </c>
      <c r="I26" s="494"/>
      <c r="J26" s="756" t="e">
        <f t="array" ref="J26">INDEX(df_hh_ten!$D$2:$G$100, MATCH(1, (A$2 = df_hh_ten!$B$2:$B$100) * (df_hh_ten!$C$2:$C$100 = $H26), 0), MATCH($I$20,df_hh_ten!$D$1:$G$1, 0))</f>
        <v>#N/A</v>
      </c>
      <c r="K26" s="757" t="e">
        <f t="array" ref="K26">INDEX(df_hh_ten!$D$2:$G$100, MATCH(1, (B$2 = df_hh_ten!$B$2:$B$100) * (df_hh_ten!$C$2:$C$100 = $H26), 0), MATCH($I$20,df_hh_ten!$D$1:$G$1, 0))</f>
        <v>#N/A</v>
      </c>
      <c r="L26" s="758" t="e">
        <f t="array" ref="L26">INDEX(df_hh_ten!$D$2:$G$100, MATCH(1, (C$2 = df_hh_ten!$B$2:$B$100) * (df_hh_ten!$C$2:$C$100 = $H26), 0), MATCH($I$20,df_hh_ten!$D$1:$G$1, 0))</f>
        <v>#N/A</v>
      </c>
    </row>
    <row r="28" spans="2:12" ht="20.100000000000001" customHeight="1" x14ac:dyDescent="0.2">
      <c r="B28" s="1212" t="s">
        <v>1092</v>
      </c>
      <c r="C28" s="1212"/>
      <c r="D28" s="1212"/>
      <c r="E28" s="1212"/>
      <c r="F28" s="1212"/>
      <c r="H28" s="1212" t="s">
        <v>1091</v>
      </c>
      <c r="I28" s="1212"/>
      <c r="J28" s="1212"/>
      <c r="K28" s="1212"/>
      <c r="L28" s="1212"/>
    </row>
    <row r="29" spans="2:12" ht="20.100000000000001" customHeight="1" x14ac:dyDescent="0.2"/>
    <row r="30" spans="2:12" ht="20.100000000000001" customHeight="1" x14ac:dyDescent="0.2">
      <c r="B30" s="206" t="s">
        <v>478</v>
      </c>
      <c r="C30" s="72"/>
      <c r="D30" s="128" t="s">
        <v>181</v>
      </c>
      <c r="E30" s="117" t="s">
        <v>182</v>
      </c>
      <c r="F30" s="302" t="s">
        <v>183</v>
      </c>
      <c r="H30" s="206" t="s">
        <v>478</v>
      </c>
      <c r="I30" s="72"/>
      <c r="J30" s="128" t="s">
        <v>181</v>
      </c>
      <c r="K30" s="117" t="s">
        <v>182</v>
      </c>
      <c r="L30" s="302" t="s">
        <v>183</v>
      </c>
    </row>
    <row r="31" spans="2:12" ht="20.100000000000001" customHeight="1" x14ac:dyDescent="0.2">
      <c r="B31" s="206" t="s">
        <v>6</v>
      </c>
      <c r="C31" s="744"/>
      <c r="D31" s="859" t="str">
        <f>IFERROR(IF(D11 = 0, "x", D11),"x")</f>
        <v>x</v>
      </c>
      <c r="E31" s="860" t="e">
        <f t="shared" ref="E31:F31" si="0">E11</f>
        <v>#N/A</v>
      </c>
      <c r="F31" s="861" t="e">
        <f t="shared" si="0"/>
        <v>#N/A</v>
      </c>
      <c r="H31" s="206" t="s">
        <v>6</v>
      </c>
      <c r="I31" s="744"/>
      <c r="J31" s="859" t="str">
        <f t="array" ref="J31">IFERROR(IF(INDEX(df_census_misc!$C$2:$C$1000, MATCH(1, (A$2 = df_census_misc!$A$2:$A$1000) * (df_census_misc!$B$2:$B$1000 = 252), 0), 0) = 0, "x", INDEX(df_census_misc!$C$2:$C$1000, MATCH(1, (A$2 = df_census_misc!$A$2:$A$1000) * (df_census_misc!$B$2:$B$1000 = 252), 0), 0)), "x")</f>
        <v>x</v>
      </c>
      <c r="K31" s="860" t="e">
        <f t="array" ref="K31">INDEX(df_census_misc!$C$2:$C$1000, MATCH(1, (B$2 = df_census_misc!$A$2:$A$1000) * (df_census_misc!$B$2:$B$1000 = 252), 0), 0)</f>
        <v>#N/A</v>
      </c>
      <c r="L31" s="861" t="e">
        <f t="array" ref="L31">INDEX(df_census_misc!$C$2:$C$1000, MATCH(1, (C$2 = df_census_misc!$A$2:$A$1000) * (df_census_misc!$B$2:$B$1000 = 252), 0), 0)</f>
        <v>#N/A</v>
      </c>
    </row>
    <row r="32" spans="2:12" ht="20.100000000000001" customHeight="1" x14ac:dyDescent="0.2">
      <c r="B32" s="570" t="s">
        <v>95</v>
      </c>
      <c r="C32" s="745"/>
      <c r="D32" s="862" t="str">
        <f t="array" ref="D32">IFERROR(IF(MROUND(SUMPRODUCT(D22:D26,D12:D16)/SUM(D22:D26),100)=0, "x", MROUND(SUMPRODUCT(D22:D26,D12:D16)/SUM(D22:D26),100)),"x")</f>
        <v>x</v>
      </c>
      <c r="E32" s="863" t="e">
        <f>MROUND(SUMPRODUCT(E22:E26,E12:E16)/SUM(E22:E26),100)</f>
        <v>#N/A</v>
      </c>
      <c r="F32" s="864" t="e">
        <f>MROUND(SUMPRODUCT(F22:F26,F12:F16)/SUM(F22:F26),100)</f>
        <v>#N/A</v>
      </c>
      <c r="H32" s="570" t="s">
        <v>95</v>
      </c>
      <c r="I32" s="745"/>
      <c r="J32" s="862" t="str">
        <f t="array" ref="J32">IFERROR(MROUND(D32/D$31*J$31,100),"x")</f>
        <v>x</v>
      </c>
      <c r="K32" s="863" t="e">
        <f t="shared" ref="K32:L33" si="1">MROUND(E32/E$31*K$31,100)</f>
        <v>#N/A</v>
      </c>
      <c r="L32" s="864" t="e">
        <f t="shared" si="1"/>
        <v>#N/A</v>
      </c>
    </row>
    <row r="33" spans="1:12" ht="20.100000000000001" customHeight="1" x14ac:dyDescent="0.2">
      <c r="B33" s="569" t="s">
        <v>96</v>
      </c>
      <c r="C33" s="747"/>
      <c r="D33" s="867" t="str">
        <f>IFERROR(IF(MROUND(SUMPRODUCT(J22:J26,D12:D16)/SUM(J22:J26),100) = 0, "x", MROUND(SUMPRODUCT(J22:J26,D12:D16)/SUM(J22:J26),100)),"x")</f>
        <v>x</v>
      </c>
      <c r="E33" s="868" t="e">
        <f t="array" ref="E33">MROUND(SUMPRODUCT(K22:K26,E12:E16)/SUM(K22:K26),100)</f>
        <v>#N/A</v>
      </c>
      <c r="F33" s="869" t="e">
        <f t="array" ref="F33">MROUND(SUMPRODUCT(L22:L26,F12:F16)/SUM(L22:L26),100)</f>
        <v>#N/A</v>
      </c>
      <c r="H33" s="569" t="s">
        <v>96</v>
      </c>
      <c r="I33" s="747"/>
      <c r="J33" s="867" t="str">
        <f t="array" ref="J33">IFERROR(MROUND(D33/D$31*J$31,100),"x")</f>
        <v>x</v>
      </c>
      <c r="K33" s="868" t="e">
        <f t="shared" si="1"/>
        <v>#N/A</v>
      </c>
      <c r="L33" s="869" t="e">
        <f t="shared" si="1"/>
        <v>#N/A</v>
      </c>
    </row>
    <row r="34" spans="1:12" ht="20.100000000000001" customHeight="1" x14ac:dyDescent="0.2">
      <c r="B34" s="1"/>
      <c r="D34" s="793"/>
      <c r="E34" s="793"/>
      <c r="F34" s="793"/>
      <c r="H34" s="1"/>
      <c r="J34" s="793"/>
      <c r="K34" s="793"/>
      <c r="L34" s="793"/>
    </row>
    <row r="35" spans="1:12" ht="30" customHeight="1" x14ac:dyDescent="0.2">
      <c r="A35" s="560"/>
      <c r="B35" s="175" t="s">
        <v>1217</v>
      </c>
      <c r="C35" s="310"/>
      <c r="D35" s="310"/>
      <c r="E35" s="310"/>
      <c r="F35" s="310"/>
      <c r="G35" s="310"/>
      <c r="H35" s="310"/>
      <c r="I35" s="310"/>
      <c r="J35" s="310"/>
      <c r="K35" s="310"/>
      <c r="L35" s="310"/>
    </row>
    <row r="36" spans="1:12" ht="20.100000000000001" customHeight="1" x14ac:dyDescent="0.2">
      <c r="D36" s="787"/>
      <c r="E36" s="787"/>
      <c r="F36" s="787"/>
    </row>
    <row r="37" spans="1:12" ht="20.100000000000001" customHeight="1" x14ac:dyDescent="0.2">
      <c r="B37" s="1258" t="s">
        <v>1218</v>
      </c>
      <c r="C37" s="1258"/>
      <c r="D37" s="1258"/>
      <c r="E37" s="1258"/>
      <c r="F37" s="787"/>
    </row>
    <row r="38" spans="1:12" ht="20.100000000000001" customHeight="1" x14ac:dyDescent="0.2"/>
    <row r="39" spans="1:12" ht="20.100000000000001" customHeight="1" x14ac:dyDescent="0.2">
      <c r="B39" s="282" t="s">
        <v>315</v>
      </c>
      <c r="C39" s="130" t="s">
        <v>187</v>
      </c>
      <c r="D39" s="246" t="s">
        <v>188</v>
      </c>
      <c r="E39" s="317" t="s">
        <v>189</v>
      </c>
    </row>
    <row r="40" spans="1:12" ht="20.100000000000001" customHeight="1" x14ac:dyDescent="0.2">
      <c r="B40" s="826" t="s">
        <v>409</v>
      </c>
      <c r="C40" s="798" t="str">
        <f t="array" ref="C40:E40">IFERROR(IF(D11:F11 = 0, "x", D11:F11),"x")</f>
        <v>x</v>
      </c>
      <c r="D40" s="847" t="str">
        <v>x</v>
      </c>
      <c r="E40" s="848" t="str">
        <v>x</v>
      </c>
    </row>
    <row r="41" spans="1:12" ht="20.100000000000001" customHeight="1" x14ac:dyDescent="0.2">
      <c r="B41" s="825" t="s">
        <v>314</v>
      </c>
      <c r="C41" s="849"/>
      <c r="D41" s="849"/>
      <c r="E41" s="850"/>
    </row>
    <row r="42" spans="1:12" ht="20.100000000000001" customHeight="1" x14ac:dyDescent="0.2">
      <c r="B42" s="178" t="s">
        <v>516</v>
      </c>
      <c r="C42" s="794" t="str">
        <f t="array" ref="C42:E43">IFERROR(IF(D32:F33 = 0, "x", D32:F33),"x")</f>
        <v>x</v>
      </c>
      <c r="D42" s="795" t="str">
        <v>x</v>
      </c>
      <c r="E42" s="796" t="str">
        <v>x</v>
      </c>
    </row>
    <row r="43" spans="1:12" ht="20.100000000000001" customHeight="1" x14ac:dyDescent="0.2">
      <c r="B43" s="824" t="s">
        <v>517</v>
      </c>
      <c r="C43" s="841" t="str">
        <v>x</v>
      </c>
      <c r="D43" s="842" t="str">
        <v>x</v>
      </c>
      <c r="E43" s="843" t="str">
        <v>x</v>
      </c>
    </row>
    <row r="44" spans="1:12" ht="20.100000000000001" customHeight="1" x14ac:dyDescent="0.2">
      <c r="B44" s="825" t="s">
        <v>518</v>
      </c>
      <c r="C44" s="849"/>
      <c r="D44" s="849"/>
      <c r="E44" s="850"/>
    </row>
    <row r="45" spans="1:12" ht="20.100000000000001" customHeight="1" x14ac:dyDescent="0.2">
      <c r="B45" s="178" t="s">
        <v>524</v>
      </c>
      <c r="C45" s="794" t="str">
        <f t="array" ref="C45:E49">IFERROR(IF(D12:F16=0,"x",D12:F16),"x")</f>
        <v>x</v>
      </c>
      <c r="D45" s="795" t="str">
        <v>x</v>
      </c>
      <c r="E45" s="796" t="str">
        <v>x</v>
      </c>
    </row>
    <row r="46" spans="1:12" ht="20.100000000000001" customHeight="1" x14ac:dyDescent="0.2">
      <c r="B46" s="823" t="s">
        <v>520</v>
      </c>
      <c r="C46" s="838" t="str">
        <v>x</v>
      </c>
      <c r="D46" s="839" t="str">
        <v>x</v>
      </c>
      <c r="E46" s="840" t="str">
        <v>x</v>
      </c>
    </row>
    <row r="47" spans="1:12" ht="20.100000000000001" customHeight="1" x14ac:dyDescent="0.2">
      <c r="B47" s="219" t="s">
        <v>521</v>
      </c>
      <c r="C47" s="791" t="str">
        <v>x</v>
      </c>
      <c r="D47" s="797" t="str">
        <v>x</v>
      </c>
      <c r="E47" s="792" t="str">
        <v>x</v>
      </c>
    </row>
    <row r="48" spans="1:12" ht="20.100000000000001" customHeight="1" x14ac:dyDescent="0.2">
      <c r="B48" s="823" t="s">
        <v>522</v>
      </c>
      <c r="C48" s="838" t="str">
        <v>x</v>
      </c>
      <c r="D48" s="839" t="str">
        <v>x</v>
      </c>
      <c r="E48" s="840" t="str">
        <v>x</v>
      </c>
    </row>
    <row r="49" spans="1:11" ht="20.100000000000001" customHeight="1" x14ac:dyDescent="0.2">
      <c r="B49" s="790" t="s">
        <v>523</v>
      </c>
      <c r="C49" s="799" t="str">
        <v>x</v>
      </c>
      <c r="D49" s="851" t="str">
        <v>x</v>
      </c>
      <c r="E49" s="852" t="str">
        <v>x</v>
      </c>
    </row>
    <row r="50" spans="1:11" ht="20.100000000000001" customHeight="1" x14ac:dyDescent="0.2">
      <c r="B50" s="825" t="s">
        <v>519</v>
      </c>
      <c r="C50" s="849"/>
      <c r="D50" s="849"/>
      <c r="E50" s="850"/>
    </row>
    <row r="51" spans="1:11" ht="20.100000000000001" customHeight="1" x14ac:dyDescent="0.2">
      <c r="B51" s="178" t="s">
        <v>527</v>
      </c>
      <c r="C51" s="794" t="str">
        <f t="array" ref="C51:E54">IFERROR(IF(J12:L15=0,"x",J12:L15),"x")</f>
        <v>x</v>
      </c>
      <c r="D51" s="795" t="str">
        <v>x</v>
      </c>
      <c r="E51" s="796" t="str">
        <v>x</v>
      </c>
    </row>
    <row r="52" spans="1:11" ht="20.100000000000001" customHeight="1" x14ac:dyDescent="0.2">
      <c r="B52" s="823" t="s">
        <v>528</v>
      </c>
      <c r="C52" s="838" t="str">
        <v>x</v>
      </c>
      <c r="D52" s="839" t="str">
        <v>x</v>
      </c>
      <c r="E52" s="840" t="str">
        <v>x</v>
      </c>
    </row>
    <row r="53" spans="1:11" ht="20.100000000000001" customHeight="1" x14ac:dyDescent="0.2">
      <c r="B53" s="219" t="s">
        <v>525</v>
      </c>
      <c r="C53" s="791" t="str">
        <v>x</v>
      </c>
      <c r="D53" s="797" t="str">
        <v>x</v>
      </c>
      <c r="E53" s="792" t="str">
        <v>x</v>
      </c>
    </row>
    <row r="54" spans="1:11" ht="20.100000000000001" customHeight="1" x14ac:dyDescent="0.2">
      <c r="B54" s="824" t="s">
        <v>526</v>
      </c>
      <c r="C54" s="841" t="str">
        <v>x</v>
      </c>
      <c r="D54" s="842" t="str">
        <v>x</v>
      </c>
      <c r="E54" s="843" t="str">
        <v>x</v>
      </c>
    </row>
    <row r="55" spans="1:11" ht="20.100000000000001" customHeight="1" x14ac:dyDescent="0.2"/>
    <row r="56" spans="1:11" ht="20.100000000000001" customHeight="1" x14ac:dyDescent="0.2">
      <c r="D56" s="787"/>
      <c r="E56" s="787"/>
      <c r="F56" s="787"/>
    </row>
    <row r="57" spans="1:11" ht="50.1" customHeight="1" x14ac:dyDescent="0.2">
      <c r="B57" s="159" t="s">
        <v>1361</v>
      </c>
      <c r="C57" s="59"/>
      <c r="D57" s="59"/>
      <c r="E57" s="59"/>
      <c r="F57" s="59"/>
      <c r="G57" s="59"/>
      <c r="H57" s="59"/>
      <c r="I57" s="59"/>
      <c r="J57" s="59"/>
      <c r="K57" s="59"/>
    </row>
    <row r="58" spans="1:11" ht="20.100000000000001" customHeight="1" x14ac:dyDescent="0.2">
      <c r="A58" s="1"/>
      <c r="B58" s="2"/>
      <c r="C58" s="1"/>
      <c r="D58" s="1"/>
      <c r="E58" s="1"/>
      <c r="F58" s="1"/>
      <c r="G58" s="1"/>
      <c r="H58" s="1"/>
      <c r="I58" s="1"/>
      <c r="J58" s="1"/>
      <c r="K58" s="1"/>
    </row>
    <row r="59" spans="1:11" ht="30" customHeight="1" x14ac:dyDescent="0.2">
      <c r="A59" s="560"/>
      <c r="B59" s="175" t="s">
        <v>1216</v>
      </c>
      <c r="C59" s="310"/>
      <c r="D59" s="310"/>
      <c r="E59" s="310"/>
      <c r="F59" s="310"/>
      <c r="G59" s="310"/>
      <c r="H59" s="310"/>
      <c r="I59" s="310"/>
      <c r="J59" s="310"/>
      <c r="K59" s="310"/>
    </row>
    <row r="60" spans="1:11" ht="20.100000000000001" customHeight="1" x14ac:dyDescent="0.2">
      <c r="D60" s="787"/>
      <c r="E60" s="787"/>
      <c r="F60" s="787"/>
    </row>
    <row r="61" spans="1:11" ht="20.100000000000001" customHeight="1" x14ac:dyDescent="0.2">
      <c r="B61" s="1240" t="s">
        <v>529</v>
      </c>
      <c r="C61" s="1240"/>
      <c r="D61" s="1240"/>
      <c r="E61" s="1240"/>
      <c r="F61" s="1240"/>
      <c r="G61" s="1240"/>
      <c r="H61" s="1240"/>
      <c r="I61" s="1240"/>
      <c r="J61" s="1240"/>
      <c r="K61" s="1240"/>
    </row>
    <row r="62" spans="1:11" ht="20.100000000000001" customHeight="1" x14ac:dyDescent="0.2"/>
    <row r="63" spans="1:11" ht="20.100000000000001" customHeight="1" x14ac:dyDescent="0.2">
      <c r="B63" s="206" t="s">
        <v>530</v>
      </c>
      <c r="C63" s="72"/>
      <c r="D63" s="571" t="s">
        <v>496</v>
      </c>
      <c r="E63" s="128" t="s">
        <v>497</v>
      </c>
      <c r="F63" s="117" t="s">
        <v>498</v>
      </c>
      <c r="G63" s="128" t="s">
        <v>499</v>
      </c>
      <c r="H63" s="117" t="s">
        <v>500</v>
      </c>
      <c r="I63" s="117" t="s">
        <v>501</v>
      </c>
      <c r="J63" s="117" t="s">
        <v>502</v>
      </c>
      <c r="K63" s="302" t="s">
        <v>503</v>
      </c>
    </row>
    <row r="64" spans="1:11" ht="20.100000000000001" customHeight="1" x14ac:dyDescent="0.2">
      <c r="B64" s="206" t="s">
        <v>384</v>
      </c>
      <c r="C64" s="72"/>
      <c r="D64" s="760">
        <f t="array" ref="D64">IFERROR(INDEX(df_inc_cat!$D$2:$M$100, MATCH(1, (df_inc_cat!$B$2:$B$100 = $B64) * ($A$2 = df_inc_cat!$A$2:$A$100) * (df_inc_cat!$C$2:$C$100 = "Total private households"), 0), MATCH(D$63, df_inc_cat!$D$1:$M$1, 0)),0)</f>
        <v>0</v>
      </c>
      <c r="E64" s="749">
        <f t="array" ref="E64">IFERROR(INDEX(df_inc_cat!$D$2:$M$100, MATCH(1, (df_inc_cat!$B$2:$B$100 = $B64) * ($A$2 = df_inc_cat!$A$2:$A$100) * (df_inc_cat!$C$2:$C$100 = "Total private households"), 0), MATCH(E$63, df_inc_cat!$D$1:$M$1, 0)),0)</f>
        <v>0</v>
      </c>
      <c r="F64" s="506">
        <f t="array" ref="F64">IFERROR(INDEX(df_inc_cat!$D$2:$M$100, MATCH(1, (df_inc_cat!$B$2:$B$100 = $B64) * ($A$2 = df_inc_cat!$A$2:$A$100) * (df_inc_cat!$C$2:$C$100 = "Total private households"), 0), MATCH(F$63, df_inc_cat!$D$1:$M$1, 0)),0)</f>
        <v>0</v>
      </c>
      <c r="G64" s="749">
        <f t="array" ref="G64">IFERROR(INDEX(df_inc_cat!$D$2:$M$100, MATCH(1, (df_inc_cat!$B$2:$B$100 = $B64) * ($A$2 = df_inc_cat!$A$2:$A$100) * (df_inc_cat!$C$2:$C$100 = "Total private households"), 0), MATCH(G$63, df_inc_cat!$D$1:$M$1, 0)),0)</f>
        <v>0</v>
      </c>
      <c r="H64" s="506">
        <f t="array" ref="H64">IFERROR(INDEX(df_inc_cat!$D$2:$M$100, MATCH(1, (df_inc_cat!$B$2:$B$100 = $B64) * ($A$2 = df_inc_cat!$A$2:$A$100) * (df_inc_cat!$C$2:$C$100 = "Total private households"), 0), MATCH(H$63, df_inc_cat!$D$1:$M$1, 0)),0)</f>
        <v>0</v>
      </c>
      <c r="I64" s="506">
        <f t="array" ref="I64">IFERROR(INDEX(df_inc_cat!$D$2:$M$100, MATCH(1, (df_inc_cat!$B$2:$B$100 = $B64) * ($A$2 = df_inc_cat!$A$2:$A$100) * (df_inc_cat!$C$2:$C$100 = "Total private households"), 0), MATCH(I$63, df_inc_cat!$D$1:$M$1, 0)),0)</f>
        <v>0</v>
      </c>
      <c r="J64" s="506">
        <f t="array" ref="J64">IFERROR(INDEX(df_inc_cat!$D$2:$M$100, MATCH(1, (df_inc_cat!$B$2:$B$100 = $B64) * ($A$2 = df_inc_cat!$A$2:$A$100) * (df_inc_cat!$C$2:$C$100 = "Total private households"), 0), MATCH(J$63, df_inc_cat!$D$1:$M$1, 0)),0)</f>
        <v>0</v>
      </c>
      <c r="K64" s="750">
        <f t="array" ref="K64">IFERROR(INDEX(df_inc_cat!$D$2:$M$100, MATCH(1, (df_inc_cat!$B$2:$B$100 = $B64) * ($A$2 = df_inc_cat!$A$2:$A$100) * (df_inc_cat!$C$2:$C$100 = "Total private households"), 0), MATCH(K$63, df_inc_cat!$D$1:$M$1, 0)),0)</f>
        <v>0</v>
      </c>
    </row>
    <row r="65" spans="2:11" ht="20.100000000000001" customHeight="1" x14ac:dyDescent="0.2">
      <c r="B65" s="570" t="s">
        <v>504</v>
      </c>
      <c r="C65" s="493"/>
      <c r="D65" s="761">
        <f t="array" ref="D65">IFERROR(INDEX(df_inc_cat!$D$2:$M$100, MATCH(1, (df_inc_cat!$B$2:$B$100 = $B65) * ($A$2 = df_inc_cat!$A$2:$A$100) * (df_inc_cat!$C$2:$C$100 = "Total private households"), 0), MATCH(D$63, df_inc_cat!$D$1:$M$1, 0)),0)</f>
        <v>0</v>
      </c>
      <c r="E65" s="751">
        <f t="array" ref="E65">IFERROR(INDEX(df_inc_cat!$D$2:$M$100, MATCH(1, (df_inc_cat!$B$2:$B$100 = $B65) * ($A$2 = df_inc_cat!$A$2:$A$100) * (df_inc_cat!$C$2:$C$100 = "Total private households"), 0), MATCH(E$63, df_inc_cat!$D$1:$M$1, 0)),0)</f>
        <v>0</v>
      </c>
      <c r="F65" s="752">
        <f t="array" ref="F65">IFERROR(INDEX(df_inc_cat!$D$2:$M$100, MATCH(1, (df_inc_cat!$B$2:$B$100 = $B65) * ($A$2 = df_inc_cat!$A$2:$A$100) * (df_inc_cat!$C$2:$C$100 = "Total private households"), 0), MATCH(F$63, df_inc_cat!$D$1:$M$1, 0)),0)</f>
        <v>0</v>
      </c>
      <c r="G65" s="751">
        <f t="array" ref="G65">IFERROR(INDEX(df_inc_cat!$D$2:$M$100, MATCH(1, (df_inc_cat!$B$2:$B$100 = $B65) * ($A$2 = df_inc_cat!$A$2:$A$100) * (df_inc_cat!$C$2:$C$100 = "Total private households"), 0), MATCH(G$63, df_inc_cat!$D$1:$M$1, 0)),0)</f>
        <v>0</v>
      </c>
      <c r="H65" s="752">
        <f t="array" ref="H65">IFERROR(INDEX(df_inc_cat!$D$2:$M$100, MATCH(1, (df_inc_cat!$B$2:$B$100 = $B65) * ($A$2 = df_inc_cat!$A$2:$A$100) * (df_inc_cat!$C$2:$C$100 = "Total private households"), 0), MATCH(H$63, df_inc_cat!$D$1:$M$1, 0)),0)</f>
        <v>0</v>
      </c>
      <c r="I65" s="752">
        <f t="array" ref="I65">IFERROR(INDEX(df_inc_cat!$D$2:$M$100, MATCH(1, (df_inc_cat!$B$2:$B$100 = $B65) * ($A$2 = df_inc_cat!$A$2:$A$100) * (df_inc_cat!$C$2:$C$100 = "Total private households"), 0), MATCH(I$63, df_inc_cat!$D$1:$M$1, 0)),0)</f>
        <v>0</v>
      </c>
      <c r="J65" s="752">
        <f t="array" ref="J65">IFERROR(INDEX(df_inc_cat!$D$2:$M$100, MATCH(1, (df_inc_cat!$B$2:$B$100 = $B65) * ($A$2 = df_inc_cat!$A$2:$A$100) * (df_inc_cat!$C$2:$C$100 = "Total private households"), 0), MATCH(J$63, df_inc_cat!$D$1:$M$1, 0)),0)</f>
        <v>0</v>
      </c>
      <c r="K65" s="753">
        <f t="array" ref="K65">IFERROR(INDEX(df_inc_cat!$D$2:$M$100, MATCH(1, (df_inc_cat!$B$2:$B$100 = $B65) * ($A$2 = df_inc_cat!$A$2:$A$100) * (df_inc_cat!$C$2:$C$100 = "Total private households"), 0), MATCH(K$63, df_inc_cat!$D$1:$M$1, 0)),0)</f>
        <v>0</v>
      </c>
    </row>
    <row r="66" spans="2:11" ht="20.100000000000001" customHeight="1" x14ac:dyDescent="0.2">
      <c r="B66" s="84" t="s">
        <v>505</v>
      </c>
      <c r="C66" s="173"/>
      <c r="D66" s="762">
        <f t="array" ref="D66">IFERROR(INDEX(df_inc_cat!$D$2:$M$100, MATCH(1, (df_inc_cat!$B$2:$B$100 = $B66) * ($A$2 = df_inc_cat!$A$2:$A$100) * (df_inc_cat!$C$2:$C$100 = "Total private households"), 0), MATCH(D$63, df_inc_cat!$D$1:$M$1, 0)),0)</f>
        <v>0</v>
      </c>
      <c r="E66" s="754">
        <f t="array" ref="E66">IFERROR(INDEX(df_inc_cat!$D$2:$M$100, MATCH(1, (df_inc_cat!$B$2:$B$100 = $B66) * ($A$2 = df_inc_cat!$A$2:$A$100) * (df_inc_cat!$C$2:$C$100 = "Total private households"), 0), MATCH(E$63, df_inc_cat!$D$1:$M$1, 0)),0)</f>
        <v>0</v>
      </c>
      <c r="F66" s="787">
        <f t="array" ref="F66">IFERROR(INDEX(df_inc_cat!$D$2:$M$100, MATCH(1, (df_inc_cat!$B$2:$B$100 = $B66) * ($A$2 = df_inc_cat!$A$2:$A$100) * (df_inc_cat!$C$2:$C$100 = "Total private households"), 0), MATCH(F$63, df_inc_cat!$D$1:$M$1, 0)),0)</f>
        <v>0</v>
      </c>
      <c r="G66" s="754">
        <f t="array" ref="G66">IFERROR(INDEX(df_inc_cat!$D$2:$M$100, MATCH(1, (df_inc_cat!$B$2:$B$100 = $B66) * ($A$2 = df_inc_cat!$A$2:$A$100) * (df_inc_cat!$C$2:$C$100 = "Total private households"), 0), MATCH(G$63, df_inc_cat!$D$1:$M$1, 0)),0)</f>
        <v>0</v>
      </c>
      <c r="H66" s="787">
        <f t="array" ref="H66">IFERROR(INDEX(df_inc_cat!$D$2:$M$100, MATCH(1, (df_inc_cat!$B$2:$B$100 = $B66) * ($A$2 = df_inc_cat!$A$2:$A$100) * (df_inc_cat!$C$2:$C$100 = "Total private households"), 0), MATCH(H$63, df_inc_cat!$D$1:$M$1, 0)),0)</f>
        <v>0</v>
      </c>
      <c r="I66" s="787">
        <f t="array" ref="I66">IFERROR(INDEX(df_inc_cat!$D$2:$M$100, MATCH(1, (df_inc_cat!$B$2:$B$100 = $B66) * ($A$2 = df_inc_cat!$A$2:$A$100) * (df_inc_cat!$C$2:$C$100 = "Total private households"), 0), MATCH(I$63, df_inc_cat!$D$1:$M$1, 0)),0)</f>
        <v>0</v>
      </c>
      <c r="J66" s="787">
        <f t="array" ref="J66">IFERROR(INDEX(df_inc_cat!$D$2:$M$100, MATCH(1, (df_inc_cat!$B$2:$B$100 = $B66) * ($A$2 = df_inc_cat!$A$2:$A$100) * (df_inc_cat!$C$2:$C$100 = "Total private households"), 0), MATCH(J$63, df_inc_cat!$D$1:$M$1, 0)),0)</f>
        <v>0</v>
      </c>
      <c r="K66" s="755">
        <f t="array" ref="K66">IFERROR(INDEX(df_inc_cat!$D$2:$M$100, MATCH(1, (df_inc_cat!$B$2:$B$100 = $B66) * ($A$2 = df_inc_cat!$A$2:$A$100) * (df_inc_cat!$C$2:$C$100 = "Total private households"), 0), MATCH(K$63, df_inc_cat!$D$1:$M$1, 0)),0)</f>
        <v>0</v>
      </c>
    </row>
    <row r="67" spans="2:11" ht="20.100000000000001" customHeight="1" x14ac:dyDescent="0.2">
      <c r="B67" s="84" t="s">
        <v>506</v>
      </c>
      <c r="C67" s="173"/>
      <c r="D67" s="762">
        <f t="array" ref="D67">IFERROR(INDEX(df_inc_cat!$D$2:$M$100, MATCH(1, (df_inc_cat!$B$2:$B$100 = $B67) * ($A$2 = df_inc_cat!$A$2:$A$100) * (df_inc_cat!$C$2:$C$100 = "Total private households"), 0), MATCH(D$63, df_inc_cat!$D$1:$M$1, 0)),0)</f>
        <v>0</v>
      </c>
      <c r="E67" s="754">
        <f t="array" ref="E67">IFERROR(INDEX(df_inc_cat!$D$2:$M$100, MATCH(1, (df_inc_cat!$B$2:$B$100 = $B67) * ($A$2 = df_inc_cat!$A$2:$A$100) * (df_inc_cat!$C$2:$C$100 = "Total private households"), 0), MATCH(E$63, df_inc_cat!$D$1:$M$1, 0)),0)</f>
        <v>0</v>
      </c>
      <c r="F67" s="787">
        <f t="array" ref="F67">IFERROR(INDEX(df_inc_cat!$D$2:$M$100, MATCH(1, (df_inc_cat!$B$2:$B$100 = $B67) * ($A$2 = df_inc_cat!$A$2:$A$100) * (df_inc_cat!$C$2:$C$100 = "Total private households"), 0), MATCH(F$63, df_inc_cat!$D$1:$M$1, 0)),0)</f>
        <v>0</v>
      </c>
      <c r="G67" s="754">
        <f t="array" ref="G67">IFERROR(INDEX(df_inc_cat!$D$2:$M$100, MATCH(1, (df_inc_cat!$B$2:$B$100 = $B67) * ($A$2 = df_inc_cat!$A$2:$A$100) * (df_inc_cat!$C$2:$C$100 = "Total private households"), 0), MATCH(G$63, df_inc_cat!$D$1:$M$1, 0)),0)</f>
        <v>0</v>
      </c>
      <c r="H67" s="787">
        <f t="array" ref="H67">IFERROR(INDEX(df_inc_cat!$D$2:$M$100, MATCH(1, (df_inc_cat!$B$2:$B$100 = $B67) * ($A$2 = df_inc_cat!$A$2:$A$100) * (df_inc_cat!$C$2:$C$100 = "Total private households"), 0), MATCH(H$63, df_inc_cat!$D$1:$M$1, 0)),0)</f>
        <v>0</v>
      </c>
      <c r="I67" s="787">
        <f t="array" ref="I67">IFERROR(INDEX(df_inc_cat!$D$2:$M$100, MATCH(1, (df_inc_cat!$B$2:$B$100 = $B67) * ($A$2 = df_inc_cat!$A$2:$A$100) * (df_inc_cat!$C$2:$C$100 = "Total private households"), 0), MATCH(I$63, df_inc_cat!$D$1:$M$1, 0)),0)</f>
        <v>0</v>
      </c>
      <c r="J67" s="787">
        <f t="array" ref="J67">IFERROR(INDEX(df_inc_cat!$D$2:$M$100, MATCH(1, (df_inc_cat!$B$2:$B$100 = $B67) * ($A$2 = df_inc_cat!$A$2:$A$100) * (df_inc_cat!$C$2:$C$100 = "Total private households"), 0), MATCH(J$63, df_inc_cat!$D$1:$M$1, 0)),0)</f>
        <v>0</v>
      </c>
      <c r="K67" s="755">
        <f t="array" ref="K67">IFERROR(INDEX(df_inc_cat!$D$2:$M$100, MATCH(1, (df_inc_cat!$B$2:$B$100 = $B67) * ($A$2 = df_inc_cat!$A$2:$A$100) * (df_inc_cat!$C$2:$C$100 = "Total private households"), 0), MATCH(K$63, df_inc_cat!$D$1:$M$1, 0)),0)</f>
        <v>0</v>
      </c>
    </row>
    <row r="68" spans="2:11" ht="20.100000000000001" customHeight="1" x14ac:dyDescent="0.2">
      <c r="B68" s="84" t="s">
        <v>507</v>
      </c>
      <c r="C68" s="173"/>
      <c r="D68" s="762">
        <f t="array" ref="D68">IFERROR(INDEX(df_inc_cat!$D$2:$M$100, MATCH(1, (df_inc_cat!$B$2:$B$100 = $B68) * ($A$2 = df_inc_cat!$A$2:$A$100) * (df_inc_cat!$C$2:$C$100 = "Total private households"), 0), MATCH(D$63, df_inc_cat!$D$1:$M$1, 0)),0)</f>
        <v>0</v>
      </c>
      <c r="E68" s="754">
        <f t="array" ref="E68">IFERROR(INDEX(df_inc_cat!$D$2:$M$100, MATCH(1, (df_inc_cat!$B$2:$B$100 = $B68) * ($A$2 = df_inc_cat!$A$2:$A$100) * (df_inc_cat!$C$2:$C$100 = "Total private households"), 0), MATCH(E$63, df_inc_cat!$D$1:$M$1, 0)),0)</f>
        <v>0</v>
      </c>
      <c r="F68" s="787">
        <f t="array" ref="F68">IFERROR(INDEX(df_inc_cat!$D$2:$M$100, MATCH(1, (df_inc_cat!$B$2:$B$100 = $B68) * ($A$2 = df_inc_cat!$A$2:$A$100) * (df_inc_cat!$C$2:$C$100 = "Total private households"), 0), MATCH(F$63, df_inc_cat!$D$1:$M$1, 0)),0)</f>
        <v>0</v>
      </c>
      <c r="G68" s="754">
        <f t="array" ref="G68">IFERROR(INDEX(df_inc_cat!$D$2:$M$100, MATCH(1, (df_inc_cat!$B$2:$B$100 = $B68) * ($A$2 = df_inc_cat!$A$2:$A$100) * (df_inc_cat!$C$2:$C$100 = "Total private households"), 0), MATCH(G$63, df_inc_cat!$D$1:$M$1, 0)),0)</f>
        <v>0</v>
      </c>
      <c r="H68" s="787">
        <f t="array" ref="H68">IFERROR(INDEX(df_inc_cat!$D$2:$M$100, MATCH(1, (df_inc_cat!$B$2:$B$100 = $B68) * ($A$2 = df_inc_cat!$A$2:$A$100) * (df_inc_cat!$C$2:$C$100 = "Total private households"), 0), MATCH(H$63, df_inc_cat!$D$1:$M$1, 0)),0)</f>
        <v>0</v>
      </c>
      <c r="I68" s="787">
        <f t="array" ref="I68">IFERROR(INDEX(df_inc_cat!$D$2:$M$100, MATCH(1, (df_inc_cat!$B$2:$B$100 = $B68) * ($A$2 = df_inc_cat!$A$2:$A$100) * (df_inc_cat!$C$2:$C$100 = "Total private households"), 0), MATCH(I$63, df_inc_cat!$D$1:$M$1, 0)),0)</f>
        <v>0</v>
      </c>
      <c r="J68" s="787">
        <f t="array" ref="J68">IFERROR(INDEX(df_inc_cat!$D$2:$M$100, MATCH(1, (df_inc_cat!$B$2:$B$100 = $B68) * ($A$2 = df_inc_cat!$A$2:$A$100) * (df_inc_cat!$C$2:$C$100 = "Total private households"), 0), MATCH(J$63, df_inc_cat!$D$1:$M$1, 0)),0)</f>
        <v>0</v>
      </c>
      <c r="K68" s="755">
        <f t="array" ref="K68">IFERROR(INDEX(df_inc_cat!$D$2:$M$100, MATCH(1, (df_inc_cat!$B$2:$B$100 = $B68) * ($A$2 = df_inc_cat!$A$2:$A$100) * (df_inc_cat!$C$2:$C$100 = "Total private households"), 0), MATCH(K$63, df_inc_cat!$D$1:$M$1, 0)),0)</f>
        <v>0</v>
      </c>
    </row>
    <row r="69" spans="2:11" ht="20.100000000000001" customHeight="1" x14ac:dyDescent="0.2">
      <c r="B69" s="569" t="s">
        <v>508</v>
      </c>
      <c r="C69" s="494"/>
      <c r="D69" s="763">
        <f t="array" ref="D69">IFERROR(INDEX(df_inc_cat!$D$2:$M$100, MATCH(1, (df_inc_cat!$B$2:$B$100 = $B69) * ($A$2 = df_inc_cat!$A$2:$A$100) * (df_inc_cat!$C$2:$C$100 = "Total private households"), 0), MATCH(D$63, df_inc_cat!$D$1:$M$1, 0)),0)</f>
        <v>0</v>
      </c>
      <c r="E69" s="756">
        <f t="array" ref="E69">IFERROR(INDEX(df_inc_cat!$D$2:$M$100, MATCH(1, (df_inc_cat!$B$2:$B$100 = $B69) * ($A$2 = df_inc_cat!$A$2:$A$100) * (df_inc_cat!$C$2:$C$100 = "Total private households"), 0), MATCH(E$63, df_inc_cat!$D$1:$M$1, 0)),0)</f>
        <v>0</v>
      </c>
      <c r="F69" s="757">
        <f t="array" ref="F69">IFERROR(INDEX(df_inc_cat!$D$2:$M$100, MATCH(1, (df_inc_cat!$B$2:$B$100 = $B69) * ($A$2 = df_inc_cat!$A$2:$A$100) * (df_inc_cat!$C$2:$C$100 = "Total private households"), 0), MATCH(F$63, df_inc_cat!$D$1:$M$1, 0)),0)</f>
        <v>0</v>
      </c>
      <c r="G69" s="756">
        <f t="array" ref="G69">IFERROR(INDEX(df_inc_cat!$D$2:$M$100, MATCH(1, (df_inc_cat!$B$2:$B$100 = $B69) * ($A$2 = df_inc_cat!$A$2:$A$100) * (df_inc_cat!$C$2:$C$100 = "Total private households"), 0), MATCH(G$63, df_inc_cat!$D$1:$M$1, 0)),0)</f>
        <v>0</v>
      </c>
      <c r="H69" s="757">
        <f t="array" ref="H69">IFERROR(INDEX(df_inc_cat!$D$2:$M$100, MATCH(1, (df_inc_cat!$B$2:$B$100 = $B69) * ($A$2 = df_inc_cat!$A$2:$A$100) * (df_inc_cat!$C$2:$C$100 = "Total private households"), 0), MATCH(H$63, df_inc_cat!$D$1:$M$1, 0)),0)</f>
        <v>0</v>
      </c>
      <c r="I69" s="757">
        <f t="array" ref="I69">IFERROR(INDEX(df_inc_cat!$D$2:$M$100, MATCH(1, (df_inc_cat!$B$2:$B$100 = $B69) * ($A$2 = df_inc_cat!$A$2:$A$100) * (df_inc_cat!$C$2:$C$100 = "Total private households"), 0), MATCH(I$63, df_inc_cat!$D$1:$M$1, 0)),0)</f>
        <v>0</v>
      </c>
      <c r="J69" s="757">
        <f t="array" ref="J69">IFERROR(INDEX(df_inc_cat!$D$2:$M$100, MATCH(1, (df_inc_cat!$B$2:$B$100 = $B69) * ($A$2 = df_inc_cat!$A$2:$A$100) * (df_inc_cat!$C$2:$C$100 = "Total private households"), 0), MATCH(J$63, df_inc_cat!$D$1:$M$1, 0)),0)</f>
        <v>0</v>
      </c>
      <c r="K69" s="758">
        <f t="array" ref="K69">IFERROR(INDEX(df_inc_cat!$D$2:$M$100, MATCH(1, (df_inc_cat!$B$2:$B$100 = $B69) * ($A$2 = df_inc_cat!$A$2:$A$100) * (df_inc_cat!$C$2:$C$100 = "Total private households"), 0), MATCH(K$63, df_inc_cat!$D$1:$M$1, 0)),0)</f>
        <v>0</v>
      </c>
    </row>
    <row r="70" spans="2:11" ht="20.100000000000001" customHeight="1" x14ac:dyDescent="0.2"/>
    <row r="71" spans="2:11" ht="20.100000000000001" customHeight="1" x14ac:dyDescent="0.2">
      <c r="B71" s="1240" t="s">
        <v>1291</v>
      </c>
      <c r="C71" s="1240"/>
      <c r="D71" s="1240"/>
      <c r="E71" s="1240"/>
      <c r="F71" s="1240"/>
      <c r="G71" s="1240"/>
      <c r="H71" s="1240"/>
      <c r="I71" s="1240"/>
      <c r="J71" s="1240"/>
      <c r="K71" s="1240"/>
    </row>
    <row r="72" spans="2:11" ht="20.100000000000001" customHeight="1" x14ac:dyDescent="0.2"/>
    <row r="73" spans="2:11" ht="20.100000000000001" customHeight="1" x14ac:dyDescent="0.2">
      <c r="B73" s="206" t="s">
        <v>530</v>
      </c>
      <c r="C73" s="72"/>
      <c r="D73" s="571" t="s">
        <v>496</v>
      </c>
      <c r="E73" s="128" t="s">
        <v>497</v>
      </c>
      <c r="F73" s="117" t="s">
        <v>498</v>
      </c>
      <c r="G73" s="128" t="s">
        <v>499</v>
      </c>
      <c r="H73" s="117" t="s">
        <v>500</v>
      </c>
      <c r="I73" s="117" t="s">
        <v>501</v>
      </c>
      <c r="J73" s="117" t="s">
        <v>502</v>
      </c>
      <c r="K73" s="302" t="s">
        <v>503</v>
      </c>
    </row>
    <row r="74" spans="2:11" ht="20.100000000000001" customHeight="1" x14ac:dyDescent="0.2">
      <c r="B74" s="206" t="s">
        <v>384</v>
      </c>
      <c r="C74" s="72"/>
      <c r="D74" s="764" t="e">
        <f t="shared" ref="D74:E74" si="2">D64/D$64</f>
        <v>#DIV/0!</v>
      </c>
      <c r="E74" s="572" t="e">
        <f t="shared" si="2"/>
        <v>#DIV/0!</v>
      </c>
      <c r="F74" s="481" t="e">
        <f t="shared" ref="F74:K79" si="3">F64/F$64</f>
        <v>#DIV/0!</v>
      </c>
      <c r="G74" s="572" t="e">
        <f t="shared" si="3"/>
        <v>#DIV/0!</v>
      </c>
      <c r="H74" s="481" t="e">
        <f t="shared" si="3"/>
        <v>#DIV/0!</v>
      </c>
      <c r="I74" s="481" t="e">
        <f t="shared" si="3"/>
        <v>#DIV/0!</v>
      </c>
      <c r="J74" s="481" t="e">
        <f t="shared" si="3"/>
        <v>#DIV/0!</v>
      </c>
      <c r="K74" s="482" t="e">
        <f t="shared" si="3"/>
        <v>#DIV/0!</v>
      </c>
    </row>
    <row r="75" spans="2:11" ht="20.100000000000001" customHeight="1" x14ac:dyDescent="0.2">
      <c r="B75" s="570" t="s">
        <v>504</v>
      </c>
      <c r="C75" s="493"/>
      <c r="D75" s="594" t="e">
        <f t="shared" ref="D75:E75" si="4">D65/D$64</f>
        <v>#DIV/0!</v>
      </c>
      <c r="E75" s="588" t="e">
        <f t="shared" si="4"/>
        <v>#DIV/0!</v>
      </c>
      <c r="F75" s="589" t="e">
        <f t="shared" si="3"/>
        <v>#DIV/0!</v>
      </c>
      <c r="G75" s="588" t="e">
        <f t="shared" si="3"/>
        <v>#DIV/0!</v>
      </c>
      <c r="H75" s="589" t="e">
        <f t="shared" si="3"/>
        <v>#DIV/0!</v>
      </c>
      <c r="I75" s="589" t="e">
        <f t="shared" si="3"/>
        <v>#DIV/0!</v>
      </c>
      <c r="J75" s="589" t="e">
        <f t="shared" si="3"/>
        <v>#DIV/0!</v>
      </c>
      <c r="K75" s="502" t="e">
        <f t="shared" si="3"/>
        <v>#DIV/0!</v>
      </c>
    </row>
    <row r="76" spans="2:11" ht="20.100000000000001" customHeight="1" x14ac:dyDescent="0.2">
      <c r="B76" s="84" t="s">
        <v>505</v>
      </c>
      <c r="C76" s="173"/>
      <c r="D76" s="765" t="e">
        <f t="shared" ref="D76:E76" si="5">D66/D$64</f>
        <v>#DIV/0!</v>
      </c>
      <c r="E76" s="590" t="e">
        <f t="shared" si="5"/>
        <v>#DIV/0!</v>
      </c>
      <c r="F76" s="591" t="e">
        <f t="shared" si="3"/>
        <v>#DIV/0!</v>
      </c>
      <c r="G76" s="590" t="e">
        <f t="shared" si="3"/>
        <v>#DIV/0!</v>
      </c>
      <c r="H76" s="591" t="e">
        <f t="shared" si="3"/>
        <v>#DIV/0!</v>
      </c>
      <c r="I76" s="591" t="e">
        <f t="shared" si="3"/>
        <v>#DIV/0!</v>
      </c>
      <c r="J76" s="591" t="e">
        <f t="shared" si="3"/>
        <v>#DIV/0!</v>
      </c>
      <c r="K76" s="503" t="e">
        <f t="shared" si="3"/>
        <v>#DIV/0!</v>
      </c>
    </row>
    <row r="77" spans="2:11" ht="20.100000000000001" customHeight="1" x14ac:dyDescent="0.2">
      <c r="B77" s="84" t="s">
        <v>506</v>
      </c>
      <c r="C77" s="173"/>
      <c r="D77" s="765" t="e">
        <f t="shared" ref="D77:E77" si="6">D67/D$64</f>
        <v>#DIV/0!</v>
      </c>
      <c r="E77" s="590" t="e">
        <f t="shared" si="6"/>
        <v>#DIV/0!</v>
      </c>
      <c r="F77" s="591" t="e">
        <f t="shared" si="3"/>
        <v>#DIV/0!</v>
      </c>
      <c r="G77" s="590" t="e">
        <f t="shared" si="3"/>
        <v>#DIV/0!</v>
      </c>
      <c r="H77" s="591" t="e">
        <f t="shared" si="3"/>
        <v>#DIV/0!</v>
      </c>
      <c r="I77" s="591" t="e">
        <f t="shared" si="3"/>
        <v>#DIV/0!</v>
      </c>
      <c r="J77" s="591" t="e">
        <f t="shared" si="3"/>
        <v>#DIV/0!</v>
      </c>
      <c r="K77" s="503" t="e">
        <f t="shared" si="3"/>
        <v>#DIV/0!</v>
      </c>
    </row>
    <row r="78" spans="2:11" ht="20.100000000000001" customHeight="1" x14ac:dyDescent="0.2">
      <c r="B78" s="84" t="s">
        <v>507</v>
      </c>
      <c r="C78" s="173"/>
      <c r="D78" s="765" t="e">
        <f t="shared" ref="D78:E78" si="7">D68/D$64</f>
        <v>#DIV/0!</v>
      </c>
      <c r="E78" s="590" t="e">
        <f t="shared" si="7"/>
        <v>#DIV/0!</v>
      </c>
      <c r="F78" s="591" t="e">
        <f t="shared" si="3"/>
        <v>#DIV/0!</v>
      </c>
      <c r="G78" s="590" t="e">
        <f t="shared" si="3"/>
        <v>#DIV/0!</v>
      </c>
      <c r="H78" s="591" t="e">
        <f t="shared" si="3"/>
        <v>#DIV/0!</v>
      </c>
      <c r="I78" s="591" t="e">
        <f t="shared" si="3"/>
        <v>#DIV/0!</v>
      </c>
      <c r="J78" s="591" t="e">
        <f t="shared" si="3"/>
        <v>#DIV/0!</v>
      </c>
      <c r="K78" s="503" t="e">
        <f t="shared" si="3"/>
        <v>#DIV/0!</v>
      </c>
    </row>
    <row r="79" spans="2:11" ht="20.100000000000001" customHeight="1" x14ac:dyDescent="0.2">
      <c r="B79" s="569" t="s">
        <v>508</v>
      </c>
      <c r="C79" s="494"/>
      <c r="D79" s="595" t="e">
        <f t="shared" ref="D79:E79" si="8">D69/D$64</f>
        <v>#DIV/0!</v>
      </c>
      <c r="E79" s="592" t="e">
        <f t="shared" si="8"/>
        <v>#DIV/0!</v>
      </c>
      <c r="F79" s="593" t="e">
        <f t="shared" si="3"/>
        <v>#DIV/0!</v>
      </c>
      <c r="G79" s="592" t="e">
        <f t="shared" si="3"/>
        <v>#DIV/0!</v>
      </c>
      <c r="H79" s="593" t="e">
        <f t="shared" si="3"/>
        <v>#DIV/0!</v>
      </c>
      <c r="I79" s="593" t="e">
        <f t="shared" si="3"/>
        <v>#DIV/0!</v>
      </c>
      <c r="J79" s="593" t="e">
        <f t="shared" si="3"/>
        <v>#DIV/0!</v>
      </c>
      <c r="K79" s="504" t="e">
        <f t="shared" si="3"/>
        <v>#DIV/0!</v>
      </c>
    </row>
    <row r="80" spans="2:11" ht="20.100000000000001" customHeight="1" x14ac:dyDescent="0.2"/>
    <row r="81" spans="1:13" ht="20.100000000000001" customHeight="1" x14ac:dyDescent="0.2">
      <c r="B81" s="1240" t="s">
        <v>1293</v>
      </c>
      <c r="C81" s="1240"/>
      <c r="D81" s="1240"/>
      <c r="E81" s="1240"/>
      <c r="F81" s="1240"/>
      <c r="H81" s="1240" t="s">
        <v>1292</v>
      </c>
      <c r="I81" s="1240"/>
      <c r="J81" s="1240"/>
      <c r="K81" s="1240"/>
    </row>
    <row r="82" spans="1:13" ht="20.100000000000001" customHeight="1" x14ac:dyDescent="0.2"/>
    <row r="83" spans="1:13" ht="20.100000000000001" customHeight="1" x14ac:dyDescent="0.2">
      <c r="B83" s="206" t="s">
        <v>530</v>
      </c>
      <c r="C83" s="72"/>
      <c r="D83" s="128" t="s">
        <v>181</v>
      </c>
      <c r="E83" s="117" t="s">
        <v>182</v>
      </c>
      <c r="F83" s="302" t="s">
        <v>183</v>
      </c>
      <c r="H83" s="487"/>
      <c r="I83" s="128" t="s">
        <v>181</v>
      </c>
      <c r="J83" s="117" t="s">
        <v>182</v>
      </c>
      <c r="K83" s="302" t="s">
        <v>183</v>
      </c>
    </row>
    <row r="84" spans="1:13" ht="20.100000000000001" customHeight="1" x14ac:dyDescent="0.2">
      <c r="B84" s="206" t="s">
        <v>384</v>
      </c>
      <c r="C84" s="72"/>
      <c r="D84" s="749">
        <f t="array" ref="D84">IFERROR(INDEX(df_inc_cat!$D$2:$M$100, MATCH(1, (df_inc_cat!$B$2:$B$100 = $B64) * (A$2 = df_inc_cat!$A$2:$A$100) * (df_inc_cat!$C$2:$C$100 = "Total private households"), 0), MATCH($F$63, df_inc_cat!$D$1:$M$1, 0)),0)</f>
        <v>0</v>
      </c>
      <c r="E84" s="506">
        <f t="array" ref="E84">IFERROR(INDEX(df_inc_cat!$D$2:$M$100, MATCH(1, (df_inc_cat!$B$2:$B$100 = $B64) * (B$2 = df_inc_cat!$A$2:$A$100) * (df_inc_cat!$C$2:$C$100 = "Total private households"), 0), MATCH($F$63, df_inc_cat!$D$1:$M$1, 0)),0)</f>
        <v>0</v>
      </c>
      <c r="F84" s="750">
        <f t="array" ref="F84">IFERROR(INDEX(df_inc_cat!$D$2:$M$100, MATCH(1, (df_inc_cat!$B$2:$B$100 = $B64) * (C$2 = df_inc_cat!$A$2:$A$100) * (df_inc_cat!$C$2:$C$100 = "Total private households"), 0), MATCH($F$63, df_inc_cat!$D$1:$M$1, 0)),0)</f>
        <v>0</v>
      </c>
      <c r="H84" s="483" t="s">
        <v>100</v>
      </c>
      <c r="I84" s="855" t="e">
        <f>IFERROR(IF(INDEX(df_inc_hart!$C$2:$C$10, MATCH($A$2, df_inc_hart!$A$2:$A$10, 0), 0) = 0, J84, INDEX(df_inc_hart!$C$2:$C$10, MATCH($A$2, df_inc_hart!$A$2:$A$10, 0), 0)),J84)</f>
        <v>#N/A</v>
      </c>
      <c r="J84" s="759" t="e">
        <f>INDEX(df_inc_hart!$C$2:$C$10, MATCH($B$2, df_inc_hart!$A$2:$A$10, 0), 0)</f>
        <v>#N/A</v>
      </c>
      <c r="K84" s="856" t="e">
        <f>INDEX(df_inc_hart!$C$2:$C$10, MATCH($C$2, df_inc_hart!$A$2:$A$10, 0), 0)</f>
        <v>#N/A</v>
      </c>
    </row>
    <row r="85" spans="1:13" ht="20.100000000000001" customHeight="1" x14ac:dyDescent="0.2">
      <c r="B85" s="570" t="s">
        <v>504</v>
      </c>
      <c r="C85" s="493"/>
      <c r="D85" s="751">
        <f t="array" ref="D85">IFERROR(INDEX(df_inc_cat!$D$2:$M$100, MATCH(1, (df_inc_cat!$B$2:$B$100 = $B65) * (A$2 = df_inc_cat!$A$2:$A$100) * (df_inc_cat!$C$2:$C$100 = "Total private households"), 0), MATCH($F$63, df_inc_cat!$D$1:$M$1, 0)),0)</f>
        <v>0</v>
      </c>
      <c r="E85" s="752">
        <f t="array" ref="E85">IFERROR(INDEX(df_inc_cat!$D$2:$M$100, MATCH(1, (df_inc_cat!$B$2:$B$100 = $B65) * (B$2 = df_inc_cat!$A$2:$A$100) * (df_inc_cat!$C$2:$C$100 = "Total private households"), 0), MATCH($F$63, df_inc_cat!$D$1:$M$1, 0)),0)</f>
        <v>0</v>
      </c>
      <c r="F85" s="753">
        <f t="array" ref="F85">IFERROR(INDEX(df_inc_cat!$D$2:$M$100, MATCH(1, (df_inc_cat!$B$2:$B$100 = $B65) * (C$2 = df_inc_cat!$A$2:$A$100) * (df_inc_cat!$C$2:$C$100 = "Total private households"), 0), MATCH($F$63, df_inc_cat!$D$1:$M$1, 0)),0)</f>
        <v>0</v>
      </c>
    </row>
    <row r="86" spans="1:13" ht="20.100000000000001" customHeight="1" x14ac:dyDescent="0.2">
      <c r="B86" s="84" t="s">
        <v>505</v>
      </c>
      <c r="C86" s="173"/>
      <c r="D86" s="754">
        <f t="array" ref="D86">IFERROR(INDEX(df_inc_cat!$D$2:$M$100, MATCH(1, (df_inc_cat!$B$2:$B$100 = $B66) * (A$2 = df_inc_cat!$A$2:$A$100) * (df_inc_cat!$C$2:$C$100 = "Total private households"), 0), MATCH($F$63, df_inc_cat!$D$1:$M$1, 0)),0)</f>
        <v>0</v>
      </c>
      <c r="E86" s="787">
        <f t="array" ref="E86">IFERROR(INDEX(df_inc_cat!$D$2:$M$100, MATCH(1, (df_inc_cat!$B$2:$B$100 = $B66) * (B$2 = df_inc_cat!$A$2:$A$100) * (df_inc_cat!$C$2:$C$100 = "Total private households"), 0), MATCH($F$63, df_inc_cat!$D$1:$M$1, 0)),0)</f>
        <v>0</v>
      </c>
      <c r="F86" s="755">
        <f t="array" ref="F86">IFERROR(INDEX(df_inc_cat!$D$2:$M$100, MATCH(1, (df_inc_cat!$B$2:$B$100 = $B66) * (C$2 = df_inc_cat!$A$2:$A$100) * (df_inc_cat!$C$2:$C$100 = "Total private households"), 0), MATCH($F$63, df_inc_cat!$D$1:$M$1, 0)),0)</f>
        <v>0</v>
      </c>
    </row>
    <row r="87" spans="1:13" ht="20.100000000000001" customHeight="1" x14ac:dyDescent="0.2">
      <c r="B87" s="84" t="s">
        <v>506</v>
      </c>
      <c r="C87" s="173"/>
      <c r="D87" s="754">
        <f t="array" ref="D87">IFERROR(INDEX(df_inc_cat!$D$2:$M$100, MATCH(1, (df_inc_cat!$B$2:$B$100 = $B67) * (A$2 = df_inc_cat!$A$2:$A$100) * (df_inc_cat!$C$2:$C$100 = "Total private households"), 0), MATCH($F$63, df_inc_cat!$D$1:$M$1, 0)),0)</f>
        <v>0</v>
      </c>
      <c r="E87" s="787">
        <f t="array" ref="E87">IFERROR(INDEX(df_inc_cat!$D$2:$M$100, MATCH(1, (df_inc_cat!$B$2:$B$100 = $B67) * (B$2 = df_inc_cat!$A$2:$A$100) * (df_inc_cat!$C$2:$C$100 = "Total private households"), 0), MATCH($F$63, df_inc_cat!$D$1:$M$1, 0)),0)</f>
        <v>0</v>
      </c>
      <c r="F87" s="755">
        <f t="array" ref="F87">IFERROR(INDEX(df_inc_cat!$D$2:$M$100, MATCH(1, (df_inc_cat!$B$2:$B$100 = $B67) * (C$2 = df_inc_cat!$A$2:$A$100) * (df_inc_cat!$C$2:$C$100 = "Total private households"), 0), MATCH($F$63, df_inc_cat!$D$1:$M$1, 0)),0)</f>
        <v>0</v>
      </c>
    </row>
    <row r="88" spans="1:13" ht="20.100000000000001" customHeight="1" x14ac:dyDescent="0.2">
      <c r="B88" s="84" t="s">
        <v>507</v>
      </c>
      <c r="C88" s="173"/>
      <c r="D88" s="754">
        <f t="array" ref="D88">IFERROR(INDEX(df_inc_cat!$D$2:$M$100, MATCH(1, (df_inc_cat!$B$2:$B$100 = $B68) * (A$2 = df_inc_cat!$A$2:$A$100) * (df_inc_cat!$C$2:$C$100 = "Total private households"), 0), MATCH($F$63, df_inc_cat!$D$1:$M$1, 0)),0)</f>
        <v>0</v>
      </c>
      <c r="E88" s="787">
        <f t="array" ref="E88">IFERROR(INDEX(df_inc_cat!$D$2:$M$100, MATCH(1, (df_inc_cat!$B$2:$B$100 = $B68) * (B$2 = df_inc_cat!$A$2:$A$100) * (df_inc_cat!$C$2:$C$100 = "Total private households"), 0), MATCH($F$63, df_inc_cat!$D$1:$M$1, 0)),0)</f>
        <v>0</v>
      </c>
      <c r="F88" s="755">
        <f t="array" ref="F88">IFERROR(INDEX(df_inc_cat!$D$2:$M$100, MATCH(1, (df_inc_cat!$B$2:$B$100 = $B68) * (C$2 = df_inc_cat!$A$2:$A$100) * (df_inc_cat!$C$2:$C$100 = "Total private households"), 0), MATCH($F$63, df_inc_cat!$D$1:$M$1, 0)),0)</f>
        <v>0</v>
      </c>
    </row>
    <row r="89" spans="1:13" ht="20.100000000000001" customHeight="1" x14ac:dyDescent="0.2">
      <c r="B89" s="569" t="s">
        <v>508</v>
      </c>
      <c r="C89" s="494"/>
      <c r="D89" s="756">
        <f t="array" ref="D89">IFERROR(INDEX(df_inc_cat!$D$2:$M$100, MATCH(1, (df_inc_cat!$B$2:$B$100 = $B69) * (A$2 = df_inc_cat!$A$2:$A$100) * (df_inc_cat!$C$2:$C$100 = "Total private households"), 0), MATCH($F$63, df_inc_cat!$D$1:$M$1, 0)),0)</f>
        <v>0</v>
      </c>
      <c r="E89" s="757">
        <f t="array" ref="E89">IFERROR(INDEX(df_inc_cat!$D$2:$M$100, MATCH(1, (df_inc_cat!$B$2:$B$100 = $B69) * (B$2 = df_inc_cat!$A$2:$A$100) * (df_inc_cat!$C$2:$C$100 = "Total private households"), 0), MATCH($F$63, df_inc_cat!$D$1:$M$1, 0)),0)</f>
        <v>0</v>
      </c>
      <c r="F89" s="758">
        <f t="array" ref="F89">IFERROR(INDEX(df_inc_cat!$D$2:$M$100, MATCH(1, (df_inc_cat!$B$2:$B$100 = $B69) * (C$2 = df_inc_cat!$A$2:$A$100) * (df_inc_cat!$C$2:$C$100 = "Total private households"), 0), MATCH($F$63, df_inc_cat!$D$1:$M$1, 0)),0)</f>
        <v>0</v>
      </c>
    </row>
    <row r="90" spans="1:13" ht="20.100000000000001" customHeight="1" x14ac:dyDescent="0.2"/>
    <row r="91" spans="1:13" ht="30" customHeight="1" x14ac:dyDescent="0.2">
      <c r="A91" s="560"/>
      <c r="B91" s="175" t="s">
        <v>1217</v>
      </c>
      <c r="C91" s="310"/>
      <c r="D91" s="310"/>
      <c r="E91" s="310"/>
      <c r="F91" s="310"/>
      <c r="G91" s="310"/>
      <c r="H91" s="310"/>
      <c r="I91" s="310"/>
      <c r="J91" s="310"/>
      <c r="K91" s="310"/>
      <c r="L91" s="310"/>
      <c r="M91" s="310"/>
    </row>
    <row r="92" spans="1:13" ht="20.100000000000001" customHeight="1" x14ac:dyDescent="0.2"/>
    <row r="93" spans="1:13" ht="20.100000000000001" customHeight="1" x14ac:dyDescent="0.2">
      <c r="B93" s="1258" t="s">
        <v>1218</v>
      </c>
      <c r="C93" s="1258"/>
      <c r="D93" s="1258"/>
      <c r="E93" s="1258"/>
      <c r="F93" s="1258"/>
      <c r="G93" s="1258"/>
      <c r="H93" s="1258"/>
    </row>
    <row r="94" spans="1:13" ht="20.100000000000001" customHeight="1" x14ac:dyDescent="0.2"/>
    <row r="95" spans="1:13" ht="20.100000000000001" customHeight="1" x14ac:dyDescent="0.2">
      <c r="B95" s="613"/>
      <c r="C95" s="613"/>
      <c r="D95" s="1234" t="s">
        <v>530</v>
      </c>
      <c r="E95" s="1257"/>
      <c r="F95" s="1257"/>
      <c r="G95" s="1257"/>
      <c r="H95" s="1235"/>
    </row>
    <row r="96" spans="1:13" ht="20.100000000000001" customHeight="1" x14ac:dyDescent="0.2">
      <c r="B96" s="613"/>
      <c r="C96" s="1261" t="s">
        <v>6</v>
      </c>
      <c r="D96" s="819" t="s">
        <v>98</v>
      </c>
      <c r="E96" s="820" t="s">
        <v>8</v>
      </c>
      <c r="F96" s="820" t="s">
        <v>99</v>
      </c>
      <c r="G96" s="820" t="s">
        <v>100</v>
      </c>
      <c r="H96" s="821" t="s">
        <v>9</v>
      </c>
    </row>
    <row r="97" spans="2:18" ht="20.100000000000001" customHeight="1" x14ac:dyDescent="0.2">
      <c r="C97" s="1262"/>
      <c r="D97" s="1266" t="e">
        <f>TEXT(D107,"$#,##0") &amp; " to " &amp; TEXT(D108,"$#,##0")</f>
        <v>#N/A</v>
      </c>
      <c r="E97" s="1264" t="e">
        <f>TEXT(E107,"$#,##0") &amp; " to " &amp; TEXT(E108,"$#,##0")</f>
        <v>#N/A</v>
      </c>
      <c r="F97" s="1264" t="e">
        <f>TEXT(F107,"$#,##0") &amp; " to " &amp; TEXT(F108,"$#,##0")</f>
        <v>#N/A</v>
      </c>
      <c r="G97" s="1264" t="e">
        <f>TEXT(G107,"$#,##0") &amp; " to " &amp; TEXT(G108,"$#,##0")</f>
        <v>#N/A</v>
      </c>
      <c r="H97" s="1259" t="e">
        <f>TEXT(H107,"$#,##0") &amp; "+"</f>
        <v>#N/A</v>
      </c>
    </row>
    <row r="98" spans="2:18" ht="20.100000000000001" customHeight="1" x14ac:dyDescent="0.2">
      <c r="B98" s="282" t="s">
        <v>315</v>
      </c>
      <c r="C98" s="1263"/>
      <c r="D98" s="1267"/>
      <c r="E98" s="1265"/>
      <c r="F98" s="1265"/>
      <c r="G98" s="1265"/>
      <c r="H98" s="1260"/>
    </row>
    <row r="99" spans="2:18" ht="20.100000000000001" customHeight="1" x14ac:dyDescent="0.2">
      <c r="B99" s="47" t="s">
        <v>6</v>
      </c>
      <c r="C99" s="129" t="str">
        <f>IF(D64 = 0, "x", D64)</f>
        <v>x</v>
      </c>
      <c r="D99" s="741" t="str">
        <f t="array" ref="D99:H99">IFERROR(TRANSPOSE(D75:D79),"x")</f>
        <v>x</v>
      </c>
      <c r="E99" s="89" t="str">
        <v>x</v>
      </c>
      <c r="F99" s="89" t="str">
        <v>x</v>
      </c>
      <c r="G99" s="89" t="str">
        <v>x</v>
      </c>
      <c r="H99" s="31" t="str">
        <v>x</v>
      </c>
    </row>
    <row r="100" spans="2:18" ht="20.100000000000001" customHeight="1" x14ac:dyDescent="0.2">
      <c r="B100" s="822" t="s">
        <v>516</v>
      </c>
      <c r="C100" s="737" t="str">
        <f>IF(D64 = 0, "x", E64)</f>
        <v>x</v>
      </c>
      <c r="D100" s="844" t="str">
        <f t="array" ref="D100:H100">IFERROR(TRANSPOSE(E75:E79),"x")</f>
        <v>x</v>
      </c>
      <c r="E100" s="845" t="str">
        <v>x</v>
      </c>
      <c r="F100" s="845" t="str">
        <v>x</v>
      </c>
      <c r="G100" s="845" t="str">
        <v>x</v>
      </c>
      <c r="H100" s="846" t="str">
        <v>x</v>
      </c>
    </row>
    <row r="101" spans="2:18" ht="20.100000000000001" customHeight="1" x14ac:dyDescent="0.2">
      <c r="B101" s="790" t="s">
        <v>517</v>
      </c>
      <c r="C101" s="736" t="str">
        <f>IF(D64 = 0, "x",F64)</f>
        <v>x</v>
      </c>
      <c r="D101" s="733" t="str">
        <f t="array" ref="D101:H101">IFERROR(TRANSPOSE(F75:F79),"x")</f>
        <v>x</v>
      </c>
      <c r="E101" s="734" t="str">
        <v>x</v>
      </c>
      <c r="F101" s="734" t="str">
        <v>x</v>
      </c>
      <c r="G101" s="734" t="str">
        <v>x</v>
      </c>
      <c r="H101" s="195" t="str">
        <v>x</v>
      </c>
    </row>
    <row r="102" spans="2:18" ht="20.100000000000001" customHeight="1" x14ac:dyDescent="0.2">
      <c r="B102" s="822" t="s">
        <v>524</v>
      </c>
      <c r="C102" s="737" t="str">
        <f t="array" ref="C102:C106">IF(D64 = 0, "x", TRANSPOSE(G64:K64))</f>
        <v>x</v>
      </c>
      <c r="D102" s="844" t="str">
        <f t="array" ref="D102:H102">IFERROR(TRANSPOSE(G75:G79),"x")</f>
        <v>x</v>
      </c>
      <c r="E102" s="845" t="str">
        <v>x</v>
      </c>
      <c r="F102" s="845" t="str">
        <v>x</v>
      </c>
      <c r="G102" s="845" t="str">
        <v>x</v>
      </c>
      <c r="H102" s="846" t="str">
        <v>x</v>
      </c>
    </row>
    <row r="103" spans="2:18" ht="20.100000000000001" customHeight="1" x14ac:dyDescent="0.2">
      <c r="B103" s="219" t="s">
        <v>520</v>
      </c>
      <c r="C103" s="123" t="str">
        <v>x</v>
      </c>
      <c r="D103" s="742" t="str">
        <f t="array" ref="D103:H103">IFERROR(TRANSPOSE(H75:H79),"x")</f>
        <v>x</v>
      </c>
      <c r="E103" s="374" t="str">
        <v>x</v>
      </c>
      <c r="F103" s="374" t="str">
        <v>x</v>
      </c>
      <c r="G103" s="374" t="str">
        <v>x</v>
      </c>
      <c r="H103" s="135" t="str">
        <v>x</v>
      </c>
    </row>
    <row r="104" spans="2:18" ht="20.100000000000001" customHeight="1" x14ac:dyDescent="0.2">
      <c r="B104" s="823" t="s">
        <v>521</v>
      </c>
      <c r="C104" s="738" t="str">
        <v>x</v>
      </c>
      <c r="D104" s="829" t="str">
        <f t="array" ref="D104:H104">IFERROR(TRANSPOSE(I75:I79),"x")</f>
        <v>x</v>
      </c>
      <c r="E104" s="830" t="str">
        <v>x</v>
      </c>
      <c r="F104" s="830" t="str">
        <v>x</v>
      </c>
      <c r="G104" s="830" t="str">
        <v>x</v>
      </c>
      <c r="H104" s="73" t="str">
        <v>x</v>
      </c>
    </row>
    <row r="105" spans="2:18" ht="20.100000000000001" customHeight="1" x14ac:dyDescent="0.2">
      <c r="B105" s="219" t="s">
        <v>522</v>
      </c>
      <c r="C105" s="123" t="str">
        <v>x</v>
      </c>
      <c r="D105" s="742" t="str">
        <f t="array" ref="D105:H105">IFERROR(TRANSPOSE(J75:J79),"x")</f>
        <v>x</v>
      </c>
      <c r="E105" s="374" t="str">
        <v>x</v>
      </c>
      <c r="F105" s="374" t="str">
        <v>x</v>
      </c>
      <c r="G105" s="374" t="str">
        <v>x</v>
      </c>
      <c r="H105" s="135" t="str">
        <v>x</v>
      </c>
    </row>
    <row r="106" spans="2:18" ht="20.100000000000001" customHeight="1" x14ac:dyDescent="0.2">
      <c r="B106" s="824" t="s">
        <v>523</v>
      </c>
      <c r="C106" s="739" t="str">
        <v>x</v>
      </c>
      <c r="D106" s="835" t="str">
        <f t="array" ref="D106:H106">IFERROR(TRANSPOSE(K75:K79),"x")</f>
        <v>x</v>
      </c>
      <c r="E106" s="836" t="str">
        <v>x</v>
      </c>
      <c r="F106" s="836" t="str">
        <v>x</v>
      </c>
      <c r="G106" s="836" t="str">
        <v>x</v>
      </c>
      <c r="H106" s="837" t="str">
        <v>x</v>
      </c>
    </row>
    <row r="107" spans="2:18" ht="20.100000000000001" customHeight="1" x14ac:dyDescent="0.2">
      <c r="D107" s="766">
        <v>0</v>
      </c>
      <c r="E107" s="766" t="e">
        <f>D108+1</f>
        <v>#N/A</v>
      </c>
      <c r="F107" s="766" t="e">
        <f t="shared" ref="F107:H107" si="9">E108+1</f>
        <v>#N/A</v>
      </c>
      <c r="G107" s="766" t="e">
        <f t="shared" si="9"/>
        <v>#N/A</v>
      </c>
      <c r="H107" s="766" t="e">
        <f t="shared" si="9"/>
        <v>#N/A</v>
      </c>
    </row>
    <row r="108" spans="2:18" ht="20.100000000000001" customHeight="1" x14ac:dyDescent="0.2">
      <c r="D108" s="766" t="e">
        <f>MROUND($I$84*D109,100)</f>
        <v>#N/A</v>
      </c>
      <c r="E108" s="766" t="e">
        <f>MROUND($I$84*E109,100)</f>
        <v>#N/A</v>
      </c>
      <c r="F108" s="766" t="e">
        <f>MROUND($I$84*F109,100)</f>
        <v>#N/A</v>
      </c>
      <c r="G108" s="766" t="e">
        <f>MROUND($I$84*G109,100)</f>
        <v>#N/A</v>
      </c>
      <c r="H108" s="767"/>
    </row>
    <row r="109" spans="2:18" ht="20.100000000000001" customHeight="1" x14ac:dyDescent="0.2">
      <c r="D109" s="767">
        <v>0.2</v>
      </c>
      <c r="E109" s="767">
        <v>0.5</v>
      </c>
      <c r="F109" s="767">
        <v>0.8</v>
      </c>
      <c r="G109" s="767">
        <v>1.2</v>
      </c>
      <c r="H109" s="768"/>
    </row>
    <row r="110" spans="2:18" ht="20.100000000000001" customHeight="1" x14ac:dyDescent="0.2">
      <c r="D110" s="767"/>
      <c r="E110" s="767"/>
      <c r="F110" s="767"/>
      <c r="G110" s="767"/>
      <c r="H110" s="768"/>
    </row>
    <row r="111" spans="2:18" ht="20.100000000000001" customHeight="1" x14ac:dyDescent="0.2"/>
    <row r="112" spans="2:18" ht="50.1" customHeight="1" x14ac:dyDescent="0.2">
      <c r="B112" s="159" t="s">
        <v>1294</v>
      </c>
      <c r="C112" s="59"/>
      <c r="D112" s="59"/>
      <c r="E112" s="59"/>
      <c r="F112" s="59"/>
      <c r="G112" s="59"/>
      <c r="H112" s="59"/>
      <c r="I112" s="59"/>
      <c r="J112" s="59"/>
      <c r="K112" s="59"/>
      <c r="L112" s="59"/>
      <c r="M112" s="59"/>
      <c r="N112" s="59"/>
      <c r="O112" s="59"/>
      <c r="P112" s="59"/>
      <c r="Q112" s="59"/>
      <c r="R112" s="59"/>
    </row>
    <row r="113" spans="1:18" ht="20.100000000000001" customHeight="1" x14ac:dyDescent="0.2">
      <c r="A113" s="1"/>
      <c r="B113" s="2"/>
      <c r="C113" s="1"/>
      <c r="D113" s="1"/>
      <c r="E113" s="1"/>
      <c r="F113" s="1"/>
      <c r="G113" s="1"/>
      <c r="H113" s="1"/>
      <c r="I113" s="1"/>
      <c r="J113" s="1"/>
      <c r="K113" s="1"/>
      <c r="L113" s="1"/>
      <c r="M113" s="1"/>
      <c r="N113" s="1"/>
      <c r="O113" s="1"/>
      <c r="P113" s="1"/>
      <c r="Q113" s="1"/>
      <c r="R113" s="1"/>
    </row>
    <row r="114" spans="1:18" ht="30" customHeight="1" x14ac:dyDescent="0.2">
      <c r="A114" s="560"/>
      <c r="B114" s="175" t="s">
        <v>1216</v>
      </c>
      <c r="C114" s="310"/>
      <c r="D114" s="310"/>
      <c r="E114" s="310"/>
      <c r="F114" s="310"/>
      <c r="G114" s="310"/>
      <c r="H114" s="310"/>
      <c r="I114" s="310"/>
      <c r="J114" s="310"/>
      <c r="K114" s="310"/>
      <c r="L114" s="310"/>
      <c r="M114" s="310"/>
      <c r="N114" s="310"/>
      <c r="O114" s="310"/>
      <c r="P114" s="310"/>
      <c r="Q114" s="310"/>
      <c r="R114" s="310"/>
    </row>
    <row r="115" spans="1:18" ht="20.100000000000001" customHeight="1" x14ac:dyDescent="0.2"/>
    <row r="116" spans="1:18" ht="20.100000000000001" customHeight="1" x14ac:dyDescent="0.2">
      <c r="B116" s="1240" t="s">
        <v>682</v>
      </c>
      <c r="C116" s="1240"/>
      <c r="D116" s="1240"/>
      <c r="E116" s="1240"/>
      <c r="F116" s="1240"/>
      <c r="G116" s="1240"/>
      <c r="H116" s="1240"/>
      <c r="I116" s="1240"/>
      <c r="K116" s="1240" t="s">
        <v>683</v>
      </c>
      <c r="L116" s="1240"/>
      <c r="M116" s="1240"/>
      <c r="N116" s="1240"/>
      <c r="O116" s="1240"/>
      <c r="P116" s="1240"/>
      <c r="Q116" s="1240"/>
      <c r="R116" s="1240"/>
    </row>
    <row r="117" spans="1:18" ht="20.100000000000001" customHeight="1" x14ac:dyDescent="0.2"/>
    <row r="118" spans="1:18" ht="20.100000000000001" customHeight="1" x14ac:dyDescent="0.2">
      <c r="D118" s="1238" t="s">
        <v>181</v>
      </c>
      <c r="E118" s="1239"/>
      <c r="F118" s="1238" t="s">
        <v>182</v>
      </c>
      <c r="G118" s="1239"/>
      <c r="H118" s="1238" t="s">
        <v>183</v>
      </c>
      <c r="I118" s="1239"/>
      <c r="M118" s="1238" t="s">
        <v>181</v>
      </c>
      <c r="N118" s="1239"/>
      <c r="O118" s="1238" t="s">
        <v>182</v>
      </c>
      <c r="P118" s="1239"/>
      <c r="Q118" s="1238" t="s">
        <v>183</v>
      </c>
      <c r="R118" s="1239"/>
    </row>
    <row r="119" spans="1:18" ht="20.100000000000001" customHeight="1" x14ac:dyDescent="0.2">
      <c r="B119" s="206" t="s">
        <v>1280</v>
      </c>
      <c r="C119" s="72"/>
      <c r="D119" s="206">
        <v>2015</v>
      </c>
      <c r="E119" s="562">
        <v>2020</v>
      </c>
      <c r="F119" s="206">
        <v>2015</v>
      </c>
      <c r="G119" s="562">
        <v>2020</v>
      </c>
      <c r="H119" s="206">
        <v>2015</v>
      </c>
      <c r="I119" s="562">
        <v>2020</v>
      </c>
      <c r="K119" s="206" t="s">
        <v>1280</v>
      </c>
      <c r="L119" s="72"/>
      <c r="M119" s="206">
        <v>2015</v>
      </c>
      <c r="N119" s="562">
        <v>2020</v>
      </c>
      <c r="O119" s="206">
        <v>2015</v>
      </c>
      <c r="P119" s="562">
        <v>2020</v>
      </c>
      <c r="Q119" s="206">
        <v>2015</v>
      </c>
      <c r="R119" s="562">
        <v>2020</v>
      </c>
    </row>
    <row r="120" spans="1:18" ht="20.100000000000001" customHeight="1" x14ac:dyDescent="0.2">
      <c r="B120" s="206" t="s">
        <v>238</v>
      </c>
      <c r="C120" s="72"/>
      <c r="D120" s="564">
        <f t="array" ref="D120">IFERROR(INDEX(df_mbm!$F$2:$H$1000, MATCH(1, ($A$2 = df_mbm!$B$2:$B$1000) * (df_mbm!$C$2:$C$1000 = $B120) * (D$119 = df_mbm!$D$2:$D$1000) * ("Total" = df_mbm!$E$2:$E$1000), 0), MATCH("mbm_appl", df_mbm!$F$1:$H$1,0)),0)</f>
        <v>0</v>
      </c>
      <c r="E120" s="566">
        <f t="array" ref="E120">IFERROR(INDEX(df_mbm!$F$2:$H$1000, MATCH(1, ($A$2 = df_mbm!$B$2:$B$1000) * (df_mbm!$C$2:$C$1000 = $B120) * (E$119 = df_mbm!$D$2:$D$1000) * ("Total" = df_mbm!$E$2:$E$1000), 0), MATCH("mbm_appl", df_mbm!$F$1:$H$1,0)),0)</f>
        <v>0</v>
      </c>
      <c r="F120" s="564">
        <f t="array" ref="F120">IFERROR(INDEX(df_mbm!$F$2:$H$1000, MATCH(1, ($B$2 = df_mbm!$B$2:$B$1000) * (df_mbm!$C$2:$C$1000 = $B120) * (F$119 = df_mbm!$D$2:$D$1000) * ("Total" = df_mbm!$E$2:$E$1000), 0), MATCH("mbm_appl", df_mbm!$F$1:$H$1,0)),0)</f>
        <v>0</v>
      </c>
      <c r="G120" s="566">
        <f t="array" ref="G120">IFERROR(INDEX(df_mbm!$F$2:$H$1000, MATCH(1, ($B$2 = df_mbm!$B$2:$B$1000) * (df_mbm!$C$2:$C$1000 = $B120) * (G$119 = df_mbm!$D$2:$D$1000) * ("Total" = df_mbm!$E$2:$E$1000), 0), MATCH("mbm_appl", df_mbm!$F$1:$H$1,0)),0)</f>
        <v>0</v>
      </c>
      <c r="H120" s="564">
        <f t="array" ref="H120">IFERROR(INDEX(df_mbm!$F$2:$H$1000, MATCH(1, ($C$2 = df_mbm!$B$2:$B$1000) * (df_mbm!$C$2:$C$1000 = $B120) * (H$119 = df_mbm!$D$2:$D$1000) * ("Total" = df_mbm!$E$2:$E$1000), 0), MATCH("mbm_appl", df_mbm!$F$1:$H$1,0)),0)</f>
        <v>0</v>
      </c>
      <c r="I120" s="566">
        <f t="array" ref="I120">IFERROR(INDEX(df_mbm!$F$2:$H$1000, MATCH(1, ($C$2 = df_mbm!$B$2:$B$1000) * (df_mbm!$C$2:$C$1000 = $B120) * (I$119 = df_mbm!$D$2:$D$1000) * ("Total" = df_mbm!$E$2:$E$1000), 0), MATCH("mbm_appl", df_mbm!$F$1:$H$1,0)),0)</f>
        <v>0</v>
      </c>
      <c r="K120" s="206" t="s">
        <v>238</v>
      </c>
      <c r="L120" s="72"/>
      <c r="M120" s="564">
        <f t="array" ref="M120">IFERROR(INDEX(df_mbm!$F$2:$H$1000, MATCH(1, ($A$2 = df_mbm!$B$2:$B$1000) * (df_mbm!$C$2:$C$1000 = $B120) * (M$119 = df_mbm!$D$2:$D$1000) * ("Total" = df_mbm!$E$2:$E$1000), 0), MATCH("mbm_yes", df_mbm!$F$1:$H$1,0)),0)</f>
        <v>0</v>
      </c>
      <c r="N120" s="566">
        <f t="array" ref="N120">IFERROR(INDEX(df_mbm!$F$2:$H$1000, MATCH(1, ($A$2 = df_mbm!$B$2:$B$1000) * (df_mbm!$C$2:$C$1000 = $B120) * (N$119 = df_mbm!$D$2:$D$1000) * ("Total" = df_mbm!$E$2:$E$1000), 0), MATCH("mbm_yes", df_mbm!$F$1:$H$1,0)),0)</f>
        <v>0</v>
      </c>
      <c r="O120" s="564">
        <f t="array" ref="O120">IFERROR(INDEX(df_mbm!$F$2:$H$1000, MATCH(1, ($B$2 = df_mbm!$B$2:$B$1000) * (df_mbm!$C$2:$C$1000 = $B120) * (O$119 = df_mbm!$D$2:$D$1000) * ("Total" = df_mbm!$E$2:$E$1000), 0), MATCH("mbm_yes", df_mbm!$F$1:$H$1,0)),0)</f>
        <v>0</v>
      </c>
      <c r="P120" s="566">
        <f t="array" ref="P120">IFERROR(INDEX(df_mbm!$F$2:$H$1000, MATCH(1, ($B$2 = df_mbm!$B$2:$B$1000) * (df_mbm!$C$2:$C$1000 = $B120) * (P$119 = df_mbm!$D$2:$D$1000) * ("Total" = df_mbm!$E$2:$E$1000), 0), MATCH("mbm_yes", df_mbm!$F$1:$H$1,0)),0)</f>
        <v>0</v>
      </c>
      <c r="Q120" s="564">
        <f t="array" ref="Q120">IFERROR(INDEX(df_mbm!$F$2:$H$1000, MATCH(1, ($C$2 = df_mbm!$B$2:$B$1000) * (df_mbm!$C$2:$C$1000 = $B120) * (Q$119 = df_mbm!$D$2:$D$1000) * ("Total" = df_mbm!$E$2:$E$1000), 0), MATCH("mbm_yes", df_mbm!$F$1:$H$1,0)),0)</f>
        <v>0</v>
      </c>
      <c r="R120" s="566">
        <f t="array" ref="R120">IFERROR(INDEX(df_mbm!$F$2:$H$1000, MATCH(1, ($C$2 = df_mbm!$B$2:$B$1000) * (df_mbm!$C$2:$C$1000 = $B120) * (R$119 = df_mbm!$D$2:$D$1000) * ("Total" = df_mbm!$E$2:$E$1000), 0), MATCH("mbm_yes", df_mbm!$F$1:$H$1,0)),0)</f>
        <v>0</v>
      </c>
    </row>
    <row r="121" spans="1:18" ht="20.100000000000001" customHeight="1" x14ac:dyDescent="0.2">
      <c r="B121" s="570" t="s">
        <v>675</v>
      </c>
      <c r="C121" s="493"/>
      <c r="D121" s="557">
        <f t="array" ref="D121">IFERROR(INDEX(df_mbm!$F$2:$H$1000, MATCH(1, ($A$2 = df_mbm!$B$2:$B$1000) * (df_mbm!$C$2:$C$1000 = $B121) * (D$119 = df_mbm!$D$2:$D$1000) * ("Total" = df_mbm!$E$2:$E$1000), 0), MATCH("mbm_appl", df_mbm!$F$1:$H$1,0)),0)</f>
        <v>0</v>
      </c>
      <c r="E121" s="556">
        <f t="array" ref="E121">IFERROR(INDEX(df_mbm!$F$2:$H$1000, MATCH(1, ($A$2 = df_mbm!$B$2:$B$1000) * (df_mbm!$C$2:$C$1000 = $B121) * (E$119 = df_mbm!$D$2:$D$1000) * ("Total" = df_mbm!$E$2:$E$1000), 0), MATCH("mbm_appl", df_mbm!$F$1:$H$1,0)),0)</f>
        <v>0</v>
      </c>
      <c r="F121" s="557">
        <f t="array" ref="F121">IFERROR(INDEX(df_mbm!$F$2:$H$1000, MATCH(1, ($B$2 = df_mbm!$B$2:$B$1000) * (df_mbm!$C$2:$C$1000 = $B121) * (F$119 = df_mbm!$D$2:$D$1000) * ("Total" = df_mbm!$E$2:$E$1000), 0), MATCH("mbm_appl", df_mbm!$F$1:$H$1,0)),0)</f>
        <v>0</v>
      </c>
      <c r="G121" s="556">
        <f t="array" ref="G121">IFERROR(INDEX(df_mbm!$F$2:$H$1000, MATCH(1, ($B$2 = df_mbm!$B$2:$B$1000) * (df_mbm!$C$2:$C$1000 = $B121) * (G$119 = df_mbm!$D$2:$D$1000) * ("Total" = df_mbm!$E$2:$E$1000), 0), MATCH("mbm_appl", df_mbm!$F$1:$H$1,0)),0)</f>
        <v>0</v>
      </c>
      <c r="H121" s="557">
        <f t="array" ref="H121">IFERROR(INDEX(df_mbm!$F$2:$H$1000, MATCH(1, ($C$2 = df_mbm!$B$2:$B$1000) * (df_mbm!$C$2:$C$1000 = $B121) * (H$119 = df_mbm!$D$2:$D$1000) * ("Total" = df_mbm!$E$2:$E$1000), 0), MATCH("mbm_appl", df_mbm!$F$1:$H$1,0)),0)</f>
        <v>0</v>
      </c>
      <c r="I121" s="556">
        <f t="array" ref="I121">IFERROR(INDEX(df_mbm!$F$2:$H$1000, MATCH(1, ($C$2 = df_mbm!$B$2:$B$1000) * (df_mbm!$C$2:$C$1000 = $B121) * (I$119 = df_mbm!$D$2:$D$1000) * ("Total" = df_mbm!$E$2:$E$1000), 0), MATCH("mbm_appl", df_mbm!$F$1:$H$1,0)),0)</f>
        <v>0</v>
      </c>
      <c r="K121" s="570" t="s">
        <v>675</v>
      </c>
      <c r="L121" s="493"/>
      <c r="M121" s="557">
        <f t="array" ref="M121">IFERROR(INDEX(df_mbm!$F$2:$H$1000, MATCH(1, ($A$2 = df_mbm!$B$2:$B$1000) * (df_mbm!$C$2:$C$1000 = $B121) * (M$119 = df_mbm!$D$2:$D$1000) * ("Total" = df_mbm!$E$2:$E$1000), 0), MATCH("mbm_yes", df_mbm!$F$1:$H$1,0)),0)</f>
        <v>0</v>
      </c>
      <c r="N121" s="556">
        <f t="array" ref="N121">IFERROR(INDEX(df_mbm!$F$2:$H$1000, MATCH(1, ($A$2 = df_mbm!$B$2:$B$1000) * (df_mbm!$C$2:$C$1000 = $B121) * (N$119 = df_mbm!$D$2:$D$1000) * ("Total" = df_mbm!$E$2:$E$1000), 0), MATCH("mbm_yes", df_mbm!$F$1:$H$1,0)),0)</f>
        <v>0</v>
      </c>
      <c r="O121" s="557">
        <f t="array" ref="O121">IFERROR(INDEX(df_mbm!$F$2:$H$1000, MATCH(1, ($B$2 = df_mbm!$B$2:$B$1000) * (df_mbm!$C$2:$C$1000 = $B121) * (O$119 = df_mbm!$D$2:$D$1000) * ("Total" = df_mbm!$E$2:$E$1000), 0), MATCH("mbm_yes", df_mbm!$F$1:$H$1,0)),0)</f>
        <v>0</v>
      </c>
      <c r="P121" s="556">
        <f t="array" ref="P121">IFERROR(INDEX(df_mbm!$F$2:$H$1000, MATCH(1, ($B$2 = df_mbm!$B$2:$B$1000) * (df_mbm!$C$2:$C$1000 = $B121) * (P$119 = df_mbm!$D$2:$D$1000) * ("Total" = df_mbm!$E$2:$E$1000), 0), MATCH("mbm_yes", df_mbm!$F$1:$H$1,0)),0)</f>
        <v>0</v>
      </c>
      <c r="Q121" s="557">
        <f t="array" ref="Q121">IFERROR(INDEX(df_mbm!$F$2:$H$1000, MATCH(1, ($C$2 = df_mbm!$B$2:$B$1000) * (df_mbm!$C$2:$C$1000 = $B121) * (Q$119 = df_mbm!$D$2:$D$1000) * ("Total" = df_mbm!$E$2:$E$1000), 0), MATCH("mbm_yes", df_mbm!$F$1:$H$1,0)),0)</f>
        <v>0</v>
      </c>
      <c r="R121" s="556">
        <f t="array" ref="R121">IFERROR(INDEX(df_mbm!$F$2:$H$1000, MATCH(1, ($C$2 = df_mbm!$B$2:$B$1000) * (df_mbm!$C$2:$C$1000 = $B121) * (R$119 = df_mbm!$D$2:$D$1000) * ("Total" = df_mbm!$E$2:$E$1000), 0), MATCH("mbm_yes", df_mbm!$F$1:$H$1,0)),0)</f>
        <v>0</v>
      </c>
    </row>
    <row r="122" spans="1:18" ht="20.100000000000001" customHeight="1" x14ac:dyDescent="0.2">
      <c r="B122" s="84" t="s">
        <v>676</v>
      </c>
      <c r="C122" s="173"/>
      <c r="D122" s="558">
        <f t="array" ref="D122">IFERROR(INDEX(df_mbm!$F$2:$H$1000, MATCH(1, ($A$2 = df_mbm!$B$2:$B$1000) * (df_mbm!$C$2:$C$1000 = $B122) * (D$119 = df_mbm!$D$2:$D$1000) * ("Total" = df_mbm!$E$2:$E$1000), 0), MATCH("mbm_appl", df_mbm!$F$1:$H$1,0)),0)</f>
        <v>0</v>
      </c>
      <c r="E122" s="552">
        <f t="array" ref="E122">IFERROR(INDEX(df_mbm!$F$2:$H$1000, MATCH(1, ($A$2 = df_mbm!$B$2:$B$1000) * (df_mbm!$C$2:$C$1000 = $B122) * (E$119 = df_mbm!$D$2:$D$1000) * ("Total" = df_mbm!$E$2:$E$1000), 0), MATCH("mbm_appl", df_mbm!$F$1:$H$1,0)),0)</f>
        <v>0</v>
      </c>
      <c r="F122" s="558">
        <f t="array" ref="F122">IFERROR(INDEX(df_mbm!$F$2:$H$1000, MATCH(1, ($B$2 = df_mbm!$B$2:$B$1000) * (df_mbm!$C$2:$C$1000 = $B122) * (F$119 = df_mbm!$D$2:$D$1000) * ("Total" = df_mbm!$E$2:$E$1000), 0), MATCH("mbm_appl", df_mbm!$F$1:$H$1,0)),0)</f>
        <v>0</v>
      </c>
      <c r="G122" s="552">
        <f t="array" ref="G122">IFERROR(INDEX(df_mbm!$F$2:$H$1000, MATCH(1, ($B$2 = df_mbm!$B$2:$B$1000) * (df_mbm!$C$2:$C$1000 = $B122) * (G$119 = df_mbm!$D$2:$D$1000) * ("Total" = df_mbm!$E$2:$E$1000), 0), MATCH("mbm_appl", df_mbm!$F$1:$H$1,0)),0)</f>
        <v>0</v>
      </c>
      <c r="H122" s="558">
        <f t="array" ref="H122">IFERROR(INDEX(df_mbm!$F$2:$H$1000, MATCH(1, ($C$2 = df_mbm!$B$2:$B$1000) * (df_mbm!$C$2:$C$1000 = $B122) * (H$119 = df_mbm!$D$2:$D$1000) * ("Total" = df_mbm!$E$2:$E$1000), 0), MATCH("mbm_appl", df_mbm!$F$1:$H$1,0)),0)</f>
        <v>0</v>
      </c>
      <c r="I122" s="552">
        <f t="array" ref="I122">IFERROR(INDEX(df_mbm!$F$2:$H$1000, MATCH(1, ($C$2 = df_mbm!$B$2:$B$1000) * (df_mbm!$C$2:$C$1000 = $B122) * (I$119 = df_mbm!$D$2:$D$1000) * ("Total" = df_mbm!$E$2:$E$1000), 0), MATCH("mbm_appl", df_mbm!$F$1:$H$1,0)),0)</f>
        <v>0</v>
      </c>
      <c r="K122" s="84" t="s">
        <v>676</v>
      </c>
      <c r="L122" s="173"/>
      <c r="M122" s="558">
        <f t="array" ref="M122">IFERROR(INDEX(df_mbm!$F$2:$H$1000, MATCH(1, ($A$2 = df_mbm!$B$2:$B$1000) * (df_mbm!$C$2:$C$1000 = $B122) * (M$119 = df_mbm!$D$2:$D$1000) * ("Total" = df_mbm!$E$2:$E$1000), 0), MATCH("mbm_yes", df_mbm!$F$1:$H$1,0)),0)</f>
        <v>0</v>
      </c>
      <c r="N122" s="552">
        <f t="array" ref="N122">IFERROR(INDEX(df_mbm!$F$2:$H$1000, MATCH(1, ($A$2 = df_mbm!$B$2:$B$1000) * (df_mbm!$C$2:$C$1000 = $B122) * (N$119 = df_mbm!$D$2:$D$1000) * ("Total" = df_mbm!$E$2:$E$1000), 0), MATCH("mbm_yes", df_mbm!$F$1:$H$1,0)),0)</f>
        <v>0</v>
      </c>
      <c r="O122" s="558">
        <f t="array" ref="O122">IFERROR(INDEX(df_mbm!$F$2:$H$1000, MATCH(1, ($B$2 = df_mbm!$B$2:$B$1000) * (df_mbm!$C$2:$C$1000 = $B122) * (O$119 = df_mbm!$D$2:$D$1000) * ("Total" = df_mbm!$E$2:$E$1000), 0), MATCH("mbm_yes", df_mbm!$F$1:$H$1,0)),0)</f>
        <v>0</v>
      </c>
      <c r="P122" s="552">
        <f t="array" ref="P122">IFERROR(INDEX(df_mbm!$F$2:$H$1000, MATCH(1, ($B$2 = df_mbm!$B$2:$B$1000) * (df_mbm!$C$2:$C$1000 = $B122) * (P$119 = df_mbm!$D$2:$D$1000) * ("Total" = df_mbm!$E$2:$E$1000), 0), MATCH("mbm_yes", df_mbm!$F$1:$H$1,0)),0)</f>
        <v>0</v>
      </c>
      <c r="Q122" s="558">
        <f t="array" ref="Q122">IFERROR(INDEX(df_mbm!$F$2:$H$1000, MATCH(1, ($C$2 = df_mbm!$B$2:$B$1000) * (df_mbm!$C$2:$C$1000 = $B122) * (Q$119 = df_mbm!$D$2:$D$1000) * ("Total" = df_mbm!$E$2:$E$1000), 0), MATCH("mbm_yes", df_mbm!$F$1:$H$1,0)),0)</f>
        <v>0</v>
      </c>
      <c r="R122" s="552">
        <f t="array" ref="R122">IFERROR(INDEX(df_mbm!$F$2:$H$1000, MATCH(1, ($C$2 = df_mbm!$B$2:$B$1000) * (df_mbm!$C$2:$C$1000 = $B122) * (R$119 = df_mbm!$D$2:$D$1000) * ("Total" = df_mbm!$E$2:$E$1000), 0), MATCH("mbm_yes", df_mbm!$F$1:$H$1,0)),0)</f>
        <v>0</v>
      </c>
    </row>
    <row r="123" spans="1:18" ht="20.100000000000001" customHeight="1" x14ac:dyDescent="0.2">
      <c r="B123" s="84" t="s">
        <v>677</v>
      </c>
      <c r="C123" s="173"/>
      <c r="D123" s="558">
        <f t="array" ref="D123">IFERROR(INDEX(df_mbm!$F$2:$H$1000, MATCH(1, ($A$2 = df_mbm!$B$2:$B$1000) * (df_mbm!$C$2:$C$1000 = $B123) * (D$119 = df_mbm!$D$2:$D$1000) * ("Total" = df_mbm!$E$2:$E$1000), 0), MATCH("mbm_appl", df_mbm!$F$1:$H$1,0)),0)</f>
        <v>0</v>
      </c>
      <c r="E123" s="552">
        <f t="array" ref="E123">IFERROR(INDEX(df_mbm!$F$2:$H$1000, MATCH(1, ($A$2 = df_mbm!$B$2:$B$1000) * (df_mbm!$C$2:$C$1000 = $B123) * (E$119 = df_mbm!$D$2:$D$1000) * ("Total" = df_mbm!$E$2:$E$1000), 0), MATCH("mbm_appl", df_mbm!$F$1:$H$1,0)),0)</f>
        <v>0</v>
      </c>
      <c r="F123" s="558">
        <f t="array" ref="F123">IFERROR(INDEX(df_mbm!$F$2:$H$1000, MATCH(1, ($B$2 = df_mbm!$B$2:$B$1000) * (df_mbm!$C$2:$C$1000 = $B123) * (F$119 = df_mbm!$D$2:$D$1000) * ("Total" = df_mbm!$E$2:$E$1000), 0), MATCH("mbm_appl", df_mbm!$F$1:$H$1,0)),0)</f>
        <v>0</v>
      </c>
      <c r="G123" s="552">
        <f t="array" ref="G123">IFERROR(INDEX(df_mbm!$F$2:$H$1000, MATCH(1, ($B$2 = df_mbm!$B$2:$B$1000) * (df_mbm!$C$2:$C$1000 = $B123) * (G$119 = df_mbm!$D$2:$D$1000) * ("Total" = df_mbm!$E$2:$E$1000), 0), MATCH("mbm_appl", df_mbm!$F$1:$H$1,0)),0)</f>
        <v>0</v>
      </c>
      <c r="H123" s="558">
        <f t="array" ref="H123">IFERROR(INDEX(df_mbm!$F$2:$H$1000, MATCH(1, ($C$2 = df_mbm!$B$2:$B$1000) * (df_mbm!$C$2:$C$1000 = $B123) * (H$119 = df_mbm!$D$2:$D$1000) * ("Total" = df_mbm!$E$2:$E$1000), 0), MATCH("mbm_appl", df_mbm!$F$1:$H$1,0)),0)</f>
        <v>0</v>
      </c>
      <c r="I123" s="552">
        <f t="array" ref="I123">IFERROR(INDEX(df_mbm!$F$2:$H$1000, MATCH(1, ($C$2 = df_mbm!$B$2:$B$1000) * (df_mbm!$C$2:$C$1000 = $B123) * (I$119 = df_mbm!$D$2:$D$1000) * ("Total" = df_mbm!$E$2:$E$1000), 0), MATCH("mbm_appl", df_mbm!$F$1:$H$1,0)),0)</f>
        <v>0</v>
      </c>
      <c r="K123" s="84" t="s">
        <v>677</v>
      </c>
      <c r="L123" s="173"/>
      <c r="M123" s="558">
        <f t="array" ref="M123">IFERROR(INDEX(df_mbm!$F$2:$H$1000, MATCH(1, ($A$2 = df_mbm!$B$2:$B$1000) * (df_mbm!$C$2:$C$1000 = $B123) * (M$119 = df_mbm!$D$2:$D$1000) * ("Total" = df_mbm!$E$2:$E$1000), 0), MATCH("mbm_yes", df_mbm!$F$1:$H$1,0)),0)</f>
        <v>0</v>
      </c>
      <c r="N123" s="552">
        <f t="array" ref="N123">IFERROR(INDEX(df_mbm!$F$2:$H$1000, MATCH(1, ($A$2 = df_mbm!$B$2:$B$1000) * (df_mbm!$C$2:$C$1000 = $B123) * (N$119 = df_mbm!$D$2:$D$1000) * ("Total" = df_mbm!$E$2:$E$1000), 0), MATCH("mbm_yes", df_mbm!$F$1:$H$1,0)),0)</f>
        <v>0</v>
      </c>
      <c r="O123" s="558">
        <f t="array" ref="O123">IFERROR(INDEX(df_mbm!$F$2:$H$1000, MATCH(1, ($B$2 = df_mbm!$B$2:$B$1000) * (df_mbm!$C$2:$C$1000 = $B123) * (O$119 = df_mbm!$D$2:$D$1000) * ("Total" = df_mbm!$E$2:$E$1000), 0), MATCH("mbm_yes", df_mbm!$F$1:$H$1,0)),0)</f>
        <v>0</v>
      </c>
      <c r="P123" s="552">
        <f t="array" ref="P123">IFERROR(INDEX(df_mbm!$F$2:$H$1000, MATCH(1, ($B$2 = df_mbm!$B$2:$B$1000) * (df_mbm!$C$2:$C$1000 = $B123) * (P$119 = df_mbm!$D$2:$D$1000) * ("Total" = df_mbm!$E$2:$E$1000), 0), MATCH("mbm_yes", df_mbm!$F$1:$H$1,0)),0)</f>
        <v>0</v>
      </c>
      <c r="Q123" s="558">
        <f t="array" ref="Q123">IFERROR(INDEX(df_mbm!$F$2:$H$1000, MATCH(1, ($C$2 = df_mbm!$B$2:$B$1000) * (df_mbm!$C$2:$C$1000 = $B123) * (Q$119 = df_mbm!$D$2:$D$1000) * ("Total" = df_mbm!$E$2:$E$1000), 0), MATCH("mbm_yes", df_mbm!$F$1:$H$1,0)),0)</f>
        <v>0</v>
      </c>
      <c r="R123" s="552">
        <f t="array" ref="R123">IFERROR(INDEX(df_mbm!$F$2:$H$1000, MATCH(1, ($C$2 = df_mbm!$B$2:$B$1000) * (df_mbm!$C$2:$C$1000 = $B123) * (R$119 = df_mbm!$D$2:$D$1000) * ("Total" = df_mbm!$E$2:$E$1000), 0), MATCH("mbm_yes", df_mbm!$F$1:$H$1,0)),0)</f>
        <v>0</v>
      </c>
    </row>
    <row r="124" spans="1:18" ht="20.100000000000001" customHeight="1" x14ac:dyDescent="0.2">
      <c r="B124" s="84" t="s">
        <v>678</v>
      </c>
      <c r="C124" s="173"/>
      <c r="D124" s="558">
        <f t="array" ref="D124">IFERROR(INDEX(df_mbm!$F$2:$H$1000, MATCH(1, ($A$2 = df_mbm!$B$2:$B$1000) * (df_mbm!$C$2:$C$1000 = $B124) * (D$119 = df_mbm!$D$2:$D$1000) * ("Total" = df_mbm!$E$2:$E$1000), 0), MATCH("mbm_appl", df_mbm!$F$1:$H$1,0)),0)</f>
        <v>0</v>
      </c>
      <c r="E124" s="552">
        <f t="array" ref="E124">IFERROR(INDEX(df_mbm!$F$2:$H$1000, MATCH(1, ($A$2 = df_mbm!$B$2:$B$1000) * (df_mbm!$C$2:$C$1000 = $B124) * (E$119 = df_mbm!$D$2:$D$1000) * ("Total" = df_mbm!$E$2:$E$1000), 0), MATCH("mbm_appl", df_mbm!$F$1:$H$1,0)),0)</f>
        <v>0</v>
      </c>
      <c r="F124" s="558">
        <f t="array" ref="F124">IFERROR(INDEX(df_mbm!$F$2:$H$1000, MATCH(1, ($B$2 = df_mbm!$B$2:$B$1000) * (df_mbm!$C$2:$C$1000 = $B124) * (F$119 = df_mbm!$D$2:$D$1000) * ("Total" = df_mbm!$E$2:$E$1000), 0), MATCH("mbm_appl", df_mbm!$F$1:$H$1,0)),0)</f>
        <v>0</v>
      </c>
      <c r="G124" s="552">
        <f t="array" ref="G124">IFERROR(INDEX(df_mbm!$F$2:$H$1000, MATCH(1, ($B$2 = df_mbm!$B$2:$B$1000) * (df_mbm!$C$2:$C$1000 = $B124) * (G$119 = df_mbm!$D$2:$D$1000) * ("Total" = df_mbm!$E$2:$E$1000), 0), MATCH("mbm_appl", df_mbm!$F$1:$H$1,0)),0)</f>
        <v>0</v>
      </c>
      <c r="H124" s="558">
        <f t="array" ref="H124">IFERROR(INDEX(df_mbm!$F$2:$H$1000, MATCH(1, ($C$2 = df_mbm!$B$2:$B$1000) * (df_mbm!$C$2:$C$1000 = $B124) * (H$119 = df_mbm!$D$2:$D$1000) * ("Total" = df_mbm!$E$2:$E$1000), 0), MATCH("mbm_appl", df_mbm!$F$1:$H$1,0)),0)</f>
        <v>0</v>
      </c>
      <c r="I124" s="552">
        <f t="array" ref="I124">IFERROR(INDEX(df_mbm!$F$2:$H$1000, MATCH(1, ($C$2 = df_mbm!$B$2:$B$1000) * (df_mbm!$C$2:$C$1000 = $B124) * (I$119 = df_mbm!$D$2:$D$1000) * ("Total" = df_mbm!$E$2:$E$1000), 0), MATCH("mbm_appl", df_mbm!$F$1:$H$1,0)),0)</f>
        <v>0</v>
      </c>
      <c r="K124" s="84" t="s">
        <v>678</v>
      </c>
      <c r="L124" s="173"/>
      <c r="M124" s="558">
        <f t="array" ref="M124">IFERROR(INDEX(df_mbm!$F$2:$H$1000, MATCH(1, ($A$2 = df_mbm!$B$2:$B$1000) * (df_mbm!$C$2:$C$1000 = $B124) * (M$119 = df_mbm!$D$2:$D$1000) * ("Total" = df_mbm!$E$2:$E$1000), 0), MATCH("mbm_yes", df_mbm!$F$1:$H$1,0)),0)</f>
        <v>0</v>
      </c>
      <c r="N124" s="552">
        <f t="array" ref="N124">IFERROR(INDEX(df_mbm!$F$2:$H$1000, MATCH(1, ($A$2 = df_mbm!$B$2:$B$1000) * (df_mbm!$C$2:$C$1000 = $B124) * (N$119 = df_mbm!$D$2:$D$1000) * ("Total" = df_mbm!$E$2:$E$1000), 0), MATCH("mbm_yes", df_mbm!$F$1:$H$1,0)),0)</f>
        <v>0</v>
      </c>
      <c r="O124" s="558">
        <f t="array" ref="O124">IFERROR(INDEX(df_mbm!$F$2:$H$1000, MATCH(1, ($B$2 = df_mbm!$B$2:$B$1000) * (df_mbm!$C$2:$C$1000 = $B124) * (O$119 = df_mbm!$D$2:$D$1000) * ("Total" = df_mbm!$E$2:$E$1000), 0), MATCH("mbm_yes", df_mbm!$F$1:$H$1,0)),0)</f>
        <v>0</v>
      </c>
      <c r="P124" s="552">
        <f t="array" ref="P124">IFERROR(INDEX(df_mbm!$F$2:$H$1000, MATCH(1, ($B$2 = df_mbm!$B$2:$B$1000) * (df_mbm!$C$2:$C$1000 = $B124) * (P$119 = df_mbm!$D$2:$D$1000) * ("Total" = df_mbm!$E$2:$E$1000), 0), MATCH("mbm_yes", df_mbm!$F$1:$H$1,0)),0)</f>
        <v>0</v>
      </c>
      <c r="Q124" s="558">
        <f t="array" ref="Q124">IFERROR(INDEX(df_mbm!$F$2:$H$1000, MATCH(1, ($C$2 = df_mbm!$B$2:$B$1000) * (df_mbm!$C$2:$C$1000 = $B124) * (Q$119 = df_mbm!$D$2:$D$1000) * ("Total" = df_mbm!$E$2:$E$1000), 0), MATCH("mbm_yes", df_mbm!$F$1:$H$1,0)),0)</f>
        <v>0</v>
      </c>
      <c r="R124" s="552">
        <f t="array" ref="R124">IFERROR(INDEX(df_mbm!$F$2:$H$1000, MATCH(1, ($C$2 = df_mbm!$B$2:$B$1000) * (df_mbm!$C$2:$C$1000 = $B124) * (R$119 = df_mbm!$D$2:$D$1000) * ("Total" = df_mbm!$E$2:$E$1000), 0), MATCH("mbm_yes", df_mbm!$F$1:$H$1,0)),0)</f>
        <v>0</v>
      </c>
    </row>
    <row r="125" spans="1:18" ht="20.100000000000001" customHeight="1" x14ac:dyDescent="0.2">
      <c r="B125" s="84" t="s">
        <v>92</v>
      </c>
      <c r="C125" s="173"/>
      <c r="D125" s="558">
        <f t="array" ref="D125">IFERROR(INDEX(df_mbm!$F$2:$H$1000, MATCH(1, ($A$2 = df_mbm!$B$2:$B$1000) * (df_mbm!$C$2:$C$1000 = $B125) * (D$119 = df_mbm!$D$2:$D$1000) * ("Total" = df_mbm!$E$2:$E$1000), 0), MATCH("mbm_appl", df_mbm!$F$1:$H$1,0)),0)</f>
        <v>0</v>
      </c>
      <c r="E125" s="552">
        <f t="array" ref="E125">IFERROR(INDEX(df_mbm!$F$2:$H$1000, MATCH(1, ($A$2 = df_mbm!$B$2:$B$1000) * (df_mbm!$C$2:$C$1000 = $B125) * (E$119 = df_mbm!$D$2:$D$1000) * ("Total" = df_mbm!$E$2:$E$1000), 0), MATCH("mbm_appl", df_mbm!$F$1:$H$1,0)),0)</f>
        <v>0</v>
      </c>
      <c r="F125" s="558">
        <f t="array" ref="F125">IFERROR(INDEX(df_mbm!$F$2:$H$1000, MATCH(1, ($B$2 = df_mbm!$B$2:$B$1000) * (df_mbm!$C$2:$C$1000 = $B125) * (F$119 = df_mbm!$D$2:$D$1000) * ("Total" = df_mbm!$E$2:$E$1000), 0), MATCH("mbm_appl", df_mbm!$F$1:$H$1,0)),0)</f>
        <v>0</v>
      </c>
      <c r="G125" s="552">
        <f t="array" ref="G125">IFERROR(INDEX(df_mbm!$F$2:$H$1000, MATCH(1, ($B$2 = df_mbm!$B$2:$B$1000) * (df_mbm!$C$2:$C$1000 = $B125) * (G$119 = df_mbm!$D$2:$D$1000) * ("Total" = df_mbm!$E$2:$E$1000), 0), MATCH("mbm_appl", df_mbm!$F$1:$H$1,0)),0)</f>
        <v>0</v>
      </c>
      <c r="H125" s="558">
        <f t="array" ref="H125">IFERROR(INDEX(df_mbm!$F$2:$H$1000, MATCH(1, ($C$2 = df_mbm!$B$2:$B$1000) * (df_mbm!$C$2:$C$1000 = $B125) * (H$119 = df_mbm!$D$2:$D$1000) * ("Total" = df_mbm!$E$2:$E$1000), 0), MATCH("mbm_appl", df_mbm!$F$1:$H$1,0)),0)</f>
        <v>0</v>
      </c>
      <c r="I125" s="552">
        <f t="array" ref="I125">IFERROR(INDEX(df_mbm!$F$2:$H$1000, MATCH(1, ($C$2 = df_mbm!$B$2:$B$1000) * (df_mbm!$C$2:$C$1000 = $B125) * (I$119 = df_mbm!$D$2:$D$1000) * ("Total" = df_mbm!$E$2:$E$1000), 0), MATCH("mbm_appl", df_mbm!$F$1:$H$1,0)),0)</f>
        <v>0</v>
      </c>
      <c r="K125" s="84" t="s">
        <v>92</v>
      </c>
      <c r="L125" s="173"/>
      <c r="M125" s="558">
        <f t="array" ref="M125">IFERROR(INDEX(df_mbm!$F$2:$H$1000, MATCH(1, ($A$2 = df_mbm!$B$2:$B$1000) * (df_mbm!$C$2:$C$1000 = $B125) * (M$119 = df_mbm!$D$2:$D$1000) * ("Total" = df_mbm!$E$2:$E$1000), 0), MATCH("mbm_yes", df_mbm!$F$1:$H$1,0)),0)</f>
        <v>0</v>
      </c>
      <c r="N125" s="552">
        <f t="array" ref="N125">IFERROR(INDEX(df_mbm!$F$2:$H$1000, MATCH(1, ($A$2 = df_mbm!$B$2:$B$1000) * (df_mbm!$C$2:$C$1000 = $B125) * (N$119 = df_mbm!$D$2:$D$1000) * ("Total" = df_mbm!$E$2:$E$1000), 0), MATCH("mbm_yes", df_mbm!$F$1:$H$1,0)),0)</f>
        <v>0</v>
      </c>
      <c r="O125" s="558">
        <f t="array" ref="O125">IFERROR(INDEX(df_mbm!$F$2:$H$1000, MATCH(1, ($B$2 = df_mbm!$B$2:$B$1000) * (df_mbm!$C$2:$C$1000 = $B125) * (O$119 = df_mbm!$D$2:$D$1000) * ("Total" = df_mbm!$E$2:$E$1000), 0), MATCH("mbm_yes", df_mbm!$F$1:$H$1,0)),0)</f>
        <v>0</v>
      </c>
      <c r="P125" s="552">
        <f t="array" ref="P125">IFERROR(INDEX(df_mbm!$F$2:$H$1000, MATCH(1, ($B$2 = df_mbm!$B$2:$B$1000) * (df_mbm!$C$2:$C$1000 = $B125) * (P$119 = df_mbm!$D$2:$D$1000) * ("Total" = df_mbm!$E$2:$E$1000), 0), MATCH("mbm_yes", df_mbm!$F$1:$H$1,0)),0)</f>
        <v>0</v>
      </c>
      <c r="Q125" s="558">
        <f t="array" ref="Q125">IFERROR(INDEX(df_mbm!$F$2:$H$1000, MATCH(1, ($C$2 = df_mbm!$B$2:$B$1000) * (df_mbm!$C$2:$C$1000 = $B125) * (Q$119 = df_mbm!$D$2:$D$1000) * ("Total" = df_mbm!$E$2:$E$1000), 0), MATCH("mbm_yes", df_mbm!$F$1:$H$1,0)),0)</f>
        <v>0</v>
      </c>
      <c r="R125" s="552">
        <f t="array" ref="R125">IFERROR(INDEX(df_mbm!$F$2:$H$1000, MATCH(1, ($C$2 = df_mbm!$B$2:$B$1000) * (df_mbm!$C$2:$C$1000 = $B125) * (R$119 = df_mbm!$D$2:$D$1000) * ("Total" = df_mbm!$E$2:$E$1000), 0), MATCH("mbm_yes", df_mbm!$F$1:$H$1,0)),0)</f>
        <v>0</v>
      </c>
    </row>
    <row r="126" spans="1:18" ht="20.100000000000001" customHeight="1" x14ac:dyDescent="0.2">
      <c r="B126" s="84" t="s">
        <v>679</v>
      </c>
      <c r="C126" s="173"/>
      <c r="D126" s="558">
        <f t="array" ref="D126">IFERROR(INDEX(df_mbm!$F$2:$H$1000, MATCH(1, ($A$2 = df_mbm!$B$2:$B$1000) * (df_mbm!$C$2:$C$1000 = $B126) * (D$119 = df_mbm!$D$2:$D$1000) * ("Total" = df_mbm!$E$2:$E$1000), 0), MATCH("mbm_appl", df_mbm!$F$1:$H$1,0)),0)</f>
        <v>0</v>
      </c>
      <c r="E126" s="552">
        <f t="array" ref="E126">IFERROR(INDEX(df_mbm!$F$2:$H$1000, MATCH(1, ($A$2 = df_mbm!$B$2:$B$1000) * (df_mbm!$C$2:$C$1000 = $B126) * (E$119 = df_mbm!$D$2:$D$1000) * ("Total" = df_mbm!$E$2:$E$1000), 0), MATCH("mbm_appl", df_mbm!$F$1:$H$1,0)),0)</f>
        <v>0</v>
      </c>
      <c r="F126" s="558">
        <f t="array" ref="F126">IFERROR(INDEX(df_mbm!$F$2:$H$1000, MATCH(1, ($B$2 = df_mbm!$B$2:$B$1000) * (df_mbm!$C$2:$C$1000 = $B126) * (F$119 = df_mbm!$D$2:$D$1000) * ("Total" = df_mbm!$E$2:$E$1000), 0), MATCH("mbm_appl", df_mbm!$F$1:$H$1,0)),0)</f>
        <v>0</v>
      </c>
      <c r="G126" s="552">
        <f t="array" ref="G126">IFERROR(INDEX(df_mbm!$F$2:$H$1000, MATCH(1, ($B$2 = df_mbm!$B$2:$B$1000) * (df_mbm!$C$2:$C$1000 = $B126) * (G$119 = df_mbm!$D$2:$D$1000) * ("Total" = df_mbm!$E$2:$E$1000), 0), MATCH("mbm_appl", df_mbm!$F$1:$H$1,0)),0)</f>
        <v>0</v>
      </c>
      <c r="H126" s="558">
        <f t="array" ref="H126">IFERROR(INDEX(df_mbm!$F$2:$H$1000, MATCH(1, ($C$2 = df_mbm!$B$2:$B$1000) * (df_mbm!$C$2:$C$1000 = $B126) * (H$119 = df_mbm!$D$2:$D$1000) * ("Total" = df_mbm!$E$2:$E$1000), 0), MATCH("mbm_appl", df_mbm!$F$1:$H$1,0)),0)</f>
        <v>0</v>
      </c>
      <c r="I126" s="552">
        <f t="array" ref="I126">IFERROR(INDEX(df_mbm!$F$2:$H$1000, MATCH(1, ($C$2 = df_mbm!$B$2:$B$1000) * (df_mbm!$C$2:$C$1000 = $B126) * (I$119 = df_mbm!$D$2:$D$1000) * ("Total" = df_mbm!$E$2:$E$1000), 0), MATCH("mbm_appl", df_mbm!$F$1:$H$1,0)),0)</f>
        <v>0</v>
      </c>
      <c r="K126" s="84" t="s">
        <v>679</v>
      </c>
      <c r="L126" s="173"/>
      <c r="M126" s="558">
        <f t="array" ref="M126">IFERROR(INDEX(df_mbm!$F$2:$H$1000, MATCH(1, ($A$2 = df_mbm!$B$2:$B$1000) * (df_mbm!$C$2:$C$1000 = $B126) * (M$119 = df_mbm!$D$2:$D$1000) * ("Total" = df_mbm!$E$2:$E$1000), 0), MATCH("mbm_yes", df_mbm!$F$1:$H$1,0)),0)</f>
        <v>0</v>
      </c>
      <c r="N126" s="552">
        <f t="array" ref="N126">IFERROR(INDEX(df_mbm!$F$2:$H$1000, MATCH(1, ($A$2 = df_mbm!$B$2:$B$1000) * (df_mbm!$C$2:$C$1000 = $B126) * (N$119 = df_mbm!$D$2:$D$1000) * ("Total" = df_mbm!$E$2:$E$1000), 0), MATCH("mbm_yes", df_mbm!$F$1:$H$1,0)),0)</f>
        <v>0</v>
      </c>
      <c r="O126" s="558">
        <f t="array" ref="O126">IFERROR(INDEX(df_mbm!$F$2:$H$1000, MATCH(1, ($B$2 = df_mbm!$B$2:$B$1000) * (df_mbm!$C$2:$C$1000 = $B126) * (O$119 = df_mbm!$D$2:$D$1000) * ("Total" = df_mbm!$E$2:$E$1000), 0), MATCH("mbm_yes", df_mbm!$F$1:$H$1,0)),0)</f>
        <v>0</v>
      </c>
      <c r="P126" s="552">
        <f t="array" ref="P126">IFERROR(INDEX(df_mbm!$F$2:$H$1000, MATCH(1, ($B$2 = df_mbm!$B$2:$B$1000) * (df_mbm!$C$2:$C$1000 = $B126) * (P$119 = df_mbm!$D$2:$D$1000) * ("Total" = df_mbm!$E$2:$E$1000), 0), MATCH("mbm_yes", df_mbm!$F$1:$H$1,0)),0)</f>
        <v>0</v>
      </c>
      <c r="Q126" s="558">
        <f t="array" ref="Q126">IFERROR(INDEX(df_mbm!$F$2:$H$1000, MATCH(1, ($C$2 = df_mbm!$B$2:$B$1000) * (df_mbm!$C$2:$C$1000 = $B126) * (Q$119 = df_mbm!$D$2:$D$1000) * ("Total" = df_mbm!$E$2:$E$1000), 0), MATCH("mbm_yes", df_mbm!$F$1:$H$1,0)),0)</f>
        <v>0</v>
      </c>
      <c r="R126" s="552">
        <f t="array" ref="R126">IFERROR(INDEX(df_mbm!$F$2:$H$1000, MATCH(1, ($C$2 = df_mbm!$B$2:$B$1000) * (df_mbm!$C$2:$C$1000 = $B126) * (R$119 = df_mbm!$D$2:$D$1000) * ("Total" = df_mbm!$E$2:$E$1000), 0), MATCH("mbm_yes", df_mbm!$F$1:$H$1,0)),0)</f>
        <v>0</v>
      </c>
    </row>
    <row r="127" spans="1:18" ht="20.100000000000001" customHeight="1" x14ac:dyDescent="0.2">
      <c r="B127" s="84" t="s">
        <v>680</v>
      </c>
      <c r="C127" s="173"/>
      <c r="D127" s="558">
        <f t="array" ref="D127">IFERROR(INDEX(df_mbm!$F$2:$H$1000, MATCH(1, ($A$2 = df_mbm!$B$2:$B$1000) * (df_mbm!$C$2:$C$1000 = $B127) * (D$119 = df_mbm!$D$2:$D$1000) * ("Total" = df_mbm!$E$2:$E$1000), 0), MATCH("mbm_appl", df_mbm!$F$1:$H$1,0)),0)</f>
        <v>0</v>
      </c>
      <c r="E127" s="552">
        <f t="array" ref="E127">IFERROR(INDEX(df_mbm!$F$2:$H$1000, MATCH(1, ($A$2 = df_mbm!$B$2:$B$1000) * (df_mbm!$C$2:$C$1000 = $B127) * (E$119 = df_mbm!$D$2:$D$1000) * ("Total" = df_mbm!$E$2:$E$1000), 0), MATCH("mbm_appl", df_mbm!$F$1:$H$1,0)),0)</f>
        <v>0</v>
      </c>
      <c r="F127" s="558">
        <f t="array" ref="F127">IFERROR(INDEX(df_mbm!$F$2:$H$1000, MATCH(1, ($B$2 = df_mbm!$B$2:$B$1000) * (df_mbm!$C$2:$C$1000 = $B127) * (F$119 = df_mbm!$D$2:$D$1000) * ("Total" = df_mbm!$E$2:$E$1000), 0), MATCH("mbm_appl", df_mbm!$F$1:$H$1,0)),0)</f>
        <v>0</v>
      </c>
      <c r="G127" s="552">
        <f t="array" ref="G127">IFERROR(INDEX(df_mbm!$F$2:$H$1000, MATCH(1, ($B$2 = df_mbm!$B$2:$B$1000) * (df_mbm!$C$2:$C$1000 = $B127) * (G$119 = df_mbm!$D$2:$D$1000) * ("Total" = df_mbm!$E$2:$E$1000), 0), MATCH("mbm_appl", df_mbm!$F$1:$H$1,0)),0)</f>
        <v>0</v>
      </c>
      <c r="H127" s="558">
        <f t="array" ref="H127">IFERROR(INDEX(df_mbm!$F$2:$H$1000, MATCH(1, ($C$2 = df_mbm!$B$2:$B$1000) * (df_mbm!$C$2:$C$1000 = $B127) * (H$119 = df_mbm!$D$2:$D$1000) * ("Total" = df_mbm!$E$2:$E$1000), 0), MATCH("mbm_appl", df_mbm!$F$1:$H$1,0)),0)</f>
        <v>0</v>
      </c>
      <c r="I127" s="552">
        <f t="array" ref="I127">IFERROR(INDEX(df_mbm!$F$2:$H$1000, MATCH(1, ($C$2 = df_mbm!$B$2:$B$1000) * (df_mbm!$C$2:$C$1000 = $B127) * (I$119 = df_mbm!$D$2:$D$1000) * ("Total" = df_mbm!$E$2:$E$1000), 0), MATCH("mbm_appl", df_mbm!$F$1:$H$1,0)),0)</f>
        <v>0</v>
      </c>
      <c r="K127" s="84" t="s">
        <v>680</v>
      </c>
      <c r="L127" s="173"/>
      <c r="M127" s="558">
        <f t="array" ref="M127">IFERROR(INDEX(df_mbm!$F$2:$H$1000, MATCH(1, ($A$2 = df_mbm!$B$2:$B$1000) * (df_mbm!$C$2:$C$1000 = $B127) * (M$119 = df_mbm!$D$2:$D$1000) * ("Total" = df_mbm!$E$2:$E$1000), 0), MATCH("mbm_yes", df_mbm!$F$1:$H$1,0)),0)</f>
        <v>0</v>
      </c>
      <c r="N127" s="552">
        <f t="array" ref="N127">IFERROR(INDEX(df_mbm!$F$2:$H$1000, MATCH(1, ($A$2 = df_mbm!$B$2:$B$1000) * (df_mbm!$C$2:$C$1000 = $B127) * (N$119 = df_mbm!$D$2:$D$1000) * ("Total" = df_mbm!$E$2:$E$1000), 0), MATCH("mbm_yes", df_mbm!$F$1:$H$1,0)),0)</f>
        <v>0</v>
      </c>
      <c r="O127" s="558">
        <f t="array" ref="O127">IFERROR(INDEX(df_mbm!$F$2:$H$1000, MATCH(1, ($B$2 = df_mbm!$B$2:$B$1000) * (df_mbm!$C$2:$C$1000 = $B127) * (O$119 = df_mbm!$D$2:$D$1000) * ("Total" = df_mbm!$E$2:$E$1000), 0), MATCH("mbm_yes", df_mbm!$F$1:$H$1,0)),0)</f>
        <v>0</v>
      </c>
      <c r="P127" s="552">
        <f t="array" ref="P127">IFERROR(INDEX(df_mbm!$F$2:$H$1000, MATCH(1, ($B$2 = df_mbm!$B$2:$B$1000) * (df_mbm!$C$2:$C$1000 = $B127) * (P$119 = df_mbm!$D$2:$D$1000) * ("Total" = df_mbm!$E$2:$E$1000), 0), MATCH("mbm_yes", df_mbm!$F$1:$H$1,0)),0)</f>
        <v>0</v>
      </c>
      <c r="Q127" s="558">
        <f t="array" ref="Q127">IFERROR(INDEX(df_mbm!$F$2:$H$1000, MATCH(1, ($C$2 = df_mbm!$B$2:$B$1000) * (df_mbm!$C$2:$C$1000 = $B127) * (Q$119 = df_mbm!$D$2:$D$1000) * ("Total" = df_mbm!$E$2:$E$1000), 0), MATCH("mbm_yes", df_mbm!$F$1:$H$1,0)),0)</f>
        <v>0</v>
      </c>
      <c r="R127" s="552">
        <f t="array" ref="R127">IFERROR(INDEX(df_mbm!$F$2:$H$1000, MATCH(1, ($C$2 = df_mbm!$B$2:$B$1000) * (df_mbm!$C$2:$C$1000 = $B127) * (R$119 = df_mbm!$D$2:$D$1000) * ("Total" = df_mbm!$E$2:$E$1000), 0), MATCH("mbm_yes", df_mbm!$F$1:$H$1,0)),0)</f>
        <v>0</v>
      </c>
    </row>
    <row r="128" spans="1:18" ht="20.100000000000001" customHeight="1" x14ac:dyDescent="0.2">
      <c r="B128" s="84" t="s">
        <v>419</v>
      </c>
      <c r="C128" s="173"/>
      <c r="D128" s="558">
        <f t="array" ref="D128">IFERROR(INDEX(df_mbm!$F$2:$H$1000, MATCH(1, ($A$2 = df_mbm!$B$2:$B$1000) * (df_mbm!$C$2:$C$1000 = $B128) * (D$119 = df_mbm!$D$2:$D$1000) * ("Total" = df_mbm!$E$2:$E$1000), 0), MATCH("mbm_appl", df_mbm!$F$1:$H$1,0)),0)</f>
        <v>0</v>
      </c>
      <c r="E128" s="552">
        <f t="array" ref="E128">IFERROR(INDEX(df_mbm!$F$2:$H$1000, MATCH(1, ($A$2 = df_mbm!$B$2:$B$1000) * (df_mbm!$C$2:$C$1000 = $B128) * (E$119 = df_mbm!$D$2:$D$1000) * ("Total" = df_mbm!$E$2:$E$1000), 0), MATCH("mbm_appl", df_mbm!$F$1:$H$1,0)),0)</f>
        <v>0</v>
      </c>
      <c r="F128" s="558">
        <f t="array" ref="F128">IFERROR(INDEX(df_mbm!$F$2:$H$1000, MATCH(1, ($B$2 = df_mbm!$B$2:$B$1000) * (df_mbm!$C$2:$C$1000 = $B128) * (F$119 = df_mbm!$D$2:$D$1000) * ("Total" = df_mbm!$E$2:$E$1000), 0), MATCH("mbm_appl", df_mbm!$F$1:$H$1,0)),0)</f>
        <v>0</v>
      </c>
      <c r="G128" s="552">
        <f t="array" ref="G128">IFERROR(INDEX(df_mbm!$F$2:$H$1000, MATCH(1, ($B$2 = df_mbm!$B$2:$B$1000) * (df_mbm!$C$2:$C$1000 = $B128) * (G$119 = df_mbm!$D$2:$D$1000) * ("Total" = df_mbm!$E$2:$E$1000), 0), MATCH("mbm_appl", df_mbm!$F$1:$H$1,0)),0)</f>
        <v>0</v>
      </c>
      <c r="H128" s="558">
        <f t="array" ref="H128">IFERROR(INDEX(df_mbm!$F$2:$H$1000, MATCH(1, ($C$2 = df_mbm!$B$2:$B$1000) * (df_mbm!$C$2:$C$1000 = $B128) * (H$119 = df_mbm!$D$2:$D$1000) * ("Total" = df_mbm!$E$2:$E$1000), 0), MATCH("mbm_appl", df_mbm!$F$1:$H$1,0)),0)</f>
        <v>0</v>
      </c>
      <c r="I128" s="552">
        <f t="array" ref="I128">IFERROR(INDEX(df_mbm!$F$2:$H$1000, MATCH(1, ($C$2 = df_mbm!$B$2:$B$1000) * (df_mbm!$C$2:$C$1000 = $B128) * (I$119 = df_mbm!$D$2:$D$1000) * ("Total" = df_mbm!$E$2:$E$1000), 0), MATCH("mbm_appl", df_mbm!$F$1:$H$1,0)),0)</f>
        <v>0</v>
      </c>
      <c r="K128" s="84" t="s">
        <v>419</v>
      </c>
      <c r="L128" s="173"/>
      <c r="M128" s="558">
        <f t="array" ref="M128">IFERROR(INDEX(df_mbm!$F$2:$H$1000, MATCH(1, ($A$2 = df_mbm!$B$2:$B$1000) * (df_mbm!$C$2:$C$1000 = $B128) * (M$119 = df_mbm!$D$2:$D$1000) * ("Total" = df_mbm!$E$2:$E$1000), 0), MATCH("mbm_yes", df_mbm!$F$1:$H$1,0)),0)</f>
        <v>0</v>
      </c>
      <c r="N128" s="552">
        <f t="array" ref="N128">IFERROR(INDEX(df_mbm!$F$2:$H$1000, MATCH(1, ($A$2 = df_mbm!$B$2:$B$1000) * (df_mbm!$C$2:$C$1000 = $B128) * (N$119 = df_mbm!$D$2:$D$1000) * ("Total" = df_mbm!$E$2:$E$1000), 0), MATCH("mbm_yes", df_mbm!$F$1:$H$1,0)),0)</f>
        <v>0</v>
      </c>
      <c r="O128" s="558">
        <f t="array" ref="O128">IFERROR(INDEX(df_mbm!$F$2:$H$1000, MATCH(1, ($B$2 = df_mbm!$B$2:$B$1000) * (df_mbm!$C$2:$C$1000 = $B128) * (O$119 = df_mbm!$D$2:$D$1000) * ("Total" = df_mbm!$E$2:$E$1000), 0), MATCH("mbm_yes", df_mbm!$F$1:$H$1,0)),0)</f>
        <v>0</v>
      </c>
      <c r="P128" s="552">
        <f t="array" ref="P128">IFERROR(INDEX(df_mbm!$F$2:$H$1000, MATCH(1, ($B$2 = df_mbm!$B$2:$B$1000) * (df_mbm!$C$2:$C$1000 = $B128) * (P$119 = df_mbm!$D$2:$D$1000) * ("Total" = df_mbm!$E$2:$E$1000), 0), MATCH("mbm_yes", df_mbm!$F$1:$H$1,0)),0)</f>
        <v>0</v>
      </c>
      <c r="Q128" s="558">
        <f t="array" ref="Q128">IFERROR(INDEX(df_mbm!$F$2:$H$1000, MATCH(1, ($C$2 = df_mbm!$B$2:$B$1000) * (df_mbm!$C$2:$C$1000 = $B128) * (Q$119 = df_mbm!$D$2:$D$1000) * ("Total" = df_mbm!$E$2:$E$1000), 0), MATCH("mbm_yes", df_mbm!$F$1:$H$1,0)),0)</f>
        <v>0</v>
      </c>
      <c r="R128" s="552">
        <f t="array" ref="R128">IFERROR(INDEX(df_mbm!$F$2:$H$1000, MATCH(1, ($C$2 = df_mbm!$B$2:$B$1000) * (df_mbm!$C$2:$C$1000 = $B128) * (R$119 = df_mbm!$D$2:$D$1000) * ("Total" = df_mbm!$E$2:$E$1000), 0), MATCH("mbm_yes", df_mbm!$F$1:$H$1,0)),0)</f>
        <v>0</v>
      </c>
    </row>
    <row r="129" spans="1:18" ht="20.100000000000001" customHeight="1" x14ac:dyDescent="0.2">
      <c r="B129" s="84" t="s">
        <v>681</v>
      </c>
      <c r="C129" s="173"/>
      <c r="D129" s="558">
        <f t="array" ref="D129">IFERROR(INDEX(df_mbm!$F$2:$H$1000, MATCH(1, ($A$2 = df_mbm!$B$2:$B$1000) * (df_mbm!$C$2:$C$1000 = $B129) * (D$119 = df_mbm!$D$2:$D$1000) * ("Total" = df_mbm!$E$2:$E$1000), 0), MATCH("mbm_appl", df_mbm!$F$1:$H$1,0)),0)</f>
        <v>0</v>
      </c>
      <c r="E129" s="552">
        <f t="array" ref="E129">IFERROR(INDEX(df_mbm!$F$2:$H$1000, MATCH(1, ($A$2 = df_mbm!$B$2:$B$1000) * (df_mbm!$C$2:$C$1000 = $B129) * (E$119 = df_mbm!$D$2:$D$1000) * ("Total" = df_mbm!$E$2:$E$1000), 0), MATCH("mbm_appl", df_mbm!$F$1:$H$1,0)),0)</f>
        <v>0</v>
      </c>
      <c r="F129" s="558">
        <f t="array" ref="F129">IFERROR(INDEX(df_mbm!$F$2:$H$1000, MATCH(1, ($B$2 = df_mbm!$B$2:$B$1000) * (df_mbm!$C$2:$C$1000 = $B129) * (F$119 = df_mbm!$D$2:$D$1000) * ("Total" = df_mbm!$E$2:$E$1000), 0), MATCH("mbm_appl", df_mbm!$F$1:$H$1,0)),0)</f>
        <v>0</v>
      </c>
      <c r="G129" s="552">
        <f t="array" ref="G129">IFERROR(INDEX(df_mbm!$F$2:$H$1000, MATCH(1, ($B$2 = df_mbm!$B$2:$B$1000) * (df_mbm!$C$2:$C$1000 = $B129) * (G$119 = df_mbm!$D$2:$D$1000) * ("Total" = df_mbm!$E$2:$E$1000), 0), MATCH("mbm_appl", df_mbm!$F$1:$H$1,0)),0)</f>
        <v>0</v>
      </c>
      <c r="H129" s="558">
        <f t="array" ref="H129">IFERROR(INDEX(df_mbm!$F$2:$H$1000, MATCH(1, ($C$2 = df_mbm!$B$2:$B$1000) * (df_mbm!$C$2:$C$1000 = $B129) * (H$119 = df_mbm!$D$2:$D$1000) * ("Total" = df_mbm!$E$2:$E$1000), 0), MATCH("mbm_appl", df_mbm!$F$1:$H$1,0)),0)</f>
        <v>0</v>
      </c>
      <c r="I129" s="552">
        <f t="array" ref="I129">IFERROR(INDEX(df_mbm!$F$2:$H$1000, MATCH(1, ($C$2 = df_mbm!$B$2:$B$1000) * (df_mbm!$C$2:$C$1000 = $B129) * (I$119 = df_mbm!$D$2:$D$1000) * ("Total" = df_mbm!$E$2:$E$1000), 0), MATCH("mbm_appl", df_mbm!$F$1:$H$1,0)),0)</f>
        <v>0</v>
      </c>
      <c r="K129" s="84" t="s">
        <v>681</v>
      </c>
      <c r="L129" s="173"/>
      <c r="M129" s="558">
        <f t="array" ref="M129">IFERROR(INDEX(df_mbm!$F$2:$H$1000, MATCH(1, ($A$2 = df_mbm!$B$2:$B$1000) * (df_mbm!$C$2:$C$1000 = $B129) * (M$119 = df_mbm!$D$2:$D$1000) * ("Total" = df_mbm!$E$2:$E$1000), 0), MATCH("mbm_yes", df_mbm!$F$1:$H$1,0)),0)</f>
        <v>0</v>
      </c>
      <c r="N129" s="552">
        <f t="array" ref="N129">IFERROR(INDEX(df_mbm!$F$2:$H$1000, MATCH(1, ($A$2 = df_mbm!$B$2:$B$1000) * (df_mbm!$C$2:$C$1000 = $B129) * (N$119 = df_mbm!$D$2:$D$1000) * ("Total" = df_mbm!$E$2:$E$1000), 0), MATCH("mbm_yes", df_mbm!$F$1:$H$1,0)),0)</f>
        <v>0</v>
      </c>
      <c r="O129" s="558">
        <f t="array" ref="O129">IFERROR(INDEX(df_mbm!$F$2:$H$1000, MATCH(1, ($B$2 = df_mbm!$B$2:$B$1000) * (df_mbm!$C$2:$C$1000 = $B129) * (O$119 = df_mbm!$D$2:$D$1000) * ("Total" = df_mbm!$E$2:$E$1000), 0), MATCH("mbm_yes", df_mbm!$F$1:$H$1,0)),0)</f>
        <v>0</v>
      </c>
      <c r="P129" s="552">
        <f t="array" ref="P129">IFERROR(INDEX(df_mbm!$F$2:$H$1000, MATCH(1, ($B$2 = df_mbm!$B$2:$B$1000) * (df_mbm!$C$2:$C$1000 = $B129) * (P$119 = df_mbm!$D$2:$D$1000) * ("Total" = df_mbm!$E$2:$E$1000), 0), MATCH("mbm_yes", df_mbm!$F$1:$H$1,0)),0)</f>
        <v>0</v>
      </c>
      <c r="Q129" s="558">
        <f t="array" ref="Q129">IFERROR(INDEX(df_mbm!$F$2:$H$1000, MATCH(1, ($C$2 = df_mbm!$B$2:$B$1000) * (df_mbm!$C$2:$C$1000 = $B129) * (Q$119 = df_mbm!$D$2:$D$1000) * ("Total" = df_mbm!$E$2:$E$1000), 0), MATCH("mbm_yes", df_mbm!$F$1:$H$1,0)),0)</f>
        <v>0</v>
      </c>
      <c r="R129" s="552">
        <f t="array" ref="R129">IFERROR(INDEX(df_mbm!$F$2:$H$1000, MATCH(1, ($C$2 = df_mbm!$B$2:$B$1000) * (df_mbm!$C$2:$C$1000 = $B129) * (R$119 = df_mbm!$D$2:$D$1000) * ("Total" = df_mbm!$E$2:$E$1000), 0), MATCH("mbm_yes", df_mbm!$F$1:$H$1,0)),0)</f>
        <v>0</v>
      </c>
    </row>
    <row r="130" spans="1:18" ht="20.100000000000001" customHeight="1" x14ac:dyDescent="0.2">
      <c r="B130" s="84" t="s">
        <v>651</v>
      </c>
      <c r="C130" s="173"/>
      <c r="D130" s="558">
        <f t="array" ref="D130">IFERROR(INDEX(df_mbm!$F$2:$H$1000, MATCH(1, ($A$2 = df_mbm!$B$2:$B$1000) * (df_mbm!$C$2:$C$1000 = "Total persons") * (D$119 = df_mbm!$D$2:$D$1000) * ($B130 = df_mbm!$E$2:$E$1000), 0), MATCH("mbm_appl", df_mbm!$F$1:$H$1,0)),0)</f>
        <v>0</v>
      </c>
      <c r="E130" s="552">
        <f t="array" ref="E130">IFERROR(INDEX(df_mbm!$F$2:$H$1000, MATCH(1, ($A$2 = df_mbm!$B$2:$B$1000) * (df_mbm!$C$2:$C$1000 = "Total persons") * (E$119 = df_mbm!$D$2:$D$1000) * ($B130 = df_mbm!$E$2:$E$1000), 0), MATCH("mbm_appl", df_mbm!$F$1:$H$1,0)),0)</f>
        <v>0</v>
      </c>
      <c r="F130" s="558">
        <f t="array" ref="F130">IFERROR(INDEX(df_mbm!$F$2:$H$1000, MATCH(1, ($B$2 = df_mbm!$B$2:$B$1000) * (df_mbm!$C$2:$C$1000 = "Total persons") * (F$119 = df_mbm!$D$2:$D$1000) * ($B130 = df_mbm!$E$2:$E$1000), 0), MATCH("mbm_appl", df_mbm!$F$1:$H$1,0)),0)</f>
        <v>0</v>
      </c>
      <c r="G130" s="552">
        <f t="array" ref="G130">IFERROR(INDEX(df_mbm!$F$2:$H$1000, MATCH(1, ($B$2 = df_mbm!$B$2:$B$1000) * (df_mbm!$C$2:$C$1000 = "Total persons") * (G$119 = df_mbm!$D$2:$D$1000) * ($B130 = df_mbm!$E$2:$E$1000), 0), MATCH("mbm_appl", df_mbm!$F$1:$H$1,0)),0)</f>
        <v>0</v>
      </c>
      <c r="H130" s="558">
        <f t="array" ref="H130">IFERROR(INDEX(df_mbm!$F$2:$H$1000, MATCH(1, ($C$2 = df_mbm!$B$2:$B$1000) * (df_mbm!$C$2:$C$1000 = "Total persons") * (H$119 = df_mbm!$D$2:$D$1000) * ($B130 = df_mbm!$E$2:$E$1000), 0), MATCH("mbm_appl", df_mbm!$F$1:$H$1,0)),0)</f>
        <v>0</v>
      </c>
      <c r="I130" s="552">
        <f t="array" ref="I130">IFERROR(INDEX(df_mbm!$F$2:$H$1000, MATCH(1, ($C$2 = df_mbm!$B$2:$B$1000) * (df_mbm!$C$2:$C$1000 = "Total persons") * (I$119 = df_mbm!$D$2:$D$1000) * ($B130 = df_mbm!$E$2:$E$1000), 0), MATCH("mbm_appl", df_mbm!$F$1:$H$1,0)),0)</f>
        <v>0</v>
      </c>
      <c r="K130" s="84" t="s">
        <v>651</v>
      </c>
      <c r="L130" s="173"/>
      <c r="M130" s="558">
        <f t="array" ref="M130">IFERROR(INDEX(df_mbm!$F$2:$H$1000, MATCH(1, ($A$2 = df_mbm!$B$2:$B$1000) * (df_mbm!$C$2:$C$1000 = "Total persons") * (M$119 = df_mbm!$D$2:$D$1000) * ($B130 = df_mbm!$E$2:$E$1000), 0), MATCH("mbm_yes", df_mbm!$F$1:$H$1,0)),0)</f>
        <v>0</v>
      </c>
      <c r="N130" s="552">
        <f t="array" ref="N130">IFERROR(INDEX(df_mbm!$F$2:$H$1000, MATCH(1, ($A$2 = df_mbm!$B$2:$B$1000) * (df_mbm!$C$2:$C$1000 = "Total persons") * (N$119 = df_mbm!$D$2:$D$1000) * ($B130 = df_mbm!$E$2:$E$1000), 0), MATCH("mbm_yes", df_mbm!$F$1:$H$1,0)),0)</f>
        <v>0</v>
      </c>
      <c r="O130" s="558">
        <f t="array" ref="O130">IFERROR(INDEX(df_mbm!$F$2:$H$1000, MATCH(1, ($B$2 = df_mbm!$B$2:$B$1000) * (df_mbm!$C$2:$C$1000 = "Total persons") * (O$119 = df_mbm!$D$2:$D$1000) * ($B130 = df_mbm!$E$2:$E$1000), 0), MATCH("mbm_yes", df_mbm!$F$1:$H$1,0)),0)</f>
        <v>0</v>
      </c>
      <c r="P130" s="552">
        <f t="array" ref="P130">IFERROR(INDEX(df_mbm!$F$2:$H$1000, MATCH(1, ($B$2 = df_mbm!$B$2:$B$1000) * (df_mbm!$C$2:$C$1000 = "Total persons") * (P$119 = df_mbm!$D$2:$D$1000) * ($B130 = df_mbm!$E$2:$E$1000), 0), MATCH("mbm_yes", df_mbm!$F$1:$H$1,0)),0)</f>
        <v>0</v>
      </c>
      <c r="Q130" s="558">
        <f t="array" ref="Q130">IFERROR(INDEX(df_mbm!$F$2:$H$1000, MATCH(1, ($C$2 = df_mbm!$B$2:$B$1000) * (df_mbm!$C$2:$C$1000 = "Total persons") * (Q$119 = df_mbm!$D$2:$D$1000) * ($B130 = df_mbm!$E$2:$E$1000), 0), MATCH("mbm_yes", df_mbm!$F$1:$H$1,0)),0)</f>
        <v>0</v>
      </c>
      <c r="R130" s="552">
        <f t="array" ref="R130">IFERROR(INDEX(df_mbm!$F$2:$H$1000, MATCH(1, ($C$2 = df_mbm!$B$2:$B$1000) * (df_mbm!$C$2:$C$1000 = "Total persons") * (R$119 = df_mbm!$D$2:$D$1000) * ($B130 = df_mbm!$E$2:$E$1000), 0), MATCH("mbm_yes", df_mbm!$F$1:$H$1,0)),0)</f>
        <v>0</v>
      </c>
    </row>
    <row r="131" spans="1:18" ht="20.100000000000001" customHeight="1" x14ac:dyDescent="0.2">
      <c r="B131" s="84" t="s">
        <v>652</v>
      </c>
      <c r="C131" s="173"/>
      <c r="D131" s="558">
        <f t="array" ref="D131">IFERROR(INDEX(df_mbm!$F$2:$H$1000, MATCH(1, ($A$2 = df_mbm!$B$2:$B$1000) * (df_mbm!$C$2:$C$1000 = "Total persons") * (D$119 = df_mbm!$D$2:$D$1000) * ($B131 = df_mbm!$E$2:$E$1000), 0), MATCH("mbm_appl", df_mbm!$F$1:$H$1,0)),0)</f>
        <v>0</v>
      </c>
      <c r="E131" s="552">
        <f t="array" ref="E131">IFERROR(INDEX(df_mbm!$F$2:$H$1000, MATCH(1, ($A$2 = df_mbm!$B$2:$B$1000) * (df_mbm!$C$2:$C$1000 = "Total persons") * (E$119 = df_mbm!$D$2:$D$1000) * ($B131 = df_mbm!$E$2:$E$1000), 0), MATCH("mbm_appl", df_mbm!$F$1:$H$1,0)),0)</f>
        <v>0</v>
      </c>
      <c r="F131" s="558">
        <f t="array" ref="F131">IFERROR(INDEX(df_mbm!$F$2:$H$1000, MATCH(1, ($B$2 = df_mbm!$B$2:$B$1000) * (df_mbm!$C$2:$C$1000 = "Total persons") * (F$119 = df_mbm!$D$2:$D$1000) * ($B131 = df_mbm!$E$2:$E$1000), 0), MATCH("mbm_appl", df_mbm!$F$1:$H$1,0)),0)</f>
        <v>0</v>
      </c>
      <c r="G131" s="552">
        <f t="array" ref="G131">IFERROR(INDEX(df_mbm!$F$2:$H$1000, MATCH(1, ($B$2 = df_mbm!$B$2:$B$1000) * (df_mbm!$C$2:$C$1000 = "Total persons") * (G$119 = df_mbm!$D$2:$D$1000) * ($B131 = df_mbm!$E$2:$E$1000), 0), MATCH("mbm_appl", df_mbm!$F$1:$H$1,0)),0)</f>
        <v>0</v>
      </c>
      <c r="H131" s="558">
        <f t="array" ref="H131">IFERROR(INDEX(df_mbm!$F$2:$H$1000, MATCH(1, ($C$2 = df_mbm!$B$2:$B$1000) * (df_mbm!$C$2:$C$1000 = "Total persons") * (H$119 = df_mbm!$D$2:$D$1000) * ($B131 = df_mbm!$E$2:$E$1000), 0), MATCH("mbm_appl", df_mbm!$F$1:$H$1,0)),0)</f>
        <v>0</v>
      </c>
      <c r="I131" s="552">
        <f t="array" ref="I131">IFERROR(INDEX(df_mbm!$F$2:$H$1000, MATCH(1, ($C$2 = df_mbm!$B$2:$B$1000) * (df_mbm!$C$2:$C$1000 = "Total persons") * (I$119 = df_mbm!$D$2:$D$1000) * ($B131 = df_mbm!$E$2:$E$1000), 0), MATCH("mbm_appl", df_mbm!$F$1:$H$1,0)),0)</f>
        <v>0</v>
      </c>
      <c r="K131" s="84" t="s">
        <v>652</v>
      </c>
      <c r="L131" s="173"/>
      <c r="M131" s="558">
        <f t="array" ref="M131">IFERROR(INDEX(df_mbm!$F$2:$H$1000, MATCH(1, ($A$2 = df_mbm!$B$2:$B$1000) * (df_mbm!$C$2:$C$1000 = "Total persons") * (M$119 = df_mbm!$D$2:$D$1000) * ($B131 = df_mbm!$E$2:$E$1000), 0), MATCH("mbm_yes", df_mbm!$F$1:$H$1,0)),0)</f>
        <v>0</v>
      </c>
      <c r="N131" s="552">
        <f t="array" ref="N131">IFERROR(INDEX(df_mbm!$F$2:$H$1000, MATCH(1, ($A$2 = df_mbm!$B$2:$B$1000) * (df_mbm!$C$2:$C$1000 = "Total persons") * (N$119 = df_mbm!$D$2:$D$1000) * ($B131 = df_mbm!$E$2:$E$1000), 0), MATCH("mbm_yes", df_mbm!$F$1:$H$1,0)),0)</f>
        <v>0</v>
      </c>
      <c r="O131" s="558">
        <f t="array" ref="O131">IFERROR(INDEX(df_mbm!$F$2:$H$1000, MATCH(1, ($B$2 = df_mbm!$B$2:$B$1000) * (df_mbm!$C$2:$C$1000 = "Total persons") * (O$119 = df_mbm!$D$2:$D$1000) * ($B131 = df_mbm!$E$2:$E$1000), 0), MATCH("mbm_yes", df_mbm!$F$1:$H$1,0)),0)</f>
        <v>0</v>
      </c>
      <c r="P131" s="552">
        <f t="array" ref="P131">IFERROR(INDEX(df_mbm!$F$2:$H$1000, MATCH(1, ($B$2 = df_mbm!$B$2:$B$1000) * (df_mbm!$C$2:$C$1000 = "Total persons") * (P$119 = df_mbm!$D$2:$D$1000) * ($B131 = df_mbm!$E$2:$E$1000), 0), MATCH("mbm_yes", df_mbm!$F$1:$H$1,0)),0)</f>
        <v>0</v>
      </c>
      <c r="Q131" s="558">
        <f t="array" ref="Q131">IFERROR(INDEX(df_mbm!$F$2:$H$1000, MATCH(1, ($C$2 = df_mbm!$B$2:$B$1000) * (df_mbm!$C$2:$C$1000 = "Total persons") * (Q$119 = df_mbm!$D$2:$D$1000) * ($B131 = df_mbm!$E$2:$E$1000), 0), MATCH("mbm_yes", df_mbm!$F$1:$H$1,0)),0)</f>
        <v>0</v>
      </c>
      <c r="R131" s="552">
        <f t="array" ref="R131">IFERROR(INDEX(df_mbm!$F$2:$H$1000, MATCH(1, ($C$2 = df_mbm!$B$2:$B$1000) * (df_mbm!$C$2:$C$1000 = "Total persons") * (R$119 = df_mbm!$D$2:$D$1000) * ($B131 = df_mbm!$E$2:$E$1000), 0), MATCH("mbm_yes", df_mbm!$F$1:$H$1,0)),0)</f>
        <v>0</v>
      </c>
    </row>
    <row r="132" spans="1:18" ht="20.100000000000001" customHeight="1" x14ac:dyDescent="0.2">
      <c r="B132" s="84" t="s">
        <v>355</v>
      </c>
      <c r="C132" s="173"/>
      <c r="D132" s="558">
        <f t="array" ref="D132">IFERROR(INDEX(df_mbm!$F$2:$H$1000, MATCH(1, ($A$2 = df_mbm!$B$2:$B$1000) * (df_mbm!$C$2:$C$1000 = "Total persons") * (D$119 = df_mbm!$D$2:$D$1000) * ($B132 = df_mbm!$E$2:$E$1000), 0), MATCH("mbm_appl", df_mbm!$F$1:$H$1,0)),0)</f>
        <v>0</v>
      </c>
      <c r="E132" s="552">
        <f t="array" ref="E132">IFERROR(INDEX(df_mbm!$F$2:$H$1000, MATCH(1, ($A$2 = df_mbm!$B$2:$B$1000) * (df_mbm!$C$2:$C$1000 = "Total persons") * (E$119 = df_mbm!$D$2:$D$1000) * ($B132 = df_mbm!$E$2:$E$1000), 0), MATCH("mbm_appl", df_mbm!$F$1:$H$1,0)),0)</f>
        <v>0</v>
      </c>
      <c r="F132" s="558">
        <f t="array" ref="F132">IFERROR(INDEX(df_mbm!$F$2:$H$1000, MATCH(1, ($B$2 = df_mbm!$B$2:$B$1000) * (df_mbm!$C$2:$C$1000 = "Total persons") * (F$119 = df_mbm!$D$2:$D$1000) * ($B132 = df_mbm!$E$2:$E$1000), 0), MATCH("mbm_appl", df_mbm!$F$1:$H$1,0)),0)</f>
        <v>0</v>
      </c>
      <c r="G132" s="552">
        <f t="array" ref="G132">IFERROR(INDEX(df_mbm!$F$2:$H$1000, MATCH(1, ($B$2 = df_mbm!$B$2:$B$1000) * (df_mbm!$C$2:$C$1000 = "Total persons") * (G$119 = df_mbm!$D$2:$D$1000) * ($B132 = df_mbm!$E$2:$E$1000), 0), MATCH("mbm_appl", df_mbm!$F$1:$H$1,0)),0)</f>
        <v>0</v>
      </c>
      <c r="H132" s="558">
        <f t="array" ref="H132">IFERROR(INDEX(df_mbm!$F$2:$H$1000, MATCH(1, ($C$2 = df_mbm!$B$2:$B$1000) * (df_mbm!$C$2:$C$1000 = "Total persons") * (H$119 = df_mbm!$D$2:$D$1000) * ($B132 = df_mbm!$E$2:$E$1000), 0), MATCH("mbm_appl", df_mbm!$F$1:$H$1,0)),0)</f>
        <v>0</v>
      </c>
      <c r="I132" s="552">
        <f t="array" ref="I132">IFERROR(INDEX(df_mbm!$F$2:$H$1000, MATCH(1, ($C$2 = df_mbm!$B$2:$B$1000) * (df_mbm!$C$2:$C$1000 = "Total persons") * (I$119 = df_mbm!$D$2:$D$1000) * ($B132 = df_mbm!$E$2:$E$1000), 0), MATCH("mbm_appl", df_mbm!$F$1:$H$1,0)),0)</f>
        <v>0</v>
      </c>
      <c r="K132" s="84" t="s">
        <v>355</v>
      </c>
      <c r="L132" s="173"/>
      <c r="M132" s="558">
        <f t="array" ref="M132">IFERROR(INDEX(df_mbm!$F$2:$H$1000, MATCH(1, ($A$2 = df_mbm!$B$2:$B$1000) * (df_mbm!$C$2:$C$1000 = "Total persons") * (M$119 = df_mbm!$D$2:$D$1000) * ($B132 = df_mbm!$E$2:$E$1000), 0), MATCH("mbm_yes", df_mbm!$F$1:$H$1,0)),0)</f>
        <v>0</v>
      </c>
      <c r="N132" s="552">
        <f t="array" ref="N132">IFERROR(INDEX(df_mbm!$F$2:$H$1000, MATCH(1, ($A$2 = df_mbm!$B$2:$B$1000) * (df_mbm!$C$2:$C$1000 = "Total persons") * (N$119 = df_mbm!$D$2:$D$1000) * ($B132 = df_mbm!$E$2:$E$1000), 0), MATCH("mbm_yes", df_mbm!$F$1:$H$1,0)),0)</f>
        <v>0</v>
      </c>
      <c r="O132" s="558">
        <f t="array" ref="O132">IFERROR(INDEX(df_mbm!$F$2:$H$1000, MATCH(1, ($B$2 = df_mbm!$B$2:$B$1000) * (df_mbm!$C$2:$C$1000 = "Total persons") * (O$119 = df_mbm!$D$2:$D$1000) * ($B132 = df_mbm!$E$2:$E$1000), 0), MATCH("mbm_yes", df_mbm!$F$1:$H$1,0)),0)</f>
        <v>0</v>
      </c>
      <c r="P132" s="552">
        <f t="array" ref="P132">IFERROR(INDEX(df_mbm!$F$2:$H$1000, MATCH(1, ($B$2 = df_mbm!$B$2:$B$1000) * (df_mbm!$C$2:$C$1000 = "Total persons") * (P$119 = df_mbm!$D$2:$D$1000) * ($B132 = df_mbm!$E$2:$E$1000), 0), MATCH("mbm_yes", df_mbm!$F$1:$H$1,0)),0)</f>
        <v>0</v>
      </c>
      <c r="Q132" s="558">
        <f t="array" ref="Q132">IFERROR(INDEX(df_mbm!$F$2:$H$1000, MATCH(1, ($C$2 = df_mbm!$B$2:$B$1000) * (df_mbm!$C$2:$C$1000 = "Total persons") * (Q$119 = df_mbm!$D$2:$D$1000) * ($B132 = df_mbm!$E$2:$E$1000), 0), MATCH("mbm_yes", df_mbm!$F$1:$H$1,0)),0)</f>
        <v>0</v>
      </c>
      <c r="R132" s="552">
        <f t="array" ref="R132">IFERROR(INDEX(df_mbm!$F$2:$H$1000, MATCH(1, ($C$2 = df_mbm!$B$2:$B$1000) * (df_mbm!$C$2:$C$1000 = "Total persons") * (R$119 = df_mbm!$D$2:$D$1000) * ($B132 = df_mbm!$E$2:$E$1000), 0), MATCH("mbm_yes", df_mbm!$F$1:$H$1,0)),0)</f>
        <v>0</v>
      </c>
    </row>
    <row r="133" spans="1:18" ht="20.100000000000001" customHeight="1" x14ac:dyDescent="0.2">
      <c r="B133" s="84" t="s">
        <v>356</v>
      </c>
      <c r="C133" s="173"/>
      <c r="D133" s="558">
        <f t="array" ref="D133">IFERROR(INDEX(df_mbm!$F$2:$H$1000, MATCH(1, ($A$2 = df_mbm!$B$2:$B$1000) * (df_mbm!$C$2:$C$1000 = "Total persons") * (D$119 = df_mbm!$D$2:$D$1000) * ($B133 = df_mbm!$E$2:$E$1000), 0), MATCH("mbm_appl", df_mbm!$F$1:$H$1,0)),0)</f>
        <v>0</v>
      </c>
      <c r="E133" s="552">
        <f t="array" ref="E133">IFERROR(INDEX(df_mbm!$F$2:$H$1000, MATCH(1, ($A$2 = df_mbm!$B$2:$B$1000) * (df_mbm!$C$2:$C$1000 = "Total persons") * (E$119 = df_mbm!$D$2:$D$1000) * ($B133 = df_mbm!$E$2:$E$1000), 0), MATCH("mbm_appl", df_mbm!$F$1:$H$1,0)),0)</f>
        <v>0</v>
      </c>
      <c r="F133" s="558">
        <f t="array" ref="F133">IFERROR(INDEX(df_mbm!$F$2:$H$1000, MATCH(1, ($B$2 = df_mbm!$B$2:$B$1000) * (df_mbm!$C$2:$C$1000 = "Total persons") * (F$119 = df_mbm!$D$2:$D$1000) * ($B133 = df_mbm!$E$2:$E$1000), 0), MATCH("mbm_appl", df_mbm!$F$1:$H$1,0)),0)</f>
        <v>0</v>
      </c>
      <c r="G133" s="552">
        <f t="array" ref="G133">IFERROR(INDEX(df_mbm!$F$2:$H$1000, MATCH(1, ($B$2 = df_mbm!$B$2:$B$1000) * (df_mbm!$C$2:$C$1000 = "Total persons") * (G$119 = df_mbm!$D$2:$D$1000) * ($B133 = df_mbm!$E$2:$E$1000), 0), MATCH("mbm_appl", df_mbm!$F$1:$H$1,0)),0)</f>
        <v>0</v>
      </c>
      <c r="H133" s="558">
        <f t="array" ref="H133">IFERROR(INDEX(df_mbm!$F$2:$H$1000, MATCH(1, ($C$2 = df_mbm!$B$2:$B$1000) * (df_mbm!$C$2:$C$1000 = "Total persons") * (H$119 = df_mbm!$D$2:$D$1000) * ($B133 = df_mbm!$E$2:$E$1000), 0), MATCH("mbm_appl", df_mbm!$F$1:$H$1,0)),0)</f>
        <v>0</v>
      </c>
      <c r="I133" s="552">
        <f t="array" ref="I133">IFERROR(INDEX(df_mbm!$F$2:$H$1000, MATCH(1, ($C$2 = df_mbm!$B$2:$B$1000) * (df_mbm!$C$2:$C$1000 = "Total persons") * (I$119 = df_mbm!$D$2:$D$1000) * ($B133 = df_mbm!$E$2:$E$1000), 0), MATCH("mbm_appl", df_mbm!$F$1:$H$1,0)),0)</f>
        <v>0</v>
      </c>
      <c r="K133" s="84" t="s">
        <v>356</v>
      </c>
      <c r="L133" s="173"/>
      <c r="M133" s="558">
        <f t="array" ref="M133">IFERROR(INDEX(df_mbm!$F$2:$H$1000, MATCH(1, ($A$2 = df_mbm!$B$2:$B$1000) * (df_mbm!$C$2:$C$1000 = "Total persons") * (M$119 = df_mbm!$D$2:$D$1000) * ($B133 = df_mbm!$E$2:$E$1000), 0), MATCH("mbm_yes", df_mbm!$F$1:$H$1,0)),0)</f>
        <v>0</v>
      </c>
      <c r="N133" s="552">
        <f t="array" ref="N133">IFERROR(INDEX(df_mbm!$F$2:$H$1000, MATCH(1, ($A$2 = df_mbm!$B$2:$B$1000) * (df_mbm!$C$2:$C$1000 = "Total persons") * (N$119 = df_mbm!$D$2:$D$1000) * ($B133 = df_mbm!$E$2:$E$1000), 0), MATCH("mbm_yes", df_mbm!$F$1:$H$1,0)),0)</f>
        <v>0</v>
      </c>
      <c r="O133" s="558">
        <f t="array" ref="O133">IFERROR(INDEX(df_mbm!$F$2:$H$1000, MATCH(1, ($B$2 = df_mbm!$B$2:$B$1000) * (df_mbm!$C$2:$C$1000 = "Total persons") * (O$119 = df_mbm!$D$2:$D$1000) * ($B133 = df_mbm!$E$2:$E$1000), 0), MATCH("mbm_yes", df_mbm!$F$1:$H$1,0)),0)</f>
        <v>0</v>
      </c>
      <c r="P133" s="552">
        <f t="array" ref="P133">IFERROR(INDEX(df_mbm!$F$2:$H$1000, MATCH(1, ($B$2 = df_mbm!$B$2:$B$1000) * (df_mbm!$C$2:$C$1000 = "Total persons") * (P$119 = df_mbm!$D$2:$D$1000) * ($B133 = df_mbm!$E$2:$E$1000), 0), MATCH("mbm_yes", df_mbm!$F$1:$H$1,0)),0)</f>
        <v>0</v>
      </c>
      <c r="Q133" s="558">
        <f t="array" ref="Q133">IFERROR(INDEX(df_mbm!$F$2:$H$1000, MATCH(1, ($C$2 = df_mbm!$B$2:$B$1000) * (df_mbm!$C$2:$C$1000 = "Total persons") * (Q$119 = df_mbm!$D$2:$D$1000) * ($B133 = df_mbm!$E$2:$E$1000), 0), MATCH("mbm_yes", df_mbm!$F$1:$H$1,0)),0)</f>
        <v>0</v>
      </c>
      <c r="R133" s="552">
        <f t="array" ref="R133">IFERROR(INDEX(df_mbm!$F$2:$H$1000, MATCH(1, ($C$2 = df_mbm!$B$2:$B$1000) * (df_mbm!$C$2:$C$1000 = "Total persons") * (R$119 = df_mbm!$D$2:$D$1000) * ($B133 = df_mbm!$E$2:$E$1000), 0), MATCH("mbm_yes", df_mbm!$F$1:$H$1,0)),0)</f>
        <v>0</v>
      </c>
    </row>
    <row r="134" spans="1:18" ht="20.100000000000001" customHeight="1" x14ac:dyDescent="0.2">
      <c r="B134" s="84" t="s">
        <v>64</v>
      </c>
      <c r="C134" s="173"/>
      <c r="D134" s="558">
        <f t="array" ref="D134">IFERROR(INDEX(df_mbm!$F$2:$H$1000, MATCH(1, ($A$2 = df_mbm!$B$2:$B$1000) * (df_mbm!$C$2:$C$1000 = "Total persons") * (D$119 = df_mbm!$D$2:$D$1000) * ($B134 = df_mbm!$E$2:$E$1000), 0), MATCH("mbm_appl", df_mbm!$F$1:$H$1,0)),0)</f>
        <v>0</v>
      </c>
      <c r="E134" s="552">
        <f t="array" ref="E134">IFERROR(INDEX(df_mbm!$F$2:$H$1000, MATCH(1, ($A$2 = df_mbm!$B$2:$B$1000) * (df_mbm!$C$2:$C$1000 = "Total persons") * (E$119 = df_mbm!$D$2:$D$1000) * ($B134 = df_mbm!$E$2:$E$1000), 0), MATCH("mbm_appl", df_mbm!$F$1:$H$1,0)),0)</f>
        <v>0</v>
      </c>
      <c r="F134" s="558">
        <f t="array" ref="F134">IFERROR(INDEX(df_mbm!$F$2:$H$1000, MATCH(1, ($B$2 = df_mbm!$B$2:$B$1000) * (df_mbm!$C$2:$C$1000 = "Total persons") * (F$119 = df_mbm!$D$2:$D$1000) * ($B134 = df_mbm!$E$2:$E$1000), 0), MATCH("mbm_appl", df_mbm!$F$1:$H$1,0)),0)</f>
        <v>0</v>
      </c>
      <c r="G134" s="552">
        <f t="array" ref="G134">IFERROR(INDEX(df_mbm!$F$2:$H$1000, MATCH(1, ($B$2 = df_mbm!$B$2:$B$1000) * (df_mbm!$C$2:$C$1000 = "Total persons") * (G$119 = df_mbm!$D$2:$D$1000) * ($B134 = df_mbm!$E$2:$E$1000), 0), MATCH("mbm_appl", df_mbm!$F$1:$H$1,0)),0)</f>
        <v>0</v>
      </c>
      <c r="H134" s="558">
        <f t="array" ref="H134">IFERROR(INDEX(df_mbm!$F$2:$H$1000, MATCH(1, ($C$2 = df_mbm!$B$2:$B$1000) * (df_mbm!$C$2:$C$1000 = "Total persons") * (H$119 = df_mbm!$D$2:$D$1000) * ($B134 = df_mbm!$E$2:$E$1000), 0), MATCH("mbm_appl", df_mbm!$F$1:$H$1,0)),0)</f>
        <v>0</v>
      </c>
      <c r="I134" s="552">
        <f t="array" ref="I134">IFERROR(INDEX(df_mbm!$F$2:$H$1000, MATCH(1, ($C$2 = df_mbm!$B$2:$B$1000) * (df_mbm!$C$2:$C$1000 = "Total persons") * (I$119 = df_mbm!$D$2:$D$1000) * ($B134 = df_mbm!$E$2:$E$1000), 0), MATCH("mbm_appl", df_mbm!$F$1:$H$1,0)),0)</f>
        <v>0</v>
      </c>
      <c r="K134" s="84" t="s">
        <v>64</v>
      </c>
      <c r="L134" s="173"/>
      <c r="M134" s="558">
        <f t="array" ref="M134">IFERROR(INDEX(df_mbm!$F$2:$H$1000, MATCH(1, ($A$2 = df_mbm!$B$2:$B$1000) * (df_mbm!$C$2:$C$1000 = "Total persons") * (M$119 = df_mbm!$D$2:$D$1000) * ($B134 = df_mbm!$E$2:$E$1000), 0), MATCH("mbm_yes", df_mbm!$F$1:$H$1,0)),0)</f>
        <v>0</v>
      </c>
      <c r="N134" s="552">
        <f t="array" ref="N134">IFERROR(INDEX(df_mbm!$F$2:$H$1000, MATCH(1, ($A$2 = df_mbm!$B$2:$B$1000) * (df_mbm!$C$2:$C$1000 = "Total persons") * (N$119 = df_mbm!$D$2:$D$1000) * ($B134 = df_mbm!$E$2:$E$1000), 0), MATCH("mbm_yes", df_mbm!$F$1:$H$1,0)),0)</f>
        <v>0</v>
      </c>
      <c r="O134" s="558">
        <f t="array" ref="O134">IFERROR(INDEX(df_mbm!$F$2:$H$1000, MATCH(1, ($B$2 = df_mbm!$B$2:$B$1000) * (df_mbm!$C$2:$C$1000 = "Total persons") * (O$119 = df_mbm!$D$2:$D$1000) * ($B134 = df_mbm!$E$2:$E$1000), 0), MATCH("mbm_yes", df_mbm!$F$1:$H$1,0)),0)</f>
        <v>0</v>
      </c>
      <c r="P134" s="552">
        <f t="array" ref="P134">IFERROR(INDEX(df_mbm!$F$2:$H$1000, MATCH(1, ($B$2 = df_mbm!$B$2:$B$1000) * (df_mbm!$C$2:$C$1000 = "Total persons") * (P$119 = df_mbm!$D$2:$D$1000) * ($B134 = df_mbm!$E$2:$E$1000), 0), MATCH("mbm_yes", df_mbm!$F$1:$H$1,0)),0)</f>
        <v>0</v>
      </c>
      <c r="Q134" s="558">
        <f t="array" ref="Q134">IFERROR(INDEX(df_mbm!$F$2:$H$1000, MATCH(1, ($C$2 = df_mbm!$B$2:$B$1000) * (df_mbm!$C$2:$C$1000 = "Total persons") * (Q$119 = df_mbm!$D$2:$D$1000) * ($B134 = df_mbm!$E$2:$E$1000), 0), MATCH("mbm_yes", df_mbm!$F$1:$H$1,0)),0)</f>
        <v>0</v>
      </c>
      <c r="R134" s="552">
        <f t="array" ref="R134">IFERROR(INDEX(df_mbm!$F$2:$H$1000, MATCH(1, ($C$2 = df_mbm!$B$2:$B$1000) * (df_mbm!$C$2:$C$1000 = "Total persons") * (R$119 = df_mbm!$D$2:$D$1000) * ($B134 = df_mbm!$E$2:$E$1000), 0), MATCH("mbm_yes", df_mbm!$F$1:$H$1,0)),0)</f>
        <v>0</v>
      </c>
    </row>
    <row r="135" spans="1:18" ht="20.100000000000001" customHeight="1" x14ac:dyDescent="0.2">
      <c r="B135" s="569" t="s">
        <v>558</v>
      </c>
      <c r="C135" s="494"/>
      <c r="D135" s="559">
        <f t="array" ref="D135">IFERROR(INDEX(df_mbm!$F$2:$H$1000, MATCH(1, ($A$2 = df_mbm!$B$2:$B$1000) * (df_mbm!$C$2:$C$1000 = "Total persons") * (D$119 = df_mbm!$D$2:$D$1000) * ($B135 = df_mbm!$E$2:$E$1000), 0), MATCH("mbm_appl", df_mbm!$F$1:$H$1,0)),0)</f>
        <v>0</v>
      </c>
      <c r="E135" s="554">
        <f t="array" ref="E135">IFERROR(INDEX(df_mbm!$F$2:$H$1000, MATCH(1, ($A$2 = df_mbm!$B$2:$B$1000) * (df_mbm!$C$2:$C$1000 = "Total persons") * (E$119 = df_mbm!$D$2:$D$1000) * ($B135 = df_mbm!$E$2:$E$1000), 0), MATCH("mbm_appl", df_mbm!$F$1:$H$1,0)),0)</f>
        <v>0</v>
      </c>
      <c r="F135" s="559">
        <f t="array" ref="F135">IFERROR(INDEX(df_mbm!$F$2:$H$1000, MATCH(1, ($B$2 = df_mbm!$B$2:$B$1000) * (df_mbm!$C$2:$C$1000 = "Total persons") * (F$119 = df_mbm!$D$2:$D$1000) * ($B135 = df_mbm!$E$2:$E$1000), 0), MATCH("mbm_appl", df_mbm!$F$1:$H$1,0)),0)</f>
        <v>0</v>
      </c>
      <c r="G135" s="554">
        <f t="array" ref="G135">IFERROR(INDEX(df_mbm!$F$2:$H$1000, MATCH(1, ($B$2 = df_mbm!$B$2:$B$1000) * (df_mbm!$C$2:$C$1000 = "Total persons") * (G$119 = df_mbm!$D$2:$D$1000) * ($B135 = df_mbm!$E$2:$E$1000), 0), MATCH("mbm_appl", df_mbm!$F$1:$H$1,0)),0)</f>
        <v>0</v>
      </c>
      <c r="H135" s="559">
        <f t="array" ref="H135">IFERROR(INDEX(df_mbm!$F$2:$H$1000, MATCH(1, ($C$2 = df_mbm!$B$2:$B$1000) * (df_mbm!$C$2:$C$1000 = "Total persons") * (H$119 = df_mbm!$D$2:$D$1000) * ($B135 = df_mbm!$E$2:$E$1000), 0), MATCH("mbm_appl", df_mbm!$F$1:$H$1,0)),0)</f>
        <v>0</v>
      </c>
      <c r="I135" s="554">
        <f t="array" ref="I135">IFERROR(INDEX(df_mbm!$F$2:$H$1000, MATCH(1, ($C$2 = df_mbm!$B$2:$B$1000) * (df_mbm!$C$2:$C$1000 = "Total persons") * (I$119 = df_mbm!$D$2:$D$1000) * ($B135 = df_mbm!$E$2:$E$1000), 0), MATCH("mbm_appl", df_mbm!$F$1:$H$1,0)),0)</f>
        <v>0</v>
      </c>
      <c r="K135" s="569" t="s">
        <v>558</v>
      </c>
      <c r="L135" s="494"/>
      <c r="M135" s="559">
        <f t="array" ref="M135">IFERROR(INDEX(df_mbm!$F$2:$H$1000, MATCH(1, ($A$2 = df_mbm!$B$2:$B$1000) * (df_mbm!$C$2:$C$1000 = "Total persons") * (M$119 = df_mbm!$D$2:$D$1000) * ($B135 = df_mbm!$E$2:$E$1000), 0), MATCH("mbm_yes", df_mbm!$F$1:$H$1,0)),0)</f>
        <v>0</v>
      </c>
      <c r="N135" s="554">
        <f t="array" ref="N135">IFERROR(INDEX(df_mbm!$F$2:$H$1000, MATCH(1, ($A$2 = df_mbm!$B$2:$B$1000) * (df_mbm!$C$2:$C$1000 = "Total persons") * (N$119 = df_mbm!$D$2:$D$1000) * ($B135 = df_mbm!$E$2:$E$1000), 0), MATCH("mbm_yes", df_mbm!$F$1:$H$1,0)),0)</f>
        <v>0</v>
      </c>
      <c r="O135" s="559">
        <f t="array" ref="O135">IFERROR(INDEX(df_mbm!$F$2:$H$1000, MATCH(1, ($B$2 = df_mbm!$B$2:$B$1000) * (df_mbm!$C$2:$C$1000 = "Total persons") * (O$119 = df_mbm!$D$2:$D$1000) * ($B135 = df_mbm!$E$2:$E$1000), 0), MATCH("mbm_yes", df_mbm!$F$1:$H$1,0)),0)</f>
        <v>0</v>
      </c>
      <c r="P135" s="554">
        <f t="array" ref="P135">IFERROR(INDEX(df_mbm!$F$2:$H$1000, MATCH(1, ($B$2 = df_mbm!$B$2:$B$1000) * (df_mbm!$C$2:$C$1000 = "Total persons") * (P$119 = df_mbm!$D$2:$D$1000) * ($B135 = df_mbm!$E$2:$E$1000), 0), MATCH("mbm_yes", df_mbm!$F$1:$H$1,0)),0)</f>
        <v>0</v>
      </c>
      <c r="Q135" s="559">
        <f t="array" ref="Q135">IFERROR(INDEX(df_mbm!$F$2:$H$1000, MATCH(1, ($C$2 = df_mbm!$B$2:$B$1000) * (df_mbm!$C$2:$C$1000 = "Total persons") * (Q$119 = df_mbm!$D$2:$D$1000) * ($B135 = df_mbm!$E$2:$E$1000), 0), MATCH("mbm_yes", df_mbm!$F$1:$H$1,0)),0)</f>
        <v>0</v>
      </c>
      <c r="R135" s="554">
        <f t="array" ref="R135">IFERROR(INDEX(df_mbm!$F$2:$H$1000, MATCH(1, ($C$2 = df_mbm!$B$2:$B$1000) * (df_mbm!$C$2:$C$1000 = "Total persons") * (R$119 = df_mbm!$D$2:$D$1000) * ($B135 = df_mbm!$E$2:$E$1000), 0), MATCH("mbm_yes", df_mbm!$F$1:$H$1,0)),0)</f>
        <v>0</v>
      </c>
    </row>
    <row r="136" spans="1:18" ht="20.100000000000001" customHeight="1" x14ac:dyDescent="0.2"/>
    <row r="137" spans="1:18" ht="30" customHeight="1" x14ac:dyDescent="0.2">
      <c r="A137" s="560"/>
      <c r="B137" s="175" t="s">
        <v>1217</v>
      </c>
      <c r="C137" s="310"/>
      <c r="D137" s="310"/>
      <c r="E137" s="310"/>
      <c r="F137" s="310"/>
      <c r="G137" s="310"/>
      <c r="H137" s="310"/>
      <c r="I137" s="310"/>
      <c r="J137" s="310"/>
      <c r="K137" s="310"/>
      <c r="L137" s="310"/>
      <c r="M137" s="310"/>
      <c r="N137" s="310"/>
      <c r="O137" s="310"/>
      <c r="P137" s="310"/>
      <c r="Q137" s="310"/>
      <c r="R137" s="310"/>
    </row>
    <row r="138" spans="1:18" ht="20.100000000000001" customHeight="1" x14ac:dyDescent="0.2"/>
    <row r="139" spans="1:18" ht="20.100000000000001" customHeight="1" x14ac:dyDescent="0.2">
      <c r="B139" s="1243" t="s">
        <v>1218</v>
      </c>
      <c r="C139" s="1243"/>
      <c r="D139" s="1243"/>
      <c r="E139" s="1243"/>
    </row>
    <row r="140" spans="1:18" ht="20.100000000000001" customHeight="1" x14ac:dyDescent="0.2"/>
    <row r="141" spans="1:18" ht="20.100000000000001" customHeight="1" x14ac:dyDescent="0.2">
      <c r="B141" s="282" t="s">
        <v>315</v>
      </c>
      <c r="C141" s="130" t="s">
        <v>187</v>
      </c>
      <c r="D141" s="246" t="s">
        <v>188</v>
      </c>
      <c r="E141" s="317" t="s">
        <v>189</v>
      </c>
    </row>
    <row r="142" spans="1:18" ht="20.100000000000001" customHeight="1" x14ac:dyDescent="0.2">
      <c r="B142" s="47" t="s">
        <v>238</v>
      </c>
      <c r="C142" s="741" t="str">
        <f>IFERROR(N120/E120,"x")</f>
        <v>x</v>
      </c>
      <c r="D142" s="89" t="str">
        <f>IFERROR(P120/G120,"x")</f>
        <v>x</v>
      </c>
      <c r="E142" s="31" t="str">
        <f>IFERROR(R120/I120,"x")</f>
        <v>x</v>
      </c>
    </row>
    <row r="143" spans="1:18" ht="20.100000000000001" customHeight="1" x14ac:dyDescent="0.2">
      <c r="B143" s="529" t="s">
        <v>696</v>
      </c>
      <c r="C143" s="530"/>
      <c r="D143" s="530"/>
      <c r="E143" s="531"/>
    </row>
    <row r="144" spans="1:18" ht="20.100000000000001" customHeight="1" x14ac:dyDescent="0.2">
      <c r="B144" s="178" t="s">
        <v>685</v>
      </c>
      <c r="C144" s="827" t="str">
        <f>IFERROR(IF(N123/E123 = 0, "x", N123/E123),"x")</f>
        <v>x</v>
      </c>
      <c r="D144" s="828" t="str">
        <f>IFERROR(IF(P123/G123 = 0, "x", P123/G123),"x")</f>
        <v>x</v>
      </c>
      <c r="E144" s="210" t="str">
        <f>IFERROR(IF(R123/I123 = 0, "x", R123/I123),"x")</f>
        <v>x</v>
      </c>
    </row>
    <row r="145" spans="1:9" ht="20.100000000000001" customHeight="1" x14ac:dyDescent="0.2">
      <c r="B145" s="823" t="s">
        <v>684</v>
      </c>
      <c r="C145" s="829" t="str">
        <f>IFERROR(IF(N124/E124 = 0, "x", N124/E124),"x")</f>
        <v>x</v>
      </c>
      <c r="D145" s="830" t="str">
        <f>IFERROR(IF(P124/G124 = 0, "x", P124/G124),"x")</f>
        <v>x</v>
      </c>
      <c r="E145" s="73" t="str">
        <f>IFERROR(IF(R124/I124 = 0, "x", R124/I124),"x")</f>
        <v>x</v>
      </c>
    </row>
    <row r="146" spans="1:9" ht="20.100000000000001" customHeight="1" x14ac:dyDescent="0.2">
      <c r="B146" s="219" t="s">
        <v>1362</v>
      </c>
      <c r="C146" s="742" t="str">
        <f>IFERROR(IF(N126/E126 = 0, "x", N126/E126),"x")</f>
        <v>x</v>
      </c>
      <c r="D146" s="374" t="str">
        <f>IFERROR(IF(P126/G126 = 0, "x", P126/G126),"x")</f>
        <v>x</v>
      </c>
      <c r="E146" s="135" t="str">
        <f>IFERROR(IF(R126/I126 = 0, "x", R126/I126),"x")</f>
        <v>x</v>
      </c>
    </row>
    <row r="147" spans="1:9" ht="20.100000000000001" customHeight="1" x14ac:dyDescent="0.2">
      <c r="B147" s="823" t="s">
        <v>688</v>
      </c>
      <c r="C147" s="829" t="str">
        <f>IFERROR(IF(N127/E127 = 0, "x", N127/E127),"x")</f>
        <v>x</v>
      </c>
      <c r="D147" s="830" t="str">
        <f>IFERROR(IF(P127/G127 = 0, "x", P127/G127),"x")</f>
        <v>x</v>
      </c>
      <c r="E147" s="73" t="str">
        <f>IFERROR(IF(R127/I127 = 0, "x", R127/I127),"x")</f>
        <v>x</v>
      </c>
    </row>
    <row r="148" spans="1:9" ht="20.100000000000001" customHeight="1" x14ac:dyDescent="0.2">
      <c r="B148" s="219" t="s">
        <v>686</v>
      </c>
      <c r="C148" s="742" t="str">
        <f>IFERROR(IF(N128/E128 = 0, "x", N128/E128),"x")</f>
        <v>x</v>
      </c>
      <c r="D148" s="374" t="str">
        <f>IFERROR(IF(P128/G128 = 0, "x", P128/G128),"x")</f>
        <v>x</v>
      </c>
      <c r="E148" s="135" t="str">
        <f>IFERROR(IF(R128/I128 = 0, "x", R128/I128),"x")</f>
        <v>x</v>
      </c>
    </row>
    <row r="149" spans="1:9" ht="20.100000000000001" customHeight="1" x14ac:dyDescent="0.2">
      <c r="B149" s="831" t="s">
        <v>687</v>
      </c>
      <c r="C149" s="832" t="str">
        <f>IFERROR(IF(N129/E129 = 0, "x", N129/E129),"x")</f>
        <v>x</v>
      </c>
      <c r="D149" s="833" t="str">
        <f>IFERROR(IF(P129/G129 = 0, "x", P129/G129),"x")</f>
        <v>x</v>
      </c>
      <c r="E149" s="834" t="str">
        <f>IFERROR(IF(R129/I129 = 0, "x", R129/I129),"x")</f>
        <v>x</v>
      </c>
    </row>
    <row r="150" spans="1:9" ht="20.100000000000001" customHeight="1" x14ac:dyDescent="0.2">
      <c r="B150" s="529" t="s">
        <v>695</v>
      </c>
      <c r="C150" s="530"/>
      <c r="D150" s="530"/>
      <c r="E150" s="531"/>
    </row>
    <row r="151" spans="1:9" ht="20.100000000000001" customHeight="1" x14ac:dyDescent="0.2">
      <c r="B151" s="178" t="s">
        <v>689</v>
      </c>
      <c r="C151" s="827" t="str">
        <f t="shared" ref="C151:C156" si="10">IFERROR(IF(N130/E130 = 0, "x", N130/E130), "x")</f>
        <v>x</v>
      </c>
      <c r="D151" s="828" t="str">
        <f t="shared" ref="D151:D156" si="11">IFERROR(IF(P130/G130 = 0, "x", P130/G130), "x")</f>
        <v>x</v>
      </c>
      <c r="E151" s="210" t="str">
        <f t="shared" ref="E151:E156" si="12">IFERROR(IF(R130/I130 = 0, "x", R130/I130), "x")</f>
        <v>x</v>
      </c>
    </row>
    <row r="152" spans="1:9" ht="20.100000000000001" customHeight="1" x14ac:dyDescent="0.2">
      <c r="B152" s="823" t="s">
        <v>690</v>
      </c>
      <c r="C152" s="829" t="str">
        <f t="shared" si="10"/>
        <v>x</v>
      </c>
      <c r="D152" s="830" t="str">
        <f t="shared" si="11"/>
        <v>x</v>
      </c>
      <c r="E152" s="73" t="str">
        <f t="shared" si="12"/>
        <v>x</v>
      </c>
    </row>
    <row r="153" spans="1:9" ht="20.100000000000001" customHeight="1" x14ac:dyDescent="0.2">
      <c r="B153" s="219" t="s">
        <v>691</v>
      </c>
      <c r="C153" s="742" t="str">
        <f t="shared" si="10"/>
        <v>x</v>
      </c>
      <c r="D153" s="374" t="str">
        <f t="shared" si="11"/>
        <v>x</v>
      </c>
      <c r="E153" s="135" t="str">
        <f t="shared" si="12"/>
        <v>x</v>
      </c>
    </row>
    <row r="154" spans="1:9" ht="20.100000000000001" customHeight="1" x14ac:dyDescent="0.2">
      <c r="B154" s="823" t="s">
        <v>692</v>
      </c>
      <c r="C154" s="829" t="str">
        <f t="shared" si="10"/>
        <v>x</v>
      </c>
      <c r="D154" s="830" t="str">
        <f t="shared" si="11"/>
        <v>x</v>
      </c>
      <c r="E154" s="73" t="str">
        <f t="shared" si="12"/>
        <v>x</v>
      </c>
    </row>
    <row r="155" spans="1:9" ht="20.100000000000001" customHeight="1" x14ac:dyDescent="0.2">
      <c r="B155" s="219" t="s">
        <v>693</v>
      </c>
      <c r="C155" s="742" t="str">
        <f t="shared" si="10"/>
        <v>x</v>
      </c>
      <c r="D155" s="374" t="str">
        <f t="shared" si="11"/>
        <v>x</v>
      </c>
      <c r="E155" s="135" t="str">
        <f t="shared" si="12"/>
        <v>x</v>
      </c>
    </row>
    <row r="156" spans="1:9" ht="20.100000000000001" customHeight="1" x14ac:dyDescent="0.2">
      <c r="B156" s="824" t="s">
        <v>694</v>
      </c>
      <c r="C156" s="835" t="str">
        <f t="shared" si="10"/>
        <v>x</v>
      </c>
      <c r="D156" s="836" t="str">
        <f t="shared" si="11"/>
        <v>x</v>
      </c>
      <c r="E156" s="837" t="str">
        <f t="shared" si="12"/>
        <v>x</v>
      </c>
    </row>
    <row r="157" spans="1:9" ht="20.100000000000001" customHeight="1" x14ac:dyDescent="0.2"/>
    <row r="158" spans="1:9" ht="20.100000000000001" customHeight="1" x14ac:dyDescent="0.2"/>
    <row r="159" spans="1:9" ht="50.1" customHeight="1" x14ac:dyDescent="0.2">
      <c r="B159" s="159" t="s">
        <v>1295</v>
      </c>
      <c r="C159" s="59"/>
      <c r="D159" s="59"/>
      <c r="E159" s="59"/>
      <c r="F159" s="59"/>
      <c r="G159" s="59"/>
      <c r="H159" s="59"/>
      <c r="I159" s="59"/>
    </row>
    <row r="160" spans="1:9" ht="20.100000000000001" customHeight="1" x14ac:dyDescent="0.2">
      <c r="A160" s="1"/>
      <c r="B160" s="2"/>
      <c r="C160" s="1"/>
      <c r="D160" s="1"/>
      <c r="E160" s="1"/>
      <c r="F160" s="1"/>
      <c r="G160" s="1"/>
      <c r="H160" s="1"/>
      <c r="I160" s="1"/>
    </row>
    <row r="161" spans="1:9" ht="30" customHeight="1" x14ac:dyDescent="0.2">
      <c r="A161" s="560"/>
      <c r="B161" s="175" t="s">
        <v>1216</v>
      </c>
      <c r="C161" s="310"/>
      <c r="D161" s="310"/>
      <c r="E161" s="310"/>
      <c r="F161" s="310"/>
      <c r="G161" s="310"/>
      <c r="H161" s="310"/>
      <c r="I161" s="310"/>
    </row>
    <row r="163" spans="1:9" ht="20.100000000000001" customHeight="1" x14ac:dyDescent="0.2">
      <c r="B163" s="1240" t="s">
        <v>764</v>
      </c>
      <c r="C163" s="1240"/>
      <c r="D163" s="1240"/>
      <c r="E163" s="1240"/>
      <c r="F163" s="1240"/>
      <c r="G163" s="1240"/>
      <c r="H163" s="1240"/>
      <c r="I163" s="1240"/>
    </row>
    <row r="164" spans="1:9" ht="20.100000000000001" customHeight="1" x14ac:dyDescent="0.2"/>
    <row r="165" spans="1:9" ht="20.100000000000001" customHeight="1" x14ac:dyDescent="0.2">
      <c r="D165" s="1238" t="s">
        <v>181</v>
      </c>
      <c r="E165" s="1239"/>
      <c r="F165" s="1238" t="s">
        <v>182</v>
      </c>
      <c r="G165" s="1239"/>
      <c r="H165" s="1238" t="s">
        <v>183</v>
      </c>
      <c r="I165" s="1239"/>
    </row>
    <row r="166" spans="1:9" ht="20.100000000000001" customHeight="1" x14ac:dyDescent="0.2">
      <c r="B166" s="206" t="s">
        <v>764</v>
      </c>
      <c r="C166" s="72"/>
      <c r="D166" s="128" t="s">
        <v>702</v>
      </c>
      <c r="E166" s="302" t="s">
        <v>703</v>
      </c>
      <c r="F166" s="128" t="s">
        <v>702</v>
      </c>
      <c r="G166" s="302" t="s">
        <v>703</v>
      </c>
      <c r="H166" s="128" t="s">
        <v>702</v>
      </c>
      <c r="I166" s="302" t="s">
        <v>703</v>
      </c>
    </row>
    <row r="167" spans="1:9" ht="20.100000000000001" customHeight="1" x14ac:dyDescent="0.2">
      <c r="A167" s="299">
        <v>1</v>
      </c>
      <c r="B167" s="206" t="s">
        <v>704</v>
      </c>
      <c r="C167" s="72"/>
      <c r="D167" s="564" t="e">
        <f t="array" ref="D167">INDEX(df_inc_source!$C$2:$E$100, MATCH(1, ($A$2=df_inc_source!$A$2:$A$100) * ($A167 = df_inc_source!$F$2:$F$100), 0), MATCH(D$166, df_inc_source!$C$1:$E$1,0))</f>
        <v>#N/A</v>
      </c>
      <c r="E167" s="562" t="e">
        <f t="array" ref="E167">INDEX(df_inc_source!$C$2:$E$100, MATCH(1, ($A$2=df_inc_source!$A$2:$A$100) * ($A167 = df_inc_source!$F$2:$F$100), 0), MATCH(E$166, df_inc_source!$C$1:$E$1,0))</f>
        <v>#N/A</v>
      </c>
      <c r="F167" s="564" t="e">
        <f t="array" ref="F167">INDEX(df_inc_source!$C$2:$E$100, MATCH(1, ($B$2=df_inc_source!$A$2:$A$100) * ($A167 = df_inc_source!$F$2:$F$100), 0), MATCH(F$166, df_inc_source!$C$1:$E$1,0))</f>
        <v>#N/A</v>
      </c>
      <c r="G167" s="562" t="e">
        <f t="array" ref="G167">INDEX(df_inc_source!$C$2:$E$100, MATCH(1, ($B$2=df_inc_source!$A$2:$A$100) * ($A167 = df_inc_source!$F$2:$F$100), 0), MATCH(G$166, df_inc_source!$C$1:$E$1,0))</f>
        <v>#N/A</v>
      </c>
      <c r="H167" s="564" t="e">
        <f t="array" ref="H167">INDEX(df_inc_source!$C$2:$E$100, MATCH(1, ($C$2=df_inc_source!$A$2:$A$100) * ($A167 = df_inc_source!$F$2:$F$100), 0), MATCH(H$166, df_inc_source!$C$1:$E$1,0))</f>
        <v>#N/A</v>
      </c>
      <c r="I167" s="562" t="e">
        <f t="array" ref="I167">INDEX(df_inc_source!$C$2:$E$100, MATCH(1, ($C$2=df_inc_source!$A$2:$A$100) * ($A167 = df_inc_source!$F$2:$F$100), 0), MATCH(I$166, df_inc_source!$C$1:$E$1,0))</f>
        <v>#N/A</v>
      </c>
    </row>
    <row r="168" spans="1:9" ht="20.100000000000001" customHeight="1" x14ac:dyDescent="0.2">
      <c r="A168" s="299">
        <v>2</v>
      </c>
      <c r="B168" s="570" t="s">
        <v>705</v>
      </c>
      <c r="C168" s="493"/>
      <c r="D168" s="557" t="e">
        <f t="array" ref="D168">INDEX(df_inc_source!$C$2:$E$100, MATCH(1, ($A$2=df_inc_source!$A$2:$A$100) * ($A168 = df_inc_source!$F$2:$F$100), 0), MATCH(D$166, df_inc_source!$C$1:$E$1,0))</f>
        <v>#N/A</v>
      </c>
      <c r="E168" s="561" t="e">
        <f t="array" ref="E168">INDEX(df_inc_source!$C$2:$E$100, MATCH(1, ($A$2=df_inc_source!$A$2:$A$100) * ($A168 = df_inc_source!$F$2:$F$100), 0), MATCH(E$166, df_inc_source!$C$1:$E$1,0))</f>
        <v>#N/A</v>
      </c>
      <c r="F168" s="557" t="e">
        <f t="array" ref="F168">INDEX(df_inc_source!$C$2:$E$100, MATCH(1, ($B$2=df_inc_source!$A$2:$A$100) * ($A168 = df_inc_source!$F$2:$F$100), 0), MATCH(F$166, df_inc_source!$C$1:$E$1,0))</f>
        <v>#N/A</v>
      </c>
      <c r="G168" s="561" t="e">
        <f t="array" ref="G168">INDEX(df_inc_source!$C$2:$E$100, MATCH(1, ($B$2=df_inc_source!$A$2:$A$100) * ($A168 = df_inc_source!$F$2:$F$100), 0), MATCH(G$166, df_inc_source!$C$1:$E$1,0))</f>
        <v>#N/A</v>
      </c>
      <c r="H168" s="557" t="e">
        <f t="array" ref="H168">INDEX(df_inc_source!$C$2:$E$100, MATCH(1, ($C$2=df_inc_source!$A$2:$A$100) * ($A168 = df_inc_source!$F$2:$F$100), 0), MATCH(H$166, df_inc_source!$C$1:$E$1,0))</f>
        <v>#N/A</v>
      </c>
      <c r="I168" s="561" t="e">
        <f t="array" ref="I168">INDEX(df_inc_source!$C$2:$E$100, MATCH(1, ($C$2=df_inc_source!$A$2:$A$100) * ($A168 = df_inc_source!$F$2:$F$100), 0), MATCH(I$166, df_inc_source!$C$1:$E$1,0))</f>
        <v>#N/A</v>
      </c>
    </row>
    <row r="169" spans="1:9" ht="20.100000000000001" customHeight="1" x14ac:dyDescent="0.2">
      <c r="A169" s="299">
        <v>3</v>
      </c>
      <c r="B169" s="84" t="s">
        <v>706</v>
      </c>
      <c r="C169" s="173"/>
      <c r="D169" s="558" t="e">
        <f t="array" ref="D169">INDEX(df_inc_source!$C$2:$E$100, MATCH(1, ($A$2=df_inc_source!$A$2:$A$100) * ($A169 = df_inc_source!$F$2:$F$100), 0), MATCH(D$166, df_inc_source!$C$1:$E$1,0))</f>
        <v>#N/A</v>
      </c>
      <c r="E169" s="359" t="e">
        <f t="array" ref="E169">INDEX(df_inc_source!$C$2:$E$100, MATCH(1, ($A$2=df_inc_source!$A$2:$A$100) * ($A169 = df_inc_source!$F$2:$F$100), 0), MATCH(E$166, df_inc_source!$C$1:$E$1,0))</f>
        <v>#N/A</v>
      </c>
      <c r="F169" s="558" t="e">
        <f t="array" ref="F169">INDEX(df_inc_source!$C$2:$E$100, MATCH(1, ($B$2=df_inc_source!$A$2:$A$100) * ($A169 = df_inc_source!$F$2:$F$100), 0), MATCH(F$166, df_inc_source!$C$1:$E$1,0))</f>
        <v>#N/A</v>
      </c>
      <c r="G169" s="359" t="e">
        <f t="array" ref="G169">INDEX(df_inc_source!$C$2:$E$100, MATCH(1, ($B$2=df_inc_source!$A$2:$A$100) * ($A169 = df_inc_source!$F$2:$F$100), 0), MATCH(G$166, df_inc_source!$C$1:$E$1,0))</f>
        <v>#N/A</v>
      </c>
      <c r="H169" s="558" t="e">
        <f t="array" ref="H169">INDEX(df_inc_source!$C$2:$E$100, MATCH(1, ($C$2=df_inc_source!$A$2:$A$100) * ($A169 = df_inc_source!$F$2:$F$100), 0), MATCH(H$166, df_inc_source!$C$1:$E$1,0))</f>
        <v>#N/A</v>
      </c>
      <c r="I169" s="359" t="e">
        <f t="array" ref="I169">INDEX(df_inc_source!$C$2:$E$100, MATCH(1, ($C$2=df_inc_source!$A$2:$A$100) * ($A169 = df_inc_source!$F$2:$F$100), 0), MATCH(I$166, df_inc_source!$C$1:$E$1,0))</f>
        <v>#N/A</v>
      </c>
    </row>
    <row r="170" spans="1:9" ht="20.100000000000001" customHeight="1" x14ac:dyDescent="0.2">
      <c r="A170" s="299">
        <v>4</v>
      </c>
      <c r="B170" s="84" t="s">
        <v>707</v>
      </c>
      <c r="C170" s="173"/>
      <c r="D170" s="558" t="e">
        <f t="array" ref="D170">INDEX(df_inc_source!$C$2:$E$100, MATCH(1, ($A$2=df_inc_source!$A$2:$A$100) * ($A170 = df_inc_source!$F$2:$F$100), 0), MATCH(D$166, df_inc_source!$C$1:$E$1,0))</f>
        <v>#N/A</v>
      </c>
      <c r="E170" s="359" t="e">
        <f t="array" ref="E170">INDEX(df_inc_source!$C$2:$E$100, MATCH(1, ($A$2=df_inc_source!$A$2:$A$100) * ($A170 = df_inc_source!$F$2:$F$100), 0), MATCH(E$166, df_inc_source!$C$1:$E$1,0))</f>
        <v>#N/A</v>
      </c>
      <c r="F170" s="558" t="e">
        <f t="array" ref="F170">INDEX(df_inc_source!$C$2:$E$100, MATCH(1, ($B$2=df_inc_source!$A$2:$A$100) * ($A170 = df_inc_source!$F$2:$F$100), 0), MATCH(F$166, df_inc_source!$C$1:$E$1,0))</f>
        <v>#N/A</v>
      </c>
      <c r="G170" s="359" t="e">
        <f t="array" ref="G170">INDEX(df_inc_source!$C$2:$E$100, MATCH(1, ($B$2=df_inc_source!$A$2:$A$100) * ($A170 = df_inc_source!$F$2:$F$100), 0), MATCH(G$166, df_inc_source!$C$1:$E$1,0))</f>
        <v>#N/A</v>
      </c>
      <c r="H170" s="558" t="e">
        <f t="array" ref="H170">INDEX(df_inc_source!$C$2:$E$100, MATCH(1, ($C$2=df_inc_source!$A$2:$A$100) * ($A170 = df_inc_source!$F$2:$F$100), 0), MATCH(H$166, df_inc_source!$C$1:$E$1,0))</f>
        <v>#N/A</v>
      </c>
      <c r="I170" s="359" t="e">
        <f t="array" ref="I170">INDEX(df_inc_source!$C$2:$E$100, MATCH(1, ($C$2=df_inc_source!$A$2:$A$100) * ($A170 = df_inc_source!$F$2:$F$100), 0), MATCH(I$166, df_inc_source!$C$1:$E$1,0))</f>
        <v>#N/A</v>
      </c>
    </row>
    <row r="171" spans="1:9" ht="20.100000000000001" customHeight="1" x14ac:dyDescent="0.2">
      <c r="A171" s="299">
        <v>5</v>
      </c>
      <c r="B171" s="84" t="s">
        <v>708</v>
      </c>
      <c r="C171" s="173"/>
      <c r="D171" s="558" t="e">
        <f t="array" ref="D171">INDEX(df_inc_source!$C$2:$E$100, MATCH(1, ($A$2=df_inc_source!$A$2:$A$100) * ($A171 = df_inc_source!$F$2:$F$100), 0), MATCH(D$166, df_inc_source!$C$1:$E$1,0))</f>
        <v>#N/A</v>
      </c>
      <c r="E171" s="359" t="e">
        <f t="array" ref="E171">INDEX(df_inc_source!$C$2:$E$100, MATCH(1, ($A$2=df_inc_source!$A$2:$A$100) * ($A171 = df_inc_source!$F$2:$F$100), 0), MATCH(E$166, df_inc_source!$C$1:$E$1,0))</f>
        <v>#N/A</v>
      </c>
      <c r="F171" s="558" t="e">
        <f t="array" ref="F171">INDEX(df_inc_source!$C$2:$E$100, MATCH(1, ($B$2=df_inc_source!$A$2:$A$100) * ($A171 = df_inc_source!$F$2:$F$100), 0), MATCH(F$166, df_inc_source!$C$1:$E$1,0))</f>
        <v>#N/A</v>
      </c>
      <c r="G171" s="359" t="e">
        <f t="array" ref="G171">INDEX(df_inc_source!$C$2:$E$100, MATCH(1, ($B$2=df_inc_source!$A$2:$A$100) * ($A171 = df_inc_source!$F$2:$F$100), 0), MATCH(G$166, df_inc_source!$C$1:$E$1,0))</f>
        <v>#N/A</v>
      </c>
      <c r="H171" s="558" t="e">
        <f t="array" ref="H171">INDEX(df_inc_source!$C$2:$E$100, MATCH(1, ($C$2=df_inc_source!$A$2:$A$100) * ($A171 = df_inc_source!$F$2:$F$100), 0), MATCH(H$166, df_inc_source!$C$1:$E$1,0))</f>
        <v>#N/A</v>
      </c>
      <c r="I171" s="359" t="e">
        <f t="array" ref="I171">INDEX(df_inc_source!$C$2:$E$100, MATCH(1, ($C$2=df_inc_source!$A$2:$A$100) * ($A171 = df_inc_source!$F$2:$F$100), 0), MATCH(I$166, df_inc_source!$C$1:$E$1,0))</f>
        <v>#N/A</v>
      </c>
    </row>
    <row r="172" spans="1:9" ht="20.100000000000001" customHeight="1" x14ac:dyDescent="0.2">
      <c r="A172" s="299">
        <v>6</v>
      </c>
      <c r="B172" s="84" t="s">
        <v>709</v>
      </c>
      <c r="C172" s="173"/>
      <c r="D172" s="558" t="e">
        <f t="array" ref="D172">INDEX(df_inc_source!$C$2:$E$100, MATCH(1, ($A$2=df_inc_source!$A$2:$A$100) * ($A172 = df_inc_source!$F$2:$F$100), 0), MATCH(D$166, df_inc_source!$C$1:$E$1,0))</f>
        <v>#N/A</v>
      </c>
      <c r="E172" s="359" t="e">
        <f t="array" ref="E172">INDEX(df_inc_source!$C$2:$E$100, MATCH(1, ($A$2=df_inc_source!$A$2:$A$100) * ($A172 = df_inc_source!$F$2:$F$100), 0), MATCH(E$166, df_inc_source!$C$1:$E$1,0))</f>
        <v>#N/A</v>
      </c>
      <c r="F172" s="558" t="e">
        <f t="array" ref="F172">INDEX(df_inc_source!$C$2:$E$100, MATCH(1, ($B$2=df_inc_source!$A$2:$A$100) * ($A172 = df_inc_source!$F$2:$F$100), 0), MATCH(F$166, df_inc_source!$C$1:$E$1,0))</f>
        <v>#N/A</v>
      </c>
      <c r="G172" s="359" t="e">
        <f t="array" ref="G172">INDEX(df_inc_source!$C$2:$E$100, MATCH(1, ($B$2=df_inc_source!$A$2:$A$100) * ($A172 = df_inc_source!$F$2:$F$100), 0), MATCH(G$166, df_inc_source!$C$1:$E$1,0))</f>
        <v>#N/A</v>
      </c>
      <c r="H172" s="558" t="e">
        <f t="array" ref="H172">INDEX(df_inc_source!$C$2:$E$100, MATCH(1, ($C$2=df_inc_source!$A$2:$A$100) * ($A172 = df_inc_source!$F$2:$F$100), 0), MATCH(H$166, df_inc_source!$C$1:$E$1,0))</f>
        <v>#N/A</v>
      </c>
      <c r="I172" s="359" t="e">
        <f t="array" ref="I172">INDEX(df_inc_source!$C$2:$E$100, MATCH(1, ($C$2=df_inc_source!$A$2:$A$100) * ($A172 = df_inc_source!$F$2:$F$100), 0), MATCH(I$166, df_inc_source!$C$1:$E$1,0))</f>
        <v>#N/A</v>
      </c>
    </row>
    <row r="173" spans="1:9" ht="20.100000000000001" customHeight="1" x14ac:dyDescent="0.2">
      <c r="A173" s="299">
        <v>7</v>
      </c>
      <c r="B173" s="84" t="s">
        <v>710</v>
      </c>
      <c r="C173" s="173"/>
      <c r="D173" s="558" t="e">
        <f t="array" ref="D173">INDEX(df_inc_source!$C$2:$E$100, MATCH(1, ($A$2=df_inc_source!$A$2:$A$100) * ($A173 = df_inc_source!$F$2:$F$100), 0), MATCH(D$166, df_inc_source!$C$1:$E$1,0))</f>
        <v>#N/A</v>
      </c>
      <c r="E173" s="359" t="e">
        <f t="array" ref="E173">INDEX(df_inc_source!$C$2:$E$100, MATCH(1, ($A$2=df_inc_source!$A$2:$A$100) * ($A173 = df_inc_source!$F$2:$F$100), 0), MATCH(E$166, df_inc_source!$C$1:$E$1,0))</f>
        <v>#N/A</v>
      </c>
      <c r="F173" s="558" t="e">
        <f t="array" ref="F173">INDEX(df_inc_source!$C$2:$E$100, MATCH(1, ($B$2=df_inc_source!$A$2:$A$100) * ($A173 = df_inc_source!$F$2:$F$100), 0), MATCH(F$166, df_inc_source!$C$1:$E$1,0))</f>
        <v>#N/A</v>
      </c>
      <c r="G173" s="359" t="e">
        <f t="array" ref="G173">INDEX(df_inc_source!$C$2:$E$100, MATCH(1, ($B$2=df_inc_source!$A$2:$A$100) * ($A173 = df_inc_source!$F$2:$F$100), 0), MATCH(G$166, df_inc_source!$C$1:$E$1,0))</f>
        <v>#N/A</v>
      </c>
      <c r="H173" s="558" t="e">
        <f t="array" ref="H173">INDEX(df_inc_source!$C$2:$E$100, MATCH(1, ($C$2=df_inc_source!$A$2:$A$100) * ($A173 = df_inc_source!$F$2:$F$100), 0), MATCH(H$166, df_inc_source!$C$1:$E$1,0))</f>
        <v>#N/A</v>
      </c>
      <c r="I173" s="359" t="e">
        <f t="array" ref="I173">INDEX(df_inc_source!$C$2:$E$100, MATCH(1, ($C$2=df_inc_source!$A$2:$A$100) * ($A173 = df_inc_source!$F$2:$F$100), 0), MATCH(I$166, df_inc_source!$C$1:$E$1,0))</f>
        <v>#N/A</v>
      </c>
    </row>
    <row r="174" spans="1:9" ht="20.100000000000001" customHeight="1" x14ac:dyDescent="0.2">
      <c r="A174" s="299">
        <v>10</v>
      </c>
      <c r="B174" s="84" t="s">
        <v>711</v>
      </c>
      <c r="C174" s="173"/>
      <c r="D174" s="558" t="e">
        <f t="array" ref="D174">INDEX(df_inc_source!$C$2:$E$100, MATCH(1, ($A$2=df_inc_source!$A$2:$A$100) * ($A174 = df_inc_source!$F$2:$F$100), 0), MATCH(D$166, df_inc_source!$C$1:$E$1,0))</f>
        <v>#N/A</v>
      </c>
      <c r="E174" s="359" t="e">
        <f t="array" ref="E174">INDEX(df_inc_source!$C$2:$E$100, MATCH(1, ($A$2=df_inc_source!$A$2:$A$100) * ($A174 = df_inc_source!$F$2:$F$100), 0), MATCH(E$166, df_inc_source!$C$1:$E$1,0))</f>
        <v>#N/A</v>
      </c>
      <c r="F174" s="558" t="e">
        <f t="array" ref="F174">INDEX(df_inc_source!$C$2:$E$100, MATCH(1, ($B$2=df_inc_source!$A$2:$A$100) * ($A174 = df_inc_source!$F$2:$F$100), 0), MATCH(F$166, df_inc_source!$C$1:$E$1,0))</f>
        <v>#N/A</v>
      </c>
      <c r="G174" s="359" t="e">
        <f t="array" ref="G174">INDEX(df_inc_source!$C$2:$E$100, MATCH(1, ($B$2=df_inc_source!$A$2:$A$100) * ($A174 = df_inc_source!$F$2:$F$100), 0), MATCH(G$166, df_inc_source!$C$1:$E$1,0))</f>
        <v>#N/A</v>
      </c>
      <c r="H174" s="558" t="e">
        <f t="array" ref="H174">INDEX(df_inc_source!$C$2:$E$100, MATCH(1, ($C$2=df_inc_source!$A$2:$A$100) * ($A174 = df_inc_source!$F$2:$F$100), 0), MATCH(H$166, df_inc_source!$C$1:$E$1,0))</f>
        <v>#N/A</v>
      </c>
      <c r="I174" s="359" t="e">
        <f t="array" ref="I174">INDEX(df_inc_source!$C$2:$E$100, MATCH(1, ($C$2=df_inc_source!$A$2:$A$100) * ($A174 = df_inc_source!$F$2:$F$100), 0), MATCH(I$166, df_inc_source!$C$1:$E$1,0))</f>
        <v>#N/A</v>
      </c>
    </row>
    <row r="175" spans="1:9" ht="20.100000000000001" customHeight="1" x14ac:dyDescent="0.2">
      <c r="A175" s="299">
        <v>13</v>
      </c>
      <c r="B175" s="84" t="s">
        <v>712</v>
      </c>
      <c r="C175" s="173"/>
      <c r="D175" s="558" t="e">
        <f t="array" ref="D175">INDEX(df_inc_source!$C$2:$E$100, MATCH(1, ($A$2=df_inc_source!$A$2:$A$100) * ($A175 = df_inc_source!$F$2:$F$100), 0), MATCH(D$166, df_inc_source!$C$1:$E$1,0))</f>
        <v>#N/A</v>
      </c>
      <c r="E175" s="359" t="e">
        <f t="array" ref="E175">INDEX(df_inc_source!$C$2:$E$100, MATCH(1, ($A$2=df_inc_source!$A$2:$A$100) * ($A175 = df_inc_source!$F$2:$F$100), 0), MATCH(E$166, df_inc_source!$C$1:$E$1,0))</f>
        <v>#N/A</v>
      </c>
      <c r="F175" s="558" t="e">
        <f t="array" ref="F175">INDEX(df_inc_source!$C$2:$E$100, MATCH(1, ($B$2=df_inc_source!$A$2:$A$100) * ($A175 = df_inc_source!$F$2:$F$100), 0), MATCH(F$166, df_inc_source!$C$1:$E$1,0))</f>
        <v>#N/A</v>
      </c>
      <c r="G175" s="359" t="e">
        <f t="array" ref="G175">INDEX(df_inc_source!$C$2:$E$100, MATCH(1, ($B$2=df_inc_source!$A$2:$A$100) * ($A175 = df_inc_source!$F$2:$F$100), 0), MATCH(G$166, df_inc_source!$C$1:$E$1,0))</f>
        <v>#N/A</v>
      </c>
      <c r="H175" s="558" t="e">
        <f t="array" ref="H175">INDEX(df_inc_source!$C$2:$E$100, MATCH(1, ($C$2=df_inc_source!$A$2:$A$100) * ($A175 = df_inc_source!$F$2:$F$100), 0), MATCH(H$166, df_inc_source!$C$1:$E$1,0))</f>
        <v>#N/A</v>
      </c>
      <c r="I175" s="359" t="e">
        <f t="array" ref="I175">INDEX(df_inc_source!$C$2:$E$100, MATCH(1, ($C$2=df_inc_source!$A$2:$A$100) * ($A175 = df_inc_source!$F$2:$F$100), 0), MATCH(I$166, df_inc_source!$C$1:$E$1,0))</f>
        <v>#N/A</v>
      </c>
    </row>
    <row r="176" spans="1:9" ht="20.100000000000001" customHeight="1" x14ac:dyDescent="0.2">
      <c r="A176" s="299">
        <v>17</v>
      </c>
      <c r="B176" s="84" t="s">
        <v>713</v>
      </c>
      <c r="C176" s="173"/>
      <c r="D176" s="558" t="e">
        <f t="array" ref="D176">INDEX(df_inc_source!$C$2:$E$100, MATCH(1, ($A$2=df_inc_source!$A$2:$A$100) * ($A176 = df_inc_source!$F$2:$F$100), 0), MATCH(D$166, df_inc_source!$C$1:$E$1,0))</f>
        <v>#N/A</v>
      </c>
      <c r="E176" s="359" t="e">
        <f t="array" ref="E176">INDEX(df_inc_source!$C$2:$E$100, MATCH(1, ($A$2=df_inc_source!$A$2:$A$100) * ($A176 = df_inc_source!$F$2:$F$100), 0), MATCH(E$166, df_inc_source!$C$1:$E$1,0))</f>
        <v>#N/A</v>
      </c>
      <c r="F176" s="558" t="e">
        <f t="array" ref="F176">INDEX(df_inc_source!$C$2:$E$100, MATCH(1, ($B$2=df_inc_source!$A$2:$A$100) * ($A176 = df_inc_source!$F$2:$F$100), 0), MATCH(F$166, df_inc_source!$C$1:$E$1,0))</f>
        <v>#N/A</v>
      </c>
      <c r="G176" s="359" t="e">
        <f t="array" ref="G176">INDEX(df_inc_source!$C$2:$E$100, MATCH(1, ($B$2=df_inc_source!$A$2:$A$100) * ($A176 = df_inc_source!$F$2:$F$100), 0), MATCH(G$166, df_inc_source!$C$1:$E$1,0))</f>
        <v>#N/A</v>
      </c>
      <c r="H176" s="558" t="e">
        <f t="array" ref="H176">INDEX(df_inc_source!$C$2:$E$100, MATCH(1, ($C$2=df_inc_source!$A$2:$A$100) * ($A176 = df_inc_source!$F$2:$F$100), 0), MATCH(H$166, df_inc_source!$C$1:$E$1,0))</f>
        <v>#N/A</v>
      </c>
      <c r="I176" s="359" t="e">
        <f t="array" ref="I176">INDEX(df_inc_source!$C$2:$E$100, MATCH(1, ($C$2=df_inc_source!$A$2:$A$100) * ($A176 = df_inc_source!$F$2:$F$100), 0), MATCH(I$166, df_inc_source!$C$1:$E$1,0))</f>
        <v>#N/A</v>
      </c>
    </row>
    <row r="177" spans="1:9" ht="20.100000000000001" customHeight="1" x14ac:dyDescent="0.2">
      <c r="A177" s="299">
        <v>20</v>
      </c>
      <c r="B177" s="84" t="s">
        <v>714</v>
      </c>
      <c r="C177" s="173"/>
      <c r="D177" s="558" t="e">
        <f t="array" ref="D177">INDEX(df_inc_source!$C$2:$E$100, MATCH(1, ($A$2=df_inc_source!$A$2:$A$100) * ($A177 = df_inc_source!$F$2:$F$100), 0), MATCH(D$166, df_inc_source!$C$1:$E$1,0))</f>
        <v>#N/A</v>
      </c>
      <c r="E177" s="359" t="e">
        <f t="array" ref="E177">INDEX(df_inc_source!$C$2:$E$100, MATCH(1, ($A$2=df_inc_source!$A$2:$A$100) * ($A177 = df_inc_source!$F$2:$F$100), 0), MATCH(E$166, df_inc_source!$C$1:$E$1,0))</f>
        <v>#N/A</v>
      </c>
      <c r="F177" s="558" t="e">
        <f t="array" ref="F177">INDEX(df_inc_source!$C$2:$E$100, MATCH(1, ($B$2=df_inc_source!$A$2:$A$100) * ($A177 = df_inc_source!$F$2:$F$100), 0), MATCH(F$166, df_inc_source!$C$1:$E$1,0))</f>
        <v>#N/A</v>
      </c>
      <c r="G177" s="359" t="e">
        <f t="array" ref="G177">INDEX(df_inc_source!$C$2:$E$100, MATCH(1, ($B$2=df_inc_source!$A$2:$A$100) * ($A177 = df_inc_source!$F$2:$F$100), 0), MATCH(G$166, df_inc_source!$C$1:$E$1,0))</f>
        <v>#N/A</v>
      </c>
      <c r="H177" s="558" t="e">
        <f t="array" ref="H177">INDEX(df_inc_source!$C$2:$E$100, MATCH(1, ($C$2=df_inc_source!$A$2:$A$100) * ($A177 = df_inc_source!$F$2:$F$100), 0), MATCH(H$166, df_inc_source!$C$1:$E$1,0))</f>
        <v>#N/A</v>
      </c>
      <c r="I177" s="359" t="e">
        <f t="array" ref="I177">INDEX(df_inc_source!$C$2:$E$100, MATCH(1, ($C$2=df_inc_source!$A$2:$A$100) * ($A177 = df_inc_source!$F$2:$F$100), 0), MATCH(I$166, df_inc_source!$C$1:$E$1,0))</f>
        <v>#N/A</v>
      </c>
    </row>
    <row r="178" spans="1:9" ht="20.100000000000001" customHeight="1" x14ac:dyDescent="0.2">
      <c r="A178" s="299">
        <v>23</v>
      </c>
      <c r="B178" s="569" t="s">
        <v>715</v>
      </c>
      <c r="C178" s="494"/>
      <c r="D178" s="559" t="e">
        <f t="array" ref="D178">INDEX(df_inc_source!$C$2:$E$100, MATCH(1, ($A$2=df_inc_source!$A$2:$A$100) * ($A178 = df_inc_source!$F$2:$F$100), 0), MATCH(D$166, df_inc_source!$C$1:$E$1,0))</f>
        <v>#N/A</v>
      </c>
      <c r="E178" s="499" t="e">
        <f t="array" ref="E178">INDEX(df_inc_source!$C$2:$E$100, MATCH(1, ($A$2=df_inc_source!$A$2:$A$100) * ($A178 = df_inc_source!$F$2:$F$100), 0), MATCH(E$166, df_inc_source!$C$1:$E$1,0))</f>
        <v>#N/A</v>
      </c>
      <c r="F178" s="559" t="e">
        <f t="array" ref="F178">INDEX(df_inc_source!$C$2:$E$100, MATCH(1, ($B$2=df_inc_source!$A$2:$A$100) * ($A178 = df_inc_source!$F$2:$F$100), 0), MATCH(F$166, df_inc_source!$C$1:$E$1,0))</f>
        <v>#N/A</v>
      </c>
      <c r="G178" s="499" t="e">
        <f t="array" ref="G178">INDEX(df_inc_source!$C$2:$E$100, MATCH(1, ($B$2=df_inc_source!$A$2:$A$100) * ($A178 = df_inc_source!$F$2:$F$100), 0), MATCH(G$166, df_inc_source!$C$1:$E$1,0))</f>
        <v>#N/A</v>
      </c>
      <c r="H178" s="559" t="e">
        <f t="array" ref="H178">INDEX(df_inc_source!$C$2:$E$100, MATCH(1, ($C$2=df_inc_source!$A$2:$A$100) * ($A178 = df_inc_source!$F$2:$F$100), 0), MATCH(H$166, df_inc_source!$C$1:$E$1,0))</f>
        <v>#N/A</v>
      </c>
      <c r="I178" s="499" t="e">
        <f t="array" ref="I178">INDEX(df_inc_source!$C$2:$E$100, MATCH(1, ($C$2=df_inc_source!$A$2:$A$100) * ($A178 = df_inc_source!$F$2:$F$100), 0), MATCH(I$166, df_inc_source!$C$1:$E$1,0))</f>
        <v>#N/A</v>
      </c>
    </row>
    <row r="179" spans="1:9" ht="20.100000000000001" customHeight="1" x14ac:dyDescent="0.2">
      <c r="A179" s="299"/>
      <c r="B179" s="1"/>
      <c r="D179" s="1"/>
      <c r="E179" s="1"/>
      <c r="F179" s="1"/>
      <c r="G179" s="1"/>
      <c r="H179" s="1"/>
      <c r="I179" s="1"/>
    </row>
    <row r="180" spans="1:9" ht="30" customHeight="1" x14ac:dyDescent="0.2">
      <c r="A180" s="560"/>
      <c r="B180" s="175" t="s">
        <v>1217</v>
      </c>
      <c r="C180" s="310"/>
      <c r="D180" s="310"/>
      <c r="E180" s="310"/>
      <c r="F180" s="310"/>
      <c r="G180" s="310"/>
      <c r="H180" s="310"/>
      <c r="I180" s="310"/>
    </row>
    <row r="181" spans="1:9" ht="20.100000000000001" customHeight="1" x14ac:dyDescent="0.2">
      <c r="A181" s="299"/>
      <c r="B181" s="1"/>
      <c r="D181" s="1"/>
      <c r="E181" s="1"/>
      <c r="F181" s="1"/>
      <c r="G181" s="1"/>
      <c r="H181" s="1"/>
      <c r="I181" s="1"/>
    </row>
    <row r="182" spans="1:9" ht="20.100000000000001" customHeight="1" x14ac:dyDescent="0.2">
      <c r="A182" s="299"/>
      <c r="B182" s="1243" t="s">
        <v>1218</v>
      </c>
      <c r="C182" s="1243"/>
      <c r="D182" s="1243"/>
      <c r="E182" s="1243"/>
      <c r="F182" s="1243"/>
      <c r="G182" s="1243"/>
      <c r="H182" s="1243"/>
      <c r="I182" s="1"/>
    </row>
    <row r="183" spans="1:9" ht="20.100000000000001" customHeight="1" x14ac:dyDescent="0.2">
      <c r="A183" s="299"/>
      <c r="I183" s="1"/>
    </row>
    <row r="184" spans="1:9" ht="20.100000000000001" customHeight="1" x14ac:dyDescent="0.2">
      <c r="A184" s="299"/>
      <c r="B184" s="613"/>
      <c r="C184" s="1234" t="s">
        <v>187</v>
      </c>
      <c r="D184" s="1235"/>
      <c r="E184" s="1234" t="s">
        <v>188</v>
      </c>
      <c r="F184" s="1235"/>
      <c r="G184" s="1234" t="s">
        <v>189</v>
      </c>
      <c r="H184" s="1235"/>
      <c r="I184" s="1"/>
    </row>
    <row r="185" spans="1:9" ht="20.100000000000001" customHeight="1" x14ac:dyDescent="0.2">
      <c r="A185" s="299"/>
      <c r="B185" s="68" t="s">
        <v>767</v>
      </c>
      <c r="C185" s="691" t="s">
        <v>717</v>
      </c>
      <c r="D185" s="692" t="s">
        <v>290</v>
      </c>
      <c r="E185" s="691" t="s">
        <v>717</v>
      </c>
      <c r="F185" s="692" t="s">
        <v>290</v>
      </c>
      <c r="G185" s="691" t="s">
        <v>717</v>
      </c>
      <c r="H185" s="692" t="s">
        <v>290</v>
      </c>
      <c r="I185" s="1"/>
    </row>
    <row r="186" spans="1:9" ht="20.100000000000001" customHeight="1" x14ac:dyDescent="0.2">
      <c r="A186" s="299"/>
      <c r="B186" s="69" t="s">
        <v>710</v>
      </c>
      <c r="C186" s="740" t="str">
        <f t="array" ref="C186">IFERROR(IF(D173 = 0, "x", D173),"x")</f>
        <v>x</v>
      </c>
      <c r="D186" s="210" t="str">
        <f t="array" ref="D186">IFERROR(IF(E173 = 0, "x", E173),"x")</f>
        <v>x</v>
      </c>
      <c r="E186" s="740" t="str">
        <f>IFERROR(F173,"x")</f>
        <v>x</v>
      </c>
      <c r="F186" s="210" t="str">
        <f>IFERROR(G173/100,"x")</f>
        <v>x</v>
      </c>
      <c r="G186" s="740" t="str">
        <f>IFERROR(H173,"x")</f>
        <v>x</v>
      </c>
      <c r="H186" s="210" t="str">
        <f>IFERROR(I173/100,"x")</f>
        <v>x</v>
      </c>
      <c r="I186" s="1"/>
    </row>
    <row r="187" spans="1:9" ht="20.100000000000001" customHeight="1" x14ac:dyDescent="0.2">
      <c r="A187" s="299"/>
      <c r="B187" s="723" t="s">
        <v>765</v>
      </c>
      <c r="C187" s="218" t="str">
        <f t="array" ref="C187">IFERROR(IF(D174 = 0, "x", D174),"x")</f>
        <v>x</v>
      </c>
      <c r="D187" s="110" t="str">
        <f t="array" ref="D187">IFERROR(IF(E174 = 0, "x", E174),"x")</f>
        <v>x</v>
      </c>
      <c r="E187" s="218" t="str">
        <f t="shared" ref="E187:G190" si="13">IFERROR(F174,"x")</f>
        <v>x</v>
      </c>
      <c r="F187" s="110" t="str">
        <f t="shared" ref="F187:H190" si="14">IFERROR(G174/100,"x")</f>
        <v>x</v>
      </c>
      <c r="G187" s="218" t="str">
        <f t="shared" si="13"/>
        <v>x</v>
      </c>
      <c r="H187" s="110" t="str">
        <f t="shared" si="14"/>
        <v>x</v>
      </c>
      <c r="I187" s="1"/>
    </row>
    <row r="188" spans="1:9" ht="20.100000000000001" customHeight="1" x14ac:dyDescent="0.2">
      <c r="A188" s="299"/>
      <c r="B188" s="722" t="s">
        <v>766</v>
      </c>
      <c r="C188" s="313" t="str">
        <f t="array" ref="C188">IFERROR(IF(D175 = 0, "x", D175),"x")</f>
        <v>x</v>
      </c>
      <c r="D188" s="135" t="str">
        <f t="array" ref="D188">IFERROR(IF(E175 = 0, "x", E175),"x")</f>
        <v>x</v>
      </c>
      <c r="E188" s="313" t="str">
        <f t="shared" si="13"/>
        <v>x</v>
      </c>
      <c r="F188" s="135" t="str">
        <f t="shared" si="14"/>
        <v>x</v>
      </c>
      <c r="G188" s="313" t="str">
        <f t="shared" si="13"/>
        <v>x</v>
      </c>
      <c r="H188" s="135" t="str">
        <f t="shared" si="14"/>
        <v>x</v>
      </c>
      <c r="I188" s="1"/>
    </row>
    <row r="189" spans="1:9" ht="20.100000000000001" customHeight="1" x14ac:dyDescent="0.2">
      <c r="A189" s="299"/>
      <c r="B189" s="723" t="s">
        <v>768</v>
      </c>
      <c r="C189" s="218" t="str">
        <f t="array" ref="C189">IFERROR(IF(D176 = 0, "x", D176),"x")</f>
        <v>x</v>
      </c>
      <c r="D189" s="110" t="str">
        <f t="array" ref="D189">IFERROR(IF(E176 = 0, "x", E176),"x")</f>
        <v>x</v>
      </c>
      <c r="E189" s="218" t="str">
        <f t="shared" si="13"/>
        <v>x</v>
      </c>
      <c r="F189" s="110" t="str">
        <f t="shared" si="14"/>
        <v>x</v>
      </c>
      <c r="G189" s="218" t="str">
        <f t="shared" si="13"/>
        <v>x</v>
      </c>
      <c r="H189" s="110" t="str">
        <f t="shared" si="14"/>
        <v>x</v>
      </c>
      <c r="I189" s="1"/>
    </row>
    <row r="190" spans="1:9" ht="20.100000000000001" customHeight="1" x14ac:dyDescent="0.2">
      <c r="A190" s="299"/>
      <c r="B190" s="789" t="s">
        <v>714</v>
      </c>
      <c r="C190" s="735" t="str">
        <f t="array" ref="C190">IFERROR(IF(D177 = 0, "x", D177),"x")</f>
        <v>x</v>
      </c>
      <c r="D190" s="195" t="str">
        <f t="array" ref="D190">IFERROR(IF(E177 = 0, "x", E177),"x")</f>
        <v>x</v>
      </c>
      <c r="E190" s="735" t="str">
        <f t="shared" si="13"/>
        <v>x</v>
      </c>
      <c r="F190" s="195" t="str">
        <f t="shared" si="14"/>
        <v>x</v>
      </c>
      <c r="G190" s="735" t="str">
        <f t="shared" si="13"/>
        <v>x</v>
      </c>
      <c r="H190" s="195" t="str">
        <f t="shared" si="14"/>
        <v>x</v>
      </c>
      <c r="I190" s="1"/>
    </row>
    <row r="191" spans="1:9" ht="20.100000000000001" customHeight="1" x14ac:dyDescent="0.2">
      <c r="A191" s="299"/>
      <c r="B191" s="1"/>
      <c r="D191" s="1"/>
      <c r="E191" s="1"/>
      <c r="F191" s="1"/>
      <c r="G191" s="1"/>
      <c r="H191" s="1"/>
      <c r="I191" s="1"/>
    </row>
    <row r="192" spans="1:9" ht="20.100000000000001" customHeight="1" x14ac:dyDescent="0.2">
      <c r="A192" s="299"/>
      <c r="B192" s="1"/>
      <c r="D192" s="1"/>
      <c r="E192" s="1"/>
      <c r="F192" s="1"/>
      <c r="G192" s="1"/>
      <c r="H192" s="1"/>
      <c r="I192" s="1"/>
    </row>
    <row r="193" spans="1:27" ht="50.1" customHeight="1" x14ac:dyDescent="0.2">
      <c r="B193" s="159" t="s">
        <v>1296</v>
      </c>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row>
    <row r="194" spans="1:27" ht="20.100000000000001" customHeight="1" x14ac:dyDescent="0.2">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30" customHeight="1" x14ac:dyDescent="0.2">
      <c r="A195" s="560"/>
      <c r="B195" s="175" t="s">
        <v>1216</v>
      </c>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c r="AA195" s="310"/>
    </row>
    <row r="196" spans="1:27" x14ac:dyDescent="0.2">
      <c r="A196" s="299"/>
      <c r="B196" s="1"/>
      <c r="D196" s="1"/>
      <c r="E196" s="1"/>
      <c r="F196" s="1"/>
      <c r="G196" s="1"/>
      <c r="H196" s="1"/>
      <c r="I196" s="1"/>
    </row>
    <row r="197" spans="1:27" ht="20.100000000000001" customHeight="1" x14ac:dyDescent="0.2">
      <c r="B197" s="1240" t="s">
        <v>831</v>
      </c>
      <c r="C197" s="1240"/>
      <c r="D197" s="1240"/>
      <c r="E197" s="1240"/>
      <c r="F197" s="1240"/>
      <c r="G197" s="1240"/>
      <c r="H197" s="1240"/>
      <c r="I197" s="1240"/>
      <c r="J197" s="1240"/>
      <c r="K197" s="1240"/>
      <c r="L197" s="1240"/>
      <c r="M197" s="1240"/>
      <c r="N197" s="1240"/>
      <c r="O197" s="1240"/>
      <c r="P197" s="1240"/>
      <c r="Q197" s="1240"/>
      <c r="R197" s="1240"/>
      <c r="S197" s="1240"/>
      <c r="T197" s="1240"/>
      <c r="U197" s="1240"/>
      <c r="V197" s="1240"/>
      <c r="W197" s="1240"/>
      <c r="X197" s="1240"/>
      <c r="Y197" s="1240"/>
      <c r="Z197" s="1240"/>
      <c r="AA197" s="1240"/>
    </row>
    <row r="198" spans="1:27" ht="20.100000000000001" customHeight="1" x14ac:dyDescent="0.2"/>
    <row r="199" spans="1:27" ht="20.100000000000001" customHeight="1" x14ac:dyDescent="0.2">
      <c r="B199" s="487"/>
      <c r="C199" s="206">
        <v>2001</v>
      </c>
      <c r="D199" s="563">
        <v>2002</v>
      </c>
      <c r="E199" s="563">
        <v>2003</v>
      </c>
      <c r="F199" s="563">
        <v>2004</v>
      </c>
      <c r="G199" s="563">
        <v>2005</v>
      </c>
      <c r="H199" s="563">
        <v>2006</v>
      </c>
      <c r="I199" s="563">
        <v>2007</v>
      </c>
      <c r="J199" s="563">
        <v>2008</v>
      </c>
      <c r="K199" s="563">
        <v>2009</v>
      </c>
      <c r="L199" s="563">
        <v>2010</v>
      </c>
      <c r="M199" s="563">
        <v>2011</v>
      </c>
      <c r="N199" s="563">
        <v>2012</v>
      </c>
      <c r="O199" s="563">
        <v>2013</v>
      </c>
      <c r="P199" s="563">
        <v>2014</v>
      </c>
      <c r="Q199" s="563">
        <v>2015</v>
      </c>
      <c r="R199" s="563">
        <v>2016</v>
      </c>
      <c r="S199" s="563">
        <v>2017</v>
      </c>
      <c r="T199" s="563">
        <v>2018</v>
      </c>
      <c r="U199" s="563">
        <v>2019</v>
      </c>
      <c r="V199" s="563">
        <v>2020</v>
      </c>
      <c r="W199" s="563">
        <v>2021</v>
      </c>
      <c r="X199" s="563">
        <v>2022</v>
      </c>
      <c r="Y199" s="563">
        <v>2023</v>
      </c>
      <c r="Z199" s="563">
        <v>2024</v>
      </c>
      <c r="AA199" s="562">
        <v>2025</v>
      </c>
    </row>
    <row r="200" spans="1:27" ht="20.100000000000001" customHeight="1" x14ac:dyDescent="0.2">
      <c r="B200" s="500" t="s">
        <v>496</v>
      </c>
      <c r="C200" s="769" t="e">
        <f t="array" ref="C200">INDEX(df_wage!$E$2:$E$1000, MATCH(1, ($C$2 = df_wage!$C$2:$C$1000) * (df_wage!$A$2:$A$1000 = C$199) * (df_wage!$D$2:$D$1000 = $B200), 0), 0)</f>
        <v>#N/A</v>
      </c>
      <c r="D200" s="770" t="e">
        <f t="array" ref="D200">INDEX(df_wage!$E$2:$E$1000, MATCH(1, ($C$2 = df_wage!$C$2:$C$1000) * (df_wage!$A$2:$A$1000 = D$199) * (df_wage!$D$2:$D$1000 = $B200), 0), 0)</f>
        <v>#N/A</v>
      </c>
      <c r="E200" s="770" t="e">
        <f t="array" ref="E200">INDEX(df_wage!$E$2:$E$1000, MATCH(1, ($C$2 = df_wage!$C$2:$C$1000) * (df_wage!$A$2:$A$1000 = E$199) * (df_wage!$D$2:$D$1000 = $B200), 0), 0)</f>
        <v>#N/A</v>
      </c>
      <c r="F200" s="770" t="e">
        <f t="array" ref="F200">INDEX(df_wage!$E$2:$E$1000, MATCH(1, ($C$2 = df_wage!$C$2:$C$1000) * (df_wage!$A$2:$A$1000 = F$199) * (df_wage!$D$2:$D$1000 = $B200), 0), 0)</f>
        <v>#N/A</v>
      </c>
      <c r="G200" s="770" t="e">
        <f t="array" ref="G200">INDEX(df_wage!$E$2:$E$1000, MATCH(1, ($C$2 = df_wage!$C$2:$C$1000) * (df_wage!$A$2:$A$1000 = G$199) * (df_wage!$D$2:$D$1000 = $B200), 0), 0)</f>
        <v>#N/A</v>
      </c>
      <c r="H200" s="770" t="e">
        <f t="array" ref="H200">INDEX(df_wage!$E$2:$E$1000, MATCH(1, ($C$2 = df_wage!$C$2:$C$1000) * (df_wage!$A$2:$A$1000 = H$199) * (df_wage!$D$2:$D$1000 = $B200), 0), 0)</f>
        <v>#N/A</v>
      </c>
      <c r="I200" s="770" t="e">
        <f t="array" ref="I200">INDEX(df_wage!$E$2:$E$1000, MATCH(1, ($C$2 = df_wage!$C$2:$C$1000) * (df_wage!$A$2:$A$1000 = I$199) * (df_wage!$D$2:$D$1000 = $B200), 0), 0)</f>
        <v>#N/A</v>
      </c>
      <c r="J200" s="770" t="e">
        <f t="array" ref="J200">INDEX(df_wage!$E$2:$E$1000, MATCH(1, ($C$2 = df_wage!$C$2:$C$1000) * (df_wage!$A$2:$A$1000 = J$199) * (df_wage!$D$2:$D$1000 = $B200), 0), 0)</f>
        <v>#N/A</v>
      </c>
      <c r="K200" s="770" t="e">
        <f t="array" ref="K200">INDEX(df_wage!$E$2:$E$1000, MATCH(1, ($C$2 = df_wage!$C$2:$C$1000) * (df_wage!$A$2:$A$1000 = K$199) * (df_wage!$D$2:$D$1000 = $B200), 0), 0)</f>
        <v>#N/A</v>
      </c>
      <c r="L200" s="770" t="e">
        <f t="array" ref="L200">INDEX(df_wage!$E$2:$E$1000, MATCH(1, ($C$2 = df_wage!$C$2:$C$1000) * (df_wage!$A$2:$A$1000 = L$199) * (df_wage!$D$2:$D$1000 = $B200), 0), 0)</f>
        <v>#N/A</v>
      </c>
      <c r="M200" s="770" t="e">
        <f t="array" ref="M200">INDEX(df_wage!$E$2:$E$1000, MATCH(1, ($C$2 = df_wage!$C$2:$C$1000) * (df_wage!$A$2:$A$1000 = M$199) * (df_wage!$D$2:$D$1000 = $B200), 0), 0)</f>
        <v>#N/A</v>
      </c>
      <c r="N200" s="770" t="e">
        <f t="array" ref="N200">INDEX(df_wage!$E$2:$E$1000, MATCH(1, ($C$2 = df_wage!$C$2:$C$1000) * (df_wage!$A$2:$A$1000 = N$199) * (df_wage!$D$2:$D$1000 = $B200), 0), 0)</f>
        <v>#N/A</v>
      </c>
      <c r="O200" s="770" t="e">
        <f t="array" ref="O200">INDEX(df_wage!$E$2:$E$1000, MATCH(1, ($C$2 = df_wage!$C$2:$C$1000) * (df_wage!$A$2:$A$1000 = O$199) * (df_wage!$D$2:$D$1000 = $B200), 0), 0)</f>
        <v>#N/A</v>
      </c>
      <c r="P200" s="770" t="e">
        <f t="array" ref="P200">INDEX(df_wage!$E$2:$E$1000, MATCH(1, ($C$2 = df_wage!$C$2:$C$1000) * (df_wage!$A$2:$A$1000 = P$199) * (df_wage!$D$2:$D$1000 = $B200), 0), 0)</f>
        <v>#N/A</v>
      </c>
      <c r="Q200" s="770" t="e">
        <f t="array" ref="Q200">INDEX(df_wage!$E$2:$E$1000, MATCH(1, ($C$2 = df_wage!$C$2:$C$1000) * (df_wage!$A$2:$A$1000 = Q$199) * (df_wage!$D$2:$D$1000 = $B200), 0), 0)</f>
        <v>#N/A</v>
      </c>
      <c r="R200" s="770" t="e">
        <f t="array" ref="R200">INDEX(df_wage!$E$2:$E$1000, MATCH(1, ($C$2 = df_wage!$C$2:$C$1000) * (df_wage!$A$2:$A$1000 = R$199) * (df_wage!$D$2:$D$1000 = $B200), 0), 0)</f>
        <v>#N/A</v>
      </c>
      <c r="S200" s="770" t="e">
        <f t="array" ref="S200">INDEX(df_wage!$E$2:$E$1000, MATCH(1, ($C$2 = df_wage!$C$2:$C$1000) * (df_wage!$A$2:$A$1000 = S$199) * (df_wage!$D$2:$D$1000 = $B200), 0), 0)</f>
        <v>#N/A</v>
      </c>
      <c r="T200" s="770" t="e">
        <f t="array" ref="T200">INDEX(df_wage!$E$2:$E$1000, MATCH(1, ($C$2 = df_wage!$C$2:$C$1000) * (df_wage!$A$2:$A$1000 = T$199) * (df_wage!$D$2:$D$1000 = $B200), 0), 0)</f>
        <v>#N/A</v>
      </c>
      <c r="U200" s="770" t="e">
        <f t="array" ref="U200">INDEX(df_wage!$E$2:$E$1000, MATCH(1, ($C$2 = df_wage!$C$2:$C$1000) * (df_wage!$A$2:$A$1000 = U$199) * (df_wage!$D$2:$D$1000 = $B200), 0), 0)</f>
        <v>#N/A</v>
      </c>
      <c r="V200" s="770" t="e">
        <f t="array" ref="V200">INDEX(df_wage!$E$2:$E$1000, MATCH(1, ($C$2 = df_wage!$C$2:$C$1000) * (df_wage!$A$2:$A$1000 = V$199) * (df_wage!$D$2:$D$1000 = $B200), 0), 0)</f>
        <v>#N/A</v>
      </c>
      <c r="W200" s="770" t="e">
        <f t="array" ref="W200">INDEX(df_wage!$E$2:$E$1000, MATCH(1, ($C$2 = df_wage!$C$2:$C$1000) * (df_wage!$A$2:$A$1000 = W$199) * (df_wage!$D$2:$D$1000 = $B200), 0), 0)</f>
        <v>#N/A</v>
      </c>
      <c r="X200" s="770" t="e">
        <f t="array" ref="X200">INDEX(df_wage!$E$2:$E$1000, MATCH(1, ($C$2 = df_wage!$C$2:$C$1000) * (df_wage!$A$2:$A$1000 = X$199) * (df_wage!$D$2:$D$1000 = $B200), 0), 0)</f>
        <v>#N/A</v>
      </c>
      <c r="Y200" s="770" t="e">
        <f t="array" ref="Y200">INDEX(df_wage!$E$2:$E$1000, MATCH(1, ($C$2 = df_wage!$C$2:$C$1000) * (df_wage!$A$2:$A$1000 = Y$199) * (df_wage!$D$2:$D$1000 = $B200), 0), 0)</f>
        <v>#N/A</v>
      </c>
      <c r="Z200" s="770" t="e">
        <f t="array" ref="Z200">INDEX(df_wage!$E$2:$E$1000, MATCH(1, ($C$2 = df_wage!$C$2:$C$1000) * (df_wage!$A$2:$A$1000 = Z$199) * (df_wage!$D$2:$D$1000 = $B200), 0), 0)</f>
        <v>#N/A</v>
      </c>
      <c r="AA200" s="771" t="e">
        <f>IFERROR(INDEX(df_wage!$E$2:$E$1000, MATCH(1, ($C$2 = df_wage!$C$2:$C$1000) * (df_wage!$A$2:$A$1000 = Z$199) * (df_wage!$D$2:$D$1000 = $B200), 0), 0),SLOPE($P200:$Z200,$P$199:$Z$199) * AA$199 + INTERCEPT($P200:$Z200,$P$199:$Z$199))</f>
        <v>#N/A</v>
      </c>
    </row>
    <row r="201" spans="1:27" ht="20.100000000000001" customHeight="1" x14ac:dyDescent="0.2">
      <c r="B201" s="495" t="s">
        <v>829</v>
      </c>
      <c r="C201" s="772" t="e">
        <f t="array" ref="C201">INDEX(df_wage!$E$2:$E$1000, MATCH(1, ($C$2 = df_wage!$C$2:$C$1000) * (df_wage!$A$2:$A$1000 = C$199) * (df_wage!$D$2:$D$1000 = $B201), 0), 0)</f>
        <v>#N/A</v>
      </c>
      <c r="D201" s="773" t="e">
        <f t="array" ref="D201">INDEX(df_wage!$E$2:$E$1000, MATCH(1, ($C$2 = df_wage!$C$2:$C$1000) * (df_wage!$A$2:$A$1000 = D$199) * (df_wage!$D$2:$D$1000 = $B201), 0), 0)</f>
        <v>#N/A</v>
      </c>
      <c r="E201" s="773" t="e">
        <f t="array" ref="E201">INDEX(df_wage!$E$2:$E$1000, MATCH(1, ($C$2 = df_wage!$C$2:$C$1000) * (df_wage!$A$2:$A$1000 = E$199) * (df_wage!$D$2:$D$1000 = $B201), 0), 0)</f>
        <v>#N/A</v>
      </c>
      <c r="F201" s="773" t="e">
        <f t="array" ref="F201">INDEX(df_wage!$E$2:$E$1000, MATCH(1, ($C$2 = df_wage!$C$2:$C$1000) * (df_wage!$A$2:$A$1000 = F$199) * (df_wage!$D$2:$D$1000 = $B201), 0), 0)</f>
        <v>#N/A</v>
      </c>
      <c r="G201" s="773" t="e">
        <f t="array" ref="G201">INDEX(df_wage!$E$2:$E$1000, MATCH(1, ($C$2 = df_wage!$C$2:$C$1000) * (df_wage!$A$2:$A$1000 = G$199) * (df_wage!$D$2:$D$1000 = $B201), 0), 0)</f>
        <v>#N/A</v>
      </c>
      <c r="H201" s="773" t="e">
        <f t="array" ref="H201">INDEX(df_wage!$E$2:$E$1000, MATCH(1, ($C$2 = df_wage!$C$2:$C$1000) * (df_wage!$A$2:$A$1000 = H$199) * (df_wage!$D$2:$D$1000 = $B201), 0), 0)</f>
        <v>#N/A</v>
      </c>
      <c r="I201" s="773" t="e">
        <f t="array" ref="I201">INDEX(df_wage!$E$2:$E$1000, MATCH(1, ($C$2 = df_wage!$C$2:$C$1000) * (df_wage!$A$2:$A$1000 = I$199) * (df_wage!$D$2:$D$1000 = $B201), 0), 0)</f>
        <v>#N/A</v>
      </c>
      <c r="J201" s="773" t="e">
        <f t="array" ref="J201">INDEX(df_wage!$E$2:$E$1000, MATCH(1, ($C$2 = df_wage!$C$2:$C$1000) * (df_wage!$A$2:$A$1000 = J$199) * (df_wage!$D$2:$D$1000 = $B201), 0), 0)</f>
        <v>#N/A</v>
      </c>
      <c r="K201" s="773" t="e">
        <f t="array" ref="K201">INDEX(df_wage!$E$2:$E$1000, MATCH(1, ($C$2 = df_wage!$C$2:$C$1000) * (df_wage!$A$2:$A$1000 = K$199) * (df_wage!$D$2:$D$1000 = $B201), 0), 0)</f>
        <v>#N/A</v>
      </c>
      <c r="L201" s="773" t="e">
        <f t="array" ref="L201">INDEX(df_wage!$E$2:$E$1000, MATCH(1, ($C$2 = df_wage!$C$2:$C$1000) * (df_wage!$A$2:$A$1000 = L$199) * (df_wage!$D$2:$D$1000 = $B201), 0), 0)</f>
        <v>#N/A</v>
      </c>
      <c r="M201" s="773" t="e">
        <f t="array" ref="M201">INDEX(df_wage!$E$2:$E$1000, MATCH(1, ($C$2 = df_wage!$C$2:$C$1000) * (df_wage!$A$2:$A$1000 = M$199) * (df_wage!$D$2:$D$1000 = $B201), 0), 0)</f>
        <v>#N/A</v>
      </c>
      <c r="N201" s="773" t="e">
        <f t="array" ref="N201">INDEX(df_wage!$E$2:$E$1000, MATCH(1, ($C$2 = df_wage!$C$2:$C$1000) * (df_wage!$A$2:$A$1000 = N$199) * (df_wage!$D$2:$D$1000 = $B201), 0), 0)</f>
        <v>#N/A</v>
      </c>
      <c r="O201" s="773" t="e">
        <f t="array" ref="O201">INDEX(df_wage!$E$2:$E$1000, MATCH(1, ($C$2 = df_wage!$C$2:$C$1000) * (df_wage!$A$2:$A$1000 = O$199) * (df_wage!$D$2:$D$1000 = $B201), 0), 0)</f>
        <v>#N/A</v>
      </c>
      <c r="P201" s="773" t="e">
        <f t="array" ref="P201">INDEX(df_wage!$E$2:$E$1000, MATCH(1, ($C$2 = df_wage!$C$2:$C$1000) * (df_wage!$A$2:$A$1000 = P$199) * (df_wage!$D$2:$D$1000 = $B201), 0), 0)</f>
        <v>#N/A</v>
      </c>
      <c r="Q201" s="773" t="e">
        <f t="array" ref="Q201">INDEX(df_wage!$E$2:$E$1000, MATCH(1, ($C$2 = df_wage!$C$2:$C$1000) * (df_wage!$A$2:$A$1000 = Q$199) * (df_wage!$D$2:$D$1000 = $B201), 0), 0)</f>
        <v>#N/A</v>
      </c>
      <c r="R201" s="773" t="e">
        <f t="array" ref="R201">INDEX(df_wage!$E$2:$E$1000, MATCH(1, ($C$2 = df_wage!$C$2:$C$1000) * (df_wage!$A$2:$A$1000 = R$199) * (df_wage!$D$2:$D$1000 = $B201), 0), 0)</f>
        <v>#N/A</v>
      </c>
      <c r="S201" s="773" t="e">
        <f t="array" ref="S201">INDEX(df_wage!$E$2:$E$1000, MATCH(1, ($C$2 = df_wage!$C$2:$C$1000) * (df_wage!$A$2:$A$1000 = S$199) * (df_wage!$D$2:$D$1000 = $B201), 0), 0)</f>
        <v>#N/A</v>
      </c>
      <c r="T201" s="773" t="e">
        <f t="array" ref="T201">INDEX(df_wage!$E$2:$E$1000, MATCH(1, ($C$2 = df_wage!$C$2:$C$1000) * (df_wage!$A$2:$A$1000 = T$199) * (df_wage!$D$2:$D$1000 = $B201), 0), 0)</f>
        <v>#N/A</v>
      </c>
      <c r="U201" s="773" t="e">
        <f t="array" ref="U201">INDEX(df_wage!$E$2:$E$1000, MATCH(1, ($C$2 = df_wage!$C$2:$C$1000) * (df_wage!$A$2:$A$1000 = U$199) * (df_wage!$D$2:$D$1000 = $B201), 0), 0)</f>
        <v>#N/A</v>
      </c>
      <c r="V201" s="773" t="e">
        <f t="array" ref="V201">INDEX(df_wage!$E$2:$E$1000, MATCH(1, ($C$2 = df_wage!$C$2:$C$1000) * (df_wage!$A$2:$A$1000 = V$199) * (df_wage!$D$2:$D$1000 = $B201), 0), 0)</f>
        <v>#N/A</v>
      </c>
      <c r="W201" s="773" t="e">
        <f t="array" ref="W201">INDEX(df_wage!$E$2:$E$1000, MATCH(1, ($C$2 = df_wage!$C$2:$C$1000) * (df_wage!$A$2:$A$1000 = W$199) * (df_wage!$D$2:$D$1000 = $B201), 0), 0)</f>
        <v>#N/A</v>
      </c>
      <c r="X201" s="773" t="e">
        <f t="array" ref="X201">INDEX(df_wage!$E$2:$E$1000, MATCH(1, ($C$2 = df_wage!$C$2:$C$1000) * (df_wage!$A$2:$A$1000 = X$199) * (df_wage!$D$2:$D$1000 = $B201), 0), 0)</f>
        <v>#N/A</v>
      </c>
      <c r="Y201" s="773" t="e">
        <f t="array" ref="Y201">INDEX(df_wage!$E$2:$E$1000, MATCH(1, ($C$2 = df_wage!$C$2:$C$1000) * (df_wage!$A$2:$A$1000 = Y$199) * (df_wage!$D$2:$D$1000 = $B201), 0), 0)</f>
        <v>#N/A</v>
      </c>
      <c r="Z201" s="773" t="e">
        <f t="array" ref="Z201">INDEX(df_wage!$E$2:$E$1000, MATCH(1, ($C$2 = df_wage!$C$2:$C$1000) * (df_wage!$A$2:$A$1000 = Z$199) * (df_wage!$D$2:$D$1000 = $B201), 0), 0)</f>
        <v>#N/A</v>
      </c>
      <c r="AA201" s="774" t="e">
        <f>IFERROR(INDEX(df_wage!$E$2:$E$1000, MATCH(1, ($C$2 = df_wage!$C$2:$C$1000) * (df_wage!$A$2:$A$1000 = Z$199) * (df_wage!$D$2:$D$1000 = $B201), 0), 0),SLOPE($P201:$Z201,$P$199:$Z$199) * AA$199 + INTERCEPT($P201:$Z201,$P$199:$Z$199))</f>
        <v>#N/A</v>
      </c>
    </row>
    <row r="202" spans="1:27" ht="20.100000000000001" customHeight="1" x14ac:dyDescent="0.2">
      <c r="B202" s="497" t="s">
        <v>830</v>
      </c>
      <c r="C202" s="775" t="e">
        <f t="array" ref="C202">INDEX(df_wage!$E$2:$E$1000, MATCH(1, ($C$2 = df_wage!$C$2:$C$1000) * (df_wage!$A$2:$A$1000 = C$199) * (df_wage!$D$2:$D$1000 = $B202), 0), 0)</f>
        <v>#N/A</v>
      </c>
      <c r="D202" s="776" t="e">
        <f t="array" ref="D202">INDEX(df_wage!$E$2:$E$1000, MATCH(1, ($C$2 = df_wage!$C$2:$C$1000) * (df_wage!$A$2:$A$1000 = D$199) * (df_wage!$D$2:$D$1000 = $B202), 0), 0)</f>
        <v>#N/A</v>
      </c>
      <c r="E202" s="776" t="e">
        <f t="array" ref="E202">INDEX(df_wage!$E$2:$E$1000, MATCH(1, ($C$2 = df_wage!$C$2:$C$1000) * (df_wage!$A$2:$A$1000 = E$199) * (df_wage!$D$2:$D$1000 = $B202), 0), 0)</f>
        <v>#N/A</v>
      </c>
      <c r="F202" s="776" t="e">
        <f t="array" ref="F202">INDEX(df_wage!$E$2:$E$1000, MATCH(1, ($C$2 = df_wage!$C$2:$C$1000) * (df_wage!$A$2:$A$1000 = F$199) * (df_wage!$D$2:$D$1000 = $B202), 0), 0)</f>
        <v>#N/A</v>
      </c>
      <c r="G202" s="776" t="e">
        <f t="array" ref="G202">INDEX(df_wage!$E$2:$E$1000, MATCH(1, ($C$2 = df_wage!$C$2:$C$1000) * (df_wage!$A$2:$A$1000 = G$199) * (df_wage!$D$2:$D$1000 = $B202), 0), 0)</f>
        <v>#N/A</v>
      </c>
      <c r="H202" s="776" t="e">
        <f t="array" ref="H202">INDEX(df_wage!$E$2:$E$1000, MATCH(1, ($C$2 = df_wage!$C$2:$C$1000) * (df_wage!$A$2:$A$1000 = H$199) * (df_wage!$D$2:$D$1000 = $B202), 0), 0)</f>
        <v>#N/A</v>
      </c>
      <c r="I202" s="776" t="e">
        <f t="array" ref="I202">INDEX(df_wage!$E$2:$E$1000, MATCH(1, ($C$2 = df_wage!$C$2:$C$1000) * (df_wage!$A$2:$A$1000 = I$199) * (df_wage!$D$2:$D$1000 = $B202), 0), 0)</f>
        <v>#N/A</v>
      </c>
      <c r="J202" s="776" t="e">
        <f t="array" ref="J202">INDEX(df_wage!$E$2:$E$1000, MATCH(1, ($C$2 = df_wage!$C$2:$C$1000) * (df_wage!$A$2:$A$1000 = J$199) * (df_wage!$D$2:$D$1000 = $B202), 0), 0)</f>
        <v>#N/A</v>
      </c>
      <c r="K202" s="776" t="e">
        <f t="array" ref="K202">INDEX(df_wage!$E$2:$E$1000, MATCH(1, ($C$2 = df_wage!$C$2:$C$1000) * (df_wage!$A$2:$A$1000 = K$199) * (df_wage!$D$2:$D$1000 = $B202), 0), 0)</f>
        <v>#N/A</v>
      </c>
      <c r="L202" s="776" t="e">
        <f t="array" ref="L202">INDEX(df_wage!$E$2:$E$1000, MATCH(1, ($C$2 = df_wage!$C$2:$C$1000) * (df_wage!$A$2:$A$1000 = L$199) * (df_wage!$D$2:$D$1000 = $B202), 0), 0)</f>
        <v>#N/A</v>
      </c>
      <c r="M202" s="776" t="e">
        <f t="array" ref="M202">INDEX(df_wage!$E$2:$E$1000, MATCH(1, ($C$2 = df_wage!$C$2:$C$1000) * (df_wage!$A$2:$A$1000 = M$199) * (df_wage!$D$2:$D$1000 = $B202), 0), 0)</f>
        <v>#N/A</v>
      </c>
      <c r="N202" s="776" t="e">
        <f t="array" ref="N202">INDEX(df_wage!$E$2:$E$1000, MATCH(1, ($C$2 = df_wage!$C$2:$C$1000) * (df_wage!$A$2:$A$1000 = N$199) * (df_wage!$D$2:$D$1000 = $B202), 0), 0)</f>
        <v>#N/A</v>
      </c>
      <c r="O202" s="776" t="e">
        <f t="array" ref="O202">INDEX(df_wage!$E$2:$E$1000, MATCH(1, ($C$2 = df_wage!$C$2:$C$1000) * (df_wage!$A$2:$A$1000 = O$199) * (df_wage!$D$2:$D$1000 = $B202), 0), 0)</f>
        <v>#N/A</v>
      </c>
      <c r="P202" s="776" t="e">
        <f t="array" ref="P202">INDEX(df_wage!$E$2:$E$1000, MATCH(1, ($C$2 = df_wage!$C$2:$C$1000) * (df_wage!$A$2:$A$1000 = P$199) * (df_wage!$D$2:$D$1000 = $B202), 0), 0)</f>
        <v>#N/A</v>
      </c>
      <c r="Q202" s="776" t="e">
        <f t="array" ref="Q202">INDEX(df_wage!$E$2:$E$1000, MATCH(1, ($C$2 = df_wage!$C$2:$C$1000) * (df_wage!$A$2:$A$1000 = Q$199) * (df_wage!$D$2:$D$1000 = $B202), 0), 0)</f>
        <v>#N/A</v>
      </c>
      <c r="R202" s="776" t="e">
        <f t="array" ref="R202">INDEX(df_wage!$E$2:$E$1000, MATCH(1, ($C$2 = df_wage!$C$2:$C$1000) * (df_wage!$A$2:$A$1000 = R$199) * (df_wage!$D$2:$D$1000 = $B202), 0), 0)</f>
        <v>#N/A</v>
      </c>
      <c r="S202" s="776" t="e">
        <f t="array" ref="S202">INDEX(df_wage!$E$2:$E$1000, MATCH(1, ($C$2 = df_wage!$C$2:$C$1000) * (df_wage!$A$2:$A$1000 = S$199) * (df_wage!$D$2:$D$1000 = $B202), 0), 0)</f>
        <v>#N/A</v>
      </c>
      <c r="T202" s="776" t="e">
        <f t="array" ref="T202">INDEX(df_wage!$E$2:$E$1000, MATCH(1, ($C$2 = df_wage!$C$2:$C$1000) * (df_wage!$A$2:$A$1000 = T$199) * (df_wage!$D$2:$D$1000 = $B202), 0), 0)</f>
        <v>#N/A</v>
      </c>
      <c r="U202" s="776" t="e">
        <f t="array" ref="U202">INDEX(df_wage!$E$2:$E$1000, MATCH(1, ($C$2 = df_wage!$C$2:$C$1000) * (df_wage!$A$2:$A$1000 = U$199) * (df_wage!$D$2:$D$1000 = $B202), 0), 0)</f>
        <v>#N/A</v>
      </c>
      <c r="V202" s="776" t="e">
        <f t="array" ref="V202">INDEX(df_wage!$E$2:$E$1000, MATCH(1, ($C$2 = df_wage!$C$2:$C$1000) * (df_wage!$A$2:$A$1000 = V$199) * (df_wage!$D$2:$D$1000 = $B202), 0), 0)</f>
        <v>#N/A</v>
      </c>
      <c r="W202" s="776" t="e">
        <f t="array" ref="W202">INDEX(df_wage!$E$2:$E$1000, MATCH(1, ($C$2 = df_wage!$C$2:$C$1000) * (df_wage!$A$2:$A$1000 = W$199) * (df_wage!$D$2:$D$1000 = $B202), 0), 0)</f>
        <v>#N/A</v>
      </c>
      <c r="X202" s="776" t="e">
        <f t="array" ref="X202">INDEX(df_wage!$E$2:$E$1000, MATCH(1, ($C$2 = df_wage!$C$2:$C$1000) * (df_wage!$A$2:$A$1000 = X$199) * (df_wage!$D$2:$D$1000 = $B202), 0), 0)</f>
        <v>#N/A</v>
      </c>
      <c r="Y202" s="776" t="e">
        <f t="array" ref="Y202">INDEX(df_wage!$E$2:$E$1000, MATCH(1, ($C$2 = df_wage!$C$2:$C$1000) * (df_wage!$A$2:$A$1000 = Y$199) * (df_wage!$D$2:$D$1000 = $B202), 0), 0)</f>
        <v>#N/A</v>
      </c>
      <c r="Z202" s="776" t="e">
        <f t="array" ref="Z202">INDEX(df_wage!$E$2:$E$1000, MATCH(1, ($C$2 = df_wage!$C$2:$C$1000) * (df_wage!$A$2:$A$1000 = Z$199) * (df_wage!$D$2:$D$1000 = $B202), 0), 0)</f>
        <v>#N/A</v>
      </c>
      <c r="AA202" s="777" t="e">
        <f>IFERROR(INDEX(df_wage!$E$2:$E$1000, MATCH(1, ($C$2 = df_wage!$C$2:$C$1000) * (df_wage!$A$2:$A$1000 = Z$199) * (df_wage!$D$2:$D$1000 = $B202), 0), 0),SLOPE($P202:$Z202,$P$199:$Z$199) * AA$199 + INTERCEPT($P202:$Z202,$P$199:$Z$199))</f>
        <v>#N/A</v>
      </c>
    </row>
    <row r="205" spans="1:27" ht="50.1" customHeight="1" x14ac:dyDescent="0.2">
      <c r="B205" s="159" t="s">
        <v>1297</v>
      </c>
      <c r="C205" s="59"/>
      <c r="D205" s="59"/>
      <c r="E205" s="59"/>
      <c r="F205" s="59"/>
      <c r="G205" s="59"/>
      <c r="H205" s="59"/>
      <c r="I205" s="59"/>
      <c r="J205" s="59"/>
      <c r="K205" s="59"/>
      <c r="L205" s="59"/>
      <c r="M205" s="59"/>
      <c r="N205" s="59"/>
      <c r="O205" s="59"/>
      <c r="P205" s="59"/>
      <c r="Q205" s="59"/>
      <c r="R205" s="59"/>
    </row>
    <row r="206" spans="1:27" ht="20.100000000000001" customHeight="1" x14ac:dyDescent="0.2">
      <c r="A206" s="1"/>
      <c r="B206" s="2"/>
      <c r="C206" s="1"/>
      <c r="D206" s="1"/>
      <c r="E206" s="1"/>
      <c r="F206" s="1"/>
      <c r="G206" s="1"/>
      <c r="H206" s="1"/>
      <c r="I206" s="1"/>
      <c r="J206" s="1"/>
      <c r="K206" s="1"/>
      <c r="L206" s="1"/>
      <c r="M206" s="1"/>
      <c r="N206" s="1"/>
      <c r="O206" s="1"/>
      <c r="P206" s="1"/>
      <c r="Q206" s="1"/>
      <c r="R206" s="1"/>
    </row>
    <row r="207" spans="1:27" ht="30" customHeight="1" x14ac:dyDescent="0.2">
      <c r="A207" s="560"/>
      <c r="B207" s="175" t="s">
        <v>1216</v>
      </c>
      <c r="C207" s="310"/>
      <c r="D207" s="310"/>
      <c r="E207" s="310"/>
      <c r="F207" s="310"/>
      <c r="G207" s="310"/>
      <c r="H207" s="310"/>
      <c r="I207" s="310"/>
      <c r="J207" s="310"/>
      <c r="K207" s="310"/>
      <c r="L207" s="310"/>
      <c r="M207" s="310"/>
      <c r="N207" s="310"/>
      <c r="O207" s="310"/>
      <c r="P207" s="310"/>
      <c r="Q207" s="310"/>
      <c r="R207" s="310"/>
    </row>
    <row r="209" spans="1:18" ht="20.100000000000001" customHeight="1" x14ac:dyDescent="0.2">
      <c r="B209" s="1240" t="s">
        <v>1111</v>
      </c>
      <c r="C209" s="1240"/>
      <c r="D209" s="1240"/>
      <c r="E209" s="1240"/>
      <c r="F209" s="1240"/>
      <c r="G209" s="1240"/>
      <c r="H209" s="1240"/>
    </row>
    <row r="211" spans="1:18" ht="20.100000000000001" customHeight="1" x14ac:dyDescent="0.2">
      <c r="B211" s="206" t="s">
        <v>478</v>
      </c>
      <c r="C211" s="72"/>
      <c r="D211" s="128" t="s">
        <v>1096</v>
      </c>
      <c r="E211" s="117" t="s">
        <v>1097</v>
      </c>
      <c r="F211" s="117" t="s">
        <v>1098</v>
      </c>
      <c r="G211" s="117" t="s">
        <v>1099</v>
      </c>
      <c r="H211" s="302" t="s">
        <v>1100</v>
      </c>
    </row>
    <row r="212" spans="1:18" ht="20.100000000000001" customHeight="1" x14ac:dyDescent="0.2">
      <c r="A212" s="299" t="s">
        <v>1101</v>
      </c>
      <c r="B212" s="570" t="s">
        <v>1108</v>
      </c>
      <c r="C212" s="493"/>
      <c r="D212" s="862" t="str">
        <f t="array" ref="D212">IFERROR(IFERROR(INDEX(df_lwage!$C$2:$G$100,MATCH(1,($A$2=df_lwage!$A$2:$A$100)*($A212=df_lwage!$B$2:$B$100),0),MATCH(D$211,df_lwage!$C$1:$G$1,0)),INDEX(df_lwage!$C$2:$G$100,MATCH(1,($B$2=df_lwage!$A$2:$A$100)*($A212=df_lwage!$B$2:$B$100),0),MATCH(D$211,df_lwage!$C$1:$G$1,0))),"x")</f>
        <v>x</v>
      </c>
      <c r="E212" s="751" t="str">
        <f t="array" ref="E212">IFERROR(IFERROR(INDEX(df_lwage!$C$2:$G$100,MATCH(1,($A$2=df_lwage!$A$2:$A$100)*($A212=df_lwage!$B$2:$B$100),0),MATCH(E$211,df_lwage!$C$1:$G$1,0)),INDEX(df_lwage!$C$2:$G$100,MATCH(1,($B$2=df_lwage!$A$2:$A$100)*($A212=df_lwage!$B$2:$B$100),0),MATCH(E$211,df_lwage!$C$1:$G$1,0))),"x")</f>
        <v>x</v>
      </c>
      <c r="F212" s="752" t="str">
        <f t="array" ref="F212">IFERROR(IFERROR(INDEX(df_lwage!$C$2:$G$100,MATCH(1,($A$2=df_lwage!$A$2:$A$100)*($A212=df_lwage!$B$2:$B$100),0),MATCH(F$211,df_lwage!$C$1:$G$1,0)),INDEX(df_lwage!$C$2:$G$100,MATCH(1,($B$2=df_lwage!$A$2:$A$100)*($A212=df_lwage!$B$2:$B$100),0),MATCH(F$211,df_lwage!$C$1:$G$1,0))),"x")</f>
        <v>x</v>
      </c>
      <c r="G212" s="752" t="str">
        <f t="array" ref="G212">IFERROR(IFERROR(INDEX(df_lwage!$C$2:$G$100,MATCH(1,($A$2=df_lwage!$A$2:$A$100)*($A212=df_lwage!$B$2:$B$100),0),MATCH(G$211,df_lwage!$C$1:$G$1,0)),INDEX(df_lwage!$C$2:$G$100,MATCH(1,($B$2=df_lwage!$A$2:$A$100)*($A212=df_lwage!$B$2:$B$100),0),MATCH(G$211,df_lwage!$C$1:$G$1,0))),"x")</f>
        <v>x</v>
      </c>
      <c r="H212" s="753" t="str">
        <f t="array" ref="H212">IFERROR(IFERROR(INDEX(df_lwage!$C$2:$G$100,MATCH(1,($A$2=df_lwage!$A$2:$A$100)*($A212=df_lwage!$B$2:$B$100),0),MATCH(H$211,df_lwage!$C$1:$G$1,0)),INDEX(df_lwage!$C$2:$G$100,MATCH(1,($B$2=df_lwage!$A$2:$A$100)*($A212=df_lwage!$B$2:$B$100),0),MATCH(H$211,df_lwage!$C$1:$G$1,0))),"x")</f>
        <v>x</v>
      </c>
    </row>
    <row r="213" spans="1:18" ht="20.100000000000001" customHeight="1" x14ac:dyDescent="0.2">
      <c r="A213" s="299" t="s">
        <v>1102</v>
      </c>
      <c r="B213" s="569" t="s">
        <v>1109</v>
      </c>
      <c r="C213" s="494"/>
      <c r="D213" s="867" t="str">
        <f t="array" ref="D213">IFERROR(INDEX(df_lwage!$C$2:$G$100, MATCH(1, ($A$2 = df_lwage!$A$2:$A$100) * ($A213 = df_lwage!$B$2:$B$100), 0), MATCH(D$211, df_lwage!$C$1:$G$1,0)),"x")</f>
        <v>x</v>
      </c>
      <c r="E213" s="756" t="str">
        <f t="array" ref="E213">IFERROR(INDEX(df_lwage!$C$2:$G$100, MATCH(1, ($A$2 = df_lwage!$A$2:$A$100) * ($A213 = df_lwage!$B$2:$B$100), 0), MATCH(E$211, df_lwage!$C$1:$G$1,0)),"x")</f>
        <v>x</v>
      </c>
      <c r="F213" s="757" t="str">
        <f t="array" ref="F213">IFERROR(INDEX(df_lwage!$C$2:$G$100, MATCH(1, ($A$2 = df_lwage!$A$2:$A$100) * ($A213 = df_lwage!$B$2:$B$100), 0), MATCH(F$211, df_lwage!$C$1:$G$1,0)),"x")</f>
        <v>x</v>
      </c>
      <c r="G213" s="757" t="str">
        <f t="array" ref="G213">IFERROR(INDEX(df_lwage!$C$2:$G$100, MATCH(1, ($A$2 = df_lwage!$A$2:$A$100) * ($A213 = df_lwage!$B$2:$B$100), 0), MATCH(G$211, df_lwage!$C$1:$G$1,0)),"x")</f>
        <v>x</v>
      </c>
      <c r="H213" s="758" t="str">
        <f t="array" ref="H213">IFERROR(INDEX(df_lwage!$C$2:$G$100, MATCH(1, ($A$2 = df_lwage!$A$2:$A$100) * ($A213 = df_lwage!$B$2:$B$100), 0), MATCH(H$211, df_lwage!$C$1:$G$1,0)),"x")</f>
        <v>x</v>
      </c>
    </row>
    <row r="214" spans="1:18" ht="20.100000000000001" customHeight="1" x14ac:dyDescent="0.2"/>
    <row r="215" spans="1:18" ht="20.100000000000001" customHeight="1" x14ac:dyDescent="0.2">
      <c r="A215" s="299"/>
      <c r="B215" s="1240" t="s">
        <v>1110</v>
      </c>
      <c r="C215" s="1240"/>
      <c r="D215" s="1240"/>
      <c r="E215" s="1240"/>
      <c r="F215" s="1240"/>
      <c r="G215" s="1240"/>
      <c r="H215" s="1240"/>
      <c r="I215" s="1240"/>
      <c r="K215" s="1240" t="s">
        <v>1298</v>
      </c>
      <c r="L215" s="1240"/>
      <c r="M215" s="1240"/>
      <c r="N215" s="1240"/>
      <c r="O215" s="1240"/>
      <c r="P215" s="1240"/>
      <c r="Q215" s="1240"/>
      <c r="R215" s="1240"/>
    </row>
    <row r="216" spans="1:18" ht="20.100000000000001" customHeight="1" x14ac:dyDescent="0.2"/>
    <row r="217" spans="1:18" ht="20.100000000000001" customHeight="1" x14ac:dyDescent="0.2">
      <c r="B217" s="206" t="s">
        <v>718</v>
      </c>
      <c r="C217" s="562" t="s">
        <v>720</v>
      </c>
      <c r="D217" s="571" t="s">
        <v>496</v>
      </c>
      <c r="E217" s="128" t="s">
        <v>1096</v>
      </c>
      <c r="F217" s="117" t="s">
        <v>1097</v>
      </c>
      <c r="G217" s="117" t="s">
        <v>1098</v>
      </c>
      <c r="H217" s="117" t="s">
        <v>1099</v>
      </c>
      <c r="I217" s="302" t="s">
        <v>1100</v>
      </c>
      <c r="K217" s="206" t="s">
        <v>718</v>
      </c>
      <c r="L217" s="562" t="s">
        <v>720</v>
      </c>
      <c r="M217" s="571" t="s">
        <v>496</v>
      </c>
      <c r="N217" s="128" t="s">
        <v>1096</v>
      </c>
      <c r="O217" s="117" t="s">
        <v>1097</v>
      </c>
      <c r="P217" s="117" t="s">
        <v>1098</v>
      </c>
      <c r="Q217" s="117" t="s">
        <v>1099</v>
      </c>
      <c r="R217" s="302" t="s">
        <v>1100</v>
      </c>
    </row>
    <row r="218" spans="1:18" ht="20.100000000000001" customHeight="1" x14ac:dyDescent="0.2">
      <c r="B218" s="778"/>
      <c r="C218" s="779"/>
      <c r="D218" s="491" t="e">
        <f t="array" ref="D218">INDEX(df_incdist!$D$2:$I$1000, MATCH(1, ($A$2 = df_incdist!$A$2:$A$1000) * ($B218 = df_incdist!$B$2:$B$1000) * ($C218 = df_incdist!$C$2:$C$1000), 0), MATCH(D$217, df_incdist!$D$1:$I$1,0))</f>
        <v>#N/A</v>
      </c>
      <c r="E218" s="564" t="e">
        <f t="array" ref="E218">INDEX(df_incdist!$D$2:$I$1000, MATCH(1, ($A$2 = df_incdist!$A$2:$A$1000) * ($B218 = df_incdist!$B$2:$B$1000) * ($C218 = df_incdist!$C$2:$C$1000), 0), MATCH(E$217, df_incdist!$D$1:$I$1,0))</f>
        <v>#N/A</v>
      </c>
      <c r="F218" s="565" t="e">
        <f t="array" ref="F218">INDEX(df_incdist!$D$2:$I$1000, MATCH(1, ($A$2 = df_incdist!$A$2:$A$1000) * ($B218 = df_incdist!$B$2:$B$1000) * ($C218 = df_incdist!$C$2:$C$1000), 0), MATCH(F$217, df_incdist!$D$1:$I$1,0))</f>
        <v>#N/A</v>
      </c>
      <c r="G218" s="565" t="e">
        <f t="array" ref="G218">INDEX(df_incdist!$D$2:$I$1000, MATCH(1, ($A$2 = df_incdist!$A$2:$A$1000) * ($B218 = df_incdist!$B$2:$B$1000) * ($C218 = df_incdist!$C$2:$C$1000), 0), MATCH(G$217, df_incdist!$D$1:$I$1,0))</f>
        <v>#N/A</v>
      </c>
      <c r="H218" s="565" t="e">
        <f t="array" ref="H218">INDEX(df_incdist!$D$2:$I$1000, MATCH(1, ($A$2 = df_incdist!$A$2:$A$1000) * ($B218 = df_incdist!$B$2:$B$1000) * ($C218 = df_incdist!$C$2:$C$1000), 0), MATCH(H$217, df_incdist!$D$1:$I$1,0))</f>
        <v>#N/A</v>
      </c>
      <c r="I218" s="566" t="e">
        <f t="array" ref="I218">INDEX(df_incdist!$D$2:$I$1000, MATCH(1, ($A$2 = df_incdist!$A$2:$A$1000) * ($B218 = df_incdist!$B$2:$B$1000) * ($C218 = df_incdist!$C$2:$C$1000), 0), MATCH(I$217, df_incdist!$D$1:$I$1,0))</f>
        <v>#N/A</v>
      </c>
      <c r="K218" s="778"/>
      <c r="L218" s="779"/>
      <c r="M218" s="491" t="e">
        <f t="array" ref="M218">INDEX(df_incdist!$D$2:$I$1000, MATCH(1, ($A$2 = df_incdist!$A$2:$A$1000) * ($B218 = df_incdist!$B$2:$B$1000) * ($C218 = df_incdist!$C$2:$C$1000), 0), MATCH(M$217, df_incdist!$D$1:$I$1,0))</f>
        <v>#N/A</v>
      </c>
      <c r="N218" s="564" t="e">
        <f t="array" ref="N218">INDEX(df_incdist!$D$2:$I$1000, MATCH(1, ($A$2 = df_incdist!$A$2:$A$1000) * ($B218 = df_incdist!$B$2:$B$1000) * ($C218 = df_incdist!$C$2:$C$1000), 0), MATCH(N$217, df_incdist!$D$1:$I$1,0))</f>
        <v>#N/A</v>
      </c>
      <c r="O218" s="565" t="e">
        <f t="array" ref="O218">INDEX(df_incdist!$D$2:$I$1000, MATCH(1, ($A$2 = df_incdist!$A$2:$A$1000) * ($B218 = df_incdist!$B$2:$B$1000) * ($C218 = df_incdist!$C$2:$C$1000), 0), MATCH(O$217, df_incdist!$D$1:$I$1,0))</f>
        <v>#N/A</v>
      </c>
      <c r="P218" s="565" t="e">
        <f t="array" ref="P218">INDEX(df_incdist!$D$2:$I$1000, MATCH(1, ($A$2 = df_incdist!$A$2:$A$1000) * ($B218 = df_incdist!$B$2:$B$1000) * ($C218 = df_incdist!$C$2:$C$1000), 0), MATCH(P$217, df_incdist!$D$1:$I$1,0))</f>
        <v>#N/A</v>
      </c>
      <c r="Q218" s="565" t="e">
        <f t="array" ref="Q218">INDEX(df_incdist!$D$2:$I$1000, MATCH(1, ($A$2 = df_incdist!$A$2:$A$1000) * ($B218 = df_incdist!$B$2:$B$1000) * ($C218 = df_incdist!$C$2:$C$1000), 0), MATCH(Q$217, df_incdist!$D$1:$I$1,0))</f>
        <v>#N/A</v>
      </c>
      <c r="R218" s="566" t="e">
        <f t="array" ref="R218">INDEX(df_incdist!$D$2:$I$1000, MATCH(1, ($A$2 = df_incdist!$A$2:$A$1000) * ($B218 = df_incdist!$B$2:$B$1000) * ($C218 = df_incdist!$C$2:$C$1000), 0), MATCH(R$217, df_incdist!$D$1:$I$1,0))</f>
        <v>#N/A</v>
      </c>
    </row>
    <row r="219" spans="1:18" ht="20.100000000000001" customHeight="1" x14ac:dyDescent="0.2">
      <c r="B219" s="781">
        <v>0</v>
      </c>
      <c r="C219" s="782">
        <v>5000</v>
      </c>
      <c r="D219" s="488" t="e">
        <f t="array" ref="D219">INDEX(df_incdist!$D$2:$I$1000, MATCH(1, ($A$2 = df_incdist!$A$2:$A$1000) * ($B219 = df_incdist!$B$2:$B$1000) * ($C219 = df_incdist!$C$2:$C$1000), 0), MATCH(D$217, df_incdist!$D$1:$I$1,0))</f>
        <v>#N/A</v>
      </c>
      <c r="E219" s="557" t="e">
        <f t="array" ref="E219">INDEX(df_incdist!$D$2:$I$1000, MATCH(1, ($A$2 = df_incdist!$A$2:$A$1000) * ($B219 = df_incdist!$B$2:$B$1000) * ($C219 = df_incdist!$C$2:$C$1000), 0), MATCH(E$217, df_incdist!$D$1:$I$1,0))</f>
        <v>#N/A</v>
      </c>
      <c r="F219" s="555" t="e">
        <f t="array" ref="F219">INDEX(df_incdist!$D$2:$I$1000, MATCH(1, ($A$2 = df_incdist!$A$2:$A$1000) * ($B219 = df_incdist!$B$2:$B$1000) * ($C219 = df_incdist!$C$2:$C$1000), 0), MATCH(F$217, df_incdist!$D$1:$I$1,0))</f>
        <v>#N/A</v>
      </c>
      <c r="G219" s="555" t="e">
        <f t="array" ref="G219">INDEX(df_incdist!$D$2:$I$1000, MATCH(1, ($A$2 = df_incdist!$A$2:$A$1000) * ($B219 = df_incdist!$B$2:$B$1000) * ($C219 = df_incdist!$C$2:$C$1000), 0), MATCH(G$217, df_incdist!$D$1:$I$1,0))</f>
        <v>#N/A</v>
      </c>
      <c r="H219" s="555" t="e">
        <f t="array" ref="H219">INDEX(df_incdist!$D$2:$I$1000, MATCH(1, ($A$2 = df_incdist!$A$2:$A$1000) * ($B219 = df_incdist!$B$2:$B$1000) * ($C219 = df_incdist!$C$2:$C$1000), 0), MATCH(H$217, df_incdist!$D$1:$I$1,0))</f>
        <v>#N/A</v>
      </c>
      <c r="I219" s="556" t="e">
        <f t="array" ref="I219">INDEX(df_incdist!$D$2:$I$1000, MATCH(1, ($A$2 = df_incdist!$A$2:$A$1000) * ($B219 = df_incdist!$B$2:$B$1000) * ($C219 = df_incdist!$C$2:$C$1000), 0), MATCH(I$217, df_incdist!$D$1:$I$1,0))</f>
        <v>#N/A</v>
      </c>
      <c r="K219" s="781">
        <v>0</v>
      </c>
      <c r="L219" s="782">
        <v>5000</v>
      </c>
      <c r="M219" s="488" t="e">
        <f>SUM(D$219:D219)</f>
        <v>#N/A</v>
      </c>
      <c r="N219" s="557" t="e">
        <f>SUM(E$219:E219)</f>
        <v>#N/A</v>
      </c>
      <c r="O219" s="555" t="e">
        <f>SUM(F$219:F219)</f>
        <v>#N/A</v>
      </c>
      <c r="P219" s="555" t="e">
        <f>SUM(G$219:G219)</f>
        <v>#N/A</v>
      </c>
      <c r="Q219" s="555" t="e">
        <f>SUM(H$219:H219)</f>
        <v>#N/A</v>
      </c>
      <c r="R219" s="556" t="e">
        <f>SUM(I$219:I219)</f>
        <v>#N/A</v>
      </c>
    </row>
    <row r="220" spans="1:18" ht="20.100000000000001" customHeight="1" x14ac:dyDescent="0.2">
      <c r="B220" s="783">
        <v>5000</v>
      </c>
      <c r="C220" s="784">
        <v>9999</v>
      </c>
      <c r="D220" s="489" t="e">
        <f t="array" ref="D220">INDEX(df_incdist!$D$2:$I$1000, MATCH(1, ($A$2 = df_incdist!$A$2:$A$1000) * ($B220 = df_incdist!$B$2:$B$1000) * ($C220 = df_incdist!$C$2:$C$1000), 0), MATCH(D$217, df_incdist!$D$1:$I$1,0))</f>
        <v>#N/A</v>
      </c>
      <c r="E220" s="558" t="e">
        <f t="array" ref="E220">INDEX(df_incdist!$D$2:$I$1000, MATCH(1, ($A$2 = df_incdist!$A$2:$A$1000) * ($B220 = df_incdist!$B$2:$B$1000) * ($C220 = df_incdist!$C$2:$C$1000), 0), MATCH(E$217, df_incdist!$D$1:$I$1,0))</f>
        <v>#N/A</v>
      </c>
      <c r="F220" s="239" t="e">
        <f t="array" ref="F220">INDEX(df_incdist!$D$2:$I$1000, MATCH(1, ($A$2 = df_incdist!$A$2:$A$1000) * ($B220 = df_incdist!$B$2:$B$1000) * ($C220 = df_incdist!$C$2:$C$1000), 0), MATCH(F$217, df_incdist!$D$1:$I$1,0))</f>
        <v>#N/A</v>
      </c>
      <c r="G220" s="239" t="e">
        <f t="array" ref="G220">INDEX(df_incdist!$D$2:$I$1000, MATCH(1, ($A$2 = df_incdist!$A$2:$A$1000) * ($B220 = df_incdist!$B$2:$B$1000) * ($C220 = df_incdist!$C$2:$C$1000), 0), MATCH(G$217, df_incdist!$D$1:$I$1,0))</f>
        <v>#N/A</v>
      </c>
      <c r="H220" s="239" t="e">
        <f t="array" ref="H220">INDEX(df_incdist!$D$2:$I$1000, MATCH(1, ($A$2 = df_incdist!$A$2:$A$1000) * ($B220 = df_incdist!$B$2:$B$1000) * ($C220 = df_incdist!$C$2:$C$1000), 0), MATCH(H$217, df_incdist!$D$1:$I$1,0))</f>
        <v>#N/A</v>
      </c>
      <c r="I220" s="552" t="e">
        <f t="array" ref="I220">INDEX(df_incdist!$D$2:$I$1000, MATCH(1, ($A$2 = df_incdist!$A$2:$A$1000) * ($B220 = df_incdist!$B$2:$B$1000) * ($C220 = df_incdist!$C$2:$C$1000), 0), MATCH(I$217, df_incdist!$D$1:$I$1,0))</f>
        <v>#N/A</v>
      </c>
      <c r="K220" s="783">
        <v>5000</v>
      </c>
      <c r="L220" s="784">
        <v>9999</v>
      </c>
      <c r="M220" s="489" t="e">
        <f>SUM(D$219:D220)</f>
        <v>#N/A</v>
      </c>
      <c r="N220" s="558" t="e">
        <f>SUM(E$219:E220)</f>
        <v>#N/A</v>
      </c>
      <c r="O220" s="239" t="e">
        <f>SUM(F$219:F220)</f>
        <v>#N/A</v>
      </c>
      <c r="P220" s="239" t="e">
        <f>SUM(G$219:G220)</f>
        <v>#N/A</v>
      </c>
      <c r="Q220" s="239" t="e">
        <f>SUM(H$219:H220)</f>
        <v>#N/A</v>
      </c>
      <c r="R220" s="552" t="e">
        <f>SUM(I$219:I220)</f>
        <v>#N/A</v>
      </c>
    </row>
    <row r="221" spans="1:18" ht="20.100000000000001" customHeight="1" x14ac:dyDescent="0.2">
      <c r="B221" s="783">
        <v>10000</v>
      </c>
      <c r="C221" s="784">
        <v>14999</v>
      </c>
      <c r="D221" s="489" t="e">
        <f t="array" ref="D221">INDEX(df_incdist!$D$2:$I$1000, MATCH(1, ($A$2 = df_incdist!$A$2:$A$1000) * ($B221 = df_incdist!$B$2:$B$1000) * ($C221 = df_incdist!$C$2:$C$1000), 0), MATCH(D$217, df_incdist!$D$1:$I$1,0))</f>
        <v>#N/A</v>
      </c>
      <c r="E221" s="558" t="e">
        <f t="array" ref="E221">INDEX(df_incdist!$D$2:$I$1000, MATCH(1, ($A$2 = df_incdist!$A$2:$A$1000) * ($B221 = df_incdist!$B$2:$B$1000) * ($C221 = df_incdist!$C$2:$C$1000), 0), MATCH(E$217, df_incdist!$D$1:$I$1,0))</f>
        <v>#N/A</v>
      </c>
      <c r="F221" s="239" t="e">
        <f t="array" ref="F221">INDEX(df_incdist!$D$2:$I$1000, MATCH(1, ($A$2 = df_incdist!$A$2:$A$1000) * ($B221 = df_incdist!$B$2:$B$1000) * ($C221 = df_incdist!$C$2:$C$1000), 0), MATCH(F$217, df_incdist!$D$1:$I$1,0))</f>
        <v>#N/A</v>
      </c>
      <c r="G221" s="239" t="e">
        <f t="array" ref="G221">INDEX(df_incdist!$D$2:$I$1000, MATCH(1, ($A$2 = df_incdist!$A$2:$A$1000) * ($B221 = df_incdist!$B$2:$B$1000) * ($C221 = df_incdist!$C$2:$C$1000), 0), MATCH(G$217, df_incdist!$D$1:$I$1,0))</f>
        <v>#N/A</v>
      </c>
      <c r="H221" s="239" t="e">
        <f t="array" ref="H221">INDEX(df_incdist!$D$2:$I$1000, MATCH(1, ($A$2 = df_incdist!$A$2:$A$1000) * ($B221 = df_incdist!$B$2:$B$1000) * ($C221 = df_incdist!$C$2:$C$1000), 0), MATCH(H$217, df_incdist!$D$1:$I$1,0))</f>
        <v>#N/A</v>
      </c>
      <c r="I221" s="552" t="e">
        <f t="array" ref="I221">INDEX(df_incdist!$D$2:$I$1000, MATCH(1, ($A$2 = df_incdist!$A$2:$A$1000) * ($B221 = df_incdist!$B$2:$B$1000) * ($C221 = df_incdist!$C$2:$C$1000), 0), MATCH(I$217, df_incdist!$D$1:$I$1,0))</f>
        <v>#N/A</v>
      </c>
      <c r="K221" s="783">
        <v>10000</v>
      </c>
      <c r="L221" s="784">
        <v>14999</v>
      </c>
      <c r="M221" s="489" t="e">
        <f>SUM(D$219:D221)</f>
        <v>#N/A</v>
      </c>
      <c r="N221" s="558" t="e">
        <f>SUM(E$219:E221)</f>
        <v>#N/A</v>
      </c>
      <c r="O221" s="239" t="e">
        <f>SUM(F$219:F221)</f>
        <v>#N/A</v>
      </c>
      <c r="P221" s="239" t="e">
        <f>SUM(G$219:G221)</f>
        <v>#N/A</v>
      </c>
      <c r="Q221" s="239" t="e">
        <f>SUM(H$219:H221)</f>
        <v>#N/A</v>
      </c>
      <c r="R221" s="552" t="e">
        <f>SUM(I$219:I221)</f>
        <v>#N/A</v>
      </c>
    </row>
    <row r="222" spans="1:18" ht="20.100000000000001" customHeight="1" x14ac:dyDescent="0.2">
      <c r="B222" s="783">
        <v>15000</v>
      </c>
      <c r="C222" s="784">
        <v>19999</v>
      </c>
      <c r="D222" s="489" t="e">
        <f t="array" ref="D222">INDEX(df_incdist!$D$2:$I$1000, MATCH(1, ($A$2 = df_incdist!$A$2:$A$1000) * ($B222 = df_incdist!$B$2:$B$1000) * ($C222 = df_incdist!$C$2:$C$1000), 0), MATCH(D$217, df_incdist!$D$1:$I$1,0))</f>
        <v>#N/A</v>
      </c>
      <c r="E222" s="558" t="e">
        <f t="array" ref="E222">INDEX(df_incdist!$D$2:$I$1000, MATCH(1, ($A$2 = df_incdist!$A$2:$A$1000) * ($B222 = df_incdist!$B$2:$B$1000) * ($C222 = df_incdist!$C$2:$C$1000), 0), MATCH(E$217, df_incdist!$D$1:$I$1,0))</f>
        <v>#N/A</v>
      </c>
      <c r="F222" s="239" t="e">
        <f t="array" ref="F222">INDEX(df_incdist!$D$2:$I$1000, MATCH(1, ($A$2 = df_incdist!$A$2:$A$1000) * ($B222 = df_incdist!$B$2:$B$1000) * ($C222 = df_incdist!$C$2:$C$1000), 0), MATCH(F$217, df_incdist!$D$1:$I$1,0))</f>
        <v>#N/A</v>
      </c>
      <c r="G222" s="239" t="e">
        <f t="array" ref="G222">INDEX(df_incdist!$D$2:$I$1000, MATCH(1, ($A$2 = df_incdist!$A$2:$A$1000) * ($B222 = df_incdist!$B$2:$B$1000) * ($C222 = df_incdist!$C$2:$C$1000), 0), MATCH(G$217, df_incdist!$D$1:$I$1,0))</f>
        <v>#N/A</v>
      </c>
      <c r="H222" s="239" t="e">
        <f t="array" ref="H222">INDEX(df_incdist!$D$2:$I$1000, MATCH(1, ($A$2 = df_incdist!$A$2:$A$1000) * ($B222 = df_incdist!$B$2:$B$1000) * ($C222 = df_incdist!$C$2:$C$1000), 0), MATCH(H$217, df_incdist!$D$1:$I$1,0))</f>
        <v>#N/A</v>
      </c>
      <c r="I222" s="552" t="e">
        <f t="array" ref="I222">INDEX(df_incdist!$D$2:$I$1000, MATCH(1, ($A$2 = df_incdist!$A$2:$A$1000) * ($B222 = df_incdist!$B$2:$B$1000) * ($C222 = df_incdist!$C$2:$C$1000), 0), MATCH(I$217, df_incdist!$D$1:$I$1,0))</f>
        <v>#N/A</v>
      </c>
      <c r="K222" s="783">
        <v>15000</v>
      </c>
      <c r="L222" s="784">
        <v>19999</v>
      </c>
      <c r="M222" s="489" t="e">
        <f>SUM(D$219:D222)</f>
        <v>#N/A</v>
      </c>
      <c r="N222" s="558" t="e">
        <f>SUM(E$219:E222)</f>
        <v>#N/A</v>
      </c>
      <c r="O222" s="239" t="e">
        <f>SUM(F$219:F222)</f>
        <v>#N/A</v>
      </c>
      <c r="P222" s="239" t="e">
        <f>SUM(G$219:G222)</f>
        <v>#N/A</v>
      </c>
      <c r="Q222" s="239" t="e">
        <f>SUM(H$219:H222)</f>
        <v>#N/A</v>
      </c>
      <c r="R222" s="552" t="e">
        <f>SUM(I$219:I222)</f>
        <v>#N/A</v>
      </c>
    </row>
    <row r="223" spans="1:18" ht="20.100000000000001" customHeight="1" x14ac:dyDescent="0.2">
      <c r="B223" s="783">
        <v>20000</v>
      </c>
      <c r="C223" s="784">
        <v>24999</v>
      </c>
      <c r="D223" s="489" t="e">
        <f t="array" ref="D223">INDEX(df_incdist!$D$2:$I$1000, MATCH(1, ($A$2 = df_incdist!$A$2:$A$1000) * ($B223 = df_incdist!$B$2:$B$1000) * ($C223 = df_incdist!$C$2:$C$1000), 0), MATCH(D$217, df_incdist!$D$1:$I$1,0))</f>
        <v>#N/A</v>
      </c>
      <c r="E223" s="558" t="e">
        <f t="array" ref="E223">INDEX(df_incdist!$D$2:$I$1000, MATCH(1, ($A$2 = df_incdist!$A$2:$A$1000) * ($B223 = df_incdist!$B$2:$B$1000) * ($C223 = df_incdist!$C$2:$C$1000), 0), MATCH(E$217, df_incdist!$D$1:$I$1,0))</f>
        <v>#N/A</v>
      </c>
      <c r="F223" s="239" t="e">
        <f t="array" ref="F223">INDEX(df_incdist!$D$2:$I$1000, MATCH(1, ($A$2 = df_incdist!$A$2:$A$1000) * ($B223 = df_incdist!$B$2:$B$1000) * ($C223 = df_incdist!$C$2:$C$1000), 0), MATCH(F$217, df_incdist!$D$1:$I$1,0))</f>
        <v>#N/A</v>
      </c>
      <c r="G223" s="239" t="e">
        <f t="array" ref="G223">INDEX(df_incdist!$D$2:$I$1000, MATCH(1, ($A$2 = df_incdist!$A$2:$A$1000) * ($B223 = df_incdist!$B$2:$B$1000) * ($C223 = df_incdist!$C$2:$C$1000), 0), MATCH(G$217, df_incdist!$D$1:$I$1,0))</f>
        <v>#N/A</v>
      </c>
      <c r="H223" s="239" t="e">
        <f t="array" ref="H223">INDEX(df_incdist!$D$2:$I$1000, MATCH(1, ($A$2 = df_incdist!$A$2:$A$1000) * ($B223 = df_incdist!$B$2:$B$1000) * ($C223 = df_incdist!$C$2:$C$1000), 0), MATCH(H$217, df_incdist!$D$1:$I$1,0))</f>
        <v>#N/A</v>
      </c>
      <c r="I223" s="552" t="e">
        <f t="array" ref="I223">INDEX(df_incdist!$D$2:$I$1000, MATCH(1, ($A$2 = df_incdist!$A$2:$A$1000) * ($B223 = df_incdist!$B$2:$B$1000) * ($C223 = df_incdist!$C$2:$C$1000), 0), MATCH(I$217, df_incdist!$D$1:$I$1,0))</f>
        <v>#N/A</v>
      </c>
      <c r="K223" s="783">
        <v>20000</v>
      </c>
      <c r="L223" s="784">
        <v>24999</v>
      </c>
      <c r="M223" s="489" t="e">
        <f>SUM(D$219:D223)</f>
        <v>#N/A</v>
      </c>
      <c r="N223" s="558" t="e">
        <f>SUM(E$219:E223)</f>
        <v>#N/A</v>
      </c>
      <c r="O223" s="239" t="e">
        <f>SUM(F$219:F223)</f>
        <v>#N/A</v>
      </c>
      <c r="P223" s="239" t="e">
        <f>SUM(G$219:G223)</f>
        <v>#N/A</v>
      </c>
      <c r="Q223" s="239" t="e">
        <f>SUM(H$219:H223)</f>
        <v>#N/A</v>
      </c>
      <c r="R223" s="552" t="e">
        <f>SUM(I$219:I223)</f>
        <v>#N/A</v>
      </c>
    </row>
    <row r="224" spans="1:18" ht="20.100000000000001" customHeight="1" x14ac:dyDescent="0.2">
      <c r="B224" s="783">
        <v>25000</v>
      </c>
      <c r="C224" s="784">
        <v>29999</v>
      </c>
      <c r="D224" s="489" t="e">
        <f t="array" ref="D224">INDEX(df_incdist!$D$2:$I$1000, MATCH(1, ($A$2 = df_incdist!$A$2:$A$1000) * ($B224 = df_incdist!$B$2:$B$1000) * ($C224 = df_incdist!$C$2:$C$1000), 0), MATCH(D$217, df_incdist!$D$1:$I$1,0))</f>
        <v>#N/A</v>
      </c>
      <c r="E224" s="558" t="e">
        <f t="array" ref="E224">INDEX(df_incdist!$D$2:$I$1000, MATCH(1, ($A$2 = df_incdist!$A$2:$A$1000) * ($B224 = df_incdist!$B$2:$B$1000) * ($C224 = df_incdist!$C$2:$C$1000), 0), MATCH(E$217, df_incdist!$D$1:$I$1,0))</f>
        <v>#N/A</v>
      </c>
      <c r="F224" s="239" t="e">
        <f t="array" ref="F224">INDEX(df_incdist!$D$2:$I$1000, MATCH(1, ($A$2 = df_incdist!$A$2:$A$1000) * ($B224 = df_incdist!$B$2:$B$1000) * ($C224 = df_incdist!$C$2:$C$1000), 0), MATCH(F$217, df_incdist!$D$1:$I$1,0))</f>
        <v>#N/A</v>
      </c>
      <c r="G224" s="239" t="e">
        <f t="array" ref="G224">INDEX(df_incdist!$D$2:$I$1000, MATCH(1, ($A$2 = df_incdist!$A$2:$A$1000) * ($B224 = df_incdist!$B$2:$B$1000) * ($C224 = df_incdist!$C$2:$C$1000), 0), MATCH(G$217, df_incdist!$D$1:$I$1,0))</f>
        <v>#N/A</v>
      </c>
      <c r="H224" s="239" t="e">
        <f t="array" ref="H224">INDEX(df_incdist!$D$2:$I$1000, MATCH(1, ($A$2 = df_incdist!$A$2:$A$1000) * ($B224 = df_incdist!$B$2:$B$1000) * ($C224 = df_incdist!$C$2:$C$1000), 0), MATCH(H$217, df_incdist!$D$1:$I$1,0))</f>
        <v>#N/A</v>
      </c>
      <c r="I224" s="552" t="e">
        <f t="array" ref="I224">INDEX(df_incdist!$D$2:$I$1000, MATCH(1, ($A$2 = df_incdist!$A$2:$A$1000) * ($B224 = df_incdist!$B$2:$B$1000) * ($C224 = df_incdist!$C$2:$C$1000), 0), MATCH(I$217, df_incdist!$D$1:$I$1,0))</f>
        <v>#N/A</v>
      </c>
      <c r="K224" s="783">
        <v>25000</v>
      </c>
      <c r="L224" s="784">
        <v>29999</v>
      </c>
      <c r="M224" s="489" t="e">
        <f>SUM(D$219:D224)</f>
        <v>#N/A</v>
      </c>
      <c r="N224" s="558" t="e">
        <f>SUM(E$219:E224)</f>
        <v>#N/A</v>
      </c>
      <c r="O224" s="239" t="e">
        <f>SUM(F$219:F224)</f>
        <v>#N/A</v>
      </c>
      <c r="P224" s="239" t="e">
        <f>SUM(G$219:G224)</f>
        <v>#N/A</v>
      </c>
      <c r="Q224" s="239" t="e">
        <f>SUM(H$219:H224)</f>
        <v>#N/A</v>
      </c>
      <c r="R224" s="552" t="e">
        <f>SUM(I$219:I224)</f>
        <v>#N/A</v>
      </c>
    </row>
    <row r="225" spans="2:18" ht="20.100000000000001" customHeight="1" x14ac:dyDescent="0.2">
      <c r="B225" s="783">
        <v>30000</v>
      </c>
      <c r="C225" s="784">
        <v>34999</v>
      </c>
      <c r="D225" s="489" t="e">
        <f t="array" ref="D225">INDEX(df_incdist!$D$2:$I$1000, MATCH(1, ($A$2 = df_incdist!$A$2:$A$1000) * ($B225 = df_incdist!$B$2:$B$1000) * ($C225 = df_incdist!$C$2:$C$1000), 0), MATCH(D$217, df_incdist!$D$1:$I$1,0))</f>
        <v>#N/A</v>
      </c>
      <c r="E225" s="558" t="e">
        <f t="array" ref="E225">INDEX(df_incdist!$D$2:$I$1000, MATCH(1, ($A$2 = df_incdist!$A$2:$A$1000) * ($B225 = df_incdist!$B$2:$B$1000) * ($C225 = df_incdist!$C$2:$C$1000), 0), MATCH(E$217, df_incdist!$D$1:$I$1,0))</f>
        <v>#N/A</v>
      </c>
      <c r="F225" s="239" t="e">
        <f t="array" ref="F225">INDEX(df_incdist!$D$2:$I$1000, MATCH(1, ($A$2 = df_incdist!$A$2:$A$1000) * ($B225 = df_incdist!$B$2:$B$1000) * ($C225 = df_incdist!$C$2:$C$1000), 0), MATCH(F$217, df_incdist!$D$1:$I$1,0))</f>
        <v>#N/A</v>
      </c>
      <c r="G225" s="239" t="e">
        <f t="array" ref="G225">INDEX(df_incdist!$D$2:$I$1000, MATCH(1, ($A$2 = df_incdist!$A$2:$A$1000) * ($B225 = df_incdist!$B$2:$B$1000) * ($C225 = df_incdist!$C$2:$C$1000), 0), MATCH(G$217, df_incdist!$D$1:$I$1,0))</f>
        <v>#N/A</v>
      </c>
      <c r="H225" s="239" t="e">
        <f t="array" ref="H225">INDEX(df_incdist!$D$2:$I$1000, MATCH(1, ($A$2 = df_incdist!$A$2:$A$1000) * ($B225 = df_incdist!$B$2:$B$1000) * ($C225 = df_incdist!$C$2:$C$1000), 0), MATCH(H$217, df_incdist!$D$1:$I$1,0))</f>
        <v>#N/A</v>
      </c>
      <c r="I225" s="552" t="e">
        <f t="array" ref="I225">INDEX(df_incdist!$D$2:$I$1000, MATCH(1, ($A$2 = df_incdist!$A$2:$A$1000) * ($B225 = df_incdist!$B$2:$B$1000) * ($C225 = df_incdist!$C$2:$C$1000), 0), MATCH(I$217, df_incdist!$D$1:$I$1,0))</f>
        <v>#N/A</v>
      </c>
      <c r="K225" s="783">
        <v>30000</v>
      </c>
      <c r="L225" s="784">
        <v>34999</v>
      </c>
      <c r="M225" s="489" t="e">
        <f>SUM(D$219:D225)</f>
        <v>#N/A</v>
      </c>
      <c r="N225" s="558" t="e">
        <f>SUM(E$219:E225)</f>
        <v>#N/A</v>
      </c>
      <c r="O225" s="239" t="e">
        <f>SUM(F$219:F225)</f>
        <v>#N/A</v>
      </c>
      <c r="P225" s="239" t="e">
        <f>SUM(G$219:G225)</f>
        <v>#N/A</v>
      </c>
      <c r="Q225" s="239" t="e">
        <f>SUM(H$219:H225)</f>
        <v>#N/A</v>
      </c>
      <c r="R225" s="552" t="e">
        <f>SUM(I$219:I225)</f>
        <v>#N/A</v>
      </c>
    </row>
    <row r="226" spans="2:18" ht="20.100000000000001" customHeight="1" x14ac:dyDescent="0.2">
      <c r="B226" s="783">
        <v>35000</v>
      </c>
      <c r="C226" s="784">
        <v>39999</v>
      </c>
      <c r="D226" s="489" t="e">
        <f t="array" ref="D226">INDEX(df_incdist!$D$2:$I$1000, MATCH(1, ($A$2 = df_incdist!$A$2:$A$1000) * ($B226 = df_incdist!$B$2:$B$1000) * ($C226 = df_incdist!$C$2:$C$1000), 0), MATCH(D$217, df_incdist!$D$1:$I$1,0))</f>
        <v>#N/A</v>
      </c>
      <c r="E226" s="558" t="e">
        <f t="array" ref="E226">INDEX(df_incdist!$D$2:$I$1000, MATCH(1, ($A$2 = df_incdist!$A$2:$A$1000) * ($B226 = df_incdist!$B$2:$B$1000) * ($C226 = df_incdist!$C$2:$C$1000), 0), MATCH(E$217, df_incdist!$D$1:$I$1,0))</f>
        <v>#N/A</v>
      </c>
      <c r="F226" s="239" t="e">
        <f t="array" ref="F226">INDEX(df_incdist!$D$2:$I$1000, MATCH(1, ($A$2 = df_incdist!$A$2:$A$1000) * ($B226 = df_incdist!$B$2:$B$1000) * ($C226 = df_incdist!$C$2:$C$1000), 0), MATCH(F$217, df_incdist!$D$1:$I$1,0))</f>
        <v>#N/A</v>
      </c>
      <c r="G226" s="239" t="e">
        <f t="array" ref="G226">INDEX(df_incdist!$D$2:$I$1000, MATCH(1, ($A$2 = df_incdist!$A$2:$A$1000) * ($B226 = df_incdist!$B$2:$B$1000) * ($C226 = df_incdist!$C$2:$C$1000), 0), MATCH(G$217, df_incdist!$D$1:$I$1,0))</f>
        <v>#N/A</v>
      </c>
      <c r="H226" s="239" t="e">
        <f t="array" ref="H226">INDEX(df_incdist!$D$2:$I$1000, MATCH(1, ($A$2 = df_incdist!$A$2:$A$1000) * ($B226 = df_incdist!$B$2:$B$1000) * ($C226 = df_incdist!$C$2:$C$1000), 0), MATCH(H$217, df_incdist!$D$1:$I$1,0))</f>
        <v>#N/A</v>
      </c>
      <c r="I226" s="552" t="e">
        <f t="array" ref="I226">INDEX(df_incdist!$D$2:$I$1000, MATCH(1, ($A$2 = df_incdist!$A$2:$A$1000) * ($B226 = df_incdist!$B$2:$B$1000) * ($C226 = df_incdist!$C$2:$C$1000), 0), MATCH(I$217, df_incdist!$D$1:$I$1,0))</f>
        <v>#N/A</v>
      </c>
      <c r="K226" s="783">
        <v>35000</v>
      </c>
      <c r="L226" s="784">
        <v>39999</v>
      </c>
      <c r="M226" s="489" t="e">
        <f>SUM(D$219:D226)</f>
        <v>#N/A</v>
      </c>
      <c r="N226" s="558" t="e">
        <f>SUM(E$219:E226)</f>
        <v>#N/A</v>
      </c>
      <c r="O226" s="239" t="e">
        <f>SUM(F$219:F226)</f>
        <v>#N/A</v>
      </c>
      <c r="P226" s="239" t="e">
        <f>SUM(G$219:G226)</f>
        <v>#N/A</v>
      </c>
      <c r="Q226" s="239" t="e">
        <f>SUM(H$219:H226)</f>
        <v>#N/A</v>
      </c>
      <c r="R226" s="552" t="e">
        <f>SUM(I$219:I226)</f>
        <v>#N/A</v>
      </c>
    </row>
    <row r="227" spans="2:18" ht="20.100000000000001" customHeight="1" x14ac:dyDescent="0.2">
      <c r="B227" s="783">
        <v>40000</v>
      </c>
      <c r="C227" s="784">
        <v>44999</v>
      </c>
      <c r="D227" s="489" t="e">
        <f t="array" ref="D227">INDEX(df_incdist!$D$2:$I$1000, MATCH(1, ($A$2 = df_incdist!$A$2:$A$1000) * ($B227 = df_incdist!$B$2:$B$1000) * ($C227 = df_incdist!$C$2:$C$1000), 0), MATCH(D$217, df_incdist!$D$1:$I$1,0))</f>
        <v>#N/A</v>
      </c>
      <c r="E227" s="558" t="e">
        <f t="array" ref="E227">INDEX(df_incdist!$D$2:$I$1000, MATCH(1, ($A$2 = df_incdist!$A$2:$A$1000) * ($B227 = df_incdist!$B$2:$B$1000) * ($C227 = df_incdist!$C$2:$C$1000), 0), MATCH(E$217, df_incdist!$D$1:$I$1,0))</f>
        <v>#N/A</v>
      </c>
      <c r="F227" s="239" t="e">
        <f t="array" ref="F227">INDEX(df_incdist!$D$2:$I$1000, MATCH(1, ($A$2 = df_incdist!$A$2:$A$1000) * ($B227 = df_incdist!$B$2:$B$1000) * ($C227 = df_incdist!$C$2:$C$1000), 0), MATCH(F$217, df_incdist!$D$1:$I$1,0))</f>
        <v>#N/A</v>
      </c>
      <c r="G227" s="239" t="e">
        <f t="array" ref="G227">INDEX(df_incdist!$D$2:$I$1000, MATCH(1, ($A$2 = df_incdist!$A$2:$A$1000) * ($B227 = df_incdist!$B$2:$B$1000) * ($C227 = df_incdist!$C$2:$C$1000), 0), MATCH(G$217, df_incdist!$D$1:$I$1,0))</f>
        <v>#N/A</v>
      </c>
      <c r="H227" s="239" t="e">
        <f t="array" ref="H227">INDEX(df_incdist!$D$2:$I$1000, MATCH(1, ($A$2 = df_incdist!$A$2:$A$1000) * ($B227 = df_incdist!$B$2:$B$1000) * ($C227 = df_incdist!$C$2:$C$1000), 0), MATCH(H$217, df_incdist!$D$1:$I$1,0))</f>
        <v>#N/A</v>
      </c>
      <c r="I227" s="552" t="e">
        <f t="array" ref="I227">INDEX(df_incdist!$D$2:$I$1000, MATCH(1, ($A$2 = df_incdist!$A$2:$A$1000) * ($B227 = df_incdist!$B$2:$B$1000) * ($C227 = df_incdist!$C$2:$C$1000), 0), MATCH(I$217, df_incdist!$D$1:$I$1,0))</f>
        <v>#N/A</v>
      </c>
      <c r="K227" s="783">
        <v>40000</v>
      </c>
      <c r="L227" s="784">
        <v>44999</v>
      </c>
      <c r="M227" s="489" t="e">
        <f>SUM(D$219:D227)</f>
        <v>#N/A</v>
      </c>
      <c r="N227" s="558" t="e">
        <f>SUM(E$219:E227)</f>
        <v>#N/A</v>
      </c>
      <c r="O227" s="239" t="e">
        <f>SUM(F$219:F227)</f>
        <v>#N/A</v>
      </c>
      <c r="P227" s="239" t="e">
        <f>SUM(G$219:G227)</f>
        <v>#N/A</v>
      </c>
      <c r="Q227" s="239" t="e">
        <f>SUM(H$219:H227)</f>
        <v>#N/A</v>
      </c>
      <c r="R227" s="552" t="e">
        <f>SUM(I$219:I227)</f>
        <v>#N/A</v>
      </c>
    </row>
    <row r="228" spans="2:18" ht="20.100000000000001" customHeight="1" x14ac:dyDescent="0.2">
      <c r="B228" s="783">
        <v>45000</v>
      </c>
      <c r="C228" s="784">
        <v>49999</v>
      </c>
      <c r="D228" s="489" t="e">
        <f t="array" ref="D228">INDEX(df_incdist!$D$2:$I$1000, MATCH(1, ($A$2 = df_incdist!$A$2:$A$1000) * ($B228 = df_incdist!$B$2:$B$1000) * ($C228 = df_incdist!$C$2:$C$1000), 0), MATCH(D$217, df_incdist!$D$1:$I$1,0))</f>
        <v>#N/A</v>
      </c>
      <c r="E228" s="558" t="e">
        <f t="array" ref="E228">INDEX(df_incdist!$D$2:$I$1000, MATCH(1, ($A$2 = df_incdist!$A$2:$A$1000) * ($B228 = df_incdist!$B$2:$B$1000) * ($C228 = df_incdist!$C$2:$C$1000), 0), MATCH(E$217, df_incdist!$D$1:$I$1,0))</f>
        <v>#N/A</v>
      </c>
      <c r="F228" s="239" t="e">
        <f t="array" ref="F228">INDEX(df_incdist!$D$2:$I$1000, MATCH(1, ($A$2 = df_incdist!$A$2:$A$1000) * ($B228 = df_incdist!$B$2:$B$1000) * ($C228 = df_incdist!$C$2:$C$1000), 0), MATCH(F$217, df_incdist!$D$1:$I$1,0))</f>
        <v>#N/A</v>
      </c>
      <c r="G228" s="239" t="e">
        <f t="array" ref="G228">INDEX(df_incdist!$D$2:$I$1000, MATCH(1, ($A$2 = df_incdist!$A$2:$A$1000) * ($B228 = df_incdist!$B$2:$B$1000) * ($C228 = df_incdist!$C$2:$C$1000), 0), MATCH(G$217, df_incdist!$D$1:$I$1,0))</f>
        <v>#N/A</v>
      </c>
      <c r="H228" s="239" t="e">
        <f t="array" ref="H228">INDEX(df_incdist!$D$2:$I$1000, MATCH(1, ($A$2 = df_incdist!$A$2:$A$1000) * ($B228 = df_incdist!$B$2:$B$1000) * ($C228 = df_incdist!$C$2:$C$1000), 0), MATCH(H$217, df_incdist!$D$1:$I$1,0))</f>
        <v>#N/A</v>
      </c>
      <c r="I228" s="552" t="e">
        <f t="array" ref="I228">INDEX(df_incdist!$D$2:$I$1000, MATCH(1, ($A$2 = df_incdist!$A$2:$A$1000) * ($B228 = df_incdist!$B$2:$B$1000) * ($C228 = df_incdist!$C$2:$C$1000), 0), MATCH(I$217, df_incdist!$D$1:$I$1,0))</f>
        <v>#N/A</v>
      </c>
      <c r="K228" s="783">
        <v>45000</v>
      </c>
      <c r="L228" s="784">
        <v>49999</v>
      </c>
      <c r="M228" s="489" t="e">
        <f>SUM(D$219:D228)</f>
        <v>#N/A</v>
      </c>
      <c r="N228" s="558" t="e">
        <f>SUM(E$219:E228)</f>
        <v>#N/A</v>
      </c>
      <c r="O228" s="239" t="e">
        <f>SUM(F$219:F228)</f>
        <v>#N/A</v>
      </c>
      <c r="P228" s="239" t="e">
        <f>SUM(G$219:G228)</f>
        <v>#N/A</v>
      </c>
      <c r="Q228" s="239" t="e">
        <f>SUM(H$219:H228)</f>
        <v>#N/A</v>
      </c>
      <c r="R228" s="552" t="e">
        <f>SUM(I$219:I228)</f>
        <v>#N/A</v>
      </c>
    </row>
    <row r="229" spans="2:18" ht="20.100000000000001" customHeight="1" x14ac:dyDescent="0.2">
      <c r="B229" s="783">
        <v>50000</v>
      </c>
      <c r="C229" s="784">
        <v>54999</v>
      </c>
      <c r="D229" s="489" t="e">
        <f t="array" ref="D229">INDEX(df_incdist!$D$2:$I$1000, MATCH(1, ($A$2 = df_incdist!$A$2:$A$1000) * ($B229 = df_incdist!$B$2:$B$1000) * ($C229 = df_incdist!$C$2:$C$1000), 0), MATCH(D$217, df_incdist!$D$1:$I$1,0))</f>
        <v>#N/A</v>
      </c>
      <c r="E229" s="558" t="e">
        <f t="array" ref="E229">INDEX(df_incdist!$D$2:$I$1000, MATCH(1, ($A$2 = df_incdist!$A$2:$A$1000) * ($B229 = df_incdist!$B$2:$B$1000) * ($C229 = df_incdist!$C$2:$C$1000), 0), MATCH(E$217, df_incdist!$D$1:$I$1,0))</f>
        <v>#N/A</v>
      </c>
      <c r="F229" s="239" t="e">
        <f t="array" ref="F229">INDEX(df_incdist!$D$2:$I$1000, MATCH(1, ($A$2 = df_incdist!$A$2:$A$1000) * ($B229 = df_incdist!$B$2:$B$1000) * ($C229 = df_incdist!$C$2:$C$1000), 0), MATCH(F$217, df_incdist!$D$1:$I$1,0))</f>
        <v>#N/A</v>
      </c>
      <c r="G229" s="239" t="e">
        <f t="array" ref="G229">INDEX(df_incdist!$D$2:$I$1000, MATCH(1, ($A$2 = df_incdist!$A$2:$A$1000) * ($B229 = df_incdist!$B$2:$B$1000) * ($C229 = df_incdist!$C$2:$C$1000), 0), MATCH(G$217, df_incdist!$D$1:$I$1,0))</f>
        <v>#N/A</v>
      </c>
      <c r="H229" s="239" t="e">
        <f t="array" ref="H229">INDEX(df_incdist!$D$2:$I$1000, MATCH(1, ($A$2 = df_incdist!$A$2:$A$1000) * ($B229 = df_incdist!$B$2:$B$1000) * ($C229 = df_incdist!$C$2:$C$1000), 0), MATCH(H$217, df_incdist!$D$1:$I$1,0))</f>
        <v>#N/A</v>
      </c>
      <c r="I229" s="552" t="e">
        <f t="array" ref="I229">INDEX(df_incdist!$D$2:$I$1000, MATCH(1, ($A$2 = df_incdist!$A$2:$A$1000) * ($B229 = df_incdist!$B$2:$B$1000) * ($C229 = df_incdist!$C$2:$C$1000), 0), MATCH(I$217, df_incdist!$D$1:$I$1,0))</f>
        <v>#N/A</v>
      </c>
      <c r="K229" s="783">
        <v>50000</v>
      </c>
      <c r="L229" s="784">
        <v>54999</v>
      </c>
      <c r="M229" s="489" t="e">
        <f>SUM(D$219:D229)</f>
        <v>#N/A</v>
      </c>
      <c r="N229" s="558" t="e">
        <f>SUM(E$219:E229)</f>
        <v>#N/A</v>
      </c>
      <c r="O229" s="239" t="e">
        <f>SUM(F$219:F229)</f>
        <v>#N/A</v>
      </c>
      <c r="P229" s="239" t="e">
        <f>SUM(G$219:G229)</f>
        <v>#N/A</v>
      </c>
      <c r="Q229" s="239" t="e">
        <f>SUM(H$219:H229)</f>
        <v>#N/A</v>
      </c>
      <c r="R229" s="552" t="e">
        <f>SUM(I$219:I229)</f>
        <v>#N/A</v>
      </c>
    </row>
    <row r="230" spans="2:18" ht="20.100000000000001" customHeight="1" x14ac:dyDescent="0.2">
      <c r="B230" s="783">
        <v>55000</v>
      </c>
      <c r="C230" s="784">
        <v>59999</v>
      </c>
      <c r="D230" s="489" t="e">
        <f t="array" ref="D230">INDEX(df_incdist!$D$2:$I$1000, MATCH(1, ($A$2 = df_incdist!$A$2:$A$1000) * ($B230 = df_incdist!$B$2:$B$1000) * ($C230 = df_incdist!$C$2:$C$1000), 0), MATCH(D$217, df_incdist!$D$1:$I$1,0))</f>
        <v>#N/A</v>
      </c>
      <c r="E230" s="558" t="e">
        <f t="array" ref="E230">INDEX(df_incdist!$D$2:$I$1000, MATCH(1, ($A$2 = df_incdist!$A$2:$A$1000) * ($B230 = df_incdist!$B$2:$B$1000) * ($C230 = df_incdist!$C$2:$C$1000), 0), MATCH(E$217, df_incdist!$D$1:$I$1,0))</f>
        <v>#N/A</v>
      </c>
      <c r="F230" s="239" t="e">
        <f t="array" ref="F230">INDEX(df_incdist!$D$2:$I$1000, MATCH(1, ($A$2 = df_incdist!$A$2:$A$1000) * ($B230 = df_incdist!$B$2:$B$1000) * ($C230 = df_incdist!$C$2:$C$1000), 0), MATCH(F$217, df_incdist!$D$1:$I$1,0))</f>
        <v>#N/A</v>
      </c>
      <c r="G230" s="239" t="e">
        <f t="array" ref="G230">INDEX(df_incdist!$D$2:$I$1000, MATCH(1, ($A$2 = df_incdist!$A$2:$A$1000) * ($B230 = df_incdist!$B$2:$B$1000) * ($C230 = df_incdist!$C$2:$C$1000), 0), MATCH(G$217, df_incdist!$D$1:$I$1,0))</f>
        <v>#N/A</v>
      </c>
      <c r="H230" s="239" t="e">
        <f t="array" ref="H230">INDEX(df_incdist!$D$2:$I$1000, MATCH(1, ($A$2 = df_incdist!$A$2:$A$1000) * ($B230 = df_incdist!$B$2:$B$1000) * ($C230 = df_incdist!$C$2:$C$1000), 0), MATCH(H$217, df_incdist!$D$1:$I$1,0))</f>
        <v>#N/A</v>
      </c>
      <c r="I230" s="552" t="e">
        <f t="array" ref="I230">INDEX(df_incdist!$D$2:$I$1000, MATCH(1, ($A$2 = df_incdist!$A$2:$A$1000) * ($B230 = df_incdist!$B$2:$B$1000) * ($C230 = df_incdist!$C$2:$C$1000), 0), MATCH(I$217, df_incdist!$D$1:$I$1,0))</f>
        <v>#N/A</v>
      </c>
      <c r="K230" s="783">
        <v>55000</v>
      </c>
      <c r="L230" s="784">
        <v>59999</v>
      </c>
      <c r="M230" s="489" t="e">
        <f>SUM(D$219:D230)</f>
        <v>#N/A</v>
      </c>
      <c r="N230" s="558" t="e">
        <f>SUM(E$219:E230)</f>
        <v>#N/A</v>
      </c>
      <c r="O230" s="239" t="e">
        <f>SUM(F$219:F230)</f>
        <v>#N/A</v>
      </c>
      <c r="P230" s="239" t="e">
        <f>SUM(G$219:G230)</f>
        <v>#N/A</v>
      </c>
      <c r="Q230" s="239" t="e">
        <f>SUM(H$219:H230)</f>
        <v>#N/A</v>
      </c>
      <c r="R230" s="552" t="e">
        <f>SUM(I$219:I230)</f>
        <v>#N/A</v>
      </c>
    </row>
    <row r="231" spans="2:18" ht="20.100000000000001" customHeight="1" x14ac:dyDescent="0.2">
      <c r="B231" s="783">
        <v>60000</v>
      </c>
      <c r="C231" s="784">
        <v>64999</v>
      </c>
      <c r="D231" s="489" t="e">
        <f t="array" ref="D231">INDEX(df_incdist!$D$2:$I$1000, MATCH(1, ($A$2 = df_incdist!$A$2:$A$1000) * ($B231 = df_incdist!$B$2:$B$1000) * ($C231 = df_incdist!$C$2:$C$1000), 0), MATCH(D$217, df_incdist!$D$1:$I$1,0))</f>
        <v>#N/A</v>
      </c>
      <c r="E231" s="558" t="e">
        <f t="array" ref="E231">INDEX(df_incdist!$D$2:$I$1000, MATCH(1, ($A$2 = df_incdist!$A$2:$A$1000) * ($B231 = df_incdist!$B$2:$B$1000) * ($C231 = df_incdist!$C$2:$C$1000), 0), MATCH(E$217, df_incdist!$D$1:$I$1,0))</f>
        <v>#N/A</v>
      </c>
      <c r="F231" s="239" t="e">
        <f t="array" ref="F231">INDEX(df_incdist!$D$2:$I$1000, MATCH(1, ($A$2 = df_incdist!$A$2:$A$1000) * ($B231 = df_incdist!$B$2:$B$1000) * ($C231 = df_incdist!$C$2:$C$1000), 0), MATCH(F$217, df_incdist!$D$1:$I$1,0))</f>
        <v>#N/A</v>
      </c>
      <c r="G231" s="239" t="e">
        <f t="array" ref="G231">INDEX(df_incdist!$D$2:$I$1000, MATCH(1, ($A$2 = df_incdist!$A$2:$A$1000) * ($B231 = df_incdist!$B$2:$B$1000) * ($C231 = df_incdist!$C$2:$C$1000), 0), MATCH(G$217, df_incdist!$D$1:$I$1,0))</f>
        <v>#N/A</v>
      </c>
      <c r="H231" s="239" t="e">
        <f t="array" ref="H231">INDEX(df_incdist!$D$2:$I$1000, MATCH(1, ($A$2 = df_incdist!$A$2:$A$1000) * ($B231 = df_incdist!$B$2:$B$1000) * ($C231 = df_incdist!$C$2:$C$1000), 0), MATCH(H$217, df_incdist!$D$1:$I$1,0))</f>
        <v>#N/A</v>
      </c>
      <c r="I231" s="552" t="e">
        <f t="array" ref="I231">INDEX(df_incdist!$D$2:$I$1000, MATCH(1, ($A$2 = df_incdist!$A$2:$A$1000) * ($B231 = df_incdist!$B$2:$B$1000) * ($C231 = df_incdist!$C$2:$C$1000), 0), MATCH(I$217, df_incdist!$D$1:$I$1,0))</f>
        <v>#N/A</v>
      </c>
      <c r="K231" s="783">
        <v>60000</v>
      </c>
      <c r="L231" s="784">
        <v>64999</v>
      </c>
      <c r="M231" s="489" t="e">
        <f>SUM(D$219:D231)</f>
        <v>#N/A</v>
      </c>
      <c r="N231" s="558" t="e">
        <f>SUM(E$219:E231)</f>
        <v>#N/A</v>
      </c>
      <c r="O231" s="239" t="e">
        <f>SUM(F$219:F231)</f>
        <v>#N/A</v>
      </c>
      <c r="P231" s="239" t="e">
        <f>SUM(G$219:G231)</f>
        <v>#N/A</v>
      </c>
      <c r="Q231" s="239" t="e">
        <f>SUM(H$219:H231)</f>
        <v>#N/A</v>
      </c>
      <c r="R231" s="552" t="e">
        <f>SUM(I$219:I231)</f>
        <v>#N/A</v>
      </c>
    </row>
    <row r="232" spans="2:18" ht="20.100000000000001" customHeight="1" x14ac:dyDescent="0.2">
      <c r="B232" s="783">
        <v>65000</v>
      </c>
      <c r="C232" s="784">
        <v>69999</v>
      </c>
      <c r="D232" s="489" t="e">
        <f t="array" ref="D232">INDEX(df_incdist!$D$2:$I$1000, MATCH(1, ($A$2 = df_incdist!$A$2:$A$1000) * ($B232 = df_incdist!$B$2:$B$1000) * ($C232 = df_incdist!$C$2:$C$1000), 0), MATCH(D$217, df_incdist!$D$1:$I$1,0))</f>
        <v>#N/A</v>
      </c>
      <c r="E232" s="558" t="e">
        <f t="array" ref="E232">INDEX(df_incdist!$D$2:$I$1000, MATCH(1, ($A$2 = df_incdist!$A$2:$A$1000) * ($B232 = df_incdist!$B$2:$B$1000) * ($C232 = df_incdist!$C$2:$C$1000), 0), MATCH(E$217, df_incdist!$D$1:$I$1,0))</f>
        <v>#N/A</v>
      </c>
      <c r="F232" s="239" t="e">
        <f t="array" ref="F232">INDEX(df_incdist!$D$2:$I$1000, MATCH(1, ($A$2 = df_incdist!$A$2:$A$1000) * ($B232 = df_incdist!$B$2:$B$1000) * ($C232 = df_incdist!$C$2:$C$1000), 0), MATCH(F$217, df_incdist!$D$1:$I$1,0))</f>
        <v>#N/A</v>
      </c>
      <c r="G232" s="239" t="e">
        <f t="array" ref="G232">INDEX(df_incdist!$D$2:$I$1000, MATCH(1, ($A$2 = df_incdist!$A$2:$A$1000) * ($B232 = df_incdist!$B$2:$B$1000) * ($C232 = df_incdist!$C$2:$C$1000), 0), MATCH(G$217, df_incdist!$D$1:$I$1,0))</f>
        <v>#N/A</v>
      </c>
      <c r="H232" s="239" t="e">
        <f t="array" ref="H232">INDEX(df_incdist!$D$2:$I$1000, MATCH(1, ($A$2 = df_incdist!$A$2:$A$1000) * ($B232 = df_incdist!$B$2:$B$1000) * ($C232 = df_incdist!$C$2:$C$1000), 0), MATCH(H$217, df_incdist!$D$1:$I$1,0))</f>
        <v>#N/A</v>
      </c>
      <c r="I232" s="552" t="e">
        <f t="array" ref="I232">INDEX(df_incdist!$D$2:$I$1000, MATCH(1, ($A$2 = df_incdist!$A$2:$A$1000) * ($B232 = df_incdist!$B$2:$B$1000) * ($C232 = df_incdist!$C$2:$C$1000), 0), MATCH(I$217, df_incdist!$D$1:$I$1,0))</f>
        <v>#N/A</v>
      </c>
      <c r="K232" s="783">
        <v>65000</v>
      </c>
      <c r="L232" s="784">
        <v>69999</v>
      </c>
      <c r="M232" s="489" t="e">
        <f>SUM(D$219:D232)</f>
        <v>#N/A</v>
      </c>
      <c r="N232" s="558" t="e">
        <f>SUM(E$219:E232)</f>
        <v>#N/A</v>
      </c>
      <c r="O232" s="239" t="e">
        <f>SUM(F$219:F232)</f>
        <v>#N/A</v>
      </c>
      <c r="P232" s="239" t="e">
        <f>SUM(G$219:G232)</f>
        <v>#N/A</v>
      </c>
      <c r="Q232" s="239" t="e">
        <f>SUM(H$219:H232)</f>
        <v>#N/A</v>
      </c>
      <c r="R232" s="552" t="e">
        <f>SUM(I$219:I232)</f>
        <v>#N/A</v>
      </c>
    </row>
    <row r="233" spans="2:18" ht="20.100000000000001" customHeight="1" x14ac:dyDescent="0.2">
      <c r="B233" s="783">
        <v>70000</v>
      </c>
      <c r="C233" s="784">
        <v>74999</v>
      </c>
      <c r="D233" s="489" t="e">
        <f t="array" ref="D233">INDEX(df_incdist!$D$2:$I$1000, MATCH(1, ($A$2 = df_incdist!$A$2:$A$1000) * ($B233 = df_incdist!$B$2:$B$1000) * ($C233 = df_incdist!$C$2:$C$1000), 0), MATCH(D$217, df_incdist!$D$1:$I$1,0))</f>
        <v>#N/A</v>
      </c>
      <c r="E233" s="558" t="e">
        <f t="array" ref="E233">INDEX(df_incdist!$D$2:$I$1000, MATCH(1, ($A$2 = df_incdist!$A$2:$A$1000) * ($B233 = df_incdist!$B$2:$B$1000) * ($C233 = df_incdist!$C$2:$C$1000), 0), MATCH(E$217, df_incdist!$D$1:$I$1,0))</f>
        <v>#N/A</v>
      </c>
      <c r="F233" s="239" t="e">
        <f t="array" ref="F233">INDEX(df_incdist!$D$2:$I$1000, MATCH(1, ($A$2 = df_incdist!$A$2:$A$1000) * ($B233 = df_incdist!$B$2:$B$1000) * ($C233 = df_incdist!$C$2:$C$1000), 0), MATCH(F$217, df_incdist!$D$1:$I$1,0))</f>
        <v>#N/A</v>
      </c>
      <c r="G233" s="239" t="e">
        <f t="array" ref="G233">INDEX(df_incdist!$D$2:$I$1000, MATCH(1, ($A$2 = df_incdist!$A$2:$A$1000) * ($B233 = df_incdist!$B$2:$B$1000) * ($C233 = df_incdist!$C$2:$C$1000), 0), MATCH(G$217, df_incdist!$D$1:$I$1,0))</f>
        <v>#N/A</v>
      </c>
      <c r="H233" s="239" t="e">
        <f t="array" ref="H233">INDEX(df_incdist!$D$2:$I$1000, MATCH(1, ($A$2 = df_incdist!$A$2:$A$1000) * ($B233 = df_incdist!$B$2:$B$1000) * ($C233 = df_incdist!$C$2:$C$1000), 0), MATCH(H$217, df_incdist!$D$1:$I$1,0))</f>
        <v>#N/A</v>
      </c>
      <c r="I233" s="552" t="e">
        <f t="array" ref="I233">INDEX(df_incdist!$D$2:$I$1000, MATCH(1, ($A$2 = df_incdist!$A$2:$A$1000) * ($B233 = df_incdist!$B$2:$B$1000) * ($C233 = df_incdist!$C$2:$C$1000), 0), MATCH(I$217, df_incdist!$D$1:$I$1,0))</f>
        <v>#N/A</v>
      </c>
      <c r="K233" s="783">
        <v>70000</v>
      </c>
      <c r="L233" s="784">
        <v>74999</v>
      </c>
      <c r="M233" s="489" t="e">
        <f>SUM(D$219:D233)</f>
        <v>#N/A</v>
      </c>
      <c r="N233" s="558" t="e">
        <f>SUM(E$219:E233)</f>
        <v>#N/A</v>
      </c>
      <c r="O233" s="239" t="e">
        <f>SUM(F$219:F233)</f>
        <v>#N/A</v>
      </c>
      <c r="P233" s="239" t="e">
        <f>SUM(G$219:G233)</f>
        <v>#N/A</v>
      </c>
      <c r="Q233" s="239" t="e">
        <f>SUM(H$219:H233)</f>
        <v>#N/A</v>
      </c>
      <c r="R233" s="552" t="e">
        <f>SUM(I$219:I233)</f>
        <v>#N/A</v>
      </c>
    </row>
    <row r="234" spans="2:18" ht="20.100000000000001" customHeight="1" x14ac:dyDescent="0.2">
      <c r="B234" s="783">
        <v>75000</v>
      </c>
      <c r="C234" s="784">
        <v>79999</v>
      </c>
      <c r="D234" s="489" t="e">
        <f t="array" ref="D234">INDEX(df_incdist!$D$2:$I$1000, MATCH(1, ($A$2 = df_incdist!$A$2:$A$1000) * ($B234 = df_incdist!$B$2:$B$1000) * ($C234 = df_incdist!$C$2:$C$1000), 0), MATCH(D$217, df_incdist!$D$1:$I$1,0))</f>
        <v>#N/A</v>
      </c>
      <c r="E234" s="558" t="e">
        <f t="array" ref="E234">INDEX(df_incdist!$D$2:$I$1000, MATCH(1, ($A$2 = df_incdist!$A$2:$A$1000) * ($B234 = df_incdist!$B$2:$B$1000) * ($C234 = df_incdist!$C$2:$C$1000), 0), MATCH(E$217, df_incdist!$D$1:$I$1,0))</f>
        <v>#N/A</v>
      </c>
      <c r="F234" s="239" t="e">
        <f t="array" ref="F234">INDEX(df_incdist!$D$2:$I$1000, MATCH(1, ($A$2 = df_incdist!$A$2:$A$1000) * ($B234 = df_incdist!$B$2:$B$1000) * ($C234 = df_incdist!$C$2:$C$1000), 0), MATCH(F$217, df_incdist!$D$1:$I$1,0))</f>
        <v>#N/A</v>
      </c>
      <c r="G234" s="239" t="e">
        <f t="array" ref="G234">INDEX(df_incdist!$D$2:$I$1000, MATCH(1, ($A$2 = df_incdist!$A$2:$A$1000) * ($B234 = df_incdist!$B$2:$B$1000) * ($C234 = df_incdist!$C$2:$C$1000), 0), MATCH(G$217, df_incdist!$D$1:$I$1,0))</f>
        <v>#N/A</v>
      </c>
      <c r="H234" s="239" t="e">
        <f t="array" ref="H234">INDEX(df_incdist!$D$2:$I$1000, MATCH(1, ($A$2 = df_incdist!$A$2:$A$1000) * ($B234 = df_incdist!$B$2:$B$1000) * ($C234 = df_incdist!$C$2:$C$1000), 0), MATCH(H$217, df_incdist!$D$1:$I$1,0))</f>
        <v>#N/A</v>
      </c>
      <c r="I234" s="552" t="e">
        <f t="array" ref="I234">INDEX(df_incdist!$D$2:$I$1000, MATCH(1, ($A$2 = df_incdist!$A$2:$A$1000) * ($B234 = df_incdist!$B$2:$B$1000) * ($C234 = df_incdist!$C$2:$C$1000), 0), MATCH(I$217, df_incdist!$D$1:$I$1,0))</f>
        <v>#N/A</v>
      </c>
      <c r="K234" s="783">
        <v>75000</v>
      </c>
      <c r="L234" s="784">
        <v>79999</v>
      </c>
      <c r="M234" s="489" t="e">
        <f>SUM(D$219:D234)</f>
        <v>#N/A</v>
      </c>
      <c r="N234" s="558" t="e">
        <f>SUM(E$219:E234)</f>
        <v>#N/A</v>
      </c>
      <c r="O234" s="239" t="e">
        <f>SUM(F$219:F234)</f>
        <v>#N/A</v>
      </c>
      <c r="P234" s="239" t="e">
        <f>SUM(G$219:G234)</f>
        <v>#N/A</v>
      </c>
      <c r="Q234" s="239" t="e">
        <f>SUM(H$219:H234)</f>
        <v>#N/A</v>
      </c>
      <c r="R234" s="552" t="e">
        <f>SUM(I$219:I234)</f>
        <v>#N/A</v>
      </c>
    </row>
    <row r="235" spans="2:18" ht="20.100000000000001" customHeight="1" x14ac:dyDescent="0.2">
      <c r="B235" s="783">
        <v>80000</v>
      </c>
      <c r="C235" s="784">
        <v>84999</v>
      </c>
      <c r="D235" s="489" t="e">
        <f t="array" ref="D235">INDEX(df_incdist!$D$2:$I$1000, MATCH(1, ($A$2 = df_incdist!$A$2:$A$1000) * ($B235 = df_incdist!$B$2:$B$1000) * ($C235 = df_incdist!$C$2:$C$1000), 0), MATCH(D$217, df_incdist!$D$1:$I$1,0))</f>
        <v>#N/A</v>
      </c>
      <c r="E235" s="558" t="e">
        <f t="array" ref="E235">INDEX(df_incdist!$D$2:$I$1000, MATCH(1, ($A$2 = df_incdist!$A$2:$A$1000) * ($B235 = df_incdist!$B$2:$B$1000) * ($C235 = df_incdist!$C$2:$C$1000), 0), MATCH(E$217, df_incdist!$D$1:$I$1,0))</f>
        <v>#N/A</v>
      </c>
      <c r="F235" s="239" t="e">
        <f t="array" ref="F235">INDEX(df_incdist!$D$2:$I$1000, MATCH(1, ($A$2 = df_incdist!$A$2:$A$1000) * ($B235 = df_incdist!$B$2:$B$1000) * ($C235 = df_incdist!$C$2:$C$1000), 0), MATCH(F$217, df_incdist!$D$1:$I$1,0))</f>
        <v>#N/A</v>
      </c>
      <c r="G235" s="239" t="e">
        <f t="array" ref="G235">INDEX(df_incdist!$D$2:$I$1000, MATCH(1, ($A$2 = df_incdist!$A$2:$A$1000) * ($B235 = df_incdist!$B$2:$B$1000) * ($C235 = df_incdist!$C$2:$C$1000), 0), MATCH(G$217, df_incdist!$D$1:$I$1,0))</f>
        <v>#N/A</v>
      </c>
      <c r="H235" s="239" t="e">
        <f t="array" ref="H235">INDEX(df_incdist!$D$2:$I$1000, MATCH(1, ($A$2 = df_incdist!$A$2:$A$1000) * ($B235 = df_incdist!$B$2:$B$1000) * ($C235 = df_incdist!$C$2:$C$1000), 0), MATCH(H$217, df_incdist!$D$1:$I$1,0))</f>
        <v>#N/A</v>
      </c>
      <c r="I235" s="552" t="e">
        <f t="array" ref="I235">INDEX(df_incdist!$D$2:$I$1000, MATCH(1, ($A$2 = df_incdist!$A$2:$A$1000) * ($B235 = df_incdist!$B$2:$B$1000) * ($C235 = df_incdist!$C$2:$C$1000), 0), MATCH(I$217, df_incdist!$D$1:$I$1,0))</f>
        <v>#N/A</v>
      </c>
      <c r="K235" s="783">
        <v>80000</v>
      </c>
      <c r="L235" s="784">
        <v>84999</v>
      </c>
      <c r="M235" s="489" t="e">
        <f>SUM(D$219:D235)</f>
        <v>#N/A</v>
      </c>
      <c r="N235" s="558" t="e">
        <f>SUM(E$219:E235)</f>
        <v>#N/A</v>
      </c>
      <c r="O235" s="239" t="e">
        <f>SUM(F$219:F235)</f>
        <v>#N/A</v>
      </c>
      <c r="P235" s="239" t="e">
        <f>SUM(G$219:G235)</f>
        <v>#N/A</v>
      </c>
      <c r="Q235" s="239" t="e">
        <f>SUM(H$219:H235)</f>
        <v>#N/A</v>
      </c>
      <c r="R235" s="552" t="e">
        <f>SUM(I$219:I235)</f>
        <v>#N/A</v>
      </c>
    </row>
    <row r="236" spans="2:18" ht="20.100000000000001" customHeight="1" x14ac:dyDescent="0.2">
      <c r="B236" s="783">
        <v>85000</v>
      </c>
      <c r="C236" s="784">
        <v>89999</v>
      </c>
      <c r="D236" s="489" t="e">
        <f t="array" ref="D236">INDEX(df_incdist!$D$2:$I$1000, MATCH(1, ($A$2 = df_incdist!$A$2:$A$1000) * ($B236 = df_incdist!$B$2:$B$1000) * ($C236 = df_incdist!$C$2:$C$1000), 0), MATCH(D$217, df_incdist!$D$1:$I$1,0))</f>
        <v>#N/A</v>
      </c>
      <c r="E236" s="558" t="e">
        <f t="array" ref="E236">INDEX(df_incdist!$D$2:$I$1000, MATCH(1, ($A$2 = df_incdist!$A$2:$A$1000) * ($B236 = df_incdist!$B$2:$B$1000) * ($C236 = df_incdist!$C$2:$C$1000), 0), MATCH(E$217, df_incdist!$D$1:$I$1,0))</f>
        <v>#N/A</v>
      </c>
      <c r="F236" s="239" t="e">
        <f t="array" ref="F236">INDEX(df_incdist!$D$2:$I$1000, MATCH(1, ($A$2 = df_incdist!$A$2:$A$1000) * ($B236 = df_incdist!$B$2:$B$1000) * ($C236 = df_incdist!$C$2:$C$1000), 0), MATCH(F$217, df_incdist!$D$1:$I$1,0))</f>
        <v>#N/A</v>
      </c>
      <c r="G236" s="239" t="e">
        <f t="array" ref="G236">INDEX(df_incdist!$D$2:$I$1000, MATCH(1, ($A$2 = df_incdist!$A$2:$A$1000) * ($B236 = df_incdist!$B$2:$B$1000) * ($C236 = df_incdist!$C$2:$C$1000), 0), MATCH(G$217, df_incdist!$D$1:$I$1,0))</f>
        <v>#N/A</v>
      </c>
      <c r="H236" s="239" t="e">
        <f t="array" ref="H236">INDEX(df_incdist!$D$2:$I$1000, MATCH(1, ($A$2 = df_incdist!$A$2:$A$1000) * ($B236 = df_incdist!$B$2:$B$1000) * ($C236 = df_incdist!$C$2:$C$1000), 0), MATCH(H$217, df_incdist!$D$1:$I$1,0))</f>
        <v>#N/A</v>
      </c>
      <c r="I236" s="552" t="e">
        <f t="array" ref="I236">INDEX(df_incdist!$D$2:$I$1000, MATCH(1, ($A$2 = df_incdist!$A$2:$A$1000) * ($B236 = df_incdist!$B$2:$B$1000) * ($C236 = df_incdist!$C$2:$C$1000), 0), MATCH(I$217, df_incdist!$D$1:$I$1,0))</f>
        <v>#N/A</v>
      </c>
      <c r="K236" s="783">
        <v>85000</v>
      </c>
      <c r="L236" s="784">
        <v>89999</v>
      </c>
      <c r="M236" s="489" t="e">
        <f>SUM(D$219:D236)</f>
        <v>#N/A</v>
      </c>
      <c r="N236" s="558" t="e">
        <f>SUM(E$219:E236)</f>
        <v>#N/A</v>
      </c>
      <c r="O236" s="239" t="e">
        <f>SUM(F$219:F236)</f>
        <v>#N/A</v>
      </c>
      <c r="P236" s="239" t="e">
        <f>SUM(G$219:G236)</f>
        <v>#N/A</v>
      </c>
      <c r="Q236" s="239" t="e">
        <f>SUM(H$219:H236)</f>
        <v>#N/A</v>
      </c>
      <c r="R236" s="552" t="e">
        <f>SUM(I$219:I236)</f>
        <v>#N/A</v>
      </c>
    </row>
    <row r="237" spans="2:18" ht="20.100000000000001" customHeight="1" x14ac:dyDescent="0.2">
      <c r="B237" s="783">
        <v>90000</v>
      </c>
      <c r="C237" s="784">
        <v>94999</v>
      </c>
      <c r="D237" s="489" t="e">
        <f t="array" ref="D237">INDEX(df_incdist!$D$2:$I$1000, MATCH(1, ($A$2 = df_incdist!$A$2:$A$1000) * ($B237 = df_incdist!$B$2:$B$1000) * ($C237 = df_incdist!$C$2:$C$1000), 0), MATCH(D$217, df_incdist!$D$1:$I$1,0))</f>
        <v>#N/A</v>
      </c>
      <c r="E237" s="558" t="e">
        <f t="array" ref="E237">INDEX(df_incdist!$D$2:$I$1000, MATCH(1, ($A$2 = df_incdist!$A$2:$A$1000) * ($B237 = df_incdist!$B$2:$B$1000) * ($C237 = df_incdist!$C$2:$C$1000), 0), MATCH(E$217, df_incdist!$D$1:$I$1,0))</f>
        <v>#N/A</v>
      </c>
      <c r="F237" s="239" t="e">
        <f t="array" ref="F237">INDEX(df_incdist!$D$2:$I$1000, MATCH(1, ($A$2 = df_incdist!$A$2:$A$1000) * ($B237 = df_incdist!$B$2:$B$1000) * ($C237 = df_incdist!$C$2:$C$1000), 0), MATCH(F$217, df_incdist!$D$1:$I$1,0))</f>
        <v>#N/A</v>
      </c>
      <c r="G237" s="239" t="e">
        <f t="array" ref="G237">INDEX(df_incdist!$D$2:$I$1000, MATCH(1, ($A$2 = df_incdist!$A$2:$A$1000) * ($B237 = df_incdist!$B$2:$B$1000) * ($C237 = df_incdist!$C$2:$C$1000), 0), MATCH(G$217, df_incdist!$D$1:$I$1,0))</f>
        <v>#N/A</v>
      </c>
      <c r="H237" s="239" t="e">
        <f t="array" ref="H237">INDEX(df_incdist!$D$2:$I$1000, MATCH(1, ($A$2 = df_incdist!$A$2:$A$1000) * ($B237 = df_incdist!$B$2:$B$1000) * ($C237 = df_incdist!$C$2:$C$1000), 0), MATCH(H$217, df_incdist!$D$1:$I$1,0))</f>
        <v>#N/A</v>
      </c>
      <c r="I237" s="552" t="e">
        <f t="array" ref="I237">INDEX(df_incdist!$D$2:$I$1000, MATCH(1, ($A$2 = df_incdist!$A$2:$A$1000) * ($B237 = df_incdist!$B$2:$B$1000) * ($C237 = df_incdist!$C$2:$C$1000), 0), MATCH(I$217, df_incdist!$D$1:$I$1,0))</f>
        <v>#N/A</v>
      </c>
      <c r="K237" s="783">
        <v>90000</v>
      </c>
      <c r="L237" s="784">
        <v>94999</v>
      </c>
      <c r="M237" s="489" t="e">
        <f>SUM(D$219:D237)</f>
        <v>#N/A</v>
      </c>
      <c r="N237" s="558" t="e">
        <f>SUM(E$219:E237)</f>
        <v>#N/A</v>
      </c>
      <c r="O237" s="239" t="e">
        <f>SUM(F$219:F237)</f>
        <v>#N/A</v>
      </c>
      <c r="P237" s="239" t="e">
        <f>SUM(G$219:G237)</f>
        <v>#N/A</v>
      </c>
      <c r="Q237" s="239" t="e">
        <f>SUM(H$219:H237)</f>
        <v>#N/A</v>
      </c>
      <c r="R237" s="552" t="e">
        <f>SUM(I$219:I237)</f>
        <v>#N/A</v>
      </c>
    </row>
    <row r="238" spans="2:18" ht="20.100000000000001" customHeight="1" x14ac:dyDescent="0.2">
      <c r="B238" s="783">
        <v>95000</v>
      </c>
      <c r="C238" s="784">
        <v>99999</v>
      </c>
      <c r="D238" s="489" t="e">
        <f t="array" ref="D238">INDEX(df_incdist!$D$2:$I$1000, MATCH(1, ($A$2 = df_incdist!$A$2:$A$1000) * ($B238 = df_incdist!$B$2:$B$1000) * ($C238 = df_incdist!$C$2:$C$1000), 0), MATCH(D$217, df_incdist!$D$1:$I$1,0))</f>
        <v>#N/A</v>
      </c>
      <c r="E238" s="558" t="e">
        <f t="array" ref="E238">INDEX(df_incdist!$D$2:$I$1000, MATCH(1, ($A$2 = df_incdist!$A$2:$A$1000) * ($B238 = df_incdist!$B$2:$B$1000) * ($C238 = df_incdist!$C$2:$C$1000), 0), MATCH(E$217, df_incdist!$D$1:$I$1,0))</f>
        <v>#N/A</v>
      </c>
      <c r="F238" s="239" t="e">
        <f t="array" ref="F238">INDEX(df_incdist!$D$2:$I$1000, MATCH(1, ($A$2 = df_incdist!$A$2:$A$1000) * ($B238 = df_incdist!$B$2:$B$1000) * ($C238 = df_incdist!$C$2:$C$1000), 0), MATCH(F$217, df_incdist!$D$1:$I$1,0))</f>
        <v>#N/A</v>
      </c>
      <c r="G238" s="239" t="e">
        <f t="array" ref="G238">INDEX(df_incdist!$D$2:$I$1000, MATCH(1, ($A$2 = df_incdist!$A$2:$A$1000) * ($B238 = df_incdist!$B$2:$B$1000) * ($C238 = df_incdist!$C$2:$C$1000), 0), MATCH(G$217, df_incdist!$D$1:$I$1,0))</f>
        <v>#N/A</v>
      </c>
      <c r="H238" s="239" t="e">
        <f t="array" ref="H238">INDEX(df_incdist!$D$2:$I$1000, MATCH(1, ($A$2 = df_incdist!$A$2:$A$1000) * ($B238 = df_incdist!$B$2:$B$1000) * ($C238 = df_incdist!$C$2:$C$1000), 0), MATCH(H$217, df_incdist!$D$1:$I$1,0))</f>
        <v>#N/A</v>
      </c>
      <c r="I238" s="552" t="e">
        <f t="array" ref="I238">INDEX(df_incdist!$D$2:$I$1000, MATCH(1, ($A$2 = df_incdist!$A$2:$A$1000) * ($B238 = df_incdist!$B$2:$B$1000) * ($C238 = df_incdist!$C$2:$C$1000), 0), MATCH(I$217, df_incdist!$D$1:$I$1,0))</f>
        <v>#N/A</v>
      </c>
      <c r="K238" s="783">
        <v>95000</v>
      </c>
      <c r="L238" s="784">
        <v>99999</v>
      </c>
      <c r="M238" s="489" t="e">
        <f>SUM(D$219:D238)</f>
        <v>#N/A</v>
      </c>
      <c r="N238" s="558" t="e">
        <f>SUM(E$219:E238)</f>
        <v>#N/A</v>
      </c>
      <c r="O238" s="239" t="e">
        <f>SUM(F$219:F238)</f>
        <v>#N/A</v>
      </c>
      <c r="P238" s="239" t="e">
        <f>SUM(G$219:G238)</f>
        <v>#N/A</v>
      </c>
      <c r="Q238" s="239" t="e">
        <f>SUM(H$219:H238)</f>
        <v>#N/A</v>
      </c>
      <c r="R238" s="552" t="e">
        <f>SUM(I$219:I238)</f>
        <v>#N/A</v>
      </c>
    </row>
    <row r="239" spans="2:18" ht="20.100000000000001" customHeight="1" x14ac:dyDescent="0.2">
      <c r="B239" s="783">
        <v>100000</v>
      </c>
      <c r="C239" s="784">
        <v>104999</v>
      </c>
      <c r="D239" s="489" t="e">
        <f t="array" ref="D239">INDEX(df_incdist!$D$2:$I$1000, MATCH(1, ($A$2 = df_incdist!$A$2:$A$1000) * ($B239 = df_incdist!$B$2:$B$1000) * ($C239 = df_incdist!$C$2:$C$1000), 0), MATCH(D$217, df_incdist!$D$1:$I$1,0))</f>
        <v>#N/A</v>
      </c>
      <c r="E239" s="558" t="e">
        <f t="array" ref="E239">INDEX(df_incdist!$D$2:$I$1000, MATCH(1, ($A$2 = df_incdist!$A$2:$A$1000) * ($B239 = df_incdist!$B$2:$B$1000) * ($C239 = df_incdist!$C$2:$C$1000), 0), MATCH(E$217, df_incdist!$D$1:$I$1,0))</f>
        <v>#N/A</v>
      </c>
      <c r="F239" s="239" t="e">
        <f t="array" ref="F239">INDEX(df_incdist!$D$2:$I$1000, MATCH(1, ($A$2 = df_incdist!$A$2:$A$1000) * ($B239 = df_incdist!$B$2:$B$1000) * ($C239 = df_incdist!$C$2:$C$1000), 0), MATCH(F$217, df_incdist!$D$1:$I$1,0))</f>
        <v>#N/A</v>
      </c>
      <c r="G239" s="239" t="e">
        <f t="array" ref="G239">INDEX(df_incdist!$D$2:$I$1000, MATCH(1, ($A$2 = df_incdist!$A$2:$A$1000) * ($B239 = df_incdist!$B$2:$B$1000) * ($C239 = df_incdist!$C$2:$C$1000), 0), MATCH(G$217, df_incdist!$D$1:$I$1,0))</f>
        <v>#N/A</v>
      </c>
      <c r="H239" s="239" t="e">
        <f t="array" ref="H239">INDEX(df_incdist!$D$2:$I$1000, MATCH(1, ($A$2 = df_incdist!$A$2:$A$1000) * ($B239 = df_incdist!$B$2:$B$1000) * ($C239 = df_incdist!$C$2:$C$1000), 0), MATCH(H$217, df_incdist!$D$1:$I$1,0))</f>
        <v>#N/A</v>
      </c>
      <c r="I239" s="552" t="e">
        <f t="array" ref="I239">INDEX(df_incdist!$D$2:$I$1000, MATCH(1, ($A$2 = df_incdist!$A$2:$A$1000) * ($B239 = df_incdist!$B$2:$B$1000) * ($C239 = df_incdist!$C$2:$C$1000), 0), MATCH(I$217, df_incdist!$D$1:$I$1,0))</f>
        <v>#N/A</v>
      </c>
      <c r="K239" s="783">
        <v>100000</v>
      </c>
      <c r="L239" s="784">
        <v>104999</v>
      </c>
      <c r="M239" s="489" t="e">
        <f>SUM(D$219:D239)</f>
        <v>#N/A</v>
      </c>
      <c r="N239" s="558" t="e">
        <f>SUM(E$219:E239)</f>
        <v>#N/A</v>
      </c>
      <c r="O239" s="239" t="e">
        <f>SUM(F$219:F239)</f>
        <v>#N/A</v>
      </c>
      <c r="P239" s="239" t="e">
        <f>SUM(G$219:G239)</f>
        <v>#N/A</v>
      </c>
      <c r="Q239" s="239" t="e">
        <f>SUM(H$219:H239)</f>
        <v>#N/A</v>
      </c>
      <c r="R239" s="552" t="e">
        <f>SUM(I$219:I239)</f>
        <v>#N/A</v>
      </c>
    </row>
    <row r="240" spans="2:18" ht="20.100000000000001" customHeight="1" x14ac:dyDescent="0.2">
      <c r="B240" s="783">
        <v>105000</v>
      </c>
      <c r="C240" s="784">
        <v>109999</v>
      </c>
      <c r="D240" s="489" t="e">
        <f t="array" ref="D240">INDEX(df_incdist!$D$2:$I$1000, MATCH(1, ($A$2 = df_incdist!$A$2:$A$1000) * ($B240 = df_incdist!$B$2:$B$1000) * ($C240 = df_incdist!$C$2:$C$1000), 0), MATCH(D$217, df_incdist!$D$1:$I$1,0))</f>
        <v>#N/A</v>
      </c>
      <c r="E240" s="558" t="e">
        <f t="array" ref="E240">INDEX(df_incdist!$D$2:$I$1000, MATCH(1, ($A$2 = df_incdist!$A$2:$A$1000) * ($B240 = df_incdist!$B$2:$B$1000) * ($C240 = df_incdist!$C$2:$C$1000), 0), MATCH(E$217, df_incdist!$D$1:$I$1,0))</f>
        <v>#N/A</v>
      </c>
      <c r="F240" s="239" t="e">
        <f t="array" ref="F240">INDEX(df_incdist!$D$2:$I$1000, MATCH(1, ($A$2 = df_incdist!$A$2:$A$1000) * ($B240 = df_incdist!$B$2:$B$1000) * ($C240 = df_incdist!$C$2:$C$1000), 0), MATCH(F$217, df_incdist!$D$1:$I$1,0))</f>
        <v>#N/A</v>
      </c>
      <c r="G240" s="239" t="e">
        <f t="array" ref="G240">INDEX(df_incdist!$D$2:$I$1000, MATCH(1, ($A$2 = df_incdist!$A$2:$A$1000) * ($B240 = df_incdist!$B$2:$B$1000) * ($C240 = df_incdist!$C$2:$C$1000), 0), MATCH(G$217, df_incdist!$D$1:$I$1,0))</f>
        <v>#N/A</v>
      </c>
      <c r="H240" s="239" t="e">
        <f t="array" ref="H240">INDEX(df_incdist!$D$2:$I$1000, MATCH(1, ($A$2 = df_incdist!$A$2:$A$1000) * ($B240 = df_incdist!$B$2:$B$1000) * ($C240 = df_incdist!$C$2:$C$1000), 0), MATCH(H$217, df_incdist!$D$1:$I$1,0))</f>
        <v>#N/A</v>
      </c>
      <c r="I240" s="552" t="e">
        <f t="array" ref="I240">INDEX(df_incdist!$D$2:$I$1000, MATCH(1, ($A$2 = df_incdist!$A$2:$A$1000) * ($B240 = df_incdist!$B$2:$B$1000) * ($C240 = df_incdist!$C$2:$C$1000), 0), MATCH(I$217, df_incdist!$D$1:$I$1,0))</f>
        <v>#N/A</v>
      </c>
      <c r="K240" s="783">
        <v>105000</v>
      </c>
      <c r="L240" s="784">
        <v>109999</v>
      </c>
      <c r="M240" s="489" t="e">
        <f>SUM(D$219:D240)</f>
        <v>#N/A</v>
      </c>
      <c r="N240" s="558" t="e">
        <f>SUM(E$219:E240)</f>
        <v>#N/A</v>
      </c>
      <c r="O240" s="239" t="e">
        <f>SUM(F$219:F240)</f>
        <v>#N/A</v>
      </c>
      <c r="P240" s="239" t="e">
        <f>SUM(G$219:G240)</f>
        <v>#N/A</v>
      </c>
      <c r="Q240" s="239" t="e">
        <f>SUM(H$219:H240)</f>
        <v>#N/A</v>
      </c>
      <c r="R240" s="552" t="e">
        <f>SUM(I$219:I240)</f>
        <v>#N/A</v>
      </c>
    </row>
    <row r="241" spans="2:18" ht="20.100000000000001" customHeight="1" x14ac:dyDescent="0.2">
      <c r="B241" s="783">
        <v>110000</v>
      </c>
      <c r="C241" s="784">
        <v>114999</v>
      </c>
      <c r="D241" s="489" t="e">
        <f t="array" ref="D241">INDEX(df_incdist!$D$2:$I$1000, MATCH(1, ($A$2 = df_incdist!$A$2:$A$1000) * ($B241 = df_incdist!$B$2:$B$1000) * ($C241 = df_incdist!$C$2:$C$1000), 0), MATCH(D$217, df_incdist!$D$1:$I$1,0))</f>
        <v>#N/A</v>
      </c>
      <c r="E241" s="558" t="e">
        <f t="array" ref="E241">INDEX(df_incdist!$D$2:$I$1000, MATCH(1, ($A$2 = df_incdist!$A$2:$A$1000) * ($B241 = df_incdist!$B$2:$B$1000) * ($C241 = df_incdist!$C$2:$C$1000), 0), MATCH(E$217, df_incdist!$D$1:$I$1,0))</f>
        <v>#N/A</v>
      </c>
      <c r="F241" s="239" t="e">
        <f t="array" ref="F241">INDEX(df_incdist!$D$2:$I$1000, MATCH(1, ($A$2 = df_incdist!$A$2:$A$1000) * ($B241 = df_incdist!$B$2:$B$1000) * ($C241 = df_incdist!$C$2:$C$1000), 0), MATCH(F$217, df_incdist!$D$1:$I$1,0))</f>
        <v>#N/A</v>
      </c>
      <c r="G241" s="239" t="e">
        <f t="array" ref="G241">INDEX(df_incdist!$D$2:$I$1000, MATCH(1, ($A$2 = df_incdist!$A$2:$A$1000) * ($B241 = df_incdist!$B$2:$B$1000) * ($C241 = df_incdist!$C$2:$C$1000), 0), MATCH(G$217, df_incdist!$D$1:$I$1,0))</f>
        <v>#N/A</v>
      </c>
      <c r="H241" s="239" t="e">
        <f t="array" ref="H241">INDEX(df_incdist!$D$2:$I$1000, MATCH(1, ($A$2 = df_incdist!$A$2:$A$1000) * ($B241 = df_incdist!$B$2:$B$1000) * ($C241 = df_incdist!$C$2:$C$1000), 0), MATCH(H$217, df_incdist!$D$1:$I$1,0))</f>
        <v>#N/A</v>
      </c>
      <c r="I241" s="552" t="e">
        <f t="array" ref="I241">INDEX(df_incdist!$D$2:$I$1000, MATCH(1, ($A$2 = df_incdist!$A$2:$A$1000) * ($B241 = df_incdist!$B$2:$B$1000) * ($C241 = df_incdist!$C$2:$C$1000), 0), MATCH(I$217, df_incdist!$D$1:$I$1,0))</f>
        <v>#N/A</v>
      </c>
      <c r="K241" s="783">
        <v>110000</v>
      </c>
      <c r="L241" s="784">
        <v>114999</v>
      </c>
      <c r="M241" s="489" t="e">
        <f>SUM(D$219:D241)</f>
        <v>#N/A</v>
      </c>
      <c r="N241" s="558" t="e">
        <f>SUM(E$219:E241)</f>
        <v>#N/A</v>
      </c>
      <c r="O241" s="239" t="e">
        <f>SUM(F$219:F241)</f>
        <v>#N/A</v>
      </c>
      <c r="P241" s="239" t="e">
        <f>SUM(G$219:G241)</f>
        <v>#N/A</v>
      </c>
      <c r="Q241" s="239" t="e">
        <f>SUM(H$219:H241)</f>
        <v>#N/A</v>
      </c>
      <c r="R241" s="552" t="e">
        <f>SUM(I$219:I241)</f>
        <v>#N/A</v>
      </c>
    </row>
    <row r="242" spans="2:18" ht="20.100000000000001" customHeight="1" x14ac:dyDescent="0.2">
      <c r="B242" s="783">
        <v>115000</v>
      </c>
      <c r="C242" s="784">
        <v>119999</v>
      </c>
      <c r="D242" s="489" t="e">
        <f t="array" ref="D242">INDEX(df_incdist!$D$2:$I$1000, MATCH(1, ($A$2 = df_incdist!$A$2:$A$1000) * ($B242 = df_incdist!$B$2:$B$1000) * ($C242 = df_incdist!$C$2:$C$1000), 0), MATCH(D$217, df_incdist!$D$1:$I$1,0))</f>
        <v>#N/A</v>
      </c>
      <c r="E242" s="558" t="e">
        <f t="array" ref="E242">INDEX(df_incdist!$D$2:$I$1000, MATCH(1, ($A$2 = df_incdist!$A$2:$A$1000) * ($B242 = df_incdist!$B$2:$B$1000) * ($C242 = df_incdist!$C$2:$C$1000), 0), MATCH(E$217, df_incdist!$D$1:$I$1,0))</f>
        <v>#N/A</v>
      </c>
      <c r="F242" s="239" t="e">
        <f t="array" ref="F242">INDEX(df_incdist!$D$2:$I$1000, MATCH(1, ($A$2 = df_incdist!$A$2:$A$1000) * ($B242 = df_incdist!$B$2:$B$1000) * ($C242 = df_incdist!$C$2:$C$1000), 0), MATCH(F$217, df_incdist!$D$1:$I$1,0))</f>
        <v>#N/A</v>
      </c>
      <c r="G242" s="239" t="e">
        <f t="array" ref="G242">INDEX(df_incdist!$D$2:$I$1000, MATCH(1, ($A$2 = df_incdist!$A$2:$A$1000) * ($B242 = df_incdist!$B$2:$B$1000) * ($C242 = df_incdist!$C$2:$C$1000), 0), MATCH(G$217, df_incdist!$D$1:$I$1,0))</f>
        <v>#N/A</v>
      </c>
      <c r="H242" s="239" t="e">
        <f t="array" ref="H242">INDEX(df_incdist!$D$2:$I$1000, MATCH(1, ($A$2 = df_incdist!$A$2:$A$1000) * ($B242 = df_incdist!$B$2:$B$1000) * ($C242 = df_incdist!$C$2:$C$1000), 0), MATCH(H$217, df_incdist!$D$1:$I$1,0))</f>
        <v>#N/A</v>
      </c>
      <c r="I242" s="552" t="e">
        <f t="array" ref="I242">INDEX(df_incdist!$D$2:$I$1000, MATCH(1, ($A$2 = df_incdist!$A$2:$A$1000) * ($B242 = df_incdist!$B$2:$B$1000) * ($C242 = df_incdist!$C$2:$C$1000), 0), MATCH(I$217, df_incdist!$D$1:$I$1,0))</f>
        <v>#N/A</v>
      </c>
      <c r="K242" s="783">
        <v>115000</v>
      </c>
      <c r="L242" s="784">
        <v>119999</v>
      </c>
      <c r="M242" s="489" t="e">
        <f>SUM(D$219:D242)</f>
        <v>#N/A</v>
      </c>
      <c r="N242" s="558" t="e">
        <f>SUM(E$219:E242)</f>
        <v>#N/A</v>
      </c>
      <c r="O242" s="239" t="e">
        <f>SUM(F$219:F242)</f>
        <v>#N/A</v>
      </c>
      <c r="P242" s="239" t="e">
        <f>SUM(G$219:G242)</f>
        <v>#N/A</v>
      </c>
      <c r="Q242" s="239" t="e">
        <f>SUM(H$219:H242)</f>
        <v>#N/A</v>
      </c>
      <c r="R242" s="552" t="e">
        <f>SUM(I$219:I242)</f>
        <v>#N/A</v>
      </c>
    </row>
    <row r="243" spans="2:18" ht="20.100000000000001" customHeight="1" x14ac:dyDescent="0.2">
      <c r="B243" s="783">
        <v>120000</v>
      </c>
      <c r="C243" s="784">
        <v>124999</v>
      </c>
      <c r="D243" s="489" t="e">
        <f t="array" ref="D243">INDEX(df_incdist!$D$2:$I$1000, MATCH(1, ($A$2 = df_incdist!$A$2:$A$1000) * ($B243 = df_incdist!$B$2:$B$1000) * ($C243 = df_incdist!$C$2:$C$1000), 0), MATCH(D$217, df_incdist!$D$1:$I$1,0))</f>
        <v>#N/A</v>
      </c>
      <c r="E243" s="558" t="e">
        <f t="array" ref="E243">INDEX(df_incdist!$D$2:$I$1000, MATCH(1, ($A$2 = df_incdist!$A$2:$A$1000) * ($B243 = df_incdist!$B$2:$B$1000) * ($C243 = df_incdist!$C$2:$C$1000), 0), MATCH(E$217, df_incdist!$D$1:$I$1,0))</f>
        <v>#N/A</v>
      </c>
      <c r="F243" s="239" t="e">
        <f t="array" ref="F243">INDEX(df_incdist!$D$2:$I$1000, MATCH(1, ($A$2 = df_incdist!$A$2:$A$1000) * ($B243 = df_incdist!$B$2:$B$1000) * ($C243 = df_incdist!$C$2:$C$1000), 0), MATCH(F$217, df_incdist!$D$1:$I$1,0))</f>
        <v>#N/A</v>
      </c>
      <c r="G243" s="239" t="e">
        <f t="array" ref="G243">INDEX(df_incdist!$D$2:$I$1000, MATCH(1, ($A$2 = df_incdist!$A$2:$A$1000) * ($B243 = df_incdist!$B$2:$B$1000) * ($C243 = df_incdist!$C$2:$C$1000), 0), MATCH(G$217, df_incdist!$D$1:$I$1,0))</f>
        <v>#N/A</v>
      </c>
      <c r="H243" s="239" t="e">
        <f t="array" ref="H243">INDEX(df_incdist!$D$2:$I$1000, MATCH(1, ($A$2 = df_incdist!$A$2:$A$1000) * ($B243 = df_incdist!$B$2:$B$1000) * ($C243 = df_incdist!$C$2:$C$1000), 0), MATCH(H$217, df_incdist!$D$1:$I$1,0))</f>
        <v>#N/A</v>
      </c>
      <c r="I243" s="552" t="e">
        <f t="array" ref="I243">INDEX(df_incdist!$D$2:$I$1000, MATCH(1, ($A$2 = df_incdist!$A$2:$A$1000) * ($B243 = df_incdist!$B$2:$B$1000) * ($C243 = df_incdist!$C$2:$C$1000), 0), MATCH(I$217, df_incdist!$D$1:$I$1,0))</f>
        <v>#N/A</v>
      </c>
      <c r="K243" s="783">
        <v>120000</v>
      </c>
      <c r="L243" s="784">
        <v>124999</v>
      </c>
      <c r="M243" s="489" t="e">
        <f>SUM(D$219:D243)</f>
        <v>#N/A</v>
      </c>
      <c r="N243" s="558" t="e">
        <f>SUM(E$219:E243)</f>
        <v>#N/A</v>
      </c>
      <c r="O243" s="239" t="e">
        <f>SUM(F$219:F243)</f>
        <v>#N/A</v>
      </c>
      <c r="P243" s="239" t="e">
        <f>SUM(G$219:G243)</f>
        <v>#N/A</v>
      </c>
      <c r="Q243" s="239" t="e">
        <f>SUM(H$219:H243)</f>
        <v>#N/A</v>
      </c>
      <c r="R243" s="552" t="e">
        <f>SUM(I$219:I243)</f>
        <v>#N/A</v>
      </c>
    </row>
    <row r="244" spans="2:18" ht="20.100000000000001" customHeight="1" x14ac:dyDescent="0.2">
      <c r="B244" s="783">
        <v>125000</v>
      </c>
      <c r="C244" s="784">
        <v>129999</v>
      </c>
      <c r="D244" s="489" t="e">
        <f t="array" ref="D244">INDEX(df_incdist!$D$2:$I$1000, MATCH(1, ($A$2 = df_incdist!$A$2:$A$1000) * ($B244 = df_incdist!$B$2:$B$1000) * ($C244 = df_incdist!$C$2:$C$1000), 0), MATCH(D$217, df_incdist!$D$1:$I$1,0))</f>
        <v>#N/A</v>
      </c>
      <c r="E244" s="558" t="e">
        <f t="array" ref="E244">INDEX(df_incdist!$D$2:$I$1000, MATCH(1, ($A$2 = df_incdist!$A$2:$A$1000) * ($B244 = df_incdist!$B$2:$B$1000) * ($C244 = df_incdist!$C$2:$C$1000), 0), MATCH(E$217, df_incdist!$D$1:$I$1,0))</f>
        <v>#N/A</v>
      </c>
      <c r="F244" s="239" t="e">
        <f t="array" ref="F244">INDEX(df_incdist!$D$2:$I$1000, MATCH(1, ($A$2 = df_incdist!$A$2:$A$1000) * ($B244 = df_incdist!$B$2:$B$1000) * ($C244 = df_incdist!$C$2:$C$1000), 0), MATCH(F$217, df_incdist!$D$1:$I$1,0))</f>
        <v>#N/A</v>
      </c>
      <c r="G244" s="239" t="e">
        <f t="array" ref="G244">INDEX(df_incdist!$D$2:$I$1000, MATCH(1, ($A$2 = df_incdist!$A$2:$A$1000) * ($B244 = df_incdist!$B$2:$B$1000) * ($C244 = df_incdist!$C$2:$C$1000), 0), MATCH(G$217, df_incdist!$D$1:$I$1,0))</f>
        <v>#N/A</v>
      </c>
      <c r="H244" s="239" t="e">
        <f t="array" ref="H244">INDEX(df_incdist!$D$2:$I$1000, MATCH(1, ($A$2 = df_incdist!$A$2:$A$1000) * ($B244 = df_incdist!$B$2:$B$1000) * ($C244 = df_incdist!$C$2:$C$1000), 0), MATCH(H$217, df_incdist!$D$1:$I$1,0))</f>
        <v>#N/A</v>
      </c>
      <c r="I244" s="552" t="e">
        <f t="array" ref="I244">INDEX(df_incdist!$D$2:$I$1000, MATCH(1, ($A$2 = df_incdist!$A$2:$A$1000) * ($B244 = df_incdist!$B$2:$B$1000) * ($C244 = df_incdist!$C$2:$C$1000), 0), MATCH(I$217, df_incdist!$D$1:$I$1,0))</f>
        <v>#N/A</v>
      </c>
      <c r="K244" s="783">
        <v>125000</v>
      </c>
      <c r="L244" s="784">
        <v>129999</v>
      </c>
      <c r="M244" s="489" t="e">
        <f>SUM(D$219:D244)</f>
        <v>#N/A</v>
      </c>
      <c r="N244" s="558" t="e">
        <f>SUM(E$219:E244)</f>
        <v>#N/A</v>
      </c>
      <c r="O244" s="239" t="e">
        <f>SUM(F$219:F244)</f>
        <v>#N/A</v>
      </c>
      <c r="P244" s="239" t="e">
        <f>SUM(G$219:G244)</f>
        <v>#N/A</v>
      </c>
      <c r="Q244" s="239" t="e">
        <f>SUM(H$219:H244)</f>
        <v>#N/A</v>
      </c>
      <c r="R244" s="552" t="e">
        <f>SUM(I$219:I244)</f>
        <v>#N/A</v>
      </c>
    </row>
    <row r="245" spans="2:18" ht="20.100000000000001" customHeight="1" x14ac:dyDescent="0.2">
      <c r="B245" s="783">
        <v>130000</v>
      </c>
      <c r="C245" s="784">
        <v>134999</v>
      </c>
      <c r="D245" s="489" t="e">
        <f t="array" ref="D245">INDEX(df_incdist!$D$2:$I$1000, MATCH(1, ($A$2 = df_incdist!$A$2:$A$1000) * ($B245 = df_incdist!$B$2:$B$1000) * ($C245 = df_incdist!$C$2:$C$1000), 0), MATCH(D$217, df_incdist!$D$1:$I$1,0))</f>
        <v>#N/A</v>
      </c>
      <c r="E245" s="558" t="e">
        <f t="array" ref="E245">INDEX(df_incdist!$D$2:$I$1000, MATCH(1, ($A$2 = df_incdist!$A$2:$A$1000) * ($B245 = df_incdist!$B$2:$B$1000) * ($C245 = df_incdist!$C$2:$C$1000), 0), MATCH(E$217, df_incdist!$D$1:$I$1,0))</f>
        <v>#N/A</v>
      </c>
      <c r="F245" s="239" t="e">
        <f t="array" ref="F245">INDEX(df_incdist!$D$2:$I$1000, MATCH(1, ($A$2 = df_incdist!$A$2:$A$1000) * ($B245 = df_incdist!$B$2:$B$1000) * ($C245 = df_incdist!$C$2:$C$1000), 0), MATCH(F$217, df_incdist!$D$1:$I$1,0))</f>
        <v>#N/A</v>
      </c>
      <c r="G245" s="239" t="e">
        <f t="array" ref="G245">INDEX(df_incdist!$D$2:$I$1000, MATCH(1, ($A$2 = df_incdist!$A$2:$A$1000) * ($B245 = df_incdist!$B$2:$B$1000) * ($C245 = df_incdist!$C$2:$C$1000), 0), MATCH(G$217, df_incdist!$D$1:$I$1,0))</f>
        <v>#N/A</v>
      </c>
      <c r="H245" s="239" t="e">
        <f t="array" ref="H245">INDEX(df_incdist!$D$2:$I$1000, MATCH(1, ($A$2 = df_incdist!$A$2:$A$1000) * ($B245 = df_incdist!$B$2:$B$1000) * ($C245 = df_incdist!$C$2:$C$1000), 0), MATCH(H$217, df_incdist!$D$1:$I$1,0))</f>
        <v>#N/A</v>
      </c>
      <c r="I245" s="552" t="e">
        <f t="array" ref="I245">INDEX(df_incdist!$D$2:$I$1000, MATCH(1, ($A$2 = df_incdist!$A$2:$A$1000) * ($B245 = df_incdist!$B$2:$B$1000) * ($C245 = df_incdist!$C$2:$C$1000), 0), MATCH(I$217, df_incdist!$D$1:$I$1,0))</f>
        <v>#N/A</v>
      </c>
      <c r="K245" s="783">
        <v>130000</v>
      </c>
      <c r="L245" s="784">
        <v>134999</v>
      </c>
      <c r="M245" s="489" t="e">
        <f>SUM(D$219:D245)</f>
        <v>#N/A</v>
      </c>
      <c r="N245" s="558" t="e">
        <f>SUM(E$219:E245)</f>
        <v>#N/A</v>
      </c>
      <c r="O245" s="239" t="e">
        <f>SUM(F$219:F245)</f>
        <v>#N/A</v>
      </c>
      <c r="P245" s="239" t="e">
        <f>SUM(G$219:G245)</f>
        <v>#N/A</v>
      </c>
      <c r="Q245" s="239" t="e">
        <f>SUM(H$219:H245)</f>
        <v>#N/A</v>
      </c>
      <c r="R245" s="552" t="e">
        <f>SUM(I$219:I245)</f>
        <v>#N/A</v>
      </c>
    </row>
    <row r="246" spans="2:18" ht="20.100000000000001" customHeight="1" x14ac:dyDescent="0.2">
      <c r="B246" s="783">
        <v>135000</v>
      </c>
      <c r="C246" s="784">
        <v>139999</v>
      </c>
      <c r="D246" s="489" t="e">
        <f t="array" ref="D246">INDEX(df_incdist!$D$2:$I$1000, MATCH(1, ($A$2 = df_incdist!$A$2:$A$1000) * ($B246 = df_incdist!$B$2:$B$1000) * ($C246 = df_incdist!$C$2:$C$1000), 0), MATCH(D$217, df_incdist!$D$1:$I$1,0))</f>
        <v>#N/A</v>
      </c>
      <c r="E246" s="558" t="e">
        <f t="array" ref="E246">INDEX(df_incdist!$D$2:$I$1000, MATCH(1, ($A$2 = df_incdist!$A$2:$A$1000) * ($B246 = df_incdist!$B$2:$B$1000) * ($C246 = df_incdist!$C$2:$C$1000), 0), MATCH(E$217, df_incdist!$D$1:$I$1,0))</f>
        <v>#N/A</v>
      </c>
      <c r="F246" s="239" t="e">
        <f t="array" ref="F246">INDEX(df_incdist!$D$2:$I$1000, MATCH(1, ($A$2 = df_incdist!$A$2:$A$1000) * ($B246 = df_incdist!$B$2:$B$1000) * ($C246 = df_incdist!$C$2:$C$1000), 0), MATCH(F$217, df_incdist!$D$1:$I$1,0))</f>
        <v>#N/A</v>
      </c>
      <c r="G246" s="239" t="e">
        <f t="array" ref="G246">INDEX(df_incdist!$D$2:$I$1000, MATCH(1, ($A$2 = df_incdist!$A$2:$A$1000) * ($B246 = df_incdist!$B$2:$B$1000) * ($C246 = df_incdist!$C$2:$C$1000), 0), MATCH(G$217, df_incdist!$D$1:$I$1,0))</f>
        <v>#N/A</v>
      </c>
      <c r="H246" s="239" t="e">
        <f t="array" ref="H246">INDEX(df_incdist!$D$2:$I$1000, MATCH(1, ($A$2 = df_incdist!$A$2:$A$1000) * ($B246 = df_incdist!$B$2:$B$1000) * ($C246 = df_incdist!$C$2:$C$1000), 0), MATCH(H$217, df_incdist!$D$1:$I$1,0))</f>
        <v>#N/A</v>
      </c>
      <c r="I246" s="552" t="e">
        <f t="array" ref="I246">INDEX(df_incdist!$D$2:$I$1000, MATCH(1, ($A$2 = df_incdist!$A$2:$A$1000) * ($B246 = df_incdist!$B$2:$B$1000) * ($C246 = df_incdist!$C$2:$C$1000), 0), MATCH(I$217, df_incdist!$D$1:$I$1,0))</f>
        <v>#N/A</v>
      </c>
      <c r="K246" s="783">
        <v>135000</v>
      </c>
      <c r="L246" s="784">
        <v>139999</v>
      </c>
      <c r="M246" s="489" t="e">
        <f>SUM(D$219:D246)</f>
        <v>#N/A</v>
      </c>
      <c r="N246" s="558" t="e">
        <f>SUM(E$219:E246)</f>
        <v>#N/A</v>
      </c>
      <c r="O246" s="239" t="e">
        <f>SUM(F$219:F246)</f>
        <v>#N/A</v>
      </c>
      <c r="P246" s="239" t="e">
        <f>SUM(G$219:G246)</f>
        <v>#N/A</v>
      </c>
      <c r="Q246" s="239" t="e">
        <f>SUM(H$219:H246)</f>
        <v>#N/A</v>
      </c>
      <c r="R246" s="552" t="e">
        <f>SUM(I$219:I246)</f>
        <v>#N/A</v>
      </c>
    </row>
    <row r="247" spans="2:18" ht="20.100000000000001" customHeight="1" x14ac:dyDescent="0.2">
      <c r="B247" s="783">
        <v>140000</v>
      </c>
      <c r="C247" s="784">
        <v>144999</v>
      </c>
      <c r="D247" s="489" t="e">
        <f t="array" ref="D247">INDEX(df_incdist!$D$2:$I$1000, MATCH(1, ($A$2 = df_incdist!$A$2:$A$1000) * ($B247 = df_incdist!$B$2:$B$1000) * ($C247 = df_incdist!$C$2:$C$1000), 0), MATCH(D$217, df_incdist!$D$1:$I$1,0))</f>
        <v>#N/A</v>
      </c>
      <c r="E247" s="558" t="e">
        <f t="array" ref="E247">INDEX(df_incdist!$D$2:$I$1000, MATCH(1, ($A$2 = df_incdist!$A$2:$A$1000) * ($B247 = df_incdist!$B$2:$B$1000) * ($C247 = df_incdist!$C$2:$C$1000), 0), MATCH(E$217, df_incdist!$D$1:$I$1,0))</f>
        <v>#N/A</v>
      </c>
      <c r="F247" s="239" t="e">
        <f t="array" ref="F247">INDEX(df_incdist!$D$2:$I$1000, MATCH(1, ($A$2 = df_incdist!$A$2:$A$1000) * ($B247 = df_incdist!$B$2:$B$1000) * ($C247 = df_incdist!$C$2:$C$1000), 0), MATCH(F$217, df_incdist!$D$1:$I$1,0))</f>
        <v>#N/A</v>
      </c>
      <c r="G247" s="239" t="e">
        <f t="array" ref="G247">INDEX(df_incdist!$D$2:$I$1000, MATCH(1, ($A$2 = df_incdist!$A$2:$A$1000) * ($B247 = df_incdist!$B$2:$B$1000) * ($C247 = df_incdist!$C$2:$C$1000), 0), MATCH(G$217, df_incdist!$D$1:$I$1,0))</f>
        <v>#N/A</v>
      </c>
      <c r="H247" s="239" t="e">
        <f t="array" ref="H247">INDEX(df_incdist!$D$2:$I$1000, MATCH(1, ($A$2 = df_incdist!$A$2:$A$1000) * ($B247 = df_incdist!$B$2:$B$1000) * ($C247 = df_incdist!$C$2:$C$1000), 0), MATCH(H$217, df_incdist!$D$1:$I$1,0))</f>
        <v>#N/A</v>
      </c>
      <c r="I247" s="552" t="e">
        <f t="array" ref="I247">INDEX(df_incdist!$D$2:$I$1000, MATCH(1, ($A$2 = df_incdist!$A$2:$A$1000) * ($B247 = df_incdist!$B$2:$B$1000) * ($C247 = df_incdist!$C$2:$C$1000), 0), MATCH(I$217, df_incdist!$D$1:$I$1,0))</f>
        <v>#N/A</v>
      </c>
      <c r="K247" s="783">
        <v>140000</v>
      </c>
      <c r="L247" s="784">
        <v>144999</v>
      </c>
      <c r="M247" s="489" t="e">
        <f>SUM(D$219:D247)</f>
        <v>#N/A</v>
      </c>
      <c r="N247" s="558" t="e">
        <f>SUM(E$219:E247)</f>
        <v>#N/A</v>
      </c>
      <c r="O247" s="239" t="e">
        <f>SUM(F$219:F247)</f>
        <v>#N/A</v>
      </c>
      <c r="P247" s="239" t="e">
        <f>SUM(G$219:G247)</f>
        <v>#N/A</v>
      </c>
      <c r="Q247" s="239" t="e">
        <f>SUM(H$219:H247)</f>
        <v>#N/A</v>
      </c>
      <c r="R247" s="552" t="e">
        <f>SUM(I$219:I247)</f>
        <v>#N/A</v>
      </c>
    </row>
    <row r="248" spans="2:18" ht="20.100000000000001" customHeight="1" x14ac:dyDescent="0.2">
      <c r="B248" s="783">
        <v>145000</v>
      </c>
      <c r="C248" s="784">
        <v>149999</v>
      </c>
      <c r="D248" s="489" t="e">
        <f t="array" ref="D248">INDEX(df_incdist!$D$2:$I$1000, MATCH(1, ($A$2 = df_incdist!$A$2:$A$1000) * ($B248 = df_incdist!$B$2:$B$1000) * ($C248 = df_incdist!$C$2:$C$1000), 0), MATCH(D$217, df_incdist!$D$1:$I$1,0))</f>
        <v>#N/A</v>
      </c>
      <c r="E248" s="558" t="e">
        <f t="array" ref="E248">INDEX(df_incdist!$D$2:$I$1000, MATCH(1, ($A$2 = df_incdist!$A$2:$A$1000) * ($B248 = df_incdist!$B$2:$B$1000) * ($C248 = df_incdist!$C$2:$C$1000), 0), MATCH(E$217, df_incdist!$D$1:$I$1,0))</f>
        <v>#N/A</v>
      </c>
      <c r="F248" s="239" t="e">
        <f t="array" ref="F248">INDEX(df_incdist!$D$2:$I$1000, MATCH(1, ($A$2 = df_incdist!$A$2:$A$1000) * ($B248 = df_incdist!$B$2:$B$1000) * ($C248 = df_incdist!$C$2:$C$1000), 0), MATCH(F$217, df_incdist!$D$1:$I$1,0))</f>
        <v>#N/A</v>
      </c>
      <c r="G248" s="239" t="e">
        <f t="array" ref="G248">INDEX(df_incdist!$D$2:$I$1000, MATCH(1, ($A$2 = df_incdist!$A$2:$A$1000) * ($B248 = df_incdist!$B$2:$B$1000) * ($C248 = df_incdist!$C$2:$C$1000), 0), MATCH(G$217, df_incdist!$D$1:$I$1,0))</f>
        <v>#N/A</v>
      </c>
      <c r="H248" s="239" t="e">
        <f t="array" ref="H248">INDEX(df_incdist!$D$2:$I$1000, MATCH(1, ($A$2 = df_incdist!$A$2:$A$1000) * ($B248 = df_incdist!$B$2:$B$1000) * ($C248 = df_incdist!$C$2:$C$1000), 0), MATCH(H$217, df_incdist!$D$1:$I$1,0))</f>
        <v>#N/A</v>
      </c>
      <c r="I248" s="552" t="e">
        <f t="array" ref="I248">INDEX(df_incdist!$D$2:$I$1000, MATCH(1, ($A$2 = df_incdist!$A$2:$A$1000) * ($B248 = df_incdist!$B$2:$B$1000) * ($C248 = df_incdist!$C$2:$C$1000), 0), MATCH(I$217, df_incdist!$D$1:$I$1,0))</f>
        <v>#N/A</v>
      </c>
      <c r="K248" s="783">
        <v>145000</v>
      </c>
      <c r="L248" s="784">
        <v>149999</v>
      </c>
      <c r="M248" s="489" t="e">
        <f>SUM(D$219:D248)</f>
        <v>#N/A</v>
      </c>
      <c r="N248" s="558" t="e">
        <f>SUM(E$219:E248)</f>
        <v>#N/A</v>
      </c>
      <c r="O248" s="239" t="e">
        <f>SUM(F$219:F248)</f>
        <v>#N/A</v>
      </c>
      <c r="P248" s="239" t="e">
        <f>SUM(G$219:G248)</f>
        <v>#N/A</v>
      </c>
      <c r="Q248" s="239" t="e">
        <f>SUM(H$219:H248)</f>
        <v>#N/A</v>
      </c>
      <c r="R248" s="552" t="e">
        <f>SUM(I$219:I248)</f>
        <v>#N/A</v>
      </c>
    </row>
    <row r="249" spans="2:18" ht="20.100000000000001" customHeight="1" x14ac:dyDescent="0.2">
      <c r="B249" s="785">
        <v>150000</v>
      </c>
      <c r="C249" s="780"/>
      <c r="D249" s="490" t="e">
        <f t="array" ref="D249">INDEX(df_incdist!$D$2:$I$1000, MATCH(1, ($A$2 = df_incdist!$A$2:$A$1000) * ($B249 = df_incdist!$B$2:$B$1000), 0), MATCH(D$217, df_incdist!$D$1:$I$1,0))</f>
        <v>#N/A</v>
      </c>
      <c r="E249" s="559" t="e">
        <f t="array" ref="E249">INDEX(df_incdist!$D$2:$I$1000, MATCH(1, ($A$2 = df_incdist!$A$2:$A$1000) * ($B249 = df_incdist!$B$2:$B$1000), 0), MATCH(E$217, df_incdist!$D$1:$I$1,0))</f>
        <v>#N/A</v>
      </c>
      <c r="F249" s="553" t="e">
        <f t="array" ref="F249">INDEX(df_incdist!$D$2:$I$1000, MATCH(1, ($A$2 = df_incdist!$A$2:$A$1000) * ($B249 = df_incdist!$B$2:$B$1000), 0), MATCH(F$217, df_incdist!$D$1:$I$1,0))</f>
        <v>#N/A</v>
      </c>
      <c r="G249" s="553" t="e">
        <f t="array" ref="G249">INDEX(df_incdist!$D$2:$I$1000, MATCH(1, ($A$2 = df_incdist!$A$2:$A$1000) * ($B249 = df_incdist!$B$2:$B$1000), 0), MATCH(G$217, df_incdist!$D$1:$I$1,0))</f>
        <v>#N/A</v>
      </c>
      <c r="H249" s="553" t="e">
        <f t="array" ref="H249">INDEX(df_incdist!$D$2:$I$1000, MATCH(1, ($A$2 = df_incdist!$A$2:$A$1000) * ($B249 = df_incdist!$B$2:$B$1000), 0), MATCH(H$217, df_incdist!$D$1:$I$1,0))</f>
        <v>#N/A</v>
      </c>
      <c r="I249" s="554" t="e">
        <f t="array" ref="I249">INDEX(df_incdist!$D$2:$I$1000, MATCH(1, ($A$2 = df_incdist!$A$2:$A$1000) * ($B249 = df_incdist!$B$2:$B$1000), 0), MATCH(I$217, df_incdist!$D$1:$I$1,0))</f>
        <v>#N/A</v>
      </c>
      <c r="K249" s="785">
        <v>150000</v>
      </c>
      <c r="L249" s="780"/>
      <c r="M249" s="490" t="e">
        <f>SUM(D$219:D249)</f>
        <v>#N/A</v>
      </c>
      <c r="N249" s="559" t="e">
        <f>SUM(E$219:E249)</f>
        <v>#N/A</v>
      </c>
      <c r="O249" s="553" t="e">
        <f>SUM(F$219:F249)</f>
        <v>#N/A</v>
      </c>
      <c r="P249" s="553" t="e">
        <f>SUM(G$219:G249)</f>
        <v>#N/A</v>
      </c>
      <c r="Q249" s="553" t="e">
        <f>SUM(H$219:H249)</f>
        <v>#N/A</v>
      </c>
      <c r="R249" s="554" t="e">
        <f>SUM(I$219:I249)</f>
        <v>#N/A</v>
      </c>
    </row>
    <row r="250" spans="2:18" ht="20.100000000000001" customHeight="1" x14ac:dyDescent="0.2"/>
    <row r="251" spans="2:18" ht="20.100000000000001" customHeight="1" x14ac:dyDescent="0.2">
      <c r="B251" s="1240" t="s">
        <v>1114</v>
      </c>
      <c r="C251" s="1240"/>
      <c r="D251" s="1240"/>
      <c r="E251" s="1240"/>
      <c r="G251" s="1240" t="s">
        <v>1115</v>
      </c>
      <c r="H251" s="1240"/>
      <c r="I251" s="1240"/>
      <c r="J251" s="1240"/>
      <c r="L251" s="1240" t="s">
        <v>1116</v>
      </c>
      <c r="M251" s="1240"/>
      <c r="N251" s="1240"/>
      <c r="O251" s="1240"/>
    </row>
    <row r="252" spans="2:18" ht="20.100000000000001" customHeight="1" x14ac:dyDescent="0.2"/>
    <row r="253" spans="2:18" ht="20.100000000000001" customHeight="1" x14ac:dyDescent="0.2">
      <c r="B253" s="483" t="s">
        <v>478</v>
      </c>
      <c r="C253" s="128" t="s">
        <v>8</v>
      </c>
      <c r="D253" s="117" t="s">
        <v>9</v>
      </c>
      <c r="E253" s="302" t="s">
        <v>940</v>
      </c>
      <c r="G253" s="483" t="s">
        <v>478</v>
      </c>
      <c r="H253" s="128" t="s">
        <v>8</v>
      </c>
      <c r="I253" s="117" t="s">
        <v>9</v>
      </c>
      <c r="J253" s="302" t="s">
        <v>940</v>
      </c>
      <c r="L253" s="483" t="s">
        <v>478</v>
      </c>
      <c r="M253" s="128" t="s">
        <v>8</v>
      </c>
      <c r="N253" s="117" t="s">
        <v>9</v>
      </c>
      <c r="O253" s="302" t="s">
        <v>940</v>
      </c>
    </row>
    <row r="254" spans="2:18" ht="20.100000000000001" customHeight="1" x14ac:dyDescent="0.2">
      <c r="B254" s="853" t="s">
        <v>1112</v>
      </c>
      <c r="C254" s="858" t="e">
        <f>INDEX($N$219:$N$249,MATCH(ROUNDDOWN(D212/5000,0)*5000-1, $L$219:$L$249,0), 0)</f>
        <v>#VALUE!</v>
      </c>
      <c r="D254" s="743" t="e">
        <f>INDEX($N$219:$N$249,MATCH(ROUNDDOWN(D212/5000,0)*5000+4999, $L$219:$L$249,0), 0)</f>
        <v>#VALUE!</v>
      </c>
      <c r="E254" s="510" t="e">
        <f>MROUND((D212-ROUNDDOWN(D212/5000,0)*5000)/((ROUNDDOWN(D212/5000,0)*5000+5000) - (ROUNDDOWN(D212/5000,0)*5000)) * (D254-C254) + C254,5) / $N$218</f>
        <v>#VALUE!</v>
      </c>
      <c r="G254" s="853" t="s">
        <v>1112</v>
      </c>
      <c r="H254" s="858" t="e">
        <f>INDEX($O$219:$O$249,MATCH(ROUNDDOWN(E212/5000,0)*5000-1, $L$219:$L$249,0), 0)</f>
        <v>#VALUE!</v>
      </c>
      <c r="I254" s="743" t="e">
        <f>INDEX($O$219:$O$249,MATCH(ROUNDDOWN(E212/5000,0)*5000+4999, $L$219:$L$249,0), 0)</f>
        <v>#VALUE!</v>
      </c>
      <c r="J254" s="510" t="e">
        <f>MROUND((E212-ROUNDDOWN(E212/5000,0)*5000)/((ROUNDDOWN(E212/5000,0)*5000+5000) - (ROUNDDOWN(E212/5000,0)*5000)) * (I254-H254) + H254,5) / $O$218</f>
        <v>#VALUE!</v>
      </c>
      <c r="L254" s="853" t="s">
        <v>1112</v>
      </c>
      <c r="M254" s="858" t="e">
        <f>INDEX($P$219:$P$249,MATCH(ROUNDDOWN(F212/5000,0)*5000-1, $L$219:$L$249,0), 0)</f>
        <v>#VALUE!</v>
      </c>
      <c r="N254" s="743" t="e">
        <f>INDEX($P$219:$P$249,MATCH(ROUNDDOWN(F212/5000,0)*5000+4999, $L$219:$L$249,0), 0)</f>
        <v>#VALUE!</v>
      </c>
      <c r="O254" s="510" t="e">
        <f>MROUND((F212-ROUNDDOWN(F212/5000,0)*5000)/((ROUNDDOWN(F212/5000,0)*5000+5000) - (ROUNDDOWN(F212/5000,0)*5000)) * (N254-M254) + M254,5)/$P$218</f>
        <v>#VALUE!</v>
      </c>
    </row>
    <row r="255" spans="2:18" ht="20.100000000000001" customHeight="1" x14ac:dyDescent="0.2">
      <c r="B255" s="854" t="s">
        <v>1113</v>
      </c>
      <c r="C255" s="857" t="e">
        <f>INDEX($N$219:$N$249,MATCH(ROUNDDOWN(D213/5000,0)*5000-1, $L$219:$L$249,0), 0)</f>
        <v>#VALUE!</v>
      </c>
      <c r="D255" s="786" t="e">
        <f>INDEX($N$219:$N$249,MATCH(ROUNDDOWN(D213/5000,0)*5000+4999, $L$219:$L$249,0), 0)</f>
        <v>#VALUE!</v>
      </c>
      <c r="E255" s="515" t="e">
        <f>MROUND((D213-ROUNDDOWN(D213/5000,0)*5000)/((ROUNDDOWN(D213/5000,0)*5000+5000) - (ROUNDDOWN(D213/5000,0)*5000)) * (D255-C255) + C255,5) / $N$218</f>
        <v>#VALUE!</v>
      </c>
      <c r="G255" s="854" t="s">
        <v>1113</v>
      </c>
      <c r="H255" s="857" t="e">
        <f>INDEX($O$219:$O$249,MATCH(ROUNDDOWN(E213/5000,0)*5000-1, $L$219:$L$249,0), 0)</f>
        <v>#VALUE!</v>
      </c>
      <c r="I255" s="786" t="e">
        <f>INDEX($O$219:$O$249,MATCH(ROUNDDOWN(E213/5000,0)*5000+4999, $L$219:$L$249,0), 0)</f>
        <v>#VALUE!</v>
      </c>
      <c r="J255" s="515" t="e">
        <f>MROUND((E213-ROUNDDOWN(E213/5000,0)*5000)/((ROUNDDOWN(E213/5000,0)*5000+5000) - (ROUNDDOWN(E213/5000,0)*5000)) * (I255-H255) + H255,5) / $O$218</f>
        <v>#VALUE!</v>
      </c>
      <c r="L255" s="854" t="s">
        <v>1113</v>
      </c>
      <c r="M255" s="857" t="e">
        <f>INDEX($P$219:$P$249,MATCH(ROUNDDOWN(F213/5000,0)*5000-1, $L$219:$L$249,0), 0)</f>
        <v>#VALUE!</v>
      </c>
      <c r="N255" s="786" t="e">
        <f>INDEX($P$219:$P$249,MATCH(ROUNDDOWN(F213/5000,0)*5000+4999, $L$219:$L$249,0), 0)</f>
        <v>#VALUE!</v>
      </c>
      <c r="O255" s="515" t="e">
        <f>MROUND((F213-ROUNDDOWN(F213/5000,0)*5000)/((ROUNDDOWN(F213/5000,0)*5000+5000) - (ROUNDDOWN(F213/5000,0)*5000)) * (N255-M255) + M255,5)/$P$218</f>
        <v>#VALUE!</v>
      </c>
    </row>
    <row r="256" spans="2:18" ht="20.100000000000001" customHeight="1" x14ac:dyDescent="0.2"/>
    <row r="257" spans="1:18" ht="20.100000000000001" customHeight="1" x14ac:dyDescent="0.2">
      <c r="B257" s="1240" t="s">
        <v>1117</v>
      </c>
      <c r="C257" s="1240"/>
      <c r="D257" s="1240"/>
      <c r="E257" s="1240"/>
      <c r="G257" s="1240" t="s">
        <v>1118</v>
      </c>
      <c r="H257" s="1240"/>
      <c r="I257" s="1240"/>
      <c r="J257" s="1240"/>
    </row>
    <row r="258" spans="1:18" ht="20.100000000000001" customHeight="1" x14ac:dyDescent="0.2"/>
    <row r="259" spans="1:18" ht="20.100000000000001" customHeight="1" x14ac:dyDescent="0.2">
      <c r="B259" s="483" t="s">
        <v>478</v>
      </c>
      <c r="C259" s="128" t="s">
        <v>8</v>
      </c>
      <c r="D259" s="117" t="s">
        <v>9</v>
      </c>
      <c r="E259" s="302" t="s">
        <v>940</v>
      </c>
      <c r="G259" s="483" t="s">
        <v>478</v>
      </c>
      <c r="H259" s="128" t="s">
        <v>8</v>
      </c>
      <c r="I259" s="117" t="s">
        <v>9</v>
      </c>
      <c r="J259" s="302" t="s">
        <v>940</v>
      </c>
    </row>
    <row r="260" spans="1:18" ht="20.100000000000001" customHeight="1" x14ac:dyDescent="0.2">
      <c r="B260" s="853" t="s">
        <v>1112</v>
      </c>
      <c r="C260" s="858" t="e">
        <f>INDEX($Q$219:$Q$249,MATCH(ROUNDDOWN(G212/5000,0)*5000-1, $L$219:$L$249,0), 0)</f>
        <v>#VALUE!</v>
      </c>
      <c r="D260" s="743" t="e">
        <f>INDEX($Q$219:$Q$249,MATCH(ROUNDDOWN(G212/5000,0)*5000+4999, $L$219:$L$249,0), 0)</f>
        <v>#VALUE!</v>
      </c>
      <c r="E260" s="510" t="e">
        <f>MROUND((G212-ROUNDDOWN(G212/5000,0)*5000)/((ROUNDDOWN(G212/5000,0)*5000+5000) - (ROUNDDOWN(G212/5000,0)*5000)) * (D260-C260) + C260,5)/$Q$218</f>
        <v>#VALUE!</v>
      </c>
      <c r="G260" s="853" t="s">
        <v>1112</v>
      </c>
      <c r="H260" s="858" t="e">
        <f>INDEX($R$219:$R$249,MATCH(ROUNDDOWN(H212/5000,0)*5000-1, $L$219:$L$249,0), 0)</f>
        <v>#VALUE!</v>
      </c>
      <c r="I260" s="743" t="e">
        <f>INDEX($R$219:$R$249,MATCH(ROUNDDOWN(H212/5000,0)*5000+4999, $L$219:$L$249,0), 0)</f>
        <v>#VALUE!</v>
      </c>
      <c r="J260" s="510" t="e">
        <f>MROUND((H212-ROUNDDOWN(H212/5000,0)*5000)/((ROUNDDOWN(H212/5000,0)*5000+5000) - (ROUNDDOWN(H212/5000,0)*5000)) * (I260-H260) + H260,5)/$R$218</f>
        <v>#VALUE!</v>
      </c>
    </row>
    <row r="261" spans="1:18" ht="20.100000000000001" customHeight="1" x14ac:dyDescent="0.2">
      <c r="B261" s="854" t="s">
        <v>1113</v>
      </c>
      <c r="C261" s="857" t="e">
        <f>INDEX($Q$219:$Q$249,MATCH(ROUNDDOWN(G213/5000,0)*5000-1, $L$219:$L$249,0), 0)</f>
        <v>#VALUE!</v>
      </c>
      <c r="D261" s="786" t="e">
        <f>INDEX($Q$219:$Q$249,MATCH(ROUNDDOWN(G213/5000,0)*5000+4999, $L$219:$L$249,0), 0)</f>
        <v>#VALUE!</v>
      </c>
      <c r="E261" s="515" t="e">
        <f>MROUND((G213-ROUNDDOWN(G213/5000,0)*5000)/((ROUNDDOWN(G213/5000,0)*5000+5000) - (ROUNDDOWN(G213/5000,0)*5000)) * (D261-C261) + C261,5)/$Q$218</f>
        <v>#VALUE!</v>
      </c>
      <c r="G261" s="854" t="s">
        <v>1113</v>
      </c>
      <c r="H261" s="857" t="e">
        <f>INDEX($R$219:$R$249,MATCH(ROUNDDOWN(H213/5000,0)*5000-1, $L$219:$L$249,0), 0)</f>
        <v>#VALUE!</v>
      </c>
      <c r="I261" s="786" t="e">
        <f>INDEX($R$219:$R$249,MATCH(ROUNDDOWN(H213/5000,0)*5000+4999, $L$219:$L$249,0), 0)</f>
        <v>#VALUE!</v>
      </c>
      <c r="J261" s="515" t="e">
        <f>MROUND((H213-ROUNDDOWN(H213/5000,0)*5000)/((ROUNDDOWN(H213/5000,0)*5000+5000) - (ROUNDDOWN(H213/5000,0)*5000)) * (I261-H261) + H261,5)/$R$218</f>
        <v>#VALUE!</v>
      </c>
    </row>
    <row r="262" spans="1:18" ht="20.100000000000001" customHeight="1" x14ac:dyDescent="0.2"/>
    <row r="263" spans="1:18" ht="30" customHeight="1" x14ac:dyDescent="0.2">
      <c r="A263" s="560"/>
      <c r="B263" s="175" t="s">
        <v>1217</v>
      </c>
      <c r="C263" s="310"/>
      <c r="D263" s="310"/>
      <c r="E263" s="310"/>
      <c r="F263" s="310"/>
      <c r="G263" s="310"/>
      <c r="H263" s="310"/>
      <c r="I263" s="310"/>
      <c r="J263" s="310"/>
      <c r="K263" s="310"/>
      <c r="L263" s="310"/>
      <c r="M263" s="310"/>
      <c r="N263" s="310"/>
      <c r="O263" s="310"/>
      <c r="P263" s="310"/>
      <c r="Q263" s="310"/>
      <c r="R263" s="310"/>
    </row>
    <row r="264" spans="1:18" ht="20.100000000000001" customHeight="1" x14ac:dyDescent="0.2"/>
    <row r="265" spans="1:18" ht="20.100000000000001" customHeight="1" x14ac:dyDescent="0.2">
      <c r="B265" s="1258" t="s">
        <v>1218</v>
      </c>
      <c r="C265" s="1258"/>
      <c r="D265" s="1258"/>
      <c r="E265" s="1258"/>
      <c r="F265" s="1258"/>
      <c r="G265" s="1258"/>
      <c r="I265" s="1258" t="s">
        <v>1218</v>
      </c>
      <c r="J265" s="1258"/>
      <c r="K265" s="1258"/>
      <c r="L265" s="1258"/>
      <c r="M265" s="1258"/>
      <c r="N265" s="1258"/>
      <c r="O265" s="1258"/>
    </row>
    <row r="266" spans="1:18" ht="20.100000000000001" customHeight="1" x14ac:dyDescent="0.2"/>
    <row r="267" spans="1:18" ht="20.100000000000001" customHeight="1" x14ac:dyDescent="0.2">
      <c r="B267" s="68" t="s">
        <v>478</v>
      </c>
      <c r="C267" s="130" t="s">
        <v>1119</v>
      </c>
      <c r="D267" s="246" t="s">
        <v>1120</v>
      </c>
      <c r="E267" s="246" t="s">
        <v>1121</v>
      </c>
      <c r="F267" s="246" t="s">
        <v>1122</v>
      </c>
      <c r="G267" s="317" t="s">
        <v>87</v>
      </c>
      <c r="I267" s="376" t="s">
        <v>649</v>
      </c>
      <c r="J267" s="802" t="s">
        <v>6</v>
      </c>
      <c r="K267" s="78" t="s">
        <v>1119</v>
      </c>
      <c r="L267" s="326" t="s">
        <v>1120</v>
      </c>
      <c r="M267" s="326" t="s">
        <v>1121</v>
      </c>
      <c r="N267" s="326" t="s">
        <v>1122</v>
      </c>
      <c r="O267" s="272" t="s">
        <v>87</v>
      </c>
    </row>
    <row r="268" spans="1:18" ht="20.100000000000001" customHeight="1" x14ac:dyDescent="0.2">
      <c r="B268" s="69" t="s">
        <v>1160</v>
      </c>
      <c r="C268" s="794" t="str">
        <f t="array" ref="C268:G269">D212:H213</f>
        <v>x</v>
      </c>
      <c r="D268" s="795" t="str">
        <v>x</v>
      </c>
      <c r="E268" s="795" t="str">
        <v>x</v>
      </c>
      <c r="F268" s="795" t="str">
        <v>x</v>
      </c>
      <c r="G268" s="796" t="str">
        <v>x</v>
      </c>
      <c r="I268" s="97" t="s">
        <v>409</v>
      </c>
      <c r="J268" s="803" t="str">
        <f>IFERROR(hh!D11,"x")</f>
        <v>x</v>
      </c>
      <c r="K268" s="86" t="str">
        <f t="array" ref="K268:O268">IFERROR(TRANSPOSE(hh!D25:D29),"x")</f>
        <v>x</v>
      </c>
      <c r="L268" s="38" t="str">
        <v>x</v>
      </c>
      <c r="M268" s="38" t="str">
        <v>x</v>
      </c>
      <c r="N268" s="38" t="str">
        <v>x</v>
      </c>
      <c r="O268" s="338" t="str">
        <v>x</v>
      </c>
    </row>
    <row r="269" spans="1:18" ht="20.100000000000001" customHeight="1" x14ac:dyDescent="0.2">
      <c r="B269" s="800" t="s">
        <v>1159</v>
      </c>
      <c r="C269" s="841" t="str">
        <v>x</v>
      </c>
      <c r="D269" s="842" t="str">
        <v>x</v>
      </c>
      <c r="E269" s="842" t="str">
        <v>x</v>
      </c>
      <c r="F269" s="842" t="str">
        <v>x</v>
      </c>
      <c r="G269" s="843" t="str">
        <v>x</v>
      </c>
      <c r="I269" s="804" t="s">
        <v>1161</v>
      </c>
      <c r="J269" s="805">
        <f>SUM(K269:O269)</f>
        <v>0</v>
      </c>
      <c r="K269" s="806" t="str">
        <f t="array" ref="K269">IFERROR(MROUND(E254*K$268,5),"x")</f>
        <v>x</v>
      </c>
      <c r="L269" s="807" t="str">
        <f>IFERROR(MROUND(J254*L$268,5),"x")</f>
        <v>x</v>
      </c>
      <c r="M269" s="807" t="str">
        <f>IFERROR(MROUND(O254*M$268,5),"x")</f>
        <v>x</v>
      </c>
      <c r="N269" s="807" t="str">
        <f>IFERROR(MROUND(E260*N$268,5),"x")</f>
        <v>x</v>
      </c>
      <c r="O269" s="808" t="str">
        <f>IFERROR(MROUND(J260*O$268,5),"x")</f>
        <v>x</v>
      </c>
    </row>
    <row r="270" spans="1:18" ht="20.100000000000001" customHeight="1" x14ac:dyDescent="0.2">
      <c r="I270" s="809" t="s">
        <v>1162</v>
      </c>
      <c r="J270" s="810">
        <f>SUM(K270:O270)</f>
        <v>0</v>
      </c>
      <c r="K270" s="811" t="str">
        <f t="array" ref="K270">IFERROR(MROUND(E255*K$268,5),"x")</f>
        <v>x</v>
      </c>
      <c r="L270" s="812" t="str">
        <f>IFERROR(MROUND(J255*L$268,5),"x")</f>
        <v>x</v>
      </c>
      <c r="M270" s="812" t="str">
        <f>IFERROR(MROUND(O255*M$268,5),"x")</f>
        <v>x</v>
      </c>
      <c r="N270" s="812" t="str">
        <f>IFERROR(MROUND(E261*N$268,5),"x")</f>
        <v>x</v>
      </c>
      <c r="O270" s="813" t="str">
        <f>IFERROR(MROUND(J261*O$268,5),"x")</f>
        <v>x</v>
      </c>
    </row>
    <row r="271" spans="1:18" ht="20.100000000000001" customHeight="1" x14ac:dyDescent="0.2">
      <c r="I271" s="814" t="s">
        <v>1163</v>
      </c>
      <c r="J271" s="815">
        <f t="shared" ref="J271" si="15">J270-J269</f>
        <v>0</v>
      </c>
      <c r="K271" s="816" t="str">
        <f>IFERROR(K270-K269,"x")</f>
        <v>x</v>
      </c>
      <c r="L271" s="817" t="str">
        <f t="shared" ref="L271:O271" si="16">IFERROR(L270-L269,"x")</f>
        <v>x</v>
      </c>
      <c r="M271" s="817" t="str">
        <f t="shared" si="16"/>
        <v>x</v>
      </c>
      <c r="N271" s="817" t="str">
        <f t="shared" si="16"/>
        <v>x</v>
      </c>
      <c r="O271" s="818" t="str">
        <f t="shared" si="16"/>
        <v>x</v>
      </c>
    </row>
    <row r="272" spans="1:18" ht="20.100000000000001" customHeight="1" x14ac:dyDescent="0.2">
      <c r="I272" s="789" t="s">
        <v>319</v>
      </c>
      <c r="J272" s="732" t="str">
        <f>IFERROR(J271/J268,"x")</f>
        <v>x</v>
      </c>
      <c r="K272" s="733" t="str">
        <f t="shared" ref="K272:O272" si="17">IFERROR(K271/K268,"x")</f>
        <v>x</v>
      </c>
      <c r="L272" s="734" t="str">
        <f t="shared" si="17"/>
        <v>x</v>
      </c>
      <c r="M272" s="734" t="str">
        <f t="shared" si="17"/>
        <v>x</v>
      </c>
      <c r="N272" s="734" t="str">
        <f t="shared" si="17"/>
        <v>x</v>
      </c>
      <c r="O272" s="195" t="str">
        <f t="shared" si="17"/>
        <v>x</v>
      </c>
    </row>
    <row r="273" spans="2:15" ht="20.100000000000001" customHeight="1" x14ac:dyDescent="0.2">
      <c r="I273" s="1"/>
    </row>
    <row r="274" spans="2:15" ht="20.100000000000001" customHeight="1" x14ac:dyDescent="0.2">
      <c r="I274" s="1"/>
      <c r="J274" s="1"/>
      <c r="K274" s="1"/>
      <c r="L274" s="1"/>
      <c r="M274" s="1"/>
      <c r="N274" s="1"/>
      <c r="O274" s="1"/>
    </row>
    <row r="275" spans="2:15" ht="20.100000000000001" customHeight="1" x14ac:dyDescent="0.2">
      <c r="I275" s="1"/>
      <c r="J275" s="1"/>
      <c r="K275" s="1"/>
      <c r="L275" s="1"/>
      <c r="M275" s="1"/>
      <c r="N275" s="1"/>
      <c r="O275" s="1"/>
    </row>
    <row r="276" spans="2:15" ht="20.100000000000001" customHeight="1" x14ac:dyDescent="0.2">
      <c r="I276" s="1"/>
      <c r="J276" s="1"/>
      <c r="K276" s="1"/>
      <c r="L276" s="1"/>
      <c r="M276" s="1"/>
      <c r="N276" s="1"/>
      <c r="O276" s="1"/>
    </row>
    <row r="277" spans="2:15" ht="20.100000000000001" customHeight="1" x14ac:dyDescent="0.2">
      <c r="I277" s="1"/>
      <c r="J277" s="1"/>
      <c r="K277" s="1"/>
      <c r="L277" s="1"/>
      <c r="M277" s="1"/>
      <c r="N277" s="1"/>
      <c r="O277" s="1"/>
    </row>
    <row r="278" spans="2:15" ht="20.100000000000001" customHeight="1" x14ac:dyDescent="0.2">
      <c r="I278" s="1"/>
      <c r="J278" s="1"/>
      <c r="K278" s="1"/>
      <c r="L278" s="1"/>
      <c r="M278" s="1"/>
      <c r="N278" s="1"/>
      <c r="O278" s="1"/>
    </row>
    <row r="279" spans="2:15" ht="20.100000000000001" customHeight="1" x14ac:dyDescent="0.2">
      <c r="B279" s="788"/>
      <c r="C279" s="801"/>
      <c r="D279" s="801"/>
      <c r="E279" s="801"/>
      <c r="F279" s="801"/>
      <c r="G279" s="801"/>
      <c r="H279" s="801"/>
      <c r="I279" s="1"/>
    </row>
    <row r="280" spans="2:15" ht="20.100000000000001" customHeight="1" x14ac:dyDescent="0.2">
      <c r="B280" s="1"/>
      <c r="C280" s="186"/>
      <c r="D280" s="186"/>
      <c r="E280" s="186"/>
      <c r="F280" s="186"/>
      <c r="G280" s="186"/>
      <c r="H280" s="186"/>
      <c r="I280" s="1"/>
    </row>
  </sheetData>
  <mergeCells count="47">
    <mergeCell ref="B61:K61"/>
    <mergeCell ref="B71:K71"/>
    <mergeCell ref="B265:G265"/>
    <mergeCell ref="G251:J251"/>
    <mergeCell ref="L251:O251"/>
    <mergeCell ref="B257:E257"/>
    <mergeCell ref="G257:J257"/>
    <mergeCell ref="I265:O265"/>
    <mergeCell ref="B197:AA197"/>
    <mergeCell ref="B93:H93"/>
    <mergeCell ref="B116:I116"/>
    <mergeCell ref="K116:R116"/>
    <mergeCell ref="F118:G118"/>
    <mergeCell ref="H118:I118"/>
    <mergeCell ref="D118:E118"/>
    <mergeCell ref="H28:L28"/>
    <mergeCell ref="B215:I215"/>
    <mergeCell ref="K215:R215"/>
    <mergeCell ref="B251:E251"/>
    <mergeCell ref="M118:N118"/>
    <mergeCell ref="O118:P118"/>
    <mergeCell ref="Q118:R118"/>
    <mergeCell ref="C184:D184"/>
    <mergeCell ref="E184:F184"/>
    <mergeCell ref="G184:H184"/>
    <mergeCell ref="D165:E165"/>
    <mergeCell ref="F165:G165"/>
    <mergeCell ref="H165:I165"/>
    <mergeCell ref="B182:H182"/>
    <mergeCell ref="B209:H209"/>
    <mergeCell ref="B139:E139"/>
    <mergeCell ref="B37:E37"/>
    <mergeCell ref="B163:I163"/>
    <mergeCell ref="B8:F8"/>
    <mergeCell ref="H8:L8"/>
    <mergeCell ref="B18:F18"/>
    <mergeCell ref="H18:L18"/>
    <mergeCell ref="H97:H98"/>
    <mergeCell ref="C96:C98"/>
    <mergeCell ref="D95:H95"/>
    <mergeCell ref="F97:F98"/>
    <mergeCell ref="G97:G98"/>
    <mergeCell ref="D97:D98"/>
    <mergeCell ref="E97:E98"/>
    <mergeCell ref="B28:F28"/>
    <mergeCell ref="H81:K81"/>
    <mergeCell ref="B81:F81"/>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A1:R391"/>
  <sheetViews>
    <sheetView zoomScale="89" zoomScaleNormal="85" workbookViewId="0">
      <pane ySplit="2" topLeftCell="A3" activePane="bottomLeft" state="frozen"/>
      <selection pane="bottomLeft" activeCell="A3" sqref="A3"/>
    </sheetView>
  </sheetViews>
  <sheetFormatPr defaultColWidth="11" defaultRowHeight="14.25" x14ac:dyDescent="0.2"/>
  <sheetData>
    <row r="1" spans="1:16" ht="20.100000000000001" customHeight="1" x14ac:dyDescent="0.2">
      <c r="A1" s="2" t="s">
        <v>181</v>
      </c>
      <c r="B1" s="2" t="s">
        <v>182</v>
      </c>
      <c r="C1" s="2" t="s">
        <v>183</v>
      </c>
    </row>
    <row r="2" spans="1:16" ht="20.100000000000001" customHeight="1" x14ac:dyDescent="0.2">
      <c r="A2" s="2">
        <f>df_geo!A2</f>
        <v>1000000</v>
      </c>
      <c r="B2" s="99">
        <f>_xlfn.NUMBERVALUE(LEFT(A2,4))</f>
        <v>1000</v>
      </c>
      <c r="C2" s="2">
        <f>_xlfn.NUMBERVALUE(LEFT(B2,2))</f>
        <v>10</v>
      </c>
    </row>
    <row r="4" spans="1:16" ht="50.1" customHeight="1" x14ac:dyDescent="0.2">
      <c r="B4" s="159" t="s">
        <v>1234</v>
      </c>
      <c r="C4" s="59"/>
      <c r="D4" s="59"/>
      <c r="E4" s="59"/>
      <c r="F4" s="59"/>
      <c r="G4" s="59"/>
      <c r="H4" s="59"/>
      <c r="I4" s="59"/>
      <c r="J4" s="59"/>
      <c r="K4" s="59"/>
      <c r="L4" s="59"/>
      <c r="M4" s="59"/>
      <c r="N4" s="59"/>
      <c r="O4" s="59"/>
      <c r="P4" s="59"/>
    </row>
    <row r="6" spans="1:16" ht="30" customHeight="1" x14ac:dyDescent="0.2">
      <c r="A6" s="560"/>
      <c r="B6" s="175" t="s">
        <v>1216</v>
      </c>
      <c r="C6" s="310"/>
      <c r="D6" s="310"/>
      <c r="E6" s="310"/>
      <c r="F6" s="310"/>
      <c r="G6" s="310"/>
      <c r="H6" s="310"/>
      <c r="I6" s="310"/>
      <c r="J6" s="310"/>
      <c r="K6" s="310"/>
      <c r="L6" s="310"/>
      <c r="M6" s="310"/>
      <c r="N6" s="310"/>
      <c r="O6" s="310"/>
      <c r="P6" s="310"/>
    </row>
    <row r="8" spans="1:16" ht="20.100000000000001" customHeight="1" x14ac:dyDescent="0.2">
      <c r="B8" s="1240" t="s">
        <v>1235</v>
      </c>
      <c r="C8" s="1240"/>
      <c r="D8" s="1240"/>
      <c r="E8" s="1240"/>
      <c r="F8" s="1240"/>
      <c r="G8" s="1240"/>
      <c r="H8" s="1240"/>
      <c r="J8" s="1240" t="s">
        <v>1236</v>
      </c>
      <c r="K8" s="1240"/>
      <c r="L8" s="1240"/>
      <c r="M8" s="1240"/>
      <c r="N8" s="1240"/>
      <c r="O8" s="1240"/>
      <c r="P8" s="1240"/>
    </row>
    <row r="9" spans="1:16" ht="20.100000000000001" customHeight="1" x14ac:dyDescent="0.2">
      <c r="J9" s="299"/>
    </row>
    <row r="10" spans="1:16" ht="20.100000000000001" customHeight="1" x14ac:dyDescent="0.2">
      <c r="B10" s="487"/>
      <c r="C10" s="206">
        <v>2018</v>
      </c>
      <c r="D10" s="563">
        <v>2019</v>
      </c>
      <c r="E10" s="563">
        <v>2020</v>
      </c>
      <c r="F10" s="563">
        <v>2021</v>
      </c>
      <c r="G10" s="563">
        <v>2022</v>
      </c>
      <c r="H10" s="562">
        <v>2023</v>
      </c>
      <c r="J10" s="487"/>
      <c r="K10" s="206">
        <v>2018</v>
      </c>
      <c r="L10" s="563">
        <v>2019</v>
      </c>
      <c r="M10" s="563">
        <v>2020</v>
      </c>
      <c r="N10" s="563">
        <v>2021</v>
      </c>
      <c r="O10" s="563">
        <v>2022</v>
      </c>
      <c r="P10" s="562">
        <v>2023</v>
      </c>
    </row>
    <row r="11" spans="1:16" ht="20.100000000000001" customHeight="1" x14ac:dyDescent="0.2">
      <c r="B11" s="918" t="s">
        <v>77</v>
      </c>
      <c r="C11" s="557">
        <f t="array" ref="C11">IFERROR(INDEX(df_permits!$D$2:$I$100, MATCH(1, ($A$2 = df_permits!$B$2:$B$100) * (df_permits!$C$2:$C$100 = $B11), 0), MATCH(TEXT(C$10,"##"), df_permits!$D$1:$I$1,0)),0)</f>
        <v>0</v>
      </c>
      <c r="D11" s="555">
        <f t="array" ref="D11">IFERROR(INDEX(df_permits!$D$2:$I$100, MATCH(1, ($A$2 = df_permits!$B$2:$B$100) * (df_permits!$C$2:$C$100 = $B11), 0), MATCH(TEXT(D$10,"##"), df_permits!$D$1:$I$1,0)),0)</f>
        <v>0</v>
      </c>
      <c r="E11" s="555">
        <f t="array" ref="E11">IFERROR(INDEX(df_permits!$D$2:$I$100, MATCH(1, ($A$2 = df_permits!$B$2:$B$100) * (df_permits!$C$2:$C$100 = $B11), 0), MATCH(TEXT(E$10,"##"), df_permits!$D$1:$I$1,0)),0)</f>
        <v>0</v>
      </c>
      <c r="F11" s="555">
        <f t="array" ref="F11">IFERROR(INDEX(df_permits!$D$2:$I$100, MATCH(1, ($A$2 = df_permits!$B$2:$B$100) * (df_permits!$C$2:$C$100 = $B11), 0), MATCH(TEXT(F$10,"##"), df_permits!$D$1:$I$1,0)),0)</f>
        <v>0</v>
      </c>
      <c r="G11" s="555">
        <f t="array" ref="G11">IFERROR(INDEX(df_permits!$D$2:$I$100, MATCH(1, ($A$2 = df_permits!$B$2:$B$100) * (df_permits!$C$2:$C$100 = $B11), 0), MATCH(TEXT(G$10,"##"), df_permits!$D$1:$I$1,0)),0)</f>
        <v>0</v>
      </c>
      <c r="H11" s="556">
        <f t="array" ref="H11">IFERROR(INDEX(df_permits!$D$2:$I$100, MATCH(1, ($A$2 = df_permits!$B$2:$B$100) * (df_permits!$C$2:$C$100 = $B11), 0), MATCH(TEXT(H$10,"##"), df_permits!$D$1:$I$1,0)),0)</f>
        <v>0</v>
      </c>
      <c r="J11" s="918" t="s">
        <v>187</v>
      </c>
      <c r="K11" s="557">
        <f t="shared" ref="K11:P11" si="0">C17</f>
        <v>0</v>
      </c>
      <c r="L11" s="555">
        <f t="shared" si="0"/>
        <v>0</v>
      </c>
      <c r="M11" s="555">
        <f t="shared" si="0"/>
        <v>0</v>
      </c>
      <c r="N11" s="555">
        <f t="shared" si="0"/>
        <v>0</v>
      </c>
      <c r="O11" s="555">
        <f t="shared" si="0"/>
        <v>0</v>
      </c>
      <c r="P11" s="556">
        <f t="shared" si="0"/>
        <v>0</v>
      </c>
    </row>
    <row r="12" spans="1:16" ht="20.100000000000001" customHeight="1" x14ac:dyDescent="0.2">
      <c r="B12" s="918" t="s">
        <v>330</v>
      </c>
      <c r="C12" s="558">
        <f t="array" ref="C12">IFERROR(INDEX(df_permits!$D$2:$I$100, MATCH(1, ($A$2 = df_permits!$B$2:$B$100) * (df_permits!$C$2:$C$100 = $B12), 0), MATCH(TEXT(C$10,"##"), df_permits!$D$1:$I$1,0)),0)</f>
        <v>0</v>
      </c>
      <c r="D12" s="239">
        <f t="array" ref="D12">IFERROR(INDEX(df_permits!$D$2:$I$100, MATCH(1, ($A$2 = df_permits!$B$2:$B$100) * (df_permits!$C$2:$C$100 = $B12), 0), MATCH(TEXT(D$10,"##"), df_permits!$D$1:$I$1,0)),0)</f>
        <v>0</v>
      </c>
      <c r="E12" s="239">
        <f t="array" ref="E12">IFERROR(INDEX(df_permits!$D$2:$I$100, MATCH(1, ($A$2 = df_permits!$B$2:$B$100) * (df_permits!$C$2:$C$100 = $B12), 0), MATCH(TEXT(E$10,"##"), df_permits!$D$1:$I$1,0)),0)</f>
        <v>0</v>
      </c>
      <c r="F12" s="239">
        <f t="array" ref="F12">IFERROR(INDEX(df_permits!$D$2:$I$100, MATCH(1, ($A$2 = df_permits!$B$2:$B$100) * (df_permits!$C$2:$C$100 = $B12), 0), MATCH(TEXT(F$10,"##"), df_permits!$D$1:$I$1,0)),0)</f>
        <v>0</v>
      </c>
      <c r="G12" s="239">
        <f t="array" ref="G12">IFERROR(INDEX(df_permits!$D$2:$I$100, MATCH(1, ($A$2 = df_permits!$B$2:$B$100) * (df_permits!$C$2:$C$100 = $B12), 0), MATCH(TEXT(G$10,"##"), df_permits!$D$1:$I$1,0)),0)</f>
        <v>0</v>
      </c>
      <c r="H12" s="552">
        <f t="array" ref="H12">IFERROR(INDEX(df_permits!$D$2:$I$100, MATCH(1, ($A$2 = df_permits!$B$2:$B$100) * (df_permits!$C$2:$C$100 = $B12), 0), MATCH(TEXT(H$10,"##"), df_permits!$D$1:$I$1,0)),0)</f>
        <v>0</v>
      </c>
      <c r="J12" s="854" t="s">
        <v>189</v>
      </c>
      <c r="K12" s="559">
        <f>SUMIFS(df_permits!D$2:D$100, df_permits!$B$2:$B$100, "="&amp;$C$2)</f>
        <v>0</v>
      </c>
      <c r="L12" s="553">
        <f>SUMIFS(df_permits!E$2:E$100, df_permits!$B$2:$B$100, "="&amp;$C$2)</f>
        <v>0</v>
      </c>
      <c r="M12" s="553">
        <f>SUMIFS(df_permits!F$2:F$100, df_permits!$B$2:$B$100, "="&amp;$C$2)</f>
        <v>0</v>
      </c>
      <c r="N12" s="553">
        <f>SUMIFS(df_permits!G$2:G$100, df_permits!$B$2:$B$100, "="&amp;$C$2)</f>
        <v>0</v>
      </c>
      <c r="O12" s="553">
        <f>SUMIFS(df_permits!H$2:H$100, df_permits!$B$2:$B$100, "="&amp;$C$2)</f>
        <v>0</v>
      </c>
      <c r="P12" s="554">
        <f>SUMIFS(df_permits!I$2:I$100, df_permits!$B$2:$B$100, "="&amp;$C$2)</f>
        <v>0</v>
      </c>
    </row>
    <row r="13" spans="1:16" ht="20.100000000000001" customHeight="1" x14ac:dyDescent="0.2">
      <c r="B13" s="918" t="s">
        <v>1360</v>
      </c>
      <c r="C13" s="558">
        <f t="array" ref="C13">IFERROR(INDEX(df_permits!$D$2:$I$100, MATCH(1, ($A$2 = df_permits!$B$2:$B$100) * (df_permits!$C$2:$C$100 = $B13), 0), MATCH(TEXT(C$10,"##"), df_permits!$D$1:$I$1,0)),0)</f>
        <v>0</v>
      </c>
      <c r="D13" s="239">
        <f t="array" ref="D13">IFERROR(INDEX(df_permits!$D$2:$I$100, MATCH(1, ($A$2 = df_permits!$B$2:$B$100) * (df_permits!$C$2:$C$100 = $B13), 0), MATCH(TEXT(D$10,"##"), df_permits!$D$1:$I$1,0)),0)</f>
        <v>0</v>
      </c>
      <c r="E13" s="239">
        <f t="array" ref="E13">IFERROR(INDEX(df_permits!$D$2:$I$100, MATCH(1, ($A$2 = df_permits!$B$2:$B$100) * (df_permits!$C$2:$C$100 = $B13), 0), MATCH(TEXT(E$10,"##"), df_permits!$D$1:$I$1,0)),0)</f>
        <v>0</v>
      </c>
      <c r="F13" s="239">
        <f t="array" ref="F13">IFERROR(INDEX(df_permits!$D$2:$I$100, MATCH(1, ($A$2 = df_permits!$B$2:$B$100) * (df_permits!$C$2:$C$100 = $B13), 0), MATCH(TEXT(F$10,"##"), df_permits!$D$1:$I$1,0)),0)</f>
        <v>0</v>
      </c>
      <c r="G13" s="239">
        <f t="array" ref="G13">IFERROR(INDEX(df_permits!$D$2:$I$100, MATCH(1, ($A$2 = df_permits!$B$2:$B$100) * (df_permits!$C$2:$C$100 = $B13), 0), MATCH(TEXT(G$10,"##"), df_permits!$D$1:$I$1,0)),0)</f>
        <v>0</v>
      </c>
      <c r="H13" s="552">
        <f t="array" ref="H13">IFERROR(INDEX(df_permits!$D$2:$I$100, MATCH(1, ($A$2 = df_permits!$B$2:$B$100) * (df_permits!$C$2:$C$100 = $B13), 0), MATCH(TEXT(H$10,"##"), df_permits!$D$1:$I$1,0)),0)</f>
        <v>0</v>
      </c>
      <c r="J13" s="1"/>
      <c r="K13" s="239"/>
      <c r="L13" s="239"/>
      <c r="M13" s="239"/>
      <c r="N13" s="239"/>
      <c r="O13" s="239"/>
      <c r="P13" s="239"/>
    </row>
    <row r="14" spans="1:16" ht="20.100000000000001" customHeight="1" x14ac:dyDescent="0.2">
      <c r="B14" s="918" t="s">
        <v>331</v>
      </c>
      <c r="C14" s="558">
        <f t="array" ref="C14">IFERROR(INDEX(df_permits!$D$2:$I$100, MATCH(1, ($A$2 = df_permits!$B$2:$B$100) * (df_permits!$C$2:$C$100 = $B14), 0), MATCH(TEXT(C$10,"##"), df_permits!$D$1:$I$1,0)),0)</f>
        <v>0</v>
      </c>
      <c r="D14" s="239">
        <f t="array" ref="D14">IFERROR(INDEX(df_permits!$D$2:$I$100, MATCH(1, ($A$2 = df_permits!$B$2:$B$100) * (df_permits!$C$2:$C$100 = $B14), 0), MATCH(TEXT(D$10,"##"), df_permits!$D$1:$I$1,0)),0)</f>
        <v>0</v>
      </c>
      <c r="E14" s="239">
        <f t="array" ref="E14">IFERROR(INDEX(df_permits!$D$2:$I$100, MATCH(1, ($A$2 = df_permits!$B$2:$B$100) * (df_permits!$C$2:$C$100 = $B14), 0), MATCH(TEXT(E$10,"##"), df_permits!$D$1:$I$1,0)),0)</f>
        <v>0</v>
      </c>
      <c r="F14" s="239">
        <f t="array" ref="F14">IFERROR(INDEX(df_permits!$D$2:$I$100, MATCH(1, ($A$2 = df_permits!$B$2:$B$100) * (df_permits!$C$2:$C$100 = $B14), 0), MATCH(TEXT(F$10,"##"), df_permits!$D$1:$I$1,0)),0)</f>
        <v>0</v>
      </c>
      <c r="G14" s="239">
        <f t="array" ref="G14">IFERROR(INDEX(df_permits!$D$2:$I$100, MATCH(1, ($A$2 = df_permits!$B$2:$B$100) * (df_permits!$C$2:$C$100 = $B14), 0), MATCH(TEXT(G$10,"##"), df_permits!$D$1:$I$1,0)),0)</f>
        <v>0</v>
      </c>
      <c r="H14" s="552">
        <f t="array" ref="H14">IFERROR(INDEX(df_permits!$D$2:$I$100, MATCH(1, ($A$2 = df_permits!$B$2:$B$100) * (df_permits!$C$2:$C$100 = $B14), 0), MATCH(TEXT(H$10,"##"), df_permits!$D$1:$I$1,0)),0)</f>
        <v>0</v>
      </c>
      <c r="J14" s="1240" t="s">
        <v>1237</v>
      </c>
      <c r="K14" s="1240"/>
      <c r="L14" s="1240"/>
      <c r="M14" s="1240"/>
      <c r="N14" s="1240"/>
      <c r="O14" s="1240"/>
      <c r="P14" s="1240"/>
    </row>
    <row r="15" spans="1:16" ht="20.100000000000001" customHeight="1" x14ac:dyDescent="0.2">
      <c r="B15" s="918" t="s">
        <v>332</v>
      </c>
      <c r="C15" s="558">
        <f t="array" ref="C15">IFERROR(INDEX(df_permits!$D$2:$I$100, MATCH(1, ($A$2 = df_permits!$B$2:$B$100) * (df_permits!$C$2:$C$100 = $B15), 0), MATCH(TEXT(C$10,"##"), df_permits!$D$1:$I$1,0)),0)</f>
        <v>0</v>
      </c>
      <c r="D15" s="239">
        <f t="array" ref="D15">IFERROR(INDEX(df_permits!$D$2:$I$100, MATCH(1, ($A$2 = df_permits!$B$2:$B$100) * (df_permits!$C$2:$C$100 = $B15), 0), MATCH(TEXT(D$10,"##"), df_permits!$D$1:$I$1,0)),0)</f>
        <v>0</v>
      </c>
      <c r="E15" s="239">
        <f t="array" ref="E15">IFERROR(INDEX(df_permits!$D$2:$I$100, MATCH(1, ($A$2 = df_permits!$B$2:$B$100) * (df_permits!$C$2:$C$100 = $B15), 0), MATCH(TEXT(E$10,"##"), df_permits!$D$1:$I$1,0)),0)</f>
        <v>0</v>
      </c>
      <c r="F15" s="239">
        <f t="array" ref="F15">IFERROR(INDEX(df_permits!$D$2:$I$100, MATCH(1, ($A$2 = df_permits!$B$2:$B$100) * (df_permits!$C$2:$C$100 = $B15), 0), MATCH(TEXT(F$10,"##"), df_permits!$D$1:$I$1,0)),0)</f>
        <v>0</v>
      </c>
      <c r="G15" s="239">
        <f t="array" ref="G15">IFERROR(INDEX(df_permits!$D$2:$I$100, MATCH(1, ($A$2 = df_permits!$B$2:$B$100) * (df_permits!$C$2:$C$100 = $B15), 0), MATCH(TEXT(G$10,"##"), df_permits!$D$1:$I$1,0)),0)</f>
        <v>0</v>
      </c>
      <c r="H15" s="552">
        <f t="array" ref="H15">IFERROR(INDEX(df_permits!$D$2:$I$100, MATCH(1, ($A$2 = df_permits!$B$2:$B$100) * (df_permits!$C$2:$C$100 = $B15), 0), MATCH(TEXT(H$10,"##"), df_permits!$D$1:$I$1,0)),0)</f>
        <v>0</v>
      </c>
    </row>
    <row r="16" spans="1:16" ht="20.100000000000001" customHeight="1" x14ac:dyDescent="0.2">
      <c r="B16" s="918" t="s">
        <v>76</v>
      </c>
      <c r="C16" s="558">
        <f t="array" ref="C16">IFERROR(INDEX(df_permits!$D$2:$I$100, MATCH(1, ($A$2 = df_permits!$B$2:$B$100) * (df_permits!$C$2:$C$100 = $B16), 0), MATCH(TEXT(C$10,"##"), df_permits!$D$1:$I$1,0)),0)</f>
        <v>0</v>
      </c>
      <c r="D16" s="239">
        <f t="array" ref="D16">IFERROR(INDEX(df_permits!$D$2:$I$100, MATCH(1, ($A$2 = df_permits!$B$2:$B$100) * (df_permits!$C$2:$C$100 = $B16), 0), MATCH(TEXT(D$10,"##"), df_permits!$D$1:$I$1,0)),0)</f>
        <v>0</v>
      </c>
      <c r="E16" s="239">
        <f t="array" ref="E16">IFERROR(INDEX(df_permits!$D$2:$I$100, MATCH(1, ($A$2 = df_permits!$B$2:$B$100) * (df_permits!$C$2:$C$100 = $B16), 0), MATCH(TEXT(E$10,"##"), df_permits!$D$1:$I$1,0)),0)</f>
        <v>0</v>
      </c>
      <c r="F16" s="239">
        <f t="array" ref="F16">IFERROR(INDEX(df_permits!$D$2:$I$100, MATCH(1, ($A$2 = df_permits!$B$2:$B$100) * (df_permits!$C$2:$C$100 = $B16), 0), MATCH(TEXT(F$10,"##"), df_permits!$D$1:$I$1,0)),0)</f>
        <v>0</v>
      </c>
      <c r="G16" s="239">
        <f t="array" ref="G16">IFERROR(INDEX(df_permits!$D$2:$I$100, MATCH(1, ($A$2 = df_permits!$B$2:$B$100) * (df_permits!$C$2:$C$100 = $B16), 0), MATCH(TEXT(G$10,"##"), df_permits!$D$1:$I$1,0)),0)</f>
        <v>0</v>
      </c>
      <c r="H16" s="552">
        <f t="array" ref="H16">IFERROR(INDEX(df_permits!$D$2:$I$100, MATCH(1, ($A$2 = df_permits!$B$2:$B$100) * (df_permits!$C$2:$C$100 = $B16), 0), MATCH(TEXT(H$10,"##"), df_permits!$D$1:$I$1,0)),0)</f>
        <v>0</v>
      </c>
      <c r="J16" s="487"/>
      <c r="K16" s="567">
        <v>2018</v>
      </c>
      <c r="L16" s="567">
        <v>2019</v>
      </c>
      <c r="M16" s="567">
        <v>2020</v>
      </c>
      <c r="N16" s="567">
        <v>2021</v>
      </c>
      <c r="O16" s="567">
        <v>2022</v>
      </c>
      <c r="P16" s="561">
        <v>2023</v>
      </c>
    </row>
    <row r="17" spans="1:16" ht="20.100000000000001" customHeight="1" x14ac:dyDescent="0.2">
      <c r="B17" s="483" t="s">
        <v>6</v>
      </c>
      <c r="C17" s="564">
        <f t="shared" ref="C17:H17" si="1">SUM(C11:C16)</f>
        <v>0</v>
      </c>
      <c r="D17" s="565">
        <f t="shared" si="1"/>
        <v>0</v>
      </c>
      <c r="E17" s="565">
        <f t="shared" si="1"/>
        <v>0</v>
      </c>
      <c r="F17" s="565">
        <f t="shared" si="1"/>
        <v>0</v>
      </c>
      <c r="G17" s="565">
        <f t="shared" si="1"/>
        <v>0</v>
      </c>
      <c r="H17" s="566">
        <f t="shared" si="1"/>
        <v>0</v>
      </c>
      <c r="J17" s="853" t="s">
        <v>343</v>
      </c>
      <c r="K17" s="919"/>
      <c r="L17" s="508"/>
      <c r="M17" s="508"/>
      <c r="N17" s="555" t="e">
        <f t="array" ref="N17">INDEX(df_dwell!$C$2:$C$100, MATCH(1, ($A$2 = df_dwell!$A$2:$A$100) * (4 = df_dwell!$B$2:$B$100), 0), 0)</f>
        <v>#N/A</v>
      </c>
      <c r="O17" s="508"/>
      <c r="P17" s="493"/>
    </row>
    <row r="18" spans="1:16" ht="20.100000000000001" customHeight="1" x14ac:dyDescent="0.2">
      <c r="B18" s="299"/>
      <c r="J18" s="918" t="s">
        <v>700</v>
      </c>
      <c r="K18" s="920"/>
      <c r="L18" s="507"/>
      <c r="M18" s="507"/>
      <c r="N18" s="239" t="e">
        <f t="array" ref="N18">INDEX(df_dwell!$C$2:$C$100, MATCH(1, ($B$2 = df_dwell!$A$2:$A$100) * (4 = df_dwell!$B$2:$B$100), 0), 0)</f>
        <v>#N/A</v>
      </c>
      <c r="O18" s="507"/>
      <c r="P18" s="173"/>
    </row>
    <row r="19" spans="1:16" ht="20.100000000000001" customHeight="1" x14ac:dyDescent="0.2">
      <c r="J19" s="854" t="s">
        <v>344</v>
      </c>
      <c r="K19" s="921"/>
      <c r="L19" s="684"/>
      <c r="M19" s="684"/>
      <c r="N19" s="553" t="e">
        <f t="array" ref="N19">INDEX(df_dwell!$C$2:$C$100, MATCH(1, ($C$2 = df_dwell!$A$2:$A$100) * (4 = df_dwell!$B$2:$B$100), 0), 0)</f>
        <v>#N/A</v>
      </c>
      <c r="O19" s="684"/>
      <c r="P19" s="494"/>
    </row>
    <row r="20" spans="1:16" ht="20.100000000000001" customHeight="1" x14ac:dyDescent="0.2"/>
    <row r="21" spans="1:16" ht="20.100000000000001" customHeight="1" x14ac:dyDescent="0.2">
      <c r="J21" s="1240" t="s">
        <v>1238</v>
      </c>
      <c r="K21" s="1240"/>
      <c r="L21" s="1240"/>
      <c r="M21" s="1240"/>
      <c r="N21" s="1240"/>
      <c r="O21" s="1240"/>
      <c r="P21" s="1240"/>
    </row>
    <row r="22" spans="1:16" ht="20.100000000000001" customHeight="1" x14ac:dyDescent="0.2">
      <c r="I22" s="239"/>
    </row>
    <row r="23" spans="1:16" ht="20.100000000000001" customHeight="1" x14ac:dyDescent="0.2">
      <c r="I23" s="239"/>
      <c r="J23" s="487"/>
      <c r="K23" s="206">
        <v>2018</v>
      </c>
      <c r="L23" s="563">
        <v>2019</v>
      </c>
      <c r="M23" s="563">
        <v>2020</v>
      </c>
      <c r="N23" s="563">
        <v>2021</v>
      </c>
      <c r="O23" s="563">
        <v>2022</v>
      </c>
      <c r="P23" s="562">
        <v>2023</v>
      </c>
    </row>
    <row r="24" spans="1:16" ht="20.100000000000001" customHeight="1" x14ac:dyDescent="0.2">
      <c r="B24" s="299"/>
      <c r="J24" s="918" t="s">
        <v>187</v>
      </c>
      <c r="K24" s="726" t="e">
        <f t="shared" ref="K24:P24" si="2">K11/$N17</f>
        <v>#N/A</v>
      </c>
      <c r="L24" s="727" t="e">
        <f t="shared" si="2"/>
        <v>#N/A</v>
      </c>
      <c r="M24" s="727" t="e">
        <f t="shared" si="2"/>
        <v>#N/A</v>
      </c>
      <c r="N24" s="727" t="e">
        <f t="shared" si="2"/>
        <v>#N/A</v>
      </c>
      <c r="O24" s="727" t="e">
        <f t="shared" si="2"/>
        <v>#N/A</v>
      </c>
      <c r="P24" s="728" t="e">
        <f t="shared" si="2"/>
        <v>#N/A</v>
      </c>
    </row>
    <row r="25" spans="1:16" ht="20.100000000000001" customHeight="1" x14ac:dyDescent="0.2">
      <c r="J25" s="854" t="s">
        <v>189</v>
      </c>
      <c r="K25" s="729" t="e">
        <f t="shared" ref="K25:P25" si="3">K12/$N19</f>
        <v>#N/A</v>
      </c>
      <c r="L25" s="730" t="e">
        <f t="shared" si="3"/>
        <v>#N/A</v>
      </c>
      <c r="M25" s="730" t="e">
        <f t="shared" si="3"/>
        <v>#N/A</v>
      </c>
      <c r="N25" s="730" t="e">
        <f t="shared" si="3"/>
        <v>#N/A</v>
      </c>
      <c r="O25" s="730" t="e">
        <f t="shared" si="3"/>
        <v>#N/A</v>
      </c>
      <c r="P25" s="568" t="e">
        <f t="shared" si="3"/>
        <v>#N/A</v>
      </c>
    </row>
    <row r="26" spans="1:16" ht="20.100000000000001" customHeight="1" x14ac:dyDescent="0.2"/>
    <row r="27" spans="1:16" ht="20.100000000000001" customHeight="1" x14ac:dyDescent="0.2"/>
    <row r="28" spans="1:16" ht="30" customHeight="1" x14ac:dyDescent="0.2">
      <c r="A28" s="560"/>
      <c r="B28" s="175" t="s">
        <v>1217</v>
      </c>
      <c r="C28" s="310"/>
      <c r="D28" s="310"/>
      <c r="E28" s="310"/>
      <c r="F28" s="310"/>
      <c r="G28" s="310"/>
      <c r="H28" s="310"/>
      <c r="I28" s="310"/>
      <c r="J28" s="310"/>
      <c r="K28" s="310"/>
      <c r="L28" s="310"/>
      <c r="M28" s="310"/>
      <c r="N28" s="310"/>
      <c r="O28" s="310"/>
      <c r="P28" s="310"/>
    </row>
    <row r="29" spans="1:16" ht="20.100000000000001" customHeight="1" x14ac:dyDescent="0.2"/>
    <row r="30" spans="1:16" ht="20.100000000000001" customHeight="1" x14ac:dyDescent="0.2">
      <c r="B30" s="1258" t="s">
        <v>1218</v>
      </c>
      <c r="C30" s="1258"/>
      <c r="D30" s="1258"/>
      <c r="E30" s="1258"/>
      <c r="F30" s="1258"/>
      <c r="G30" s="1258"/>
      <c r="H30" s="1258"/>
    </row>
    <row r="31" spans="1:16" ht="20.100000000000001" customHeight="1" x14ac:dyDescent="0.2"/>
    <row r="32" spans="1:16" ht="20.100000000000001" customHeight="1" x14ac:dyDescent="0.2">
      <c r="B32" s="887" t="s">
        <v>1245</v>
      </c>
      <c r="C32" s="929">
        <v>2018</v>
      </c>
      <c r="D32" s="930">
        <v>2019</v>
      </c>
      <c r="E32" s="930">
        <v>2020</v>
      </c>
      <c r="F32" s="930">
        <v>2021</v>
      </c>
      <c r="G32" s="930">
        <v>2022</v>
      </c>
      <c r="H32" s="931">
        <v>2023</v>
      </c>
    </row>
    <row r="33" spans="1:16" ht="20.100000000000001" customHeight="1" x14ac:dyDescent="0.2">
      <c r="B33" s="889" t="s">
        <v>6</v>
      </c>
      <c r="C33" s="86" t="str">
        <f>IF(C17=0,"x",C17)</f>
        <v>x</v>
      </c>
      <c r="D33" s="38" t="str">
        <f t="shared" ref="D33:H33" si="4">IF(D17=0,"x",D17)</f>
        <v>x</v>
      </c>
      <c r="E33" s="38" t="str">
        <f t="shared" si="4"/>
        <v>x</v>
      </c>
      <c r="F33" s="38" t="str">
        <f t="shared" si="4"/>
        <v>x</v>
      </c>
      <c r="G33" s="38" t="str">
        <f t="shared" si="4"/>
        <v>x</v>
      </c>
      <c r="H33" s="338" t="str">
        <f t="shared" si="4"/>
        <v>x</v>
      </c>
    </row>
    <row r="34" spans="1:16" ht="20.100000000000001" customHeight="1" x14ac:dyDescent="0.2">
      <c r="B34" s="721" t="s">
        <v>77</v>
      </c>
      <c r="C34" s="341" t="str">
        <f>IF(C$17=0,"x",C11)</f>
        <v>x</v>
      </c>
      <c r="D34" s="297" t="str">
        <f t="shared" ref="D34:H34" si="5">IF(D$17=0,"x",D11)</f>
        <v>x</v>
      </c>
      <c r="E34" s="297" t="str">
        <f t="shared" si="5"/>
        <v>x</v>
      </c>
      <c r="F34" s="297" t="str">
        <f t="shared" si="5"/>
        <v>x</v>
      </c>
      <c r="G34" s="297" t="str">
        <f t="shared" si="5"/>
        <v>x</v>
      </c>
      <c r="H34" s="360" t="str">
        <f t="shared" si="5"/>
        <v>x</v>
      </c>
    </row>
    <row r="35" spans="1:16" ht="20.100000000000001" customHeight="1" x14ac:dyDescent="0.2">
      <c r="B35" s="722" t="s">
        <v>330</v>
      </c>
      <c r="C35" s="313" t="str">
        <f>IF(C$17=0,"x",C12)</f>
        <v>x</v>
      </c>
      <c r="D35" s="64" t="str">
        <f>IF(D$17=0,"x",D12)</f>
        <v>x</v>
      </c>
      <c r="E35" s="64" t="str">
        <f>IF(E$17=0,"x",E12)</f>
        <v>x</v>
      </c>
      <c r="F35" s="64" t="str">
        <f>IF(F$17=0,"x",F12)</f>
        <v>x</v>
      </c>
      <c r="G35" s="64" t="str">
        <f>IF(G$17=0,"x",G12)</f>
        <v>x</v>
      </c>
      <c r="H35" s="389" t="str">
        <f>IF(H$17=0,"x",H12)</f>
        <v>x</v>
      </c>
    </row>
    <row r="36" spans="1:16" ht="20.100000000000001" customHeight="1" x14ac:dyDescent="0.2">
      <c r="B36" s="723" t="s">
        <v>331</v>
      </c>
      <c r="C36" s="218" t="str">
        <f t="shared" ref="C36:H38" si="6">IF(C$17=0,"x",C14)</f>
        <v>x</v>
      </c>
      <c r="D36" s="392" t="str">
        <f t="shared" si="6"/>
        <v>x</v>
      </c>
      <c r="E36" s="392" t="str">
        <f t="shared" si="6"/>
        <v>x</v>
      </c>
      <c r="F36" s="392" t="str">
        <f t="shared" si="6"/>
        <v>x</v>
      </c>
      <c r="G36" s="392" t="str">
        <f t="shared" si="6"/>
        <v>x</v>
      </c>
      <c r="H36" s="231" t="str">
        <f t="shared" si="6"/>
        <v>x</v>
      </c>
    </row>
    <row r="37" spans="1:16" ht="20.100000000000001" customHeight="1" x14ac:dyDescent="0.2">
      <c r="B37" s="722" t="s">
        <v>332</v>
      </c>
      <c r="C37" s="313" t="str">
        <f t="shared" si="6"/>
        <v>x</v>
      </c>
      <c r="D37" s="64" t="str">
        <f t="shared" si="6"/>
        <v>x</v>
      </c>
      <c r="E37" s="64" t="str">
        <f t="shared" si="6"/>
        <v>x</v>
      </c>
      <c r="F37" s="64" t="str">
        <f t="shared" si="6"/>
        <v>x</v>
      </c>
      <c r="G37" s="64" t="str">
        <f t="shared" si="6"/>
        <v>x</v>
      </c>
      <c r="H37" s="389" t="str">
        <f t="shared" si="6"/>
        <v>x</v>
      </c>
    </row>
    <row r="38" spans="1:16" ht="20.100000000000001" customHeight="1" x14ac:dyDescent="0.2">
      <c r="B38" s="280" t="s">
        <v>76</v>
      </c>
      <c r="C38" s="70" t="str">
        <f t="shared" si="6"/>
        <v>x</v>
      </c>
      <c r="D38" s="236" t="str">
        <f t="shared" si="6"/>
        <v>x</v>
      </c>
      <c r="E38" s="236" t="str">
        <f t="shared" si="6"/>
        <v>x</v>
      </c>
      <c r="F38" s="236" t="str">
        <f t="shared" si="6"/>
        <v>x</v>
      </c>
      <c r="G38" s="236" t="str">
        <f t="shared" si="6"/>
        <v>x</v>
      </c>
      <c r="H38" s="260" t="str">
        <f t="shared" si="6"/>
        <v>x</v>
      </c>
    </row>
    <row r="39" spans="1:16" ht="20.100000000000001" customHeight="1" x14ac:dyDescent="0.2">
      <c r="B39" s="97" t="s">
        <v>1244</v>
      </c>
      <c r="C39" s="86" t="str">
        <f>IFERROR(IF(K24=0,"x",K24),"x")</f>
        <v>x</v>
      </c>
      <c r="D39" s="38" t="str">
        <f t="shared" ref="D39:H39" si="7">IFERROR(IF(L24=0,"x",L24),"x")</f>
        <v>x</v>
      </c>
      <c r="E39" s="38" t="str">
        <f t="shared" si="7"/>
        <v>x</v>
      </c>
      <c r="F39" s="38" t="str">
        <f t="shared" si="7"/>
        <v>x</v>
      </c>
      <c r="G39" s="38" t="str">
        <f t="shared" si="7"/>
        <v>x</v>
      </c>
      <c r="H39" s="338" t="str">
        <f t="shared" si="7"/>
        <v>x</v>
      </c>
    </row>
    <row r="40" spans="1:16" ht="20.100000000000001" customHeight="1" x14ac:dyDescent="0.2"/>
    <row r="41" spans="1:16" ht="20.100000000000001" customHeight="1" x14ac:dyDescent="0.2"/>
    <row r="42" spans="1:16" ht="50.1" customHeight="1" x14ac:dyDescent="0.2">
      <c r="B42" s="159" t="s">
        <v>1239</v>
      </c>
      <c r="C42" s="59"/>
      <c r="D42" s="59"/>
      <c r="E42" s="59"/>
      <c r="F42" s="59"/>
      <c r="G42" s="59"/>
      <c r="H42" s="59"/>
      <c r="I42" s="59"/>
      <c r="J42" s="59"/>
      <c r="K42" s="59"/>
      <c r="L42" s="59"/>
      <c r="M42" s="59"/>
      <c r="N42" s="59"/>
      <c r="O42" s="59"/>
      <c r="P42" s="59"/>
    </row>
    <row r="44" spans="1:16" ht="30" customHeight="1" x14ac:dyDescent="0.2">
      <c r="A44" s="560"/>
      <c r="B44" s="175" t="s">
        <v>1216</v>
      </c>
      <c r="C44" s="310"/>
      <c r="D44" s="310"/>
      <c r="E44" s="310"/>
      <c r="F44" s="310"/>
      <c r="G44" s="310"/>
      <c r="H44" s="310"/>
      <c r="I44" s="310"/>
      <c r="J44" s="310"/>
      <c r="K44" s="310"/>
      <c r="L44" s="310"/>
      <c r="M44" s="310"/>
      <c r="N44" s="310"/>
      <c r="O44" s="310"/>
      <c r="P44" s="310"/>
    </row>
    <row r="45" spans="1:16" ht="20.100000000000001" customHeight="1" x14ac:dyDescent="0.2"/>
    <row r="46" spans="1:16" ht="20.100000000000001" customHeight="1" x14ac:dyDescent="0.2">
      <c r="B46" s="1240" t="s">
        <v>340</v>
      </c>
      <c r="C46" s="1240"/>
      <c r="D46" s="1240"/>
      <c r="E46" s="1240"/>
      <c r="F46" s="1240"/>
      <c r="G46" s="1240"/>
      <c r="H46" s="1240"/>
    </row>
    <row r="47" spans="1:16" ht="20.100000000000001" customHeight="1" x14ac:dyDescent="0.2"/>
    <row r="48" spans="1:16" ht="20.100000000000001" customHeight="1" x14ac:dyDescent="0.2">
      <c r="C48" s="1238" t="s">
        <v>6</v>
      </c>
      <c r="D48" s="1241"/>
      <c r="E48" s="1239"/>
      <c r="F48" s="1238" t="s">
        <v>290</v>
      </c>
      <c r="G48" s="1241"/>
      <c r="H48" s="1239"/>
    </row>
    <row r="49" spans="1:16" ht="20.100000000000001" customHeight="1" x14ac:dyDescent="0.2">
      <c r="C49" s="128" t="s">
        <v>181</v>
      </c>
      <c r="D49" s="117" t="s">
        <v>182</v>
      </c>
      <c r="E49" s="302" t="s">
        <v>183</v>
      </c>
      <c r="F49" s="128" t="s">
        <v>181</v>
      </c>
      <c r="G49" s="117" t="s">
        <v>182</v>
      </c>
      <c r="H49" s="302" t="s">
        <v>183</v>
      </c>
    </row>
    <row r="50" spans="1:16" ht="20.100000000000001" customHeight="1" x14ac:dyDescent="0.2">
      <c r="A50" s="299">
        <v>1440</v>
      </c>
      <c r="B50" s="483" t="s">
        <v>6</v>
      </c>
      <c r="C50" s="564" t="e">
        <f t="array" ref="C50">INDEX(df_dwell!$C$2:$C$100, MATCH(1, (A$2 = df_dwell!$A$2:$A$100) * ($A50 = df_dwell!$B$2:$B$100), 0), 0)</f>
        <v>#N/A</v>
      </c>
      <c r="D50" s="565" t="e">
        <f t="array" ref="D50">INDEX(df_dwell!$C$2:$C$100, MATCH(1, (B$2 = df_dwell!$A$2:$A$100) * ($A50 = df_dwell!$B$2:$B$100), 0), 0)</f>
        <v>#N/A</v>
      </c>
      <c r="E50" s="566" t="e">
        <f t="array" ref="E50">INDEX(df_dwell!$C$2:$C$100, MATCH(1, (C$2 = df_dwell!$A$2:$A$100) * ($A50 = df_dwell!$B$2:$B$100), 0), 0)</f>
        <v>#N/A</v>
      </c>
      <c r="F50" s="226" t="e">
        <f>C50/C$50</f>
        <v>#N/A</v>
      </c>
      <c r="G50" s="346" t="e">
        <f t="shared" ref="G50:H50" si="8">D50/D$50</f>
        <v>#N/A</v>
      </c>
      <c r="H50" s="353" t="e">
        <f t="shared" si="8"/>
        <v>#N/A</v>
      </c>
    </row>
    <row r="51" spans="1:16" ht="20.100000000000001" customHeight="1" x14ac:dyDescent="0.2">
      <c r="A51" s="299">
        <v>1441</v>
      </c>
      <c r="B51" s="918" t="s">
        <v>341</v>
      </c>
      <c r="C51" s="558" t="e">
        <f t="array" ref="C51">INDEX(df_dwell!$C$2:$C$100, MATCH(1, (A$2 = df_dwell!$A$2:$A$100) * ($A51 = df_dwell!$B$2:$B$100), 0), 0)</f>
        <v>#N/A</v>
      </c>
      <c r="D51" s="239" t="e">
        <f t="array" ref="D51">INDEX(df_dwell!$C$2:$C$100, MATCH(1, (B$2 = df_dwell!$A$2:$A$100) * ($A51 = df_dwell!$B$2:$B$100), 0), 0)</f>
        <v>#N/A</v>
      </c>
      <c r="E51" s="552" t="e">
        <f t="array" ref="E51">INDEX(df_dwell!$C$2:$C$100, MATCH(1, (C$2 = df_dwell!$A$2:$A$100) * ($A51 = df_dwell!$B$2:$B$100), 0), 0)</f>
        <v>#N/A</v>
      </c>
      <c r="F51" s="138" t="e">
        <f t="shared" ref="F51:F58" si="9">C51/C$50</f>
        <v>#N/A</v>
      </c>
      <c r="G51" s="262" t="e">
        <f t="shared" ref="G51:G58" si="10">D51/D$50</f>
        <v>#N/A</v>
      </c>
      <c r="H51" s="201" t="e">
        <f t="shared" ref="H51:H58" si="11">E51/E$50</f>
        <v>#N/A</v>
      </c>
    </row>
    <row r="52" spans="1:16" ht="20.100000000000001" customHeight="1" x14ac:dyDescent="0.2">
      <c r="A52" s="299">
        <v>1442</v>
      </c>
      <c r="B52" s="918" t="s">
        <v>336</v>
      </c>
      <c r="C52" s="558" t="e">
        <f t="array" ref="C52">INDEX(df_dwell!$C$2:$C$100, MATCH(1, (A$2 = df_dwell!$A$2:$A$100) * ($A52 = df_dwell!$B$2:$B$100), 0), 0)</f>
        <v>#N/A</v>
      </c>
      <c r="D52" s="239" t="e">
        <f t="array" ref="D52">INDEX(df_dwell!$C$2:$C$100, MATCH(1, (B$2 = df_dwell!$A$2:$A$100) * ($A52 = df_dwell!$B$2:$B$100), 0), 0)</f>
        <v>#N/A</v>
      </c>
      <c r="E52" s="552" t="e">
        <f t="array" ref="E52">INDEX(df_dwell!$C$2:$C$100, MATCH(1, (C$2 = df_dwell!$A$2:$A$100) * ($A52 = df_dwell!$B$2:$B$100), 0), 0)</f>
        <v>#N/A</v>
      </c>
      <c r="F52" s="138" t="e">
        <f t="shared" si="9"/>
        <v>#N/A</v>
      </c>
      <c r="G52" s="262" t="e">
        <f t="shared" si="10"/>
        <v>#N/A</v>
      </c>
      <c r="H52" s="201" t="e">
        <f t="shared" si="11"/>
        <v>#N/A</v>
      </c>
    </row>
    <row r="53" spans="1:16" ht="20.100000000000001" customHeight="1" x14ac:dyDescent="0.2">
      <c r="A53" s="299">
        <v>1443</v>
      </c>
      <c r="B53" s="918" t="s">
        <v>337</v>
      </c>
      <c r="C53" s="558" t="e">
        <f t="array" ref="C53">INDEX(df_dwell!$C$2:$C$100, MATCH(1, (A$2 = df_dwell!$A$2:$A$100) * ($A53 = df_dwell!$B$2:$B$100), 0), 0)</f>
        <v>#N/A</v>
      </c>
      <c r="D53" s="239" t="e">
        <f t="array" ref="D53">INDEX(df_dwell!$C$2:$C$100, MATCH(1, (B$2 = df_dwell!$A$2:$A$100) * ($A53 = df_dwell!$B$2:$B$100), 0), 0)</f>
        <v>#N/A</v>
      </c>
      <c r="E53" s="552" t="e">
        <f t="array" ref="E53">INDEX(df_dwell!$C$2:$C$100, MATCH(1, (C$2 = df_dwell!$A$2:$A$100) * ($A53 = df_dwell!$B$2:$B$100), 0), 0)</f>
        <v>#N/A</v>
      </c>
      <c r="F53" s="138" t="e">
        <f t="shared" si="9"/>
        <v>#N/A</v>
      </c>
      <c r="G53" s="262" t="e">
        <f t="shared" si="10"/>
        <v>#N/A</v>
      </c>
      <c r="H53" s="201" t="e">
        <f t="shared" si="11"/>
        <v>#N/A</v>
      </c>
    </row>
    <row r="54" spans="1:16" ht="20.100000000000001" customHeight="1" x14ac:dyDescent="0.2">
      <c r="A54" s="299">
        <v>1444</v>
      </c>
      <c r="B54" s="918" t="s">
        <v>333</v>
      </c>
      <c r="C54" s="558" t="e">
        <f t="array" ref="C54">INDEX(df_dwell!$C$2:$C$100, MATCH(1, (A$2 = df_dwell!$A$2:$A$100) * ($A54 = df_dwell!$B$2:$B$100), 0), 0)</f>
        <v>#N/A</v>
      </c>
      <c r="D54" s="239" t="e">
        <f t="array" ref="D54">INDEX(df_dwell!$C$2:$C$100, MATCH(1, (B$2 = df_dwell!$A$2:$A$100) * ($A54 = df_dwell!$B$2:$B$100), 0), 0)</f>
        <v>#N/A</v>
      </c>
      <c r="E54" s="552" t="e">
        <f t="array" ref="E54">INDEX(df_dwell!$C$2:$C$100, MATCH(1, (C$2 = df_dwell!$A$2:$A$100) * ($A54 = df_dwell!$B$2:$B$100), 0), 0)</f>
        <v>#N/A</v>
      </c>
      <c r="F54" s="138" t="e">
        <f t="shared" si="9"/>
        <v>#N/A</v>
      </c>
      <c r="G54" s="262" t="e">
        <f t="shared" si="10"/>
        <v>#N/A</v>
      </c>
      <c r="H54" s="201" t="e">
        <f t="shared" si="11"/>
        <v>#N/A</v>
      </c>
    </row>
    <row r="55" spans="1:16" ht="20.100000000000001" customHeight="1" x14ac:dyDescent="0.2">
      <c r="A55" s="299">
        <v>1445</v>
      </c>
      <c r="B55" s="918" t="s">
        <v>338</v>
      </c>
      <c r="C55" s="558" t="e">
        <f t="array" ref="C55">INDEX(df_dwell!$C$2:$C$100, MATCH(1, (A$2 = df_dwell!$A$2:$A$100) * ($A55 = df_dwell!$B$2:$B$100), 0), 0)</f>
        <v>#N/A</v>
      </c>
      <c r="D55" s="239" t="e">
        <f t="array" ref="D55">INDEX(df_dwell!$C$2:$C$100, MATCH(1, (B$2 = df_dwell!$A$2:$A$100) * ($A55 = df_dwell!$B$2:$B$100), 0), 0)</f>
        <v>#N/A</v>
      </c>
      <c r="E55" s="552" t="e">
        <f t="array" ref="E55">INDEX(df_dwell!$C$2:$C$100, MATCH(1, (C$2 = df_dwell!$A$2:$A$100) * ($A55 = df_dwell!$B$2:$B$100), 0), 0)</f>
        <v>#N/A</v>
      </c>
      <c r="F55" s="138" t="e">
        <f t="shared" si="9"/>
        <v>#N/A</v>
      </c>
      <c r="G55" s="262" t="e">
        <f t="shared" si="10"/>
        <v>#N/A</v>
      </c>
      <c r="H55" s="201" t="e">
        <f t="shared" si="11"/>
        <v>#N/A</v>
      </c>
    </row>
    <row r="56" spans="1:16" ht="20.100000000000001" customHeight="1" x14ac:dyDescent="0.2">
      <c r="A56" s="299">
        <v>1446</v>
      </c>
      <c r="B56" s="918" t="s">
        <v>339</v>
      </c>
      <c r="C56" s="558" t="e">
        <f t="array" ref="C56">INDEX(df_dwell!$C$2:$C$100, MATCH(1, (A$2 = df_dwell!$A$2:$A$100) * ($A56 = df_dwell!$B$2:$B$100), 0), 0)</f>
        <v>#N/A</v>
      </c>
      <c r="D56" s="239" t="e">
        <f t="array" ref="D56">INDEX(df_dwell!$C$2:$C$100, MATCH(1, (B$2 = df_dwell!$A$2:$A$100) * ($A56 = df_dwell!$B$2:$B$100), 0), 0)</f>
        <v>#N/A</v>
      </c>
      <c r="E56" s="552" t="e">
        <f t="array" ref="E56">INDEX(df_dwell!$C$2:$C$100, MATCH(1, (C$2 = df_dwell!$A$2:$A$100) * ($A56 = df_dwell!$B$2:$B$100), 0), 0)</f>
        <v>#N/A</v>
      </c>
      <c r="F56" s="138" t="e">
        <f t="shared" si="9"/>
        <v>#N/A</v>
      </c>
      <c r="G56" s="262" t="e">
        <f t="shared" si="10"/>
        <v>#N/A</v>
      </c>
      <c r="H56" s="201" t="e">
        <f t="shared" si="11"/>
        <v>#N/A</v>
      </c>
    </row>
    <row r="57" spans="1:16" ht="20.100000000000001" customHeight="1" x14ac:dyDescent="0.2">
      <c r="A57" s="299">
        <v>1447</v>
      </c>
      <c r="B57" s="918" t="s">
        <v>334</v>
      </c>
      <c r="C57" s="558" t="e">
        <f t="array" ref="C57">INDEX(df_dwell!$C$2:$C$100, MATCH(1, (A$2 = df_dwell!$A$2:$A$100) * ($A57 = df_dwell!$B$2:$B$100), 0), 0)</f>
        <v>#N/A</v>
      </c>
      <c r="D57" s="239" t="e">
        <f t="array" ref="D57">INDEX(df_dwell!$C$2:$C$100, MATCH(1, (B$2 = df_dwell!$A$2:$A$100) * ($A57 = df_dwell!$B$2:$B$100), 0), 0)</f>
        <v>#N/A</v>
      </c>
      <c r="E57" s="552" t="e">
        <f t="array" ref="E57">INDEX(df_dwell!$C$2:$C$100, MATCH(1, (C$2 = df_dwell!$A$2:$A$100) * ($A57 = df_dwell!$B$2:$B$100), 0), 0)</f>
        <v>#N/A</v>
      </c>
      <c r="F57" s="138" t="e">
        <f t="shared" si="9"/>
        <v>#N/A</v>
      </c>
      <c r="G57" s="262" t="e">
        <f t="shared" si="10"/>
        <v>#N/A</v>
      </c>
      <c r="H57" s="201" t="e">
        <f t="shared" si="11"/>
        <v>#N/A</v>
      </c>
    </row>
    <row r="58" spans="1:16" ht="20.100000000000001" customHeight="1" x14ac:dyDescent="0.2">
      <c r="A58" s="299">
        <v>1448</v>
      </c>
      <c r="B58" s="854" t="s">
        <v>335</v>
      </c>
      <c r="C58" s="559" t="e">
        <f t="array" ref="C58">INDEX(df_dwell!$C$2:$C$100, MATCH(1, (A$2 = df_dwell!$A$2:$A$100) * ($A58 = df_dwell!$B$2:$B$100), 0), 0)</f>
        <v>#N/A</v>
      </c>
      <c r="D58" s="553" t="e">
        <f t="array" ref="D58">INDEX(df_dwell!$C$2:$C$100, MATCH(1, (B$2 = df_dwell!$A$2:$A$100) * ($A58 = df_dwell!$B$2:$B$100), 0), 0)</f>
        <v>#N/A</v>
      </c>
      <c r="E58" s="554" t="e">
        <f t="array" ref="E58">INDEX(df_dwell!$C$2:$C$100, MATCH(1, (C$2 = df_dwell!$A$2:$A$100) * ($A58 = df_dwell!$B$2:$B$100), 0), 0)</f>
        <v>#N/A</v>
      </c>
      <c r="F58" s="486" t="e">
        <f t="shared" si="9"/>
        <v>#N/A</v>
      </c>
      <c r="G58" s="514" t="e">
        <f t="shared" si="10"/>
        <v>#N/A</v>
      </c>
      <c r="H58" s="515" t="e">
        <f t="shared" si="11"/>
        <v>#N/A</v>
      </c>
    </row>
    <row r="59" spans="1:16" ht="20.100000000000001" customHeight="1" x14ac:dyDescent="0.2">
      <c r="B59" s="299"/>
    </row>
    <row r="60" spans="1:16" ht="30" customHeight="1" x14ac:dyDescent="0.2">
      <c r="A60" s="560"/>
      <c r="B60" s="175" t="s">
        <v>1217</v>
      </c>
      <c r="C60" s="310"/>
      <c r="D60" s="310"/>
      <c r="E60" s="310"/>
      <c r="F60" s="310"/>
      <c r="G60" s="310"/>
      <c r="H60" s="310"/>
      <c r="I60" s="310"/>
      <c r="J60" s="310"/>
      <c r="K60" s="310"/>
      <c r="L60" s="310"/>
      <c r="M60" s="310"/>
      <c r="N60" s="310"/>
      <c r="O60" s="310"/>
      <c r="P60" s="310"/>
    </row>
    <row r="61" spans="1:16" ht="20.100000000000001" customHeight="1" x14ac:dyDescent="0.2"/>
    <row r="62" spans="1:16" ht="20.100000000000001" customHeight="1" x14ac:dyDescent="0.2">
      <c r="B62" s="1243" t="s">
        <v>1218</v>
      </c>
      <c r="C62" s="1243"/>
      <c r="D62" s="1243"/>
      <c r="E62" s="1243"/>
      <c r="F62" s="1243"/>
      <c r="G62" s="1243"/>
      <c r="H62" s="1243"/>
      <c r="I62" s="1243"/>
      <c r="J62" s="1243"/>
      <c r="K62" s="1243"/>
    </row>
    <row r="63" spans="1:16" ht="20.100000000000001" customHeight="1" x14ac:dyDescent="0.2"/>
    <row r="64" spans="1:16" ht="20.100000000000001" customHeight="1" x14ac:dyDescent="0.2">
      <c r="B64" s="68" t="s">
        <v>33</v>
      </c>
      <c r="C64" s="925" t="s">
        <v>6</v>
      </c>
      <c r="D64" s="926" t="s">
        <v>341</v>
      </c>
      <c r="E64" s="927" t="s">
        <v>336</v>
      </c>
      <c r="F64" s="927" t="s">
        <v>337</v>
      </c>
      <c r="G64" s="927" t="s">
        <v>333</v>
      </c>
      <c r="H64" s="927" t="s">
        <v>338</v>
      </c>
      <c r="I64" s="927" t="s">
        <v>339</v>
      </c>
      <c r="J64" s="927" t="s">
        <v>334</v>
      </c>
      <c r="K64" s="928" t="s">
        <v>335</v>
      </c>
    </row>
    <row r="65" spans="1:11" ht="20.100000000000001" customHeight="1" x14ac:dyDescent="0.2">
      <c r="B65" s="97" t="s">
        <v>1246</v>
      </c>
      <c r="C65" s="894" t="str">
        <f t="array" ref="C65:K65">IFERROR(TRANSPOSE(C50:C58),"x")</f>
        <v>x</v>
      </c>
      <c r="D65" s="86" t="str">
        <v>x</v>
      </c>
      <c r="E65" s="38" t="str">
        <v>x</v>
      </c>
      <c r="F65" s="38" t="str">
        <v>x</v>
      </c>
      <c r="G65" s="38" t="str">
        <v>x</v>
      </c>
      <c r="H65" s="38" t="str">
        <v>x</v>
      </c>
      <c r="I65" s="38" t="str">
        <v>x</v>
      </c>
      <c r="J65" s="38" t="str">
        <v>x</v>
      </c>
      <c r="K65" s="338" t="str">
        <v>x</v>
      </c>
    </row>
    <row r="66" spans="1:11" ht="20.100000000000001" customHeight="1" x14ac:dyDescent="0.2">
      <c r="B66" s="721" t="s">
        <v>1240</v>
      </c>
      <c r="C66" s="922"/>
      <c r="D66" s="947" t="str">
        <f t="array" ref="D66:K66">IFERROR(D65:K65/SUM(D65:K65),"x")</f>
        <v>x</v>
      </c>
      <c r="E66" s="323" t="str">
        <v>x</v>
      </c>
      <c r="F66" s="323" t="str">
        <v>x</v>
      </c>
      <c r="G66" s="323" t="str">
        <v>x</v>
      </c>
      <c r="H66" s="323" t="str">
        <v>x</v>
      </c>
      <c r="I66" s="323" t="str">
        <v>x</v>
      </c>
      <c r="J66" s="323" t="str">
        <v>x</v>
      </c>
      <c r="K66" s="232" t="str">
        <v>x</v>
      </c>
    </row>
    <row r="67" spans="1:11" ht="20.100000000000001" customHeight="1" x14ac:dyDescent="0.2">
      <c r="B67" s="722" t="s">
        <v>1241</v>
      </c>
      <c r="C67" s="923"/>
      <c r="D67" s="742" t="str">
        <f t="array" ref="D67:K67">IFERROR(TRANSPOSE(D51:D58)/SUM(D51:D58),"x")</f>
        <v>x</v>
      </c>
      <c r="E67" s="374" t="str">
        <v>x</v>
      </c>
      <c r="F67" s="374" t="str">
        <v>x</v>
      </c>
      <c r="G67" s="374" t="str">
        <v>x</v>
      </c>
      <c r="H67" s="374" t="str">
        <v>x</v>
      </c>
      <c r="I67" s="374" t="str">
        <v>x</v>
      </c>
      <c r="J67" s="374" t="str">
        <v>x</v>
      </c>
      <c r="K67" s="135" t="str">
        <v>x</v>
      </c>
    </row>
    <row r="68" spans="1:11" ht="20.100000000000001" customHeight="1" x14ac:dyDescent="0.2">
      <c r="B68" s="280" t="s">
        <v>1242</v>
      </c>
      <c r="C68" s="924"/>
      <c r="D68" s="945" t="str">
        <f t="array" ref="D68:K68">IFERROR(TRANSPOSE(E51:E58)/SUM(E51:E58),"x")</f>
        <v>x</v>
      </c>
      <c r="E68" s="383" t="str">
        <v>x</v>
      </c>
      <c r="F68" s="383" t="str">
        <v>x</v>
      </c>
      <c r="G68" s="383" t="str">
        <v>x</v>
      </c>
      <c r="H68" s="383" t="str">
        <v>x</v>
      </c>
      <c r="I68" s="383" t="str">
        <v>x</v>
      </c>
      <c r="J68" s="383" t="str">
        <v>x</v>
      </c>
      <c r="K68" s="304" t="str">
        <v>x</v>
      </c>
    </row>
    <row r="69" spans="1:11" ht="20.100000000000001" customHeight="1" x14ac:dyDescent="0.2"/>
    <row r="70" spans="1:11" ht="20.100000000000001" customHeight="1" x14ac:dyDescent="0.2"/>
    <row r="71" spans="1:11" ht="50.1" customHeight="1" x14ac:dyDescent="0.2">
      <c r="B71" s="159" t="s">
        <v>1243</v>
      </c>
      <c r="C71" s="59"/>
      <c r="D71" s="59"/>
      <c r="E71" s="59"/>
      <c r="F71" s="59"/>
      <c r="G71" s="59"/>
      <c r="H71" s="59"/>
      <c r="I71" s="59"/>
      <c r="J71" s="59"/>
      <c r="K71" s="59"/>
    </row>
    <row r="73" spans="1:11" ht="30" customHeight="1" x14ac:dyDescent="0.2">
      <c r="A73" s="560"/>
      <c r="B73" s="175" t="s">
        <v>1216</v>
      </c>
      <c r="C73" s="310"/>
      <c r="D73" s="310"/>
      <c r="E73" s="310"/>
      <c r="F73" s="310"/>
      <c r="G73" s="310"/>
      <c r="H73" s="310"/>
      <c r="I73" s="310"/>
      <c r="J73" s="310"/>
      <c r="K73" s="310"/>
    </row>
    <row r="74" spans="1:11" ht="20.100000000000001" customHeight="1" x14ac:dyDescent="0.2"/>
    <row r="75" spans="1:11" ht="20.100000000000001" customHeight="1" x14ac:dyDescent="0.2">
      <c r="B75" s="1240" t="s">
        <v>346</v>
      </c>
      <c r="C75" s="1240"/>
      <c r="D75" s="1240"/>
      <c r="E75" s="1240"/>
      <c r="F75" s="1240"/>
      <c r="H75" s="1240" t="s">
        <v>368</v>
      </c>
      <c r="I75" s="1240"/>
      <c r="J75" s="1240"/>
      <c r="K75" s="1240"/>
    </row>
    <row r="76" spans="1:11" ht="20.100000000000001" customHeight="1" x14ac:dyDescent="0.2"/>
    <row r="77" spans="1:11" ht="20.100000000000001" customHeight="1" x14ac:dyDescent="0.2">
      <c r="B77" s="487"/>
      <c r="C77" s="571" t="s">
        <v>6</v>
      </c>
      <c r="D77" s="128" t="s">
        <v>95</v>
      </c>
      <c r="E77" s="117" t="s">
        <v>96</v>
      </c>
      <c r="F77" s="302" t="s">
        <v>94</v>
      </c>
      <c r="H77" s="487"/>
      <c r="I77" s="128" t="s">
        <v>181</v>
      </c>
      <c r="J77" s="117" t="s">
        <v>182</v>
      </c>
      <c r="K77" s="302" t="s">
        <v>183</v>
      </c>
    </row>
    <row r="78" spans="1:11" ht="20.100000000000001" customHeight="1" x14ac:dyDescent="0.2">
      <c r="B78" s="483" t="s">
        <v>6</v>
      </c>
      <c r="C78" s="491" t="e">
        <f t="array" ref="C78">INDEX(df_dwell_ten!$D$2:$G$100, MATCH(1, ($A$2 = df_dwell_ten!$B$2:$B$100) * ($B78 = df_dwell_ten!$C$2:$C$100), 0), MATCH(C$77, df_dwell_ten!$D$1:$G$1, 0))</f>
        <v>#N/A</v>
      </c>
      <c r="D78" s="564" t="e">
        <f t="array" ref="D78">INDEX(df_dwell_ten!$D$2:$G$100, MATCH(1, ($A$2 = df_dwell_ten!$B$2:$B$100) * ($B78 = df_dwell_ten!$C$2:$C$100), 0), MATCH(D$77, df_dwell_ten!$D$1:$G$1, 0))</f>
        <v>#N/A</v>
      </c>
      <c r="E78" s="565" t="e">
        <f t="array" ref="E78">INDEX(df_dwell_ten!$D$2:$G$100, MATCH(1, ($A$2 = df_dwell_ten!$B$2:$B$100) * ($B78 = df_dwell_ten!$C$2:$C$100), 0), MATCH(E$77, df_dwell_ten!$D$1:$G$1, 0))</f>
        <v>#N/A</v>
      </c>
      <c r="F78" s="566" t="e">
        <f t="array" ref="F78">INDEX(df_dwell_ten!$D$2:$G$100, MATCH(1, ($A$2 = df_dwell_ten!$B$2:$B$100) * ($B78 = df_dwell_ten!$C$2:$C$100), 0), MATCH(F$77, df_dwell_ten!$D$1:$G$1, 0))</f>
        <v>#N/A</v>
      </c>
      <c r="H78" s="483" t="s">
        <v>6</v>
      </c>
      <c r="I78" s="564" t="e">
        <f t="array" ref="I78">INDEX(df_dwell_ten!$D$2:$G$100, MATCH(1, (A$2 = df_dwell_ten!$B$2:$B$100) * ($B78 = df_dwell_ten!$C$2:$C$100), 0), MATCH("Total", df_dwell_ten!$D$1:$G$1, 0))</f>
        <v>#N/A</v>
      </c>
      <c r="J78" s="565" t="e">
        <f t="array" ref="J78">INDEX(df_dwell_ten!$D$2:$G$100, MATCH(1, (B$2 = df_dwell_ten!$B$2:$B$100) * ($B78 = df_dwell_ten!$C$2:$C$100), 0), MATCH("Total", df_dwell_ten!$D$1:$G$1, 0))</f>
        <v>#N/A</v>
      </c>
      <c r="K78" s="566" t="e">
        <f t="array" ref="K78">INDEX(df_dwell_ten!$D$2:$G$100, MATCH(1, (C$2 = df_dwell_ten!$B$2:$B$100) * ($B78 = df_dwell_ten!$C$2:$C$100), 0), MATCH("Total", df_dwell_ten!$D$1:$G$1, 0))</f>
        <v>#N/A</v>
      </c>
    </row>
    <row r="79" spans="1:11" ht="20.100000000000001" customHeight="1" x14ac:dyDescent="0.2">
      <c r="B79" s="918" t="s">
        <v>76</v>
      </c>
      <c r="C79" s="489" t="e">
        <f t="array" ref="C79">INDEX(df_dwell_ten!$D$2:$G$100, MATCH(1, ($A$2 = df_dwell_ten!$B$2:$B$100) * ($B79 = df_dwell_ten!$C$2:$C$100), 0), MATCH(C$77, df_dwell_ten!$D$1:$G$1, 0))</f>
        <v>#N/A</v>
      </c>
      <c r="D79" s="558" t="e">
        <f t="array" ref="D79">INDEX(df_dwell_ten!$D$2:$G$100, MATCH(1, ($A$2 = df_dwell_ten!$B$2:$B$100) * ($B79 = df_dwell_ten!$C$2:$C$100), 0), MATCH(D$77, df_dwell_ten!$D$1:$G$1, 0))</f>
        <v>#N/A</v>
      </c>
      <c r="E79" s="239" t="e">
        <f t="array" ref="E79">INDEX(df_dwell_ten!$D$2:$G$100, MATCH(1, ($A$2 = df_dwell_ten!$B$2:$B$100) * ($B79 = df_dwell_ten!$C$2:$C$100), 0), MATCH(E$77, df_dwell_ten!$D$1:$G$1, 0))</f>
        <v>#N/A</v>
      </c>
      <c r="F79" s="552" t="e">
        <f t="array" ref="F79">INDEX(df_dwell_ten!$D$2:$G$100, MATCH(1, ($A$2 = df_dwell_ten!$B$2:$B$100) * ($B79 = df_dwell_ten!$C$2:$C$100), 0), MATCH(F$77, df_dwell_ten!$D$1:$G$1, 0))</f>
        <v>#N/A</v>
      </c>
      <c r="H79" s="918" t="s">
        <v>76</v>
      </c>
      <c r="I79" s="558" t="e">
        <f t="array" ref="I79">INDEX(df_dwell_ten!$D$2:$G$100, MATCH(1, (A$2 = df_dwell_ten!$B$2:$B$100) * ($B79 = df_dwell_ten!$C$2:$C$100), 0), MATCH("Total", df_dwell_ten!$D$1:$G$1, 0))</f>
        <v>#N/A</v>
      </c>
      <c r="J79" s="239" t="e">
        <f t="array" ref="J79">INDEX(df_dwell_ten!$D$2:$G$100, MATCH(1, (B$2 = df_dwell_ten!$B$2:$B$100) * ($B79 = df_dwell_ten!$C$2:$C$100), 0), MATCH("Total", df_dwell_ten!$D$1:$G$1, 0))</f>
        <v>#N/A</v>
      </c>
      <c r="K79" s="552" t="e">
        <f t="array" ref="K79">INDEX(df_dwell_ten!$D$2:$G$100, MATCH(1, (C$2 = df_dwell_ten!$B$2:$B$100) * ($B79 = df_dwell_ten!$C$2:$C$100), 0), MATCH("Total", df_dwell_ten!$D$1:$G$1, 0))</f>
        <v>#N/A</v>
      </c>
    </row>
    <row r="80" spans="1:11" ht="20.100000000000001" customHeight="1" x14ac:dyDescent="0.2">
      <c r="B80" s="918" t="s">
        <v>345</v>
      </c>
      <c r="C80" s="489" t="e">
        <f t="array" ref="C80">INDEX(df_dwell_ten!$D$2:$G$100, MATCH(1, ($A$2 = df_dwell_ten!$B$2:$B$100) * ($B80 = df_dwell_ten!$C$2:$C$100), 0), MATCH(C$77, df_dwell_ten!$D$1:$G$1, 0))</f>
        <v>#N/A</v>
      </c>
      <c r="D80" s="558" t="e">
        <f t="array" ref="D80">INDEX(df_dwell_ten!$D$2:$G$100, MATCH(1, ($A$2 = df_dwell_ten!$B$2:$B$100) * ($B80 = df_dwell_ten!$C$2:$C$100), 0), MATCH(D$77, df_dwell_ten!$D$1:$G$1, 0))</f>
        <v>#N/A</v>
      </c>
      <c r="E80" s="239" t="e">
        <f t="array" ref="E80">INDEX(df_dwell_ten!$D$2:$G$100, MATCH(1, ($A$2 = df_dwell_ten!$B$2:$B$100) * ($B80 = df_dwell_ten!$C$2:$C$100), 0), MATCH(E$77, df_dwell_ten!$D$1:$G$1, 0))</f>
        <v>#N/A</v>
      </c>
      <c r="F80" s="552" t="e">
        <f t="array" ref="F80">INDEX(df_dwell_ten!$D$2:$G$100, MATCH(1, ($A$2 = df_dwell_ten!$B$2:$B$100) * ($B80 = df_dwell_ten!$C$2:$C$100), 0), MATCH(F$77, df_dwell_ten!$D$1:$G$1, 0))</f>
        <v>#N/A</v>
      </c>
      <c r="H80" s="918" t="s">
        <v>345</v>
      </c>
      <c r="I80" s="558" t="e">
        <f t="array" ref="I80">INDEX(df_dwell_ten!$D$2:$G$100, MATCH(1, (A$2 = df_dwell_ten!$B$2:$B$100) * ($B80 = df_dwell_ten!$C$2:$C$100), 0), MATCH("Total", df_dwell_ten!$D$1:$G$1, 0))</f>
        <v>#N/A</v>
      </c>
      <c r="J80" s="239" t="e">
        <f t="array" ref="J80">INDEX(df_dwell_ten!$D$2:$G$100, MATCH(1, (B$2 = df_dwell_ten!$B$2:$B$100) * ($B80 = df_dwell_ten!$C$2:$C$100), 0), MATCH("Total", df_dwell_ten!$D$1:$G$1, 0))</f>
        <v>#N/A</v>
      </c>
      <c r="K80" s="552" t="e">
        <f t="array" ref="K80">INDEX(df_dwell_ten!$D$2:$G$100, MATCH(1, (C$2 = df_dwell_ten!$B$2:$B$100) * ($B80 = df_dwell_ten!$C$2:$C$100), 0), MATCH("Total", df_dwell_ten!$D$1:$G$1, 0))</f>
        <v>#N/A</v>
      </c>
    </row>
    <row r="81" spans="1:11" ht="20.100000000000001" customHeight="1" x14ac:dyDescent="0.2">
      <c r="B81" s="918" t="s">
        <v>332</v>
      </c>
      <c r="C81" s="489" t="e">
        <f t="array" ref="C81">INDEX(df_dwell_ten!$D$2:$G$100, MATCH(1, ($A$2 = df_dwell_ten!$B$2:$B$100) * ($B81 = df_dwell_ten!$C$2:$C$100), 0), MATCH(C$77, df_dwell_ten!$D$1:$G$1, 0))</f>
        <v>#N/A</v>
      </c>
      <c r="D81" s="558" t="e">
        <f t="array" ref="D81">INDEX(df_dwell_ten!$D$2:$G$100, MATCH(1, ($A$2 = df_dwell_ten!$B$2:$B$100) * ($B81 = df_dwell_ten!$C$2:$C$100), 0), MATCH(D$77, df_dwell_ten!$D$1:$G$1, 0))</f>
        <v>#N/A</v>
      </c>
      <c r="E81" s="239" t="e">
        <f t="array" ref="E81">INDEX(df_dwell_ten!$D$2:$G$100, MATCH(1, ($A$2 = df_dwell_ten!$B$2:$B$100) * ($B81 = df_dwell_ten!$C$2:$C$100), 0), MATCH(E$77, df_dwell_ten!$D$1:$G$1, 0))</f>
        <v>#N/A</v>
      </c>
      <c r="F81" s="552" t="e">
        <f t="array" ref="F81">INDEX(df_dwell_ten!$D$2:$G$100, MATCH(1, ($A$2 = df_dwell_ten!$B$2:$B$100) * ($B81 = df_dwell_ten!$C$2:$C$100), 0), MATCH(F$77, df_dwell_ten!$D$1:$G$1, 0))</f>
        <v>#N/A</v>
      </c>
      <c r="H81" s="918" t="s">
        <v>332</v>
      </c>
      <c r="I81" s="558" t="e">
        <f t="array" ref="I81">INDEX(df_dwell_ten!$D$2:$G$100, MATCH(1, (A$2 = df_dwell_ten!$B$2:$B$100) * ($B81 = df_dwell_ten!$C$2:$C$100), 0), MATCH("Total", df_dwell_ten!$D$1:$G$1, 0))</f>
        <v>#N/A</v>
      </c>
      <c r="J81" s="239" t="e">
        <f t="array" ref="J81">INDEX(df_dwell_ten!$D$2:$G$100, MATCH(1, (B$2 = df_dwell_ten!$B$2:$B$100) * ($B81 = df_dwell_ten!$C$2:$C$100), 0), MATCH("Total", df_dwell_ten!$D$1:$G$1, 0))</f>
        <v>#N/A</v>
      </c>
      <c r="K81" s="552" t="e">
        <f t="array" ref="K81">INDEX(df_dwell_ten!$D$2:$G$100, MATCH(1, (C$2 = df_dwell_ten!$B$2:$B$100) * ($B81 = df_dwell_ten!$C$2:$C$100), 0), MATCH("Total", df_dwell_ten!$D$1:$G$1, 0))</f>
        <v>#N/A</v>
      </c>
    </row>
    <row r="82" spans="1:11" ht="20.100000000000001" customHeight="1" x14ac:dyDescent="0.2">
      <c r="B82" s="918" t="s">
        <v>330</v>
      </c>
      <c r="C82" s="489" t="e">
        <f t="array" ref="C82">INDEX(df_dwell_ten!$D$2:$G$100, MATCH(1, ($A$2 = df_dwell_ten!$B$2:$B$100) * ($B82 = df_dwell_ten!$C$2:$C$100), 0), MATCH(C$77, df_dwell_ten!$D$1:$G$1, 0))</f>
        <v>#N/A</v>
      </c>
      <c r="D82" s="558" t="e">
        <f t="array" ref="D82">INDEX(df_dwell_ten!$D$2:$G$100, MATCH(1, ($A$2 = df_dwell_ten!$B$2:$B$100) * ($B82 = df_dwell_ten!$C$2:$C$100), 0), MATCH(D$77, df_dwell_ten!$D$1:$G$1, 0))</f>
        <v>#N/A</v>
      </c>
      <c r="E82" s="239" t="e">
        <f t="array" ref="E82">INDEX(df_dwell_ten!$D$2:$G$100, MATCH(1, ($A$2 = df_dwell_ten!$B$2:$B$100) * ($B82 = df_dwell_ten!$C$2:$C$100), 0), MATCH(E$77, df_dwell_ten!$D$1:$G$1, 0))</f>
        <v>#N/A</v>
      </c>
      <c r="F82" s="552" t="e">
        <f t="array" ref="F82">INDEX(df_dwell_ten!$D$2:$G$100, MATCH(1, ($A$2 = df_dwell_ten!$B$2:$B$100) * ($B82 = df_dwell_ten!$C$2:$C$100), 0), MATCH(F$77, df_dwell_ten!$D$1:$G$1, 0))</f>
        <v>#N/A</v>
      </c>
      <c r="H82" s="918" t="s">
        <v>330</v>
      </c>
      <c r="I82" s="558" t="e">
        <f t="array" ref="I82">INDEX(df_dwell_ten!$D$2:$G$100, MATCH(1, (A$2 = df_dwell_ten!$B$2:$B$100) * ($B82 = df_dwell_ten!$C$2:$C$100), 0), MATCH("Total", df_dwell_ten!$D$1:$G$1, 0))</f>
        <v>#N/A</v>
      </c>
      <c r="J82" s="239" t="e">
        <f t="array" ref="J82">INDEX(df_dwell_ten!$D$2:$G$100, MATCH(1, (B$2 = df_dwell_ten!$B$2:$B$100) * ($B82 = df_dwell_ten!$C$2:$C$100), 0), MATCH("Total", df_dwell_ten!$D$1:$G$1, 0))</f>
        <v>#N/A</v>
      </c>
      <c r="K82" s="552" t="e">
        <f t="array" ref="K82">INDEX(df_dwell_ten!$D$2:$G$100, MATCH(1, (C$2 = df_dwell_ten!$B$2:$B$100) * ($B82 = df_dwell_ten!$C$2:$C$100), 0), MATCH("Total", df_dwell_ten!$D$1:$G$1, 0))</f>
        <v>#N/A</v>
      </c>
    </row>
    <row r="83" spans="1:11" ht="20.100000000000001" customHeight="1" x14ac:dyDescent="0.2">
      <c r="B83" s="918" t="s">
        <v>349</v>
      </c>
      <c r="C83" s="489" t="e">
        <f t="array" ref="C83">INDEX(df_dwell_ten!$D$2:$G$100, MATCH(1, ($A$2 = df_dwell_ten!$B$2:$B$100) * ($B83 = df_dwell_ten!$C$2:$C$100), 0), MATCH(C$77, df_dwell_ten!$D$1:$G$1, 0))</f>
        <v>#N/A</v>
      </c>
      <c r="D83" s="558" t="e">
        <f t="array" ref="D83">INDEX(df_dwell_ten!$D$2:$G$100, MATCH(1, ($A$2 = df_dwell_ten!$B$2:$B$100) * ($B83 = df_dwell_ten!$C$2:$C$100), 0), MATCH(D$77, df_dwell_ten!$D$1:$G$1, 0))</f>
        <v>#N/A</v>
      </c>
      <c r="E83" s="239" t="e">
        <f t="array" ref="E83">INDEX(df_dwell_ten!$D$2:$G$100, MATCH(1, ($A$2 = df_dwell_ten!$B$2:$B$100) * ($B83 = df_dwell_ten!$C$2:$C$100), 0), MATCH(E$77, df_dwell_ten!$D$1:$G$1, 0))</f>
        <v>#N/A</v>
      </c>
      <c r="F83" s="552" t="e">
        <f t="array" ref="F83">INDEX(df_dwell_ten!$D$2:$G$100, MATCH(1, ($A$2 = df_dwell_ten!$B$2:$B$100) * ($B83 = df_dwell_ten!$C$2:$C$100), 0), MATCH(F$77, df_dwell_ten!$D$1:$G$1, 0))</f>
        <v>#N/A</v>
      </c>
      <c r="H83" s="918" t="s">
        <v>349</v>
      </c>
      <c r="I83" s="558" t="e">
        <f t="array" ref="I83">INDEX(df_dwell_ten!$D$2:$G$100, MATCH(1, (A$2 = df_dwell_ten!$B$2:$B$100) * ($B83 = df_dwell_ten!$C$2:$C$100), 0), MATCH("Total", df_dwell_ten!$D$1:$G$1, 0))</f>
        <v>#N/A</v>
      </c>
      <c r="J83" s="239" t="e">
        <f t="array" ref="J83">INDEX(df_dwell_ten!$D$2:$G$100, MATCH(1, (B$2 = df_dwell_ten!$B$2:$B$100) * ($B83 = df_dwell_ten!$C$2:$C$100), 0), MATCH("Total", df_dwell_ten!$D$1:$G$1, 0))</f>
        <v>#N/A</v>
      </c>
      <c r="K83" s="552" t="e">
        <f t="array" ref="K83">INDEX(df_dwell_ten!$D$2:$G$100, MATCH(1, (C$2 = df_dwell_ten!$B$2:$B$100) * ($B83 = df_dwell_ten!$C$2:$C$100), 0), MATCH("Total", df_dwell_ten!$D$1:$G$1, 0))</f>
        <v>#N/A</v>
      </c>
    </row>
    <row r="84" spans="1:11" ht="20.100000000000001" customHeight="1" x14ac:dyDescent="0.2">
      <c r="B84" s="918" t="s">
        <v>348</v>
      </c>
      <c r="C84" s="489" t="e">
        <f t="array" ref="C84">INDEX(df_dwell_ten!$D$2:$G$100, MATCH(1, ($A$2 = df_dwell_ten!$B$2:$B$100) * ($B84 = df_dwell_ten!$C$2:$C$100), 0), MATCH(C$77, df_dwell_ten!$D$1:$G$1, 0))</f>
        <v>#N/A</v>
      </c>
      <c r="D84" s="558" t="e">
        <f t="array" ref="D84">INDEX(df_dwell_ten!$D$2:$G$100, MATCH(1, ($A$2 = df_dwell_ten!$B$2:$B$100) * ($B84 = df_dwell_ten!$C$2:$C$100), 0), MATCH(D$77, df_dwell_ten!$D$1:$G$1, 0))</f>
        <v>#N/A</v>
      </c>
      <c r="E84" s="239" t="e">
        <f t="array" ref="E84">INDEX(df_dwell_ten!$D$2:$G$100, MATCH(1, ($A$2 = df_dwell_ten!$B$2:$B$100) * ($B84 = df_dwell_ten!$C$2:$C$100), 0), MATCH(E$77, df_dwell_ten!$D$1:$G$1, 0))</f>
        <v>#N/A</v>
      </c>
      <c r="F84" s="552" t="e">
        <f t="array" ref="F84">INDEX(df_dwell_ten!$D$2:$G$100, MATCH(1, ($A$2 = df_dwell_ten!$B$2:$B$100) * ($B84 = df_dwell_ten!$C$2:$C$100), 0), MATCH(F$77, df_dwell_ten!$D$1:$G$1, 0))</f>
        <v>#N/A</v>
      </c>
      <c r="H84" s="918" t="s">
        <v>348</v>
      </c>
      <c r="I84" s="558" t="e">
        <f t="array" ref="I84">INDEX(df_dwell_ten!$D$2:$G$100, MATCH(1, (A$2 = df_dwell_ten!$B$2:$B$100) * ($B84 = df_dwell_ten!$C$2:$C$100), 0), MATCH("Total", df_dwell_ten!$D$1:$G$1, 0))</f>
        <v>#N/A</v>
      </c>
      <c r="J84" s="239" t="e">
        <f t="array" ref="J84">INDEX(df_dwell_ten!$D$2:$G$100, MATCH(1, (B$2 = df_dwell_ten!$B$2:$B$100) * ($B84 = df_dwell_ten!$C$2:$C$100), 0), MATCH("Total", df_dwell_ten!$D$1:$G$1, 0))</f>
        <v>#N/A</v>
      </c>
      <c r="K84" s="552" t="e">
        <f t="array" ref="K84">INDEX(df_dwell_ten!$D$2:$G$100, MATCH(1, (C$2 = df_dwell_ten!$B$2:$B$100) * ($B84 = df_dwell_ten!$C$2:$C$100), 0), MATCH("Total", df_dwell_ten!$D$1:$G$1, 0))</f>
        <v>#N/A</v>
      </c>
    </row>
    <row r="85" spans="1:11" ht="20.100000000000001" customHeight="1" x14ac:dyDescent="0.2">
      <c r="B85" s="918" t="s">
        <v>350</v>
      </c>
      <c r="C85" s="489" t="e">
        <f t="array" ref="C85">INDEX(df_dwell_ten!$D$2:$G$100, MATCH(1, ($A$2 = df_dwell_ten!$B$2:$B$100) * ($B85 = df_dwell_ten!$C$2:$C$100), 0), MATCH(C$77, df_dwell_ten!$D$1:$G$1, 0))</f>
        <v>#N/A</v>
      </c>
      <c r="D85" s="558" t="e">
        <f t="array" ref="D85">INDEX(df_dwell_ten!$D$2:$G$100, MATCH(1, ($A$2 = df_dwell_ten!$B$2:$B$100) * ($B85 = df_dwell_ten!$C$2:$C$100), 0), MATCH(D$77, df_dwell_ten!$D$1:$G$1, 0))</f>
        <v>#N/A</v>
      </c>
      <c r="E85" s="239" t="e">
        <f t="array" ref="E85">INDEX(df_dwell_ten!$D$2:$G$100, MATCH(1, ($A$2 = df_dwell_ten!$B$2:$B$100) * ($B85 = df_dwell_ten!$C$2:$C$100), 0), MATCH(E$77, df_dwell_ten!$D$1:$G$1, 0))</f>
        <v>#N/A</v>
      </c>
      <c r="F85" s="552" t="e">
        <f t="array" ref="F85">INDEX(df_dwell_ten!$D$2:$G$100, MATCH(1, ($A$2 = df_dwell_ten!$B$2:$B$100) * ($B85 = df_dwell_ten!$C$2:$C$100), 0), MATCH(F$77, df_dwell_ten!$D$1:$G$1, 0))</f>
        <v>#N/A</v>
      </c>
      <c r="H85" s="918" t="s">
        <v>350</v>
      </c>
      <c r="I85" s="558" t="e">
        <f t="array" ref="I85">INDEX(df_dwell_ten!$D$2:$G$100, MATCH(1, (A$2 = df_dwell_ten!$B$2:$B$100) * ($B85 = df_dwell_ten!$C$2:$C$100), 0), MATCH("Total", df_dwell_ten!$D$1:$G$1, 0))</f>
        <v>#N/A</v>
      </c>
      <c r="J85" s="239" t="e">
        <f t="array" ref="J85">INDEX(df_dwell_ten!$D$2:$G$100, MATCH(1, (B$2 = df_dwell_ten!$B$2:$B$100) * ($B85 = df_dwell_ten!$C$2:$C$100), 0), MATCH("Total", df_dwell_ten!$D$1:$G$1, 0))</f>
        <v>#N/A</v>
      </c>
      <c r="K85" s="552" t="e">
        <f t="array" ref="K85">INDEX(df_dwell_ten!$D$2:$G$100, MATCH(1, (C$2 = df_dwell_ten!$B$2:$B$100) * ($B85 = df_dwell_ten!$C$2:$C$100), 0), MATCH("Total", df_dwell_ten!$D$1:$G$1, 0))</f>
        <v>#N/A</v>
      </c>
    </row>
    <row r="86" spans="1:11" ht="20.100000000000001" customHeight="1" x14ac:dyDescent="0.2">
      <c r="B86" s="854" t="s">
        <v>94</v>
      </c>
      <c r="C86" s="490" t="e">
        <f t="array" ref="C86">INDEX(df_dwell_ten!$D$2:$G$100, MATCH(1, ($A$2 = df_dwell_ten!$B$2:$B$100) * ($B86 = df_dwell_ten!$C$2:$C$100), 0), MATCH(C$77, df_dwell_ten!$D$1:$G$1, 0))</f>
        <v>#N/A</v>
      </c>
      <c r="D86" s="559" t="e">
        <f t="array" ref="D86">INDEX(df_dwell_ten!$D$2:$G$100, MATCH(1, ($A$2 = df_dwell_ten!$B$2:$B$100) * ($B86 = df_dwell_ten!$C$2:$C$100), 0), MATCH(D$77, df_dwell_ten!$D$1:$G$1, 0))</f>
        <v>#N/A</v>
      </c>
      <c r="E86" s="553" t="e">
        <f t="array" ref="E86">INDEX(df_dwell_ten!$D$2:$G$100, MATCH(1, ($A$2 = df_dwell_ten!$B$2:$B$100) * ($B86 = df_dwell_ten!$C$2:$C$100), 0), MATCH(E$77, df_dwell_ten!$D$1:$G$1, 0))</f>
        <v>#N/A</v>
      </c>
      <c r="F86" s="554" t="e">
        <f t="array" ref="F86">INDEX(df_dwell_ten!$D$2:$G$100, MATCH(1, ($A$2 = df_dwell_ten!$B$2:$B$100) * ($B86 = df_dwell_ten!$C$2:$C$100), 0), MATCH(F$77, df_dwell_ten!$D$1:$G$1, 0))</f>
        <v>#N/A</v>
      </c>
      <c r="H86" s="854" t="s">
        <v>94</v>
      </c>
      <c r="I86" s="559" t="e">
        <f t="array" ref="I86">INDEX(df_dwell_ten!$D$2:$G$100, MATCH(1, (A$2 = df_dwell_ten!$B$2:$B$100) * ($B86 = df_dwell_ten!$C$2:$C$100), 0), MATCH("Total", df_dwell_ten!$D$1:$G$1, 0))</f>
        <v>#N/A</v>
      </c>
      <c r="J86" s="553" t="e">
        <f t="array" ref="J86">INDEX(df_dwell_ten!$D$2:$G$100, MATCH(1, (B$2 = df_dwell_ten!$B$2:$B$100) * ($B86 = df_dwell_ten!$C$2:$C$100), 0), MATCH("Total", df_dwell_ten!$D$1:$G$1, 0))</f>
        <v>#N/A</v>
      </c>
      <c r="K86" s="554" t="e">
        <f t="array" ref="K86">INDEX(df_dwell_ten!$D$2:$G$100, MATCH(1, (C$2 = df_dwell_ten!$B$2:$B$100) * ($B86 = df_dwell_ten!$C$2:$C$100), 0), MATCH("Total", df_dwell_ten!$D$1:$G$1, 0))</f>
        <v>#N/A</v>
      </c>
    </row>
    <row r="87" spans="1:11" ht="20.100000000000001" customHeight="1" x14ac:dyDescent="0.2"/>
    <row r="88" spans="1:11" ht="20.100000000000001" customHeight="1" x14ac:dyDescent="0.2">
      <c r="B88" s="1240" t="s">
        <v>1247</v>
      </c>
      <c r="C88" s="1240"/>
      <c r="D88" s="1240"/>
      <c r="E88" s="1240"/>
      <c r="F88" s="1240"/>
    </row>
    <row r="89" spans="1:11" ht="20.100000000000001" customHeight="1" x14ac:dyDescent="0.2"/>
    <row r="90" spans="1:11" ht="20.100000000000001" customHeight="1" x14ac:dyDescent="0.2">
      <c r="B90" s="487"/>
      <c r="C90" s="571" t="s">
        <v>6</v>
      </c>
      <c r="D90" s="128" t="s">
        <v>95</v>
      </c>
      <c r="E90" s="117" t="s">
        <v>96</v>
      </c>
      <c r="F90" s="302" t="s">
        <v>94</v>
      </c>
    </row>
    <row r="91" spans="1:11" ht="20.100000000000001" customHeight="1" x14ac:dyDescent="0.2">
      <c r="B91" s="483" t="s">
        <v>6</v>
      </c>
      <c r="C91" s="491" t="e">
        <f>C78</f>
        <v>#N/A</v>
      </c>
      <c r="D91" s="564" t="e">
        <f t="shared" ref="D91:F91" si="12">D78</f>
        <v>#N/A</v>
      </c>
      <c r="E91" s="565" t="e">
        <f t="shared" si="12"/>
        <v>#N/A</v>
      </c>
      <c r="F91" s="566" t="e">
        <f t="shared" si="12"/>
        <v>#N/A</v>
      </c>
    </row>
    <row r="92" spans="1:11" ht="20.100000000000001" customHeight="1" x14ac:dyDescent="0.2">
      <c r="B92" s="918" t="s">
        <v>76</v>
      </c>
      <c r="C92" s="489" t="e">
        <f>C79</f>
        <v>#N/A</v>
      </c>
      <c r="D92" s="558" t="e">
        <f t="shared" ref="D92:F92" si="13">D79</f>
        <v>#N/A</v>
      </c>
      <c r="E92" s="239" t="e">
        <f t="shared" si="13"/>
        <v>#N/A</v>
      </c>
      <c r="F92" s="552" t="e">
        <f t="shared" si="13"/>
        <v>#N/A</v>
      </c>
    </row>
    <row r="93" spans="1:11" ht="20.100000000000001" customHeight="1" x14ac:dyDescent="0.2">
      <c r="B93" s="918" t="s">
        <v>77</v>
      </c>
      <c r="C93" s="489" t="e">
        <f>SUM(C83:C84)</f>
        <v>#N/A</v>
      </c>
      <c r="D93" s="558" t="e">
        <f t="shared" ref="D93:F93" si="14">SUM(D83:D84)</f>
        <v>#N/A</v>
      </c>
      <c r="E93" s="239" t="e">
        <f t="shared" si="14"/>
        <v>#N/A</v>
      </c>
      <c r="F93" s="552" t="e">
        <f t="shared" si="14"/>
        <v>#N/A</v>
      </c>
    </row>
    <row r="94" spans="1:11" ht="20.100000000000001" customHeight="1" x14ac:dyDescent="0.2">
      <c r="B94" s="854" t="s">
        <v>78</v>
      </c>
      <c r="C94" s="490" t="e">
        <f>C78-SUM(C92:C93)</f>
        <v>#N/A</v>
      </c>
      <c r="D94" s="559" t="e">
        <f t="shared" ref="D94:F94" si="15">D78-SUM(D92:D93)</f>
        <v>#N/A</v>
      </c>
      <c r="E94" s="553" t="e">
        <f t="shared" si="15"/>
        <v>#N/A</v>
      </c>
      <c r="F94" s="554" t="e">
        <f t="shared" si="15"/>
        <v>#N/A</v>
      </c>
    </row>
    <row r="96" spans="1:11" ht="30" customHeight="1" x14ac:dyDescent="0.2">
      <c r="A96" s="560"/>
      <c r="B96" s="175" t="s">
        <v>1217</v>
      </c>
      <c r="C96" s="310"/>
      <c r="D96" s="310"/>
      <c r="E96" s="310"/>
      <c r="F96" s="310"/>
      <c r="G96" s="310"/>
      <c r="H96" s="310"/>
      <c r="I96" s="310"/>
      <c r="J96" s="310"/>
      <c r="K96" s="310"/>
    </row>
    <row r="97" spans="2:8" ht="20.100000000000001" customHeight="1" x14ac:dyDescent="0.2"/>
    <row r="98" spans="2:8" ht="20.100000000000001" customHeight="1" x14ac:dyDescent="0.2">
      <c r="B98" s="1243" t="s">
        <v>1218</v>
      </c>
      <c r="C98" s="1243"/>
      <c r="D98" s="1243"/>
      <c r="E98" s="1243"/>
      <c r="F98" s="1243"/>
      <c r="G98" s="1243"/>
      <c r="H98" s="1243"/>
    </row>
    <row r="99" spans="2:8" ht="20.100000000000001" customHeight="1" x14ac:dyDescent="0.2"/>
    <row r="100" spans="2:8" ht="20.100000000000001" customHeight="1" x14ac:dyDescent="0.2">
      <c r="B100" s="613"/>
      <c r="C100" s="1234" t="s">
        <v>314</v>
      </c>
      <c r="D100" s="1257"/>
      <c r="E100" s="1235"/>
      <c r="F100" s="1254" t="s">
        <v>701</v>
      </c>
      <c r="G100" s="1255"/>
      <c r="H100" s="1256"/>
    </row>
    <row r="101" spans="2:8" ht="20.100000000000001" customHeight="1" x14ac:dyDescent="0.2">
      <c r="B101" s="639" t="s">
        <v>315</v>
      </c>
      <c r="C101" s="956" t="s">
        <v>6</v>
      </c>
      <c r="D101" s="616" t="s">
        <v>95</v>
      </c>
      <c r="E101" s="617" t="s">
        <v>96</v>
      </c>
      <c r="F101" s="618" t="s">
        <v>187</v>
      </c>
      <c r="G101" s="619" t="s">
        <v>188</v>
      </c>
      <c r="H101" s="620" t="s">
        <v>189</v>
      </c>
    </row>
    <row r="102" spans="2:8" ht="20.100000000000001" customHeight="1" x14ac:dyDescent="0.2">
      <c r="B102" s="637" t="str">
        <f>B78</f>
        <v>Total</v>
      </c>
      <c r="C102" s="646" t="str">
        <f>IFERROR(C78,"x")</f>
        <v>x</v>
      </c>
      <c r="D102" s="647" t="str">
        <f>IFERROR(D78/SUM($D78:$E78),"x")</f>
        <v>x</v>
      </c>
      <c r="E102" s="647" t="str">
        <f>IFERROR(E78/SUM($D78:$E78),"x")</f>
        <v>x</v>
      </c>
      <c r="F102" s="630" t="str">
        <f>IFERROR(I78,"x")</f>
        <v>x</v>
      </c>
      <c r="G102" s="649" t="str">
        <f t="shared" ref="G102:H102" si="16">IFERROR(J78,"x")</f>
        <v>x</v>
      </c>
      <c r="H102" s="631" t="str">
        <f t="shared" si="16"/>
        <v>x</v>
      </c>
    </row>
    <row r="103" spans="2:8" ht="20.100000000000001" customHeight="1" x14ac:dyDescent="0.2">
      <c r="B103" s="960" t="s">
        <v>373</v>
      </c>
      <c r="C103" s="881" t="str">
        <f t="shared" ref="C103:C110" si="17">IFERROR(C79,"x")</f>
        <v>x</v>
      </c>
      <c r="D103" s="882" t="str">
        <f t="shared" ref="D103:E110" si="18">IFERROR(D79/SUM($D79:$E79),"x")</f>
        <v>x</v>
      </c>
      <c r="E103" s="883" t="str">
        <f t="shared" si="18"/>
        <v>x</v>
      </c>
      <c r="F103" s="884" t="str">
        <f>IFERROR(IF(I79/I$78= 0, "x", I79/I$78),"x")</f>
        <v>x</v>
      </c>
      <c r="G103" s="885" t="str">
        <f t="shared" ref="G103:H103" si="19">IFERROR(IF(J79/J$78= 0, "x", J79/J$78),"x")</f>
        <v>x</v>
      </c>
      <c r="H103" s="883" t="str">
        <f t="shared" si="19"/>
        <v>x</v>
      </c>
    </row>
    <row r="104" spans="2:8" ht="20.100000000000001" customHeight="1" x14ac:dyDescent="0.2">
      <c r="B104" s="534" t="s">
        <v>372</v>
      </c>
      <c r="C104" s="661" t="str">
        <f t="shared" si="17"/>
        <v>x</v>
      </c>
      <c r="D104" s="662" t="str">
        <f t="shared" si="18"/>
        <v>x</v>
      </c>
      <c r="E104" s="601" t="str">
        <f t="shared" si="18"/>
        <v>x</v>
      </c>
      <c r="F104" s="599" t="str">
        <f t="shared" ref="F104:F110" si="20">IFERROR(IF(I80/I$78= 0, "x", I80/I$78),"x")</f>
        <v>x</v>
      </c>
      <c r="G104" s="600" t="str">
        <f t="shared" ref="G104:G110" si="21">IFERROR(IF(J80/J$78= 0, "x", J80/J$78),"x")</f>
        <v>x</v>
      </c>
      <c r="H104" s="601" t="str">
        <f t="shared" ref="H104:H110" si="22">IFERROR(IF(K80/K$78= 0, "x", K80/K$78),"x")</f>
        <v>x</v>
      </c>
    </row>
    <row r="105" spans="2:8" ht="20.100000000000001" customHeight="1" x14ac:dyDescent="0.2">
      <c r="B105" s="533" t="s">
        <v>347</v>
      </c>
      <c r="C105" s="656" t="str">
        <f t="shared" si="17"/>
        <v>x</v>
      </c>
      <c r="D105" s="657" t="str">
        <f t="shared" si="18"/>
        <v>x</v>
      </c>
      <c r="E105" s="658" t="str">
        <f t="shared" si="18"/>
        <v>x</v>
      </c>
      <c r="F105" s="659" t="str">
        <f t="shared" si="20"/>
        <v>x</v>
      </c>
      <c r="G105" s="660" t="str">
        <f t="shared" si="21"/>
        <v>x</v>
      </c>
      <c r="H105" s="658" t="str">
        <f t="shared" si="22"/>
        <v>x</v>
      </c>
    </row>
    <row r="106" spans="2:8" ht="20.100000000000001" customHeight="1" x14ac:dyDescent="0.2">
      <c r="B106" s="534" t="s">
        <v>374</v>
      </c>
      <c r="C106" s="661" t="str">
        <f t="shared" si="17"/>
        <v>x</v>
      </c>
      <c r="D106" s="662" t="str">
        <f t="shared" si="18"/>
        <v>x</v>
      </c>
      <c r="E106" s="601" t="str">
        <f t="shared" si="18"/>
        <v>x</v>
      </c>
      <c r="F106" s="599" t="str">
        <f t="shared" si="20"/>
        <v>x</v>
      </c>
      <c r="G106" s="600" t="str">
        <f t="shared" si="21"/>
        <v>x</v>
      </c>
      <c r="H106" s="601" t="str">
        <f t="shared" si="22"/>
        <v>x</v>
      </c>
    </row>
    <row r="107" spans="2:8" ht="20.100000000000001" customHeight="1" x14ac:dyDescent="0.2">
      <c r="B107" s="533" t="s">
        <v>371</v>
      </c>
      <c r="C107" s="656" t="str">
        <f t="shared" si="17"/>
        <v>x</v>
      </c>
      <c r="D107" s="657" t="str">
        <f t="shared" si="18"/>
        <v>x</v>
      </c>
      <c r="E107" s="658" t="str">
        <f t="shared" si="18"/>
        <v>x</v>
      </c>
      <c r="F107" s="659" t="str">
        <f t="shared" si="20"/>
        <v>x</v>
      </c>
      <c r="G107" s="660" t="str">
        <f t="shared" si="21"/>
        <v>x</v>
      </c>
      <c r="H107" s="658" t="str">
        <f t="shared" si="22"/>
        <v>x</v>
      </c>
    </row>
    <row r="108" spans="2:8" ht="20.100000000000001" customHeight="1" x14ac:dyDescent="0.2">
      <c r="B108" s="534" t="s">
        <v>370</v>
      </c>
      <c r="C108" s="661" t="str">
        <f t="shared" si="17"/>
        <v>x</v>
      </c>
      <c r="D108" s="662" t="str">
        <f t="shared" si="18"/>
        <v>x</v>
      </c>
      <c r="E108" s="601" t="str">
        <f t="shared" si="18"/>
        <v>x</v>
      </c>
      <c r="F108" s="599" t="str">
        <f t="shared" si="20"/>
        <v>x</v>
      </c>
      <c r="G108" s="600" t="str">
        <f t="shared" si="21"/>
        <v>x</v>
      </c>
      <c r="H108" s="601" t="str">
        <f t="shared" si="22"/>
        <v>x</v>
      </c>
    </row>
    <row r="109" spans="2:8" ht="20.100000000000001" customHeight="1" x14ac:dyDescent="0.2">
      <c r="B109" s="533" t="str">
        <f>B85</f>
        <v>Movable</v>
      </c>
      <c r="C109" s="656" t="str">
        <f t="shared" si="17"/>
        <v>x</v>
      </c>
      <c r="D109" s="657" t="str">
        <f t="shared" si="18"/>
        <v>x</v>
      </c>
      <c r="E109" s="658" t="str">
        <f t="shared" si="18"/>
        <v>x</v>
      </c>
      <c r="F109" s="659" t="str">
        <f t="shared" si="20"/>
        <v>x</v>
      </c>
      <c r="G109" s="660" t="str">
        <f t="shared" si="21"/>
        <v>x</v>
      </c>
      <c r="H109" s="658" t="str">
        <f t="shared" si="22"/>
        <v>x</v>
      </c>
    </row>
    <row r="110" spans="2:8" ht="20.100000000000001" customHeight="1" x14ac:dyDescent="0.2">
      <c r="B110" s="536" t="s">
        <v>369</v>
      </c>
      <c r="C110" s="667" t="str">
        <f t="shared" si="17"/>
        <v>x</v>
      </c>
      <c r="D110" s="668" t="str">
        <f t="shared" si="18"/>
        <v>x</v>
      </c>
      <c r="E110" s="669" t="str">
        <f t="shared" si="18"/>
        <v>x</v>
      </c>
      <c r="F110" s="888" t="str">
        <f t="shared" si="20"/>
        <v>x</v>
      </c>
      <c r="G110" s="670" t="str">
        <f t="shared" si="21"/>
        <v>x</v>
      </c>
      <c r="H110" s="669" t="str">
        <f t="shared" si="22"/>
        <v>x</v>
      </c>
    </row>
    <row r="111" spans="2:8" ht="20.100000000000001" customHeight="1" x14ac:dyDescent="0.2"/>
    <row r="112" spans="2:8" ht="20.100000000000001" customHeight="1" x14ac:dyDescent="0.2"/>
    <row r="113" spans="1:11" ht="50.1" customHeight="1" x14ac:dyDescent="0.2">
      <c r="B113" s="159" t="s">
        <v>1248</v>
      </c>
      <c r="C113" s="59"/>
      <c r="D113" s="59"/>
      <c r="E113" s="59"/>
      <c r="F113" s="59"/>
      <c r="G113" s="59"/>
      <c r="H113" s="59"/>
      <c r="I113" s="59"/>
      <c r="J113" s="59"/>
      <c r="K113" s="59"/>
    </row>
    <row r="115" spans="1:11" ht="30" customHeight="1" x14ac:dyDescent="0.2">
      <c r="A115" s="560"/>
      <c r="B115" s="175" t="s">
        <v>1216</v>
      </c>
      <c r="C115" s="310"/>
      <c r="D115" s="310"/>
      <c r="E115" s="310"/>
      <c r="F115" s="310"/>
      <c r="G115" s="310"/>
      <c r="H115" s="310"/>
      <c r="I115" s="310"/>
      <c r="J115" s="310"/>
      <c r="K115" s="310"/>
    </row>
    <row r="116" spans="1:11" ht="20.100000000000001" customHeight="1" x14ac:dyDescent="0.2"/>
    <row r="117" spans="1:11" ht="20.100000000000001" customHeight="1" x14ac:dyDescent="0.2">
      <c r="B117" s="1240" t="s">
        <v>379</v>
      </c>
      <c r="C117" s="1240"/>
      <c r="D117" s="1240"/>
      <c r="E117" s="1240"/>
      <c r="F117" s="1240"/>
    </row>
    <row r="118" spans="1:11" ht="20.100000000000001" customHeight="1" x14ac:dyDescent="0.2"/>
    <row r="119" spans="1:11" ht="20.100000000000001" customHeight="1" x14ac:dyDescent="0.2">
      <c r="B119" s="487"/>
      <c r="C119" s="571" t="s">
        <v>6</v>
      </c>
      <c r="D119" s="128" t="s">
        <v>95</v>
      </c>
      <c r="E119" s="117" t="s">
        <v>96</v>
      </c>
      <c r="F119" s="302" t="s">
        <v>94</v>
      </c>
    </row>
    <row r="120" spans="1:11" ht="20.100000000000001" customHeight="1" x14ac:dyDescent="0.2">
      <c r="B120" s="483" t="s">
        <v>6</v>
      </c>
      <c r="C120" s="491">
        <f t="array" ref="C120">IFERROR(INDEX(df_hh_ten!$D$2:$G$100, MATCH(1, (df_hh_ten!$B$2:$B$100 = $A$2) * (df_hh_ten!$C$2:$C$100 = $B120), 0), MATCH(C$119, df_hh_ten!$D$1:$G$1, 0)),0)</f>
        <v>0</v>
      </c>
      <c r="D120" s="564">
        <f t="array" ref="D120">IFERROR(INDEX(df_hh_ten!$D$2:$G$100, MATCH(1, (df_hh_ten!$B$2:$B$100 = $A$2) * (df_hh_ten!$C$2:$C$100 = $B120), 0), MATCH(D$119, df_hh_ten!$D$1:$G$1, 0)),0)</f>
        <v>0</v>
      </c>
      <c r="E120" s="565">
        <f t="array" ref="E120">IFERROR(INDEX(df_hh_ten!$D$2:$G$100, MATCH(1, (df_hh_ten!$B$2:$B$100 = $A$2) * (df_hh_ten!$C$2:$C$100 = $B120), 0), MATCH(E$119, df_hh_ten!$D$1:$G$1, 0)),0)</f>
        <v>0</v>
      </c>
      <c r="F120" s="566">
        <f t="array" ref="F120">IFERROR(INDEX(df_hh_ten!$D$2:$G$100, MATCH(1, (df_hh_ten!$B$2:$B$100 = $A$2) * (df_hh_ten!$C$2:$C$100 = $B120), 0), MATCH(F$119, df_hh_ten!$D$1:$G$1, 0)),0)</f>
        <v>0</v>
      </c>
    </row>
    <row r="121" spans="1:11" ht="20.100000000000001" customHeight="1" x14ac:dyDescent="0.2">
      <c r="B121" s="918" t="s">
        <v>380</v>
      </c>
      <c r="C121" s="489">
        <f t="array" ref="C121">IFERROR(INDEX(df_hh_ten!$D$2:$G$100, MATCH(1, (df_hh_ten!$B$2:$B$100 = $A$2) * (df_hh_ten!$C$2:$C$100 = $B121), 0), MATCH(C$119, df_hh_ten!$D$1:$G$1, 0)),0)</f>
        <v>0</v>
      </c>
      <c r="D121" s="558">
        <f t="array" ref="D121">IFERROR(INDEX(df_hh_ten!$D$2:$G$100, MATCH(1, (df_hh_ten!$B$2:$B$100 = $A$2) * (df_hh_ten!$C$2:$C$100 = $B121), 0), MATCH(D$119, df_hh_ten!$D$1:$G$1, 0)),0)</f>
        <v>0</v>
      </c>
      <c r="E121" s="239">
        <f t="array" ref="E121">IFERROR(INDEX(df_hh_ten!$D$2:$G$100, MATCH(1, (df_hh_ten!$B$2:$B$100 = $A$2) * (df_hh_ten!$C$2:$C$100 = $B121), 0), MATCH(E$119, df_hh_ten!$D$1:$G$1, 0)),0)</f>
        <v>0</v>
      </c>
      <c r="F121" s="552">
        <f t="array" ref="F121">IFERROR(INDEX(df_hh_ten!$D$2:$G$100, MATCH(1, (df_hh_ten!$B$2:$B$100 = $A$2) * (df_hh_ten!$C$2:$C$100 = $B121), 0), MATCH(F$119, df_hh_ten!$D$1:$G$1, 0)),0)</f>
        <v>0</v>
      </c>
    </row>
    <row r="122" spans="1:11" ht="20.100000000000001" customHeight="1" x14ac:dyDescent="0.2">
      <c r="B122" s="918" t="s">
        <v>142</v>
      </c>
      <c r="C122" s="489">
        <f t="array" ref="C122">IFERROR(INDEX(df_hh_ten!$D$2:$G$100, MATCH(1, (df_hh_ten!$B$2:$B$100 = $A$2) * (df_hh_ten!$C$2:$C$100 = $B122), 0), MATCH(C$119, df_hh_ten!$D$1:$G$1, 0)),0)</f>
        <v>0</v>
      </c>
      <c r="D122" s="558">
        <f t="array" ref="D122">IFERROR(INDEX(df_hh_ten!$D$2:$G$100, MATCH(1, (df_hh_ten!$B$2:$B$100 = $A$2) * (df_hh_ten!$C$2:$C$100 = $B122), 0), MATCH(D$119, df_hh_ten!$D$1:$G$1, 0)),0)</f>
        <v>0</v>
      </c>
      <c r="E122" s="239">
        <f t="array" ref="E122">IFERROR(INDEX(df_hh_ten!$D$2:$G$100, MATCH(1, (df_hh_ten!$B$2:$B$100 = $A$2) * (df_hh_ten!$C$2:$C$100 = $B122), 0), MATCH(E$119, df_hh_ten!$D$1:$G$1, 0)),0)</f>
        <v>0</v>
      </c>
      <c r="F122" s="552">
        <f t="array" ref="F122">IFERROR(INDEX(df_hh_ten!$D$2:$G$100, MATCH(1, (df_hh_ten!$B$2:$B$100 = $A$2) * (df_hh_ten!$C$2:$C$100 = $B122), 0), MATCH(F$119, df_hh_ten!$D$1:$G$1, 0)),0)</f>
        <v>0</v>
      </c>
    </row>
    <row r="123" spans="1:11" ht="20.100000000000001" customHeight="1" x14ac:dyDescent="0.2">
      <c r="B123" s="918" t="s">
        <v>381</v>
      </c>
      <c r="C123" s="489">
        <f t="array" ref="C123">IFERROR(INDEX(df_hh_ten!$D$2:$G$100, MATCH(1, (df_hh_ten!$B$2:$B$100 = $A$2) * (df_hh_ten!$C$2:$C$100 = $B123), 0), MATCH(C$119, df_hh_ten!$D$1:$G$1, 0)),0)</f>
        <v>0</v>
      </c>
      <c r="D123" s="558">
        <f t="array" ref="D123">IFERROR(INDEX(df_hh_ten!$D$2:$G$100, MATCH(1, (df_hh_ten!$B$2:$B$100 = $A$2) * (df_hh_ten!$C$2:$C$100 = $B123), 0), MATCH(D$119, df_hh_ten!$D$1:$G$1, 0)),0)</f>
        <v>0</v>
      </c>
      <c r="E123" s="239">
        <f t="array" ref="E123">IFERROR(INDEX(df_hh_ten!$D$2:$G$100, MATCH(1, (df_hh_ten!$B$2:$B$100 = $A$2) * (df_hh_ten!$C$2:$C$100 = $B123), 0), MATCH(E$119, df_hh_ten!$D$1:$G$1, 0)),0)</f>
        <v>0</v>
      </c>
      <c r="F123" s="552">
        <f t="array" ref="F123">IFERROR(INDEX(df_hh_ten!$D$2:$G$100, MATCH(1, (df_hh_ten!$B$2:$B$100 = $A$2) * (df_hh_ten!$C$2:$C$100 = $B123), 0), MATCH(F$119, df_hh_ten!$D$1:$G$1, 0)),0)</f>
        <v>0</v>
      </c>
    </row>
    <row r="124" spans="1:11" ht="20.100000000000001" customHeight="1" x14ac:dyDescent="0.2">
      <c r="B124" s="918" t="s">
        <v>382</v>
      </c>
      <c r="C124" s="489">
        <f t="array" ref="C124">IFERROR(INDEX(df_hh_ten!$D$2:$G$100, MATCH(1, (df_hh_ten!$B$2:$B$100 = $A$2) * (df_hh_ten!$C$2:$C$100 = $B124), 0), MATCH(C$119, df_hh_ten!$D$1:$G$1, 0)),0)</f>
        <v>0</v>
      </c>
      <c r="D124" s="558">
        <f t="array" ref="D124">IFERROR(INDEX(df_hh_ten!$D$2:$G$100, MATCH(1, (df_hh_ten!$B$2:$B$100 = $A$2) * (df_hh_ten!$C$2:$C$100 = $B124), 0), MATCH(D$119, df_hh_ten!$D$1:$G$1, 0)),0)</f>
        <v>0</v>
      </c>
      <c r="E124" s="239">
        <f t="array" ref="E124">IFERROR(INDEX(df_hh_ten!$D$2:$G$100, MATCH(1, (df_hh_ten!$B$2:$B$100 = $A$2) * (df_hh_ten!$C$2:$C$100 = $B124), 0), MATCH(E$119, df_hh_ten!$D$1:$G$1, 0)),0)</f>
        <v>0</v>
      </c>
      <c r="F124" s="552">
        <f t="array" ref="F124">IFERROR(INDEX(df_hh_ten!$D$2:$G$100, MATCH(1, (df_hh_ten!$B$2:$B$100 = $A$2) * (df_hh_ten!$C$2:$C$100 = $B124), 0), MATCH(F$119, df_hh_ten!$D$1:$G$1, 0)),0)</f>
        <v>0</v>
      </c>
    </row>
    <row r="125" spans="1:11" ht="20.100000000000001" customHeight="1" x14ac:dyDescent="0.2">
      <c r="B125" s="854" t="s">
        <v>383</v>
      </c>
      <c r="C125" s="490">
        <f t="array" ref="C125">IFERROR(INDEX(df_hh_ten!$D$2:$G$100, MATCH(1, (df_hh_ten!$B$2:$B$100 = $A$2) * (df_hh_ten!$C$2:$C$100 = $B125), 0), MATCH(C$119, df_hh_ten!$D$1:$G$1, 0)),0)</f>
        <v>0</v>
      </c>
      <c r="D125" s="559">
        <f t="array" ref="D125">IFERROR(INDEX(df_hh_ten!$D$2:$G$100, MATCH(1, (df_hh_ten!$B$2:$B$100 = $A$2) * (df_hh_ten!$C$2:$C$100 = $B125), 0), MATCH(D$119, df_hh_ten!$D$1:$G$1, 0)),0)</f>
        <v>0</v>
      </c>
      <c r="E125" s="553">
        <f t="array" ref="E125">IFERROR(INDEX(df_hh_ten!$D$2:$G$100, MATCH(1, (df_hh_ten!$B$2:$B$100 = $A$2) * (df_hh_ten!$C$2:$C$100 = $B125), 0), MATCH(E$119, df_hh_ten!$D$1:$G$1, 0)),0)</f>
        <v>0</v>
      </c>
      <c r="F125" s="554">
        <f t="array" ref="F125">IFERROR(INDEX(df_hh_ten!$D$2:$G$100, MATCH(1, (df_hh_ten!$B$2:$B$100 = $A$2) * (df_hh_ten!$C$2:$C$100 = $B125), 0), MATCH(F$119, df_hh_ten!$D$1:$G$1, 0)),0)</f>
        <v>0</v>
      </c>
    </row>
    <row r="128" spans="1:11" ht="50.1" customHeight="1" x14ac:dyDescent="0.2">
      <c r="B128" s="159" t="s">
        <v>1249</v>
      </c>
      <c r="C128" s="59"/>
      <c r="D128" s="59"/>
      <c r="E128" s="59"/>
      <c r="F128" s="59"/>
      <c r="G128" s="59"/>
      <c r="H128" s="59"/>
      <c r="I128" s="59"/>
      <c r="J128" s="59"/>
      <c r="K128" s="59"/>
    </row>
    <row r="130" spans="1:11" ht="30" customHeight="1" x14ac:dyDescent="0.2">
      <c r="A130" s="560"/>
      <c r="B130" s="175" t="s">
        <v>1216</v>
      </c>
      <c r="C130" s="310"/>
      <c r="D130" s="310"/>
      <c r="E130" s="310"/>
      <c r="F130" s="310"/>
      <c r="G130" s="310"/>
      <c r="H130" s="310"/>
      <c r="I130" s="310"/>
      <c r="J130" s="310"/>
      <c r="K130" s="310"/>
    </row>
    <row r="132" spans="1:11" ht="20.100000000000001" customHeight="1" x14ac:dyDescent="0.2">
      <c r="B132" s="1240" t="s">
        <v>544</v>
      </c>
      <c r="C132" s="1240"/>
      <c r="D132" s="1240"/>
      <c r="E132" s="1240"/>
      <c r="F132" s="1240"/>
    </row>
    <row r="133" spans="1:11" ht="20.100000000000001" customHeight="1" x14ac:dyDescent="0.2"/>
    <row r="134" spans="1:11" ht="20.100000000000001" customHeight="1" x14ac:dyDescent="0.2">
      <c r="B134" s="492"/>
      <c r="C134" s="72"/>
      <c r="D134" s="128" t="s">
        <v>181</v>
      </c>
      <c r="E134" s="117" t="s">
        <v>182</v>
      </c>
      <c r="F134" s="302" t="s">
        <v>183</v>
      </c>
    </row>
    <row r="135" spans="1:11" ht="20.100000000000001" customHeight="1" x14ac:dyDescent="0.2">
      <c r="A135" s="476" t="s">
        <v>510</v>
      </c>
      <c r="B135" s="206" t="s">
        <v>545</v>
      </c>
      <c r="C135" s="72"/>
      <c r="D135" s="564" t="e">
        <f t="array" ref="D135">INDEX(df_dwell_aff!$D$2:$J$100, MATCH(1, (A$2 = df_dwell_aff!$A$2:$A$100) * ("Total" = df_dwell_aff!$B$2:$B$100) * ("Total" = df_dwell_aff!$C$2:$C$100), 0), MATCH($A135, df_dwell_aff!$D$1:$J$1,0))</f>
        <v>#N/A</v>
      </c>
      <c r="E135" s="565" t="e">
        <f t="array" ref="E135">INDEX(df_dwell_aff!$D$2:$J$100, MATCH(1, (B$2 = df_dwell_aff!$A$2:$A$100) * ("Total" = df_dwell_aff!$B$2:$B$100) * ("Total" = df_dwell_aff!$C$2:$C$100), 0), MATCH($A135, df_dwell_aff!$D$1:$J$1,0))</f>
        <v>#N/A</v>
      </c>
      <c r="F135" s="566" t="e">
        <f t="array" ref="F135">INDEX(df_dwell_aff!$D$2:$J$100, MATCH(1, (C$2 = df_dwell_aff!$A$2:$A$100) * ("Total" = df_dwell_aff!$B$2:$B$100) * ("Total" = df_dwell_aff!$C$2:$C$100), 0), MATCH($A135, df_dwell_aff!$D$1:$J$1,0))</f>
        <v>#N/A</v>
      </c>
    </row>
    <row r="136" spans="1:11" ht="20.100000000000001" customHeight="1" x14ac:dyDescent="0.2">
      <c r="A136" s="476" t="s">
        <v>511</v>
      </c>
      <c r="B136" s="206" t="s">
        <v>546</v>
      </c>
      <c r="C136" s="72"/>
      <c r="D136" s="559" t="e">
        <f t="array" ref="D136">INDEX(df_dwell_aff!$D$2:$J$100, MATCH(1, (A$2 = df_dwell_aff!$A$2:$A$100) * ("Total" = df_dwell_aff!$B$2:$B$100) * ("Total" = df_dwell_aff!$C$2:$C$100), 0), MATCH($A136, df_dwell_aff!$D$1:$J$1,0))</f>
        <v>#N/A</v>
      </c>
      <c r="E136" s="553" t="e">
        <f t="array" ref="E136">INDEX(df_dwell_aff!$D$2:$J$100, MATCH(1, (B$2 = df_dwell_aff!$A$2:$A$100) * ("Total" = df_dwell_aff!$B$2:$B$100) * ("Total" = df_dwell_aff!$C$2:$C$100), 0), MATCH($A136, df_dwell_aff!$D$1:$J$1,0))</f>
        <v>#N/A</v>
      </c>
      <c r="F136" s="554" t="e">
        <f t="array" ref="F136">INDEX(df_dwell_aff!$D$2:$J$100, MATCH(1, (C$2 = df_dwell_aff!$A$2:$A$100) * ("Total" = df_dwell_aff!$B$2:$B$100) * ("Total" = df_dwell_aff!$C$2:$C$100), 0), MATCH($A136, df_dwell_aff!$D$1:$J$1,0))</f>
        <v>#N/A</v>
      </c>
    </row>
    <row r="137" spans="1:11" ht="20.100000000000001" customHeight="1" x14ac:dyDescent="0.2">
      <c r="C137" s="1"/>
      <c r="E137" s="239"/>
      <c r="F137" s="239"/>
      <c r="G137" s="239"/>
    </row>
    <row r="138" spans="1:11" ht="30" customHeight="1" x14ac:dyDescent="0.2">
      <c r="A138" s="560"/>
      <c r="B138" s="175" t="s">
        <v>1217</v>
      </c>
      <c r="C138" s="310"/>
      <c r="D138" s="310"/>
      <c r="E138" s="310"/>
      <c r="F138" s="310"/>
      <c r="G138" s="310"/>
      <c r="H138" s="310"/>
      <c r="I138" s="310"/>
      <c r="J138" s="310"/>
      <c r="K138" s="310"/>
    </row>
    <row r="139" spans="1:11" ht="20.100000000000001" customHeight="1" x14ac:dyDescent="0.2">
      <c r="C139" s="1"/>
      <c r="E139" s="239"/>
      <c r="F139" s="239"/>
      <c r="G139" s="239"/>
    </row>
    <row r="140" spans="1:11" ht="20.100000000000001" customHeight="1" x14ac:dyDescent="0.2">
      <c r="B140" s="1258" t="s">
        <v>1218</v>
      </c>
      <c r="C140" s="1258"/>
      <c r="D140" s="1258"/>
      <c r="E140" s="1258"/>
      <c r="F140" s="239"/>
      <c r="G140" s="239"/>
    </row>
    <row r="141" spans="1:11" ht="20.100000000000001" customHeight="1" x14ac:dyDescent="0.2">
      <c r="G141" s="239"/>
    </row>
    <row r="142" spans="1:11" ht="20.100000000000001" customHeight="1" x14ac:dyDescent="0.2">
      <c r="B142" s="68" t="s">
        <v>478</v>
      </c>
      <c r="C142" s="961" t="s">
        <v>187</v>
      </c>
      <c r="D142" s="246" t="s">
        <v>188</v>
      </c>
      <c r="E142" s="317" t="s">
        <v>189</v>
      </c>
      <c r="G142" s="239"/>
    </row>
    <row r="143" spans="1:11" ht="20.100000000000001" customHeight="1" x14ac:dyDescent="0.2">
      <c r="B143" s="629" t="s">
        <v>537</v>
      </c>
      <c r="C143" s="874" t="str">
        <f t="array" ref="C143">IFERROR(IF(D135 = 0, "x", D135),"x")</f>
        <v>x</v>
      </c>
      <c r="D143" s="649" t="str">
        <f>IFERROR(E135,"x")</f>
        <v>x</v>
      </c>
      <c r="E143" s="631" t="str">
        <f>IFERROR(F135,"x")</f>
        <v>x</v>
      </c>
      <c r="G143" s="239"/>
    </row>
    <row r="144" spans="1:11" ht="20.100000000000001" customHeight="1" x14ac:dyDescent="0.2">
      <c r="B144" s="623" t="s">
        <v>547</v>
      </c>
      <c r="C144" s="875" t="str">
        <f t="array" ref="C144:E144">IFERROR(IF(D136:F136 = 0, "x", D136:F136 ),"x")</f>
        <v>x</v>
      </c>
      <c r="D144" s="876" t="str">
        <v>x</v>
      </c>
      <c r="E144" s="625" t="str">
        <v>x</v>
      </c>
      <c r="G144" s="239"/>
    </row>
    <row r="145" spans="1:14" ht="20.100000000000001" customHeight="1" x14ac:dyDescent="0.2">
      <c r="B145" s="522" t="s">
        <v>548</v>
      </c>
      <c r="C145" s="668" t="str">
        <f t="array" ref="C145:E145">IFERROR(C144:E144/C143:E143,"x")</f>
        <v>x</v>
      </c>
      <c r="D145" s="670" t="str">
        <v>x</v>
      </c>
      <c r="E145" s="669" t="str">
        <v>x</v>
      </c>
      <c r="G145" s="239"/>
    </row>
    <row r="148" spans="1:14" ht="50.1" customHeight="1" x14ac:dyDescent="0.2">
      <c r="B148" s="159" t="s">
        <v>1250</v>
      </c>
      <c r="C148" s="59"/>
      <c r="D148" s="59"/>
      <c r="E148" s="59"/>
      <c r="F148" s="59"/>
      <c r="G148" s="59"/>
      <c r="H148" s="59"/>
      <c r="I148" s="59"/>
      <c r="J148" s="59"/>
      <c r="K148" s="59"/>
      <c r="L148" s="59"/>
      <c r="M148" s="59"/>
      <c r="N148" s="59"/>
    </row>
    <row r="150" spans="1:14" ht="30" customHeight="1" x14ac:dyDescent="0.2">
      <c r="A150" s="560"/>
      <c r="B150" s="175" t="s">
        <v>1216</v>
      </c>
      <c r="C150" s="310"/>
      <c r="D150" s="310"/>
      <c r="E150" s="310"/>
      <c r="F150" s="310"/>
      <c r="G150" s="310"/>
      <c r="H150" s="310"/>
      <c r="I150" s="310"/>
      <c r="J150" s="310"/>
      <c r="K150" s="310"/>
      <c r="L150" s="310"/>
      <c r="M150" s="310"/>
      <c r="N150" s="310"/>
    </row>
    <row r="152" spans="1:14" ht="20.100000000000001" customHeight="1" x14ac:dyDescent="0.2">
      <c r="B152" s="1240" t="s">
        <v>536</v>
      </c>
      <c r="C152" s="1240"/>
      <c r="D152" s="1240"/>
      <c r="E152" s="1240"/>
      <c r="F152" s="1240"/>
      <c r="G152" s="1240"/>
      <c r="I152" s="1240" t="s">
        <v>542</v>
      </c>
      <c r="J152" s="1240"/>
      <c r="K152" s="1240"/>
      <c r="L152" s="1240"/>
      <c r="M152" s="1240"/>
      <c r="N152" s="1240"/>
    </row>
    <row r="153" spans="1:14" ht="20.100000000000001" customHeight="1" x14ac:dyDescent="0.2"/>
    <row r="154" spans="1:14" ht="20.100000000000001" customHeight="1" x14ac:dyDescent="0.2">
      <c r="B154" s="500" t="s">
        <v>1232</v>
      </c>
      <c r="C154" s="511" t="s">
        <v>1251</v>
      </c>
      <c r="D154" s="72"/>
      <c r="E154" s="128" t="s">
        <v>181</v>
      </c>
      <c r="F154" s="117" t="s">
        <v>182</v>
      </c>
      <c r="G154" s="302" t="s">
        <v>183</v>
      </c>
      <c r="I154" s="500" t="s">
        <v>1232</v>
      </c>
      <c r="J154" s="511" t="s">
        <v>1251</v>
      </c>
      <c r="K154" s="72"/>
      <c r="L154" s="128" t="s">
        <v>181</v>
      </c>
      <c r="M154" s="117" t="s">
        <v>182</v>
      </c>
      <c r="N154" s="302" t="s">
        <v>183</v>
      </c>
    </row>
    <row r="155" spans="1:14" ht="20.100000000000001" customHeight="1" x14ac:dyDescent="0.2">
      <c r="B155" s="853" t="s">
        <v>6</v>
      </c>
      <c r="C155" s="570" t="s">
        <v>6</v>
      </c>
      <c r="D155" s="493"/>
      <c r="E155" s="557" t="e">
        <f t="array" ref="E155">INDEX(df_dwell_aff!$D$2:$J$100, MATCH(1, (A$2 = df_dwell_aff!$A$2:$A$100) * ($C155 = df_dwell_aff!$B$2:$B$100) * ("Total" = df_dwell_aff!$C$2:$C$100), 0), MATCH("r", df_dwell_aff!$D$1:$J$1,0))</f>
        <v>#N/A</v>
      </c>
      <c r="F155" s="555" t="e">
        <f t="array" ref="F155">INDEX(df_dwell_aff!$D$2:$J$100, MATCH(1, (B$2 = df_dwell_aff!$A$2:$A$100) * ($C155 = df_dwell_aff!$B$2:$B$100) * ("Total" = df_dwell_aff!$C$2:$C$100), 0), MATCH("r", df_dwell_aff!$D$1:$J$1,0))</f>
        <v>#N/A</v>
      </c>
      <c r="G155" s="556" t="e">
        <f t="array" ref="G155">INDEX(df_dwell_aff!$D$2:$J$100, MATCH(1, (C$2 = df_dwell_aff!$A$2:$A$100) * ($C155 = df_dwell_aff!$B$2:$B$100) * ("Total" = df_dwell_aff!$C$2:$C$100), 0), MATCH("r", df_dwell_aff!$D$1:$J$1,0))</f>
        <v>#N/A</v>
      </c>
      <c r="H155" s="239"/>
      <c r="I155" s="853" t="s">
        <v>6</v>
      </c>
      <c r="J155" s="570" t="s">
        <v>6</v>
      </c>
      <c r="K155" s="493"/>
      <c r="L155" s="557" t="e">
        <f t="array" ref="L155">INDEX(df_dwell_aff!$D$2:$J$100, MATCH(1, (A$2 = df_dwell_aff!$A$2:$A$100) * ($J155 = df_dwell_aff!$B$2:$B$100) * ("2016 to 2021" = df_dwell_aff!$C$2:$C$100), 0), MATCH("r", df_dwell_aff!$D$1:$J$1,0))</f>
        <v>#N/A</v>
      </c>
      <c r="M155" s="555" t="e">
        <f t="array" ref="M155">INDEX(df_dwell_aff!$D$2:$J$100, MATCH(1, (B$2 = df_dwell_aff!$A$2:$A$100) * ($J155 = df_dwell_aff!$B$2:$B$100) * ("2016 to 2021" = df_dwell_aff!$C$2:$C$100), 0), MATCH("r", df_dwell_aff!$D$1:$J$1,0))</f>
        <v>#N/A</v>
      </c>
      <c r="N155" s="556" t="e">
        <f t="array" ref="N155">INDEX(df_dwell_aff!$D$2:$J$100, MATCH(1, (C$2 = df_dwell_aff!$A$2:$A$100) * ($J155 = df_dwell_aff!$B$2:$B$100) * ("2016 to 2021" = df_dwell_aff!$C$2:$C$100), 0), MATCH("r", df_dwell_aff!$D$1:$J$1,0))</f>
        <v>#N/A</v>
      </c>
    </row>
    <row r="156" spans="1:14" ht="20.100000000000001" customHeight="1" x14ac:dyDescent="0.2">
      <c r="B156" s="918" t="s">
        <v>98</v>
      </c>
      <c r="C156" s="84" t="s">
        <v>531</v>
      </c>
      <c r="D156" s="173"/>
      <c r="E156" s="558" t="e">
        <f t="array" ref="E156">INDEX(df_dwell_aff!$D$2:$J$100, MATCH(1, (A$2 = df_dwell_aff!$A$2:$A$100) * ($C156 = df_dwell_aff!$B$2:$B$100) * ("Total" = df_dwell_aff!$C$2:$C$100), 0), MATCH("r", df_dwell_aff!$D$1:$J$1,0))</f>
        <v>#N/A</v>
      </c>
      <c r="F156" s="239" t="e">
        <f t="array" ref="F156">INDEX(df_dwell_aff!$D$2:$J$100, MATCH(1, (B$2 = df_dwell_aff!$A$2:$A$100) * ($C156 = df_dwell_aff!$B$2:$B$100) * ("Total" = df_dwell_aff!$C$2:$C$100), 0), MATCH("r", df_dwell_aff!$D$1:$J$1,0))</f>
        <v>#N/A</v>
      </c>
      <c r="G156" s="552" t="e">
        <f t="array" ref="G156">INDEX(df_dwell_aff!$D$2:$J$100, MATCH(1, (C$2 = df_dwell_aff!$A$2:$A$100) * ($C156 = df_dwell_aff!$B$2:$B$100) * ("Total" = df_dwell_aff!$C$2:$C$100), 0), MATCH("r", df_dwell_aff!$D$1:$J$1,0))</f>
        <v>#N/A</v>
      </c>
      <c r="H156" s="239"/>
      <c r="I156" s="918" t="s">
        <v>98</v>
      </c>
      <c r="J156" s="84" t="s">
        <v>531</v>
      </c>
      <c r="K156" s="173"/>
      <c r="L156" s="558" t="e">
        <f t="array" ref="L156">INDEX(df_dwell_aff!$D$2:$J$100, MATCH(1, (A$2 = df_dwell_aff!$A$2:$A$100) * ($J156 = df_dwell_aff!$B$2:$B$100) * ("2016 to 2021" = df_dwell_aff!$C$2:$C$100), 0), MATCH("r", df_dwell_aff!$D$1:$J$1,0))</f>
        <v>#N/A</v>
      </c>
      <c r="M156" s="239" t="e">
        <f t="array" ref="M156">INDEX(df_dwell_aff!$D$2:$J$100, MATCH(1, (B$2 = df_dwell_aff!$A$2:$A$100) * ($J156 = df_dwell_aff!$B$2:$B$100) * ("2016 to 2021" = df_dwell_aff!$C$2:$C$100), 0), MATCH("r", df_dwell_aff!$D$1:$J$1,0))</f>
        <v>#N/A</v>
      </c>
      <c r="N156" s="552" t="e">
        <f t="array" ref="N156">INDEX(df_dwell_aff!$D$2:$J$100, MATCH(1, (C$2 = df_dwell_aff!$A$2:$A$100) * ($J156 = df_dwell_aff!$B$2:$B$100) * ("2016 to 2021" = df_dwell_aff!$C$2:$C$100), 0), MATCH("r", df_dwell_aff!$D$1:$J$1,0))</f>
        <v>#N/A</v>
      </c>
    </row>
    <row r="157" spans="1:14" ht="20.100000000000001" customHeight="1" x14ac:dyDescent="0.2">
      <c r="B157" s="918" t="s">
        <v>8</v>
      </c>
      <c r="C157" s="84" t="s">
        <v>532</v>
      </c>
      <c r="D157" s="173"/>
      <c r="E157" s="558" t="e">
        <f t="array" ref="E157">INDEX(df_dwell_aff!$D$2:$J$100, MATCH(1, (A$2 = df_dwell_aff!$A$2:$A$100) * ($C157 = df_dwell_aff!$B$2:$B$100) * ("Total" = df_dwell_aff!$C$2:$C$100), 0), MATCH("r", df_dwell_aff!$D$1:$J$1,0))</f>
        <v>#N/A</v>
      </c>
      <c r="F157" s="239" t="e">
        <f t="array" ref="F157">INDEX(df_dwell_aff!$D$2:$J$100, MATCH(1, (B$2 = df_dwell_aff!$A$2:$A$100) * ($C157 = df_dwell_aff!$B$2:$B$100) * ("Total" = df_dwell_aff!$C$2:$C$100), 0), MATCH("r", df_dwell_aff!$D$1:$J$1,0))</f>
        <v>#N/A</v>
      </c>
      <c r="G157" s="552" t="e">
        <f t="array" ref="G157">INDEX(df_dwell_aff!$D$2:$J$100, MATCH(1, (C$2 = df_dwell_aff!$A$2:$A$100) * ($C157 = df_dwell_aff!$B$2:$B$100) * ("Total" = df_dwell_aff!$C$2:$C$100), 0), MATCH("r", df_dwell_aff!$D$1:$J$1,0))</f>
        <v>#N/A</v>
      </c>
      <c r="H157" s="239"/>
      <c r="I157" s="918" t="s">
        <v>8</v>
      </c>
      <c r="J157" s="84" t="s">
        <v>532</v>
      </c>
      <c r="K157" s="173"/>
      <c r="L157" s="558" t="e">
        <f t="array" ref="L157">INDEX(df_dwell_aff!$D$2:$J$100, MATCH(1, (A$2 = df_dwell_aff!$A$2:$A$100) * ($J157 = df_dwell_aff!$B$2:$B$100) * ("2016 to 2021" = df_dwell_aff!$C$2:$C$100), 0), MATCH("r", df_dwell_aff!$D$1:$J$1,0))</f>
        <v>#N/A</v>
      </c>
      <c r="M157" s="239" t="e">
        <f t="array" ref="M157">INDEX(df_dwell_aff!$D$2:$J$100, MATCH(1, (B$2 = df_dwell_aff!$A$2:$A$100) * ($J157 = df_dwell_aff!$B$2:$B$100) * ("2016 to 2021" = df_dwell_aff!$C$2:$C$100), 0), MATCH("r", df_dwell_aff!$D$1:$J$1,0))</f>
        <v>#N/A</v>
      </c>
      <c r="N157" s="552" t="e">
        <f t="array" ref="N157">INDEX(df_dwell_aff!$D$2:$J$100, MATCH(1, (C$2 = df_dwell_aff!$A$2:$A$100) * ($J157 = df_dwell_aff!$B$2:$B$100) * ("2016 to 2021" = df_dwell_aff!$C$2:$C$100), 0), MATCH("r", df_dwell_aff!$D$1:$J$1,0))</f>
        <v>#N/A</v>
      </c>
    </row>
    <row r="158" spans="1:14" ht="20.100000000000001" customHeight="1" x14ac:dyDescent="0.2">
      <c r="B158" s="918" t="s">
        <v>99</v>
      </c>
      <c r="C158" s="84" t="s">
        <v>533</v>
      </c>
      <c r="D158" s="173"/>
      <c r="E158" s="558" t="e">
        <f t="array" ref="E158">INDEX(df_dwell_aff!$D$2:$J$100, MATCH(1, (A$2 = df_dwell_aff!$A$2:$A$100) * ($C158 = df_dwell_aff!$B$2:$B$100) * ("Total" = df_dwell_aff!$C$2:$C$100), 0), MATCH("r", df_dwell_aff!$D$1:$J$1,0))</f>
        <v>#N/A</v>
      </c>
      <c r="F158" s="239" t="e">
        <f t="array" ref="F158">INDEX(df_dwell_aff!$D$2:$J$100, MATCH(1, (B$2 = df_dwell_aff!$A$2:$A$100) * ($C158 = df_dwell_aff!$B$2:$B$100) * ("Total" = df_dwell_aff!$C$2:$C$100), 0), MATCH("r", df_dwell_aff!$D$1:$J$1,0))</f>
        <v>#N/A</v>
      </c>
      <c r="G158" s="552" t="e">
        <f t="array" ref="G158">INDEX(df_dwell_aff!$D$2:$J$100, MATCH(1, (C$2 = df_dwell_aff!$A$2:$A$100) * ($C158 = df_dwell_aff!$B$2:$B$100) * ("Total" = df_dwell_aff!$C$2:$C$100), 0), MATCH("r", df_dwell_aff!$D$1:$J$1,0))</f>
        <v>#N/A</v>
      </c>
      <c r="H158" s="239"/>
      <c r="I158" s="918" t="s">
        <v>99</v>
      </c>
      <c r="J158" s="84" t="s">
        <v>533</v>
      </c>
      <c r="K158" s="173"/>
      <c r="L158" s="558" t="e">
        <f t="array" ref="L158">INDEX(df_dwell_aff!$D$2:$J$100, MATCH(1, (A$2 = df_dwell_aff!$A$2:$A$100) * ($J158 = df_dwell_aff!$B$2:$B$100) * ("2016 to 2021" = df_dwell_aff!$C$2:$C$100), 0), MATCH("r", df_dwell_aff!$D$1:$J$1,0))</f>
        <v>#N/A</v>
      </c>
      <c r="M158" s="239" t="e">
        <f t="array" ref="M158">INDEX(df_dwell_aff!$D$2:$J$100, MATCH(1, (B$2 = df_dwell_aff!$A$2:$A$100) * ($J158 = df_dwell_aff!$B$2:$B$100) * ("2016 to 2021" = df_dwell_aff!$C$2:$C$100), 0), MATCH("r", df_dwell_aff!$D$1:$J$1,0))</f>
        <v>#N/A</v>
      </c>
      <c r="N158" s="552" t="e">
        <f t="array" ref="N158">INDEX(df_dwell_aff!$D$2:$J$100, MATCH(1, (C$2 = df_dwell_aff!$A$2:$A$100) * ($J158 = df_dwell_aff!$B$2:$B$100) * ("2016 to 2021" = df_dwell_aff!$C$2:$C$100), 0), MATCH("r", df_dwell_aff!$D$1:$J$1,0))</f>
        <v>#N/A</v>
      </c>
    </row>
    <row r="159" spans="1:14" ht="20.100000000000001" customHeight="1" x14ac:dyDescent="0.2">
      <c r="B159" s="918" t="s">
        <v>100</v>
      </c>
      <c r="C159" s="84" t="s">
        <v>534</v>
      </c>
      <c r="D159" s="173"/>
      <c r="E159" s="558" t="e">
        <f t="array" ref="E159">INDEX(df_dwell_aff!$D$2:$J$100, MATCH(1, (A$2 = df_dwell_aff!$A$2:$A$100) * ($C159 = df_dwell_aff!$B$2:$B$100) * ("Total" = df_dwell_aff!$C$2:$C$100), 0), MATCH("r", df_dwell_aff!$D$1:$J$1,0))</f>
        <v>#N/A</v>
      </c>
      <c r="F159" s="239" t="e">
        <f t="array" ref="F159">INDEX(df_dwell_aff!$D$2:$J$100, MATCH(1, (B$2 = df_dwell_aff!$A$2:$A$100) * ($C159 = df_dwell_aff!$B$2:$B$100) * ("Total" = df_dwell_aff!$C$2:$C$100), 0), MATCH("r", df_dwell_aff!$D$1:$J$1,0))</f>
        <v>#N/A</v>
      </c>
      <c r="G159" s="552" t="e">
        <f t="array" ref="G159">INDEX(df_dwell_aff!$D$2:$J$100, MATCH(1, (C$2 = df_dwell_aff!$A$2:$A$100) * ($C159 = df_dwell_aff!$B$2:$B$100) * ("Total" = df_dwell_aff!$C$2:$C$100), 0), MATCH("r", df_dwell_aff!$D$1:$J$1,0))</f>
        <v>#N/A</v>
      </c>
      <c r="H159" s="239"/>
      <c r="I159" s="918" t="s">
        <v>100</v>
      </c>
      <c r="J159" s="84" t="s">
        <v>534</v>
      </c>
      <c r="K159" s="173"/>
      <c r="L159" s="558" t="e">
        <f t="array" ref="L159">INDEX(df_dwell_aff!$D$2:$J$100, MATCH(1, (A$2 = df_dwell_aff!$A$2:$A$100) * ($J159 = df_dwell_aff!$B$2:$B$100) * ("2016 to 2021" = df_dwell_aff!$C$2:$C$100), 0), MATCH("r", df_dwell_aff!$D$1:$J$1,0))</f>
        <v>#N/A</v>
      </c>
      <c r="M159" s="239" t="e">
        <f t="array" ref="M159">INDEX(df_dwell_aff!$D$2:$J$100, MATCH(1, (B$2 = df_dwell_aff!$A$2:$A$100) * ($J159 = df_dwell_aff!$B$2:$B$100) * ("2016 to 2021" = df_dwell_aff!$C$2:$C$100), 0), MATCH("r", df_dwell_aff!$D$1:$J$1,0))</f>
        <v>#N/A</v>
      </c>
      <c r="N159" s="552" t="e">
        <f t="array" ref="N159">INDEX(df_dwell_aff!$D$2:$J$100, MATCH(1, (C$2 = df_dwell_aff!$A$2:$A$100) * ($J159 = df_dwell_aff!$B$2:$B$100) * ("2016 to 2021" = df_dwell_aff!$C$2:$C$100), 0), MATCH("r", df_dwell_aff!$D$1:$J$1,0))</f>
        <v>#N/A</v>
      </c>
    </row>
    <row r="160" spans="1:14" ht="20.100000000000001" customHeight="1" x14ac:dyDescent="0.2">
      <c r="B160" s="854" t="s">
        <v>9</v>
      </c>
      <c r="C160" s="569" t="s">
        <v>535</v>
      </c>
      <c r="D160" s="494"/>
      <c r="E160" s="559" t="e">
        <f t="array" ref="E160">INDEX(df_dwell_aff!$D$2:$J$100, MATCH(1, (A$2 = df_dwell_aff!$A$2:$A$100) * ($C160 = df_dwell_aff!$B$2:$B$100) * ("Total" = df_dwell_aff!$C$2:$C$100), 0), MATCH("r", df_dwell_aff!$D$1:$J$1,0))</f>
        <v>#N/A</v>
      </c>
      <c r="F160" s="553" t="e">
        <f t="array" ref="F160">INDEX(df_dwell_aff!$D$2:$J$100, MATCH(1, (B$2 = df_dwell_aff!$A$2:$A$100) * ($C160 = df_dwell_aff!$B$2:$B$100) * ("Total" = df_dwell_aff!$C$2:$C$100), 0), MATCH("r", df_dwell_aff!$D$1:$J$1,0))</f>
        <v>#N/A</v>
      </c>
      <c r="G160" s="554" t="e">
        <f t="array" ref="G160">INDEX(df_dwell_aff!$D$2:$J$100, MATCH(1, (C$2 = df_dwell_aff!$A$2:$A$100) * ($C160 = df_dwell_aff!$B$2:$B$100) * ("Total" = df_dwell_aff!$C$2:$C$100), 0), MATCH("r", df_dwell_aff!$D$1:$J$1,0))</f>
        <v>#N/A</v>
      </c>
      <c r="H160" s="239"/>
      <c r="I160" s="854" t="s">
        <v>9</v>
      </c>
      <c r="J160" s="569" t="s">
        <v>535</v>
      </c>
      <c r="K160" s="494"/>
      <c r="L160" s="559" t="e">
        <f t="array" ref="L160">INDEX(df_dwell_aff!$D$2:$J$100, MATCH(1, (A$2 = df_dwell_aff!$A$2:$A$100) * ($J160 = df_dwell_aff!$B$2:$B$100) * ("2016 to 2021" = df_dwell_aff!$C$2:$C$100), 0), MATCH("r", df_dwell_aff!$D$1:$J$1,0))</f>
        <v>#N/A</v>
      </c>
      <c r="M160" s="553" t="e">
        <f t="array" ref="M160">INDEX(df_dwell_aff!$D$2:$J$100, MATCH(1, (B$2 = df_dwell_aff!$A$2:$A$100) * ($J160 = df_dwell_aff!$B$2:$B$100) * ("2016 to 2021" = df_dwell_aff!$C$2:$C$100), 0), MATCH("r", df_dwell_aff!$D$1:$J$1,0))</f>
        <v>#N/A</v>
      </c>
      <c r="N160" s="554" t="e">
        <f t="array" ref="N160">INDEX(df_dwell_aff!$D$2:$J$100, MATCH(1, (C$2 = df_dwell_aff!$A$2:$A$100) * ($J160 = df_dwell_aff!$B$2:$B$100) * ("2016 to 2021" = df_dwell_aff!$C$2:$C$100), 0), MATCH("r", df_dwell_aff!$D$1:$J$1,0))</f>
        <v>#N/A</v>
      </c>
    </row>
    <row r="162" spans="1:14" ht="20.100000000000001" customHeight="1" x14ac:dyDescent="0.2">
      <c r="B162" s="1240" t="s">
        <v>543</v>
      </c>
      <c r="C162" s="1240"/>
      <c r="D162" s="1240"/>
      <c r="E162" s="1240"/>
      <c r="F162" s="1240"/>
      <c r="G162" s="1240"/>
      <c r="I162" s="1240" t="s">
        <v>564</v>
      </c>
      <c r="J162" s="1240"/>
      <c r="K162" s="1240"/>
      <c r="L162" s="1240"/>
      <c r="M162" s="1240"/>
      <c r="N162" s="1240"/>
    </row>
    <row r="164" spans="1:14" ht="20.100000000000001" customHeight="1" x14ac:dyDescent="0.2">
      <c r="B164" s="500" t="s">
        <v>1232</v>
      </c>
      <c r="C164" s="511" t="s">
        <v>1251</v>
      </c>
      <c r="D164" s="72"/>
      <c r="E164" s="128" t="s">
        <v>181</v>
      </c>
      <c r="F164" s="117" t="s">
        <v>182</v>
      </c>
      <c r="G164" s="302" t="s">
        <v>183</v>
      </c>
      <c r="I164" s="500" t="s">
        <v>1232</v>
      </c>
      <c r="J164" s="511" t="s">
        <v>1251</v>
      </c>
      <c r="K164" s="72"/>
      <c r="L164" s="128" t="s">
        <v>181</v>
      </c>
      <c r="M164" s="117" t="s">
        <v>182</v>
      </c>
      <c r="N164" s="302" t="s">
        <v>183</v>
      </c>
    </row>
    <row r="165" spans="1:14" ht="20.100000000000001" customHeight="1" x14ac:dyDescent="0.2">
      <c r="B165" s="853" t="s">
        <v>6</v>
      </c>
      <c r="C165" s="570" t="s">
        <v>6</v>
      </c>
      <c r="D165" s="493"/>
      <c r="E165" s="557" t="e">
        <f t="array" ref="E165">INDEX(df_dwell_aff!$D$2:$J$100, MATCH(1, (A$2 = df_dwell_aff!$A$2:$A$100) * ($C165 = df_dwell_aff!$B$2:$B$100) * ("before 2016" = df_dwell_aff!$C$2:$C$100), 0), MATCH("r", df_dwell_aff!$D$1:$J$1,0))</f>
        <v>#N/A</v>
      </c>
      <c r="F165" s="555" t="e">
        <f t="array" ref="F165">INDEX(df_dwell_aff!$D$2:$J$100, MATCH(1, (B$2 = df_dwell_aff!$A$2:$A$100) * ($C165 = df_dwell_aff!$B$2:$B$100) * ("before 2016" = df_dwell_aff!$C$2:$C$100), 0), MATCH("r", df_dwell_aff!$D$1:$J$1,0))</f>
        <v>#N/A</v>
      </c>
      <c r="G165" s="556" t="e">
        <f t="array" ref="G165">INDEX(df_dwell_aff!$D$2:$J$100, MATCH(1, (C$2 = df_dwell_aff!$A$2:$A$100) * ($C165 = df_dwell_aff!$B$2:$B$100) * ("before 2016" = df_dwell_aff!$C$2:$C$100), 0), MATCH("r", df_dwell_aff!$D$1:$J$1,0))</f>
        <v>#N/A</v>
      </c>
      <c r="I165" s="853" t="s">
        <v>6</v>
      </c>
      <c r="J165" s="570" t="s">
        <v>6</v>
      </c>
      <c r="K165" s="493"/>
      <c r="L165" s="557">
        <f t="array" ref="L165">IFERROR(INDEX(df_dwell16_aff!$C$2:$I$100, MATCH(1, (A$2 = df_dwell16_aff!$A$2:$A$100) * ($J165 = df_dwell16_aff!$B$2:$B$100), 0), MATCH("r", df_dwell16_aff!$C$1:$I$1,0)),0)</f>
        <v>0</v>
      </c>
      <c r="M165" s="555" t="e">
        <f t="array" ref="M165">INDEX(df_dwell16_aff!$C$2:$I$100, MATCH(1, (B$2 = df_dwell16_aff!$A$2:$A$100) * ($J165 = df_dwell16_aff!$B$2:$B$100), 0), MATCH("r", df_dwell16_aff!$C$1:$I$1,0))</f>
        <v>#N/A</v>
      </c>
      <c r="N165" s="556" t="e">
        <f t="array" ref="N165">INDEX(df_dwell16_aff!$C$2:$I$100, MATCH(1, (C$2 = df_dwell16_aff!$A$2:$A$100) * ($J165 = df_dwell16_aff!$B$2:$B$100), 0), MATCH("r", df_dwell16_aff!$C$1:$I$1,0))</f>
        <v>#N/A</v>
      </c>
    </row>
    <row r="166" spans="1:14" ht="20.100000000000001" customHeight="1" x14ac:dyDescent="0.2">
      <c r="B166" s="918" t="s">
        <v>98</v>
      </c>
      <c r="C166" s="84" t="s">
        <v>531</v>
      </c>
      <c r="D166" s="173"/>
      <c r="E166" s="558" t="e">
        <f t="array" ref="E166">INDEX(df_dwell_aff!$D$2:$J$100, MATCH(1, (A$2 = df_dwell_aff!$A$2:$A$100) * ($C166 = df_dwell_aff!$B$2:$B$100) * ("before 2016" = df_dwell_aff!$C$2:$C$100), 0), MATCH("r", df_dwell_aff!$D$1:$J$1,0))</f>
        <v>#N/A</v>
      </c>
      <c r="F166" s="239" t="e">
        <f t="array" ref="F166">INDEX(df_dwell_aff!$D$2:$J$100, MATCH(1, (B$2 = df_dwell_aff!$A$2:$A$100) * ($C166 = df_dwell_aff!$B$2:$B$100) * ("before 2016" = df_dwell_aff!$C$2:$C$100), 0), MATCH("r", df_dwell_aff!$D$1:$J$1,0))</f>
        <v>#N/A</v>
      </c>
      <c r="G166" s="552" t="e">
        <f t="array" ref="G166">INDEX(df_dwell_aff!$D$2:$J$100, MATCH(1, (C$2 = df_dwell_aff!$A$2:$A$100) * ($C166 = df_dwell_aff!$B$2:$B$100) * ("before 2016" = df_dwell_aff!$C$2:$C$100), 0), MATCH("r", df_dwell_aff!$D$1:$J$1,0))</f>
        <v>#N/A</v>
      </c>
      <c r="I166" s="918" t="s">
        <v>98</v>
      </c>
      <c r="J166" s="84" t="s">
        <v>531</v>
      </c>
      <c r="K166" s="173"/>
      <c r="L166" s="558">
        <f t="array" ref="L166">IFERROR(INDEX(df_dwell16_aff!$C$2:$I$100, MATCH(1, (A$2 = df_dwell16_aff!$A$2:$A$100) * ($J166 = df_dwell16_aff!$B$2:$B$100), 0), MATCH("r", df_dwell16_aff!$C$1:$I$1,0)),0)</f>
        <v>0</v>
      </c>
      <c r="M166" s="239" t="e">
        <f t="array" ref="M166">INDEX(df_dwell16_aff!$C$2:$I$100, MATCH(1, (B$2 = df_dwell16_aff!$A$2:$A$100) * ($J166 = df_dwell16_aff!$B$2:$B$100), 0), MATCH("r", df_dwell16_aff!$C$1:$I$1,0))</f>
        <v>#N/A</v>
      </c>
      <c r="N166" s="552" t="e">
        <f t="array" ref="N166">INDEX(df_dwell16_aff!$C$2:$I$100, MATCH(1, (C$2 = df_dwell16_aff!$A$2:$A$100) * ($J166 = df_dwell16_aff!$B$2:$B$100), 0), MATCH("r", df_dwell16_aff!$C$1:$I$1,0))</f>
        <v>#N/A</v>
      </c>
    </row>
    <row r="167" spans="1:14" ht="20.100000000000001" customHeight="1" x14ac:dyDescent="0.2">
      <c r="B167" s="918" t="s">
        <v>8</v>
      </c>
      <c r="C167" s="84" t="s">
        <v>532</v>
      </c>
      <c r="D167" s="173"/>
      <c r="E167" s="558" t="e">
        <f t="array" ref="E167">INDEX(df_dwell_aff!$D$2:$J$100, MATCH(1, (A$2 = df_dwell_aff!$A$2:$A$100) * ($C167 = df_dwell_aff!$B$2:$B$100) * ("before 2016" = df_dwell_aff!$C$2:$C$100), 0), MATCH("r", df_dwell_aff!$D$1:$J$1,0))</f>
        <v>#N/A</v>
      </c>
      <c r="F167" s="239" t="e">
        <f t="array" ref="F167">INDEX(df_dwell_aff!$D$2:$J$100, MATCH(1, (B$2 = df_dwell_aff!$A$2:$A$100) * ($C167 = df_dwell_aff!$B$2:$B$100) * ("before 2016" = df_dwell_aff!$C$2:$C$100), 0), MATCH("r", df_dwell_aff!$D$1:$J$1,0))</f>
        <v>#N/A</v>
      </c>
      <c r="G167" s="552" t="e">
        <f t="array" ref="G167">INDEX(df_dwell_aff!$D$2:$J$100, MATCH(1, (C$2 = df_dwell_aff!$A$2:$A$100) * ($C167 = df_dwell_aff!$B$2:$B$100) * ("before 2016" = df_dwell_aff!$C$2:$C$100), 0), MATCH("r", df_dwell_aff!$D$1:$J$1,0))</f>
        <v>#N/A</v>
      </c>
      <c r="I167" s="918" t="s">
        <v>8</v>
      </c>
      <c r="J167" s="84" t="s">
        <v>532</v>
      </c>
      <c r="K167" s="173"/>
      <c r="L167" s="558">
        <f t="array" ref="L167">IFERROR(INDEX(df_dwell16_aff!$C$2:$I$100, MATCH(1, (A$2 = df_dwell16_aff!$A$2:$A$100) * ($J167 = df_dwell16_aff!$B$2:$B$100), 0), MATCH("r", df_dwell16_aff!$C$1:$I$1,0)),0)</f>
        <v>0</v>
      </c>
      <c r="M167" s="239" t="e">
        <f t="array" ref="M167">INDEX(df_dwell16_aff!$C$2:$I$100, MATCH(1, (B$2 = df_dwell16_aff!$A$2:$A$100) * ($J167 = df_dwell16_aff!$B$2:$B$100), 0), MATCH("r", df_dwell16_aff!$C$1:$I$1,0))</f>
        <v>#N/A</v>
      </c>
      <c r="N167" s="552" t="e">
        <f t="array" ref="N167">INDEX(df_dwell16_aff!$C$2:$I$100, MATCH(1, (C$2 = df_dwell16_aff!$A$2:$A$100) * ($J167 = df_dwell16_aff!$B$2:$B$100), 0), MATCH("r", df_dwell16_aff!$C$1:$I$1,0))</f>
        <v>#N/A</v>
      </c>
    </row>
    <row r="168" spans="1:14" ht="20.100000000000001" customHeight="1" x14ac:dyDescent="0.2">
      <c r="B168" s="918" t="s">
        <v>99</v>
      </c>
      <c r="C168" s="84" t="s">
        <v>533</v>
      </c>
      <c r="D168" s="173"/>
      <c r="E168" s="558" t="e">
        <f t="array" ref="E168">INDEX(df_dwell_aff!$D$2:$J$100, MATCH(1, (A$2 = df_dwell_aff!$A$2:$A$100) * ($C168 = df_dwell_aff!$B$2:$B$100) * ("before 2016" = df_dwell_aff!$C$2:$C$100), 0), MATCH("r", df_dwell_aff!$D$1:$J$1,0))</f>
        <v>#N/A</v>
      </c>
      <c r="F168" s="239" t="e">
        <f t="array" ref="F168">INDEX(df_dwell_aff!$D$2:$J$100, MATCH(1, (B$2 = df_dwell_aff!$A$2:$A$100) * ($C168 = df_dwell_aff!$B$2:$B$100) * ("before 2016" = df_dwell_aff!$C$2:$C$100), 0), MATCH("r", df_dwell_aff!$D$1:$J$1,0))</f>
        <v>#N/A</v>
      </c>
      <c r="G168" s="552" t="e">
        <f t="array" ref="G168">INDEX(df_dwell_aff!$D$2:$J$100, MATCH(1, (C$2 = df_dwell_aff!$A$2:$A$100) * ($C168 = df_dwell_aff!$B$2:$B$100) * ("before 2016" = df_dwell_aff!$C$2:$C$100), 0), MATCH("r", df_dwell_aff!$D$1:$J$1,0))</f>
        <v>#N/A</v>
      </c>
      <c r="I168" s="918" t="s">
        <v>99</v>
      </c>
      <c r="J168" s="84" t="s">
        <v>533</v>
      </c>
      <c r="K168" s="173"/>
      <c r="L168" s="558">
        <f t="array" ref="L168">IFERROR(INDEX(df_dwell16_aff!$C$2:$I$100, MATCH(1, (A$2 = df_dwell16_aff!$A$2:$A$100) * ($J168 = df_dwell16_aff!$B$2:$B$100), 0), MATCH("r", df_dwell16_aff!$C$1:$I$1,0)),0)</f>
        <v>0</v>
      </c>
      <c r="M168" s="239" t="e">
        <f t="array" ref="M168">INDEX(df_dwell16_aff!$C$2:$I$100, MATCH(1, (B$2 = df_dwell16_aff!$A$2:$A$100) * ($J168 = df_dwell16_aff!$B$2:$B$100), 0), MATCH("r", df_dwell16_aff!$C$1:$I$1,0))</f>
        <v>#N/A</v>
      </c>
      <c r="N168" s="552" t="e">
        <f t="array" ref="N168">INDEX(df_dwell16_aff!$C$2:$I$100, MATCH(1, (C$2 = df_dwell16_aff!$A$2:$A$100) * ($J168 = df_dwell16_aff!$B$2:$B$100), 0), MATCH("r", df_dwell16_aff!$C$1:$I$1,0))</f>
        <v>#N/A</v>
      </c>
    </row>
    <row r="169" spans="1:14" ht="20.100000000000001" customHeight="1" x14ac:dyDescent="0.2">
      <c r="B169" s="918" t="s">
        <v>100</v>
      </c>
      <c r="C169" s="84" t="s">
        <v>534</v>
      </c>
      <c r="D169" s="173"/>
      <c r="E169" s="558" t="e">
        <f t="array" ref="E169">INDEX(df_dwell_aff!$D$2:$J$100, MATCH(1, (A$2 = df_dwell_aff!$A$2:$A$100) * ($C169 = df_dwell_aff!$B$2:$B$100) * ("before 2016" = df_dwell_aff!$C$2:$C$100), 0), MATCH("r", df_dwell_aff!$D$1:$J$1,0))</f>
        <v>#N/A</v>
      </c>
      <c r="F169" s="239" t="e">
        <f t="array" ref="F169">INDEX(df_dwell_aff!$D$2:$J$100, MATCH(1, (B$2 = df_dwell_aff!$A$2:$A$100) * ($C169 = df_dwell_aff!$B$2:$B$100) * ("before 2016" = df_dwell_aff!$C$2:$C$100), 0), MATCH("r", df_dwell_aff!$D$1:$J$1,0))</f>
        <v>#N/A</v>
      </c>
      <c r="G169" s="552" t="e">
        <f t="array" ref="G169">INDEX(df_dwell_aff!$D$2:$J$100, MATCH(1, (C$2 = df_dwell_aff!$A$2:$A$100) * ($C169 = df_dwell_aff!$B$2:$B$100) * ("before 2016" = df_dwell_aff!$C$2:$C$100), 0), MATCH("r", df_dwell_aff!$D$1:$J$1,0))</f>
        <v>#N/A</v>
      </c>
      <c r="I169" s="918" t="s">
        <v>100</v>
      </c>
      <c r="J169" s="84" t="s">
        <v>534</v>
      </c>
      <c r="K169" s="173"/>
      <c r="L169" s="558">
        <f t="array" ref="L169">IFERROR(INDEX(df_dwell16_aff!$C$2:$I$100, MATCH(1, (A$2 = df_dwell16_aff!$A$2:$A$100) * ($J169 = df_dwell16_aff!$B$2:$B$100), 0), MATCH("r", df_dwell16_aff!$C$1:$I$1,0)),0)</f>
        <v>0</v>
      </c>
      <c r="M169" s="239" t="e">
        <f t="array" ref="M169">INDEX(df_dwell16_aff!$C$2:$I$100, MATCH(1, (B$2 = df_dwell16_aff!$A$2:$A$100) * ($J169 = df_dwell16_aff!$B$2:$B$100), 0), MATCH("r", df_dwell16_aff!$C$1:$I$1,0))</f>
        <v>#N/A</v>
      </c>
      <c r="N169" s="552" t="e">
        <f t="array" ref="N169">INDEX(df_dwell16_aff!$C$2:$I$100, MATCH(1, (C$2 = df_dwell16_aff!$A$2:$A$100) * ($J169 = df_dwell16_aff!$B$2:$B$100), 0), MATCH("r", df_dwell16_aff!$C$1:$I$1,0))</f>
        <v>#N/A</v>
      </c>
    </row>
    <row r="170" spans="1:14" ht="20.100000000000001" customHeight="1" x14ac:dyDescent="0.2">
      <c r="B170" s="854" t="s">
        <v>9</v>
      </c>
      <c r="C170" s="569" t="s">
        <v>535</v>
      </c>
      <c r="D170" s="494"/>
      <c r="E170" s="559" t="e">
        <f t="array" ref="E170">INDEX(df_dwell_aff!$D$2:$J$100, MATCH(1, (A$2 = df_dwell_aff!$A$2:$A$100) * ($C170 = df_dwell_aff!$B$2:$B$100) * ("before 2016" = df_dwell_aff!$C$2:$C$100), 0), MATCH("r", df_dwell_aff!$D$1:$J$1,0))</f>
        <v>#N/A</v>
      </c>
      <c r="F170" s="553" t="e">
        <f t="array" ref="F170">INDEX(df_dwell_aff!$D$2:$J$100, MATCH(1, (B$2 = df_dwell_aff!$A$2:$A$100) * ($C170 = df_dwell_aff!$B$2:$B$100) * ("before 2016" = df_dwell_aff!$C$2:$C$100), 0), MATCH("r", df_dwell_aff!$D$1:$J$1,0))</f>
        <v>#N/A</v>
      </c>
      <c r="G170" s="554" t="e">
        <f t="array" ref="G170">INDEX(df_dwell_aff!$D$2:$J$100, MATCH(1, (C$2 = df_dwell_aff!$A$2:$A$100) * ($C170 = df_dwell_aff!$B$2:$B$100) * ("before 2016" = df_dwell_aff!$C$2:$C$100), 0), MATCH("r", df_dwell_aff!$D$1:$J$1,0))</f>
        <v>#N/A</v>
      </c>
      <c r="I170" s="854" t="s">
        <v>9</v>
      </c>
      <c r="J170" s="569" t="s">
        <v>535</v>
      </c>
      <c r="K170" s="494"/>
      <c r="L170" s="559">
        <f t="array" ref="L170">IFERROR(INDEX(df_dwell16_aff!$C$2:$I$100, MATCH(1, (A$2 = df_dwell16_aff!$A$2:$A$100) * ($J170 = df_dwell16_aff!$B$2:$B$100), 0), MATCH("r", df_dwell16_aff!$C$1:$I$1,0)),0)</f>
        <v>0</v>
      </c>
      <c r="M170" s="553" t="e">
        <f t="array" ref="M170">INDEX(df_dwell16_aff!$C$2:$I$100, MATCH(1, (B$2 = df_dwell16_aff!$A$2:$A$100) * ($J170 = df_dwell16_aff!$B$2:$B$100), 0), MATCH("r", df_dwell16_aff!$C$1:$I$1,0))</f>
        <v>#N/A</v>
      </c>
      <c r="N170" s="554" t="e">
        <f t="array" ref="N170">INDEX(df_dwell16_aff!$C$2:$I$100, MATCH(1, (C$2 = df_dwell16_aff!$A$2:$A$100) * ($J170 = df_dwell16_aff!$B$2:$B$100), 0), MATCH("r", df_dwell16_aff!$C$1:$I$1,0))</f>
        <v>#N/A</v>
      </c>
    </row>
    <row r="171" spans="1:14" ht="20.100000000000001" customHeight="1" x14ac:dyDescent="0.2"/>
    <row r="172" spans="1:14" ht="30" customHeight="1" x14ac:dyDescent="0.2">
      <c r="A172" s="560"/>
      <c r="B172" s="175" t="s">
        <v>1217</v>
      </c>
      <c r="C172" s="310"/>
      <c r="D172" s="310"/>
      <c r="E172" s="310"/>
      <c r="F172" s="310"/>
      <c r="G172" s="310"/>
      <c r="H172" s="310"/>
      <c r="I172" s="310"/>
      <c r="J172" s="310"/>
      <c r="K172" s="310"/>
      <c r="L172" s="310"/>
      <c r="M172" s="310"/>
      <c r="N172" s="310"/>
    </row>
    <row r="174" spans="1:14" ht="20.100000000000001" customHeight="1" x14ac:dyDescent="0.2">
      <c r="B174" s="1258" t="s">
        <v>1218</v>
      </c>
      <c r="C174" s="1258"/>
      <c r="D174" s="1258"/>
      <c r="E174" s="1258"/>
      <c r="G174" s="1258" t="s">
        <v>1218</v>
      </c>
      <c r="H174" s="1258"/>
      <c r="I174" s="1258"/>
      <c r="J174" s="1258"/>
    </row>
    <row r="175" spans="1:14" ht="20.100000000000001" customHeight="1" x14ac:dyDescent="0.2"/>
    <row r="176" spans="1:14" ht="20.100000000000001" customHeight="1" x14ac:dyDescent="0.2">
      <c r="B176" s="282" t="s">
        <v>478</v>
      </c>
      <c r="C176" s="130" t="s">
        <v>187</v>
      </c>
      <c r="D176" s="246" t="s">
        <v>188</v>
      </c>
      <c r="E176" s="317" t="s">
        <v>189</v>
      </c>
      <c r="G176" s="282" t="s">
        <v>478</v>
      </c>
      <c r="H176" s="130" t="s">
        <v>187</v>
      </c>
      <c r="I176" s="246" t="s">
        <v>188</v>
      </c>
      <c r="J176" s="317" t="s">
        <v>189</v>
      </c>
    </row>
    <row r="177" spans="2:14" ht="20.100000000000001" customHeight="1" x14ac:dyDescent="0.2">
      <c r="B177" s="637" t="s">
        <v>537</v>
      </c>
      <c r="C177" s="630" t="str">
        <f>IFERROR(E155,"x")</f>
        <v>x</v>
      </c>
      <c r="D177" s="649" t="str">
        <f>IFERROR(F155,"x")</f>
        <v>x</v>
      </c>
      <c r="E177" s="631" t="str">
        <f>IFERROR(G155,"x")</f>
        <v>x</v>
      </c>
      <c r="G177" s="637" t="s">
        <v>537</v>
      </c>
      <c r="H177" s="630" t="str">
        <f>IFERROR(L155,"x")</f>
        <v>x</v>
      </c>
      <c r="I177" s="649" t="str">
        <f>IFERROR(M155,"x")</f>
        <v>x</v>
      </c>
      <c r="J177" s="631" t="str">
        <f>IFERROR(N155,"x")</f>
        <v>x</v>
      </c>
    </row>
    <row r="178" spans="2:14" ht="20.100000000000001" customHeight="1" x14ac:dyDescent="0.2">
      <c r="B178" s="959" t="s">
        <v>538</v>
      </c>
      <c r="C178" s="871" t="str">
        <f t="array" ref="C178:E178">IFERROR(E156:G156,"x")</f>
        <v>x</v>
      </c>
      <c r="D178" s="877" t="str">
        <v>x</v>
      </c>
      <c r="E178" s="878" t="str">
        <v>x</v>
      </c>
      <c r="G178" s="959" t="s">
        <v>538</v>
      </c>
      <c r="H178" s="871" t="str">
        <f t="array" ref="H178:J178">IFERROR(L156:N156,"x")</f>
        <v>x</v>
      </c>
      <c r="I178" s="877" t="str">
        <v>x</v>
      </c>
      <c r="J178" s="878" t="str">
        <v>x</v>
      </c>
    </row>
    <row r="179" spans="2:14" ht="20.100000000000001" customHeight="1" x14ac:dyDescent="0.2">
      <c r="B179" s="638" t="s">
        <v>539</v>
      </c>
      <c r="C179" s="872" t="str">
        <f t="array" ref="C179:E179">IFERROR(E157:G157,"x")</f>
        <v>x</v>
      </c>
      <c r="D179" s="879" t="str">
        <v>x</v>
      </c>
      <c r="E179" s="880" t="str">
        <v>x</v>
      </c>
      <c r="G179" s="638" t="s">
        <v>539</v>
      </c>
      <c r="H179" s="872" t="str">
        <f t="array" ref="H179:J179">IFERROR(L157:N157,"x")</f>
        <v>x</v>
      </c>
      <c r="I179" s="879" t="str">
        <v>x</v>
      </c>
      <c r="J179" s="880" t="str">
        <v>x</v>
      </c>
    </row>
    <row r="180" spans="2:14" ht="20.100000000000001" customHeight="1" x14ac:dyDescent="0.2">
      <c r="B180" s="960" t="s">
        <v>540</v>
      </c>
      <c r="C180" s="624">
        <f>SUM(C178:C179)</f>
        <v>0</v>
      </c>
      <c r="D180" s="876">
        <f t="shared" ref="D180:E180" si="23">SUM(D178:D179)</f>
        <v>0</v>
      </c>
      <c r="E180" s="625">
        <f t="shared" si="23"/>
        <v>0</v>
      </c>
      <c r="G180" s="960" t="s">
        <v>540</v>
      </c>
      <c r="H180" s="624">
        <f>SUM(H178:H179)</f>
        <v>0</v>
      </c>
      <c r="I180" s="876">
        <f t="shared" ref="I180" si="24">SUM(I178:I179)</f>
        <v>0</v>
      </c>
      <c r="J180" s="625">
        <f t="shared" ref="J180" si="25">SUM(J178:J179)</f>
        <v>0</v>
      </c>
    </row>
    <row r="181" spans="2:14" ht="20.100000000000001" customHeight="1" x14ac:dyDescent="0.2">
      <c r="B181" s="536" t="s">
        <v>541</v>
      </c>
      <c r="C181" s="888" t="str">
        <f>IFERROR(C180/C177,"x")</f>
        <v>x</v>
      </c>
      <c r="D181" s="670" t="str">
        <f>IFERROR(D180/D177,"x")</f>
        <v>x</v>
      </c>
      <c r="E181" s="669" t="str">
        <f>IFERROR(E180/E177,"x")</f>
        <v>x</v>
      </c>
      <c r="G181" s="536" t="s">
        <v>541</v>
      </c>
      <c r="H181" s="888" t="str">
        <f>IFERROR(H180/H177,"x")</f>
        <v>x</v>
      </c>
      <c r="I181" s="670" t="str">
        <f>IFERROR(I180/I177,"x")</f>
        <v>x</v>
      </c>
      <c r="J181" s="669" t="str">
        <f>IFERROR(J180/J177,"x")</f>
        <v>x</v>
      </c>
    </row>
    <row r="182" spans="2:14" ht="20.100000000000001" customHeight="1" x14ac:dyDescent="0.2"/>
    <row r="183" spans="2:14" ht="20.100000000000001" customHeight="1" x14ac:dyDescent="0.2">
      <c r="B183" s="1258" t="s">
        <v>1218</v>
      </c>
      <c r="C183" s="1258"/>
      <c r="D183" s="1258"/>
      <c r="E183" s="1258"/>
      <c r="G183" s="1258" t="s">
        <v>1218</v>
      </c>
      <c r="H183" s="1258"/>
      <c r="I183" s="1258"/>
      <c r="J183" s="1258"/>
    </row>
    <row r="184" spans="2:14" ht="20.100000000000001" customHeight="1" x14ac:dyDescent="0.2"/>
    <row r="185" spans="2:14" ht="20.100000000000001" customHeight="1" x14ac:dyDescent="0.2">
      <c r="B185" s="282" t="s">
        <v>478</v>
      </c>
      <c r="C185" s="130" t="s">
        <v>187</v>
      </c>
      <c r="D185" s="246" t="s">
        <v>188</v>
      </c>
      <c r="E185" s="317" t="s">
        <v>189</v>
      </c>
      <c r="G185" s="282" t="s">
        <v>478</v>
      </c>
      <c r="H185" s="130" t="s">
        <v>187</v>
      </c>
      <c r="I185" s="246" t="s">
        <v>188</v>
      </c>
      <c r="J185" s="317" t="s">
        <v>189</v>
      </c>
    </row>
    <row r="186" spans="2:14" ht="20.100000000000001" customHeight="1" x14ac:dyDescent="0.2">
      <c r="B186" s="637" t="s">
        <v>537</v>
      </c>
      <c r="C186" s="630" t="str">
        <f>IFERROR(L165-E165,"x")</f>
        <v>x</v>
      </c>
      <c r="D186" s="649" t="str">
        <f>IFERROR(M165-F165,"x")</f>
        <v>x</v>
      </c>
      <c r="E186" s="631" t="str">
        <f>IFERROR(N165-G165,"x")</f>
        <v>x</v>
      </c>
      <c r="G186" s="637" t="s">
        <v>565</v>
      </c>
      <c r="H186" s="630" t="str">
        <f t="array" ref="H186">IFERROR(IFERROR(H177,0)+IFERROR(C186,0),"x")</f>
        <v>x</v>
      </c>
      <c r="I186" s="649" t="str">
        <f>IFERROR(I177+D186,"x")</f>
        <v>x</v>
      </c>
      <c r="J186" s="631" t="str">
        <f>IFERROR(J177+E186,"x")</f>
        <v>x</v>
      </c>
    </row>
    <row r="187" spans="2:14" ht="20.100000000000001" customHeight="1" x14ac:dyDescent="0.2">
      <c r="B187" s="959" t="s">
        <v>538</v>
      </c>
      <c r="C187" s="871" t="str">
        <f>IFERROR(L166-E166,"x")</f>
        <v>x</v>
      </c>
      <c r="D187" s="877" t="str">
        <f t="shared" ref="D187:E187" si="26">IFERROR(M166-F166,"x")</f>
        <v>x</v>
      </c>
      <c r="E187" s="878" t="str">
        <f t="shared" si="26"/>
        <v>x</v>
      </c>
      <c r="G187" s="959" t="s">
        <v>566</v>
      </c>
      <c r="H187" s="871" t="str">
        <f>IFERROR(H178+C187,"x")</f>
        <v>x</v>
      </c>
      <c r="I187" s="877" t="str">
        <f t="shared" ref="I187:J187" si="27">IFERROR(I178+D187,"x")</f>
        <v>x</v>
      </c>
      <c r="J187" s="878" t="str">
        <f t="shared" si="27"/>
        <v>x</v>
      </c>
    </row>
    <row r="188" spans="2:14" ht="20.100000000000001" customHeight="1" x14ac:dyDescent="0.2">
      <c r="B188" s="638" t="s">
        <v>539</v>
      </c>
      <c r="C188" s="872" t="str">
        <f>IFERROR(L167-E167,"x")</f>
        <v>x</v>
      </c>
      <c r="D188" s="879" t="str">
        <f t="shared" ref="D188:E188" si="28">IFERROR(M167-F167,"x")</f>
        <v>x</v>
      </c>
      <c r="E188" s="880" t="str">
        <f t="shared" si="28"/>
        <v>x</v>
      </c>
      <c r="G188" s="638" t="s">
        <v>567</v>
      </c>
      <c r="H188" s="872" t="str">
        <f>IFERROR(H179+C188,"x")</f>
        <v>x</v>
      </c>
      <c r="I188" s="879" t="str">
        <f t="shared" ref="I188:J188" si="29">IFERROR(I179+D188,"x")</f>
        <v>x</v>
      </c>
      <c r="J188" s="880" t="str">
        <f t="shared" si="29"/>
        <v>x</v>
      </c>
    </row>
    <row r="189" spans="2:14" ht="20.100000000000001" customHeight="1" x14ac:dyDescent="0.2">
      <c r="B189" s="614" t="s">
        <v>540</v>
      </c>
      <c r="C189" s="873">
        <f>IFERROR(IF(SUM(C187:C188) = 0, 0, SUM(C187:C188)),0)</f>
        <v>0</v>
      </c>
      <c r="D189" s="1287">
        <f t="shared" ref="D189:E189" si="30">SUM(D187:D188)</f>
        <v>0</v>
      </c>
      <c r="E189" s="1288">
        <f t="shared" si="30"/>
        <v>0</v>
      </c>
      <c r="G189" s="614" t="s">
        <v>568</v>
      </c>
      <c r="H189" s="873">
        <f>H180+C189</f>
        <v>0</v>
      </c>
      <c r="I189" s="1287">
        <f t="shared" ref="I189:J189" si="31">IFERROR(I180+D189,"x")</f>
        <v>0</v>
      </c>
      <c r="J189" s="1288">
        <f t="shared" si="31"/>
        <v>0</v>
      </c>
    </row>
    <row r="190" spans="2:14" ht="20.100000000000001" customHeight="1" x14ac:dyDescent="0.2"/>
    <row r="192" spans="2:14" ht="50.1" customHeight="1" x14ac:dyDescent="0.2">
      <c r="B192" s="159" t="s">
        <v>1252</v>
      </c>
      <c r="C192" s="59"/>
      <c r="D192" s="59"/>
      <c r="E192" s="59"/>
      <c r="F192" s="59"/>
      <c r="G192" s="59"/>
      <c r="H192" s="59"/>
      <c r="I192" s="59"/>
      <c r="J192" s="59"/>
      <c r="K192" s="59"/>
      <c r="L192" s="59"/>
      <c r="M192" s="59"/>
      <c r="N192" s="59"/>
    </row>
    <row r="194" spans="1:14" ht="30" customHeight="1" x14ac:dyDescent="0.2">
      <c r="A194" s="560"/>
      <c r="B194" s="175" t="s">
        <v>1216</v>
      </c>
      <c r="C194" s="310"/>
      <c r="D194" s="310"/>
      <c r="E194" s="310"/>
      <c r="F194" s="310"/>
      <c r="G194" s="310"/>
      <c r="H194" s="310"/>
      <c r="I194" s="310"/>
      <c r="J194" s="310"/>
      <c r="K194" s="310"/>
      <c r="L194" s="310"/>
      <c r="M194" s="310"/>
      <c r="N194" s="310"/>
    </row>
    <row r="195" spans="1:14" ht="20.100000000000001" customHeight="1" x14ac:dyDescent="0.2">
      <c r="A195" s="299"/>
    </row>
    <row r="196" spans="1:14" ht="20.100000000000001" customHeight="1" x14ac:dyDescent="0.2">
      <c r="A196" s="299"/>
      <c r="B196" s="1240" t="s">
        <v>1206</v>
      </c>
      <c r="C196" s="1240"/>
      <c r="D196" s="1240"/>
      <c r="E196" s="1240"/>
      <c r="F196" s="1240"/>
      <c r="G196" s="1240"/>
      <c r="I196" s="1240" t="s">
        <v>1205</v>
      </c>
      <c r="J196" s="1240"/>
      <c r="K196" s="1240"/>
      <c r="L196" s="1240"/>
      <c r="M196" s="1240"/>
      <c r="N196" s="1240"/>
    </row>
    <row r="197" spans="1:14" ht="20.100000000000001" customHeight="1" x14ac:dyDescent="0.2">
      <c r="A197" s="299"/>
    </row>
    <row r="198" spans="1:14" ht="20.100000000000001" customHeight="1" x14ac:dyDescent="0.2">
      <c r="A198" s="299"/>
      <c r="B198" s="500" t="s">
        <v>1232</v>
      </c>
      <c r="C198" s="511" t="s">
        <v>1251</v>
      </c>
      <c r="D198" s="72"/>
      <c r="E198" s="128" t="s">
        <v>181</v>
      </c>
      <c r="F198" s="117" t="s">
        <v>182</v>
      </c>
      <c r="G198" s="302" t="s">
        <v>183</v>
      </c>
      <c r="I198" s="500" t="s">
        <v>1232</v>
      </c>
      <c r="J198" s="511" t="s">
        <v>1251</v>
      </c>
      <c r="K198" s="72"/>
      <c r="L198" s="128" t="s">
        <v>181</v>
      </c>
      <c r="M198" s="117" t="s">
        <v>182</v>
      </c>
      <c r="N198" s="302" t="s">
        <v>183</v>
      </c>
    </row>
    <row r="199" spans="1:14" ht="20.100000000000001" customHeight="1" x14ac:dyDescent="0.2">
      <c r="A199" s="299"/>
      <c r="B199" s="853" t="s">
        <v>6</v>
      </c>
      <c r="C199" s="570" t="s">
        <v>6</v>
      </c>
      <c r="D199" s="493"/>
      <c r="E199" s="557" t="e">
        <f t="array" ref="E199">INDEX(df_dwell_aff!$D$2:$J$100, MATCH(1, (A$2 = df_dwell_aff!$A$2:$A$100) * ($C199 = df_dwell_aff!$B$2:$B$100) * ("Total" = df_dwell_aff!$C$2:$C$100), 0), MATCH("r", df_dwell_aff!$D$1:$J$1,0)) - INDEX(df_dwell_aff!$D$2:$J$100, MATCH(1, (A$2 = df_dwell_aff!$A$2:$A$100) * ($C199 = df_dwell_aff!$B$2:$B$100) * ("Total" = df_dwell_aff!$C$2:$C$100), 0), MATCH("rs", df_dwell_aff!$D$1:$J$1,0))</f>
        <v>#N/A</v>
      </c>
      <c r="F199" s="555" t="e">
        <f t="array" ref="F199">INDEX(df_dwell_aff!$D$2:$J$100, MATCH(1, (B$2 = df_dwell_aff!$A$2:$A$100) * ($C199 = df_dwell_aff!$B$2:$B$100) * ("Total" = df_dwell_aff!$C$2:$C$100), 0), MATCH("r", df_dwell_aff!$D$1:$J$1,0)) - INDEX(df_dwell_aff!$D$2:$J$100, MATCH(1, (B$2 = df_dwell_aff!$A$2:$A$100) * ($C199 = df_dwell_aff!$B$2:$B$100) * ("Total" = df_dwell_aff!$C$2:$C$100), 0), MATCH("rs", df_dwell_aff!$D$1:$J$1,0))</f>
        <v>#N/A</v>
      </c>
      <c r="G199" s="556" t="e">
        <f t="array" ref="G199">INDEX(df_dwell_aff!$D$2:$J$100, MATCH(1, (C$2 = df_dwell_aff!$A$2:$A$100) * ($C199 = df_dwell_aff!$B$2:$B$100) * ("Total" = df_dwell_aff!$C$2:$C$100), 0), MATCH("r", df_dwell_aff!$D$1:$J$1,0)) - INDEX(df_dwell_aff!$D$2:$J$100, MATCH(1, (C$2 = df_dwell_aff!$A$2:$A$100) * ($C199 = df_dwell_aff!$B$2:$B$100) * ("Total" = df_dwell_aff!$C$2:$C$100), 0), MATCH("rs", df_dwell_aff!$D$1:$J$1,0))</f>
        <v>#N/A</v>
      </c>
      <c r="H199" s="239"/>
      <c r="I199" s="853" t="s">
        <v>6</v>
      </c>
      <c r="J199" s="570" t="s">
        <v>6</v>
      </c>
      <c r="K199" s="493"/>
      <c r="L199" s="557" t="e">
        <f t="array" ref="L199">INDEX(df_dwell_aff!$D$2:$J$100, MATCH(1, (A$2 = df_dwell_aff!$A$2:$A$100) * ($J199 = df_dwell_aff!$B$2:$B$100) * ("2016 to 2021" = df_dwell_aff!$C$2:$C$100), 0), MATCH("r", df_dwell_aff!$D$1:$J$1,0)) - INDEX(df_dwell_aff!$D$2:$J$100, MATCH(1, (A$2 = df_dwell_aff!$A$2:$A$100) * ($J199 = df_dwell_aff!$B$2:$B$100) * ("2016 to 2021" = df_dwell_aff!$C$2:$C$100), 0), MATCH("rs", df_dwell_aff!$D$1:$J$1,0))</f>
        <v>#N/A</v>
      </c>
      <c r="M199" s="555" t="e">
        <f t="array" ref="M199">INDEX(df_dwell_aff!$D$2:$J$100, MATCH(1, (B$2 = df_dwell_aff!$A$2:$A$100) * ($J199 = df_dwell_aff!$B$2:$B$100) * ("2016 to 2021" = df_dwell_aff!$C$2:$C$100), 0), MATCH("r", df_dwell_aff!$D$1:$J$1,0)) - INDEX(df_dwell_aff!$D$2:$J$100, MATCH(1, (B$2 = df_dwell_aff!$A$2:$A$100) * ($J199 = df_dwell_aff!$B$2:$B$100) * ("2016 to 2021" = df_dwell_aff!$C$2:$C$100), 0), MATCH("rs", df_dwell_aff!$D$1:$J$1,0))</f>
        <v>#N/A</v>
      </c>
      <c r="N199" s="556" t="e">
        <f t="array" ref="N199">INDEX(df_dwell_aff!$D$2:$J$100, MATCH(1, (C$2 = df_dwell_aff!$A$2:$A$100) * ($J199 = df_dwell_aff!$B$2:$B$100) * ("2016 to 2021" = df_dwell_aff!$C$2:$C$100), 0), MATCH("r", df_dwell_aff!$D$1:$J$1,0)) - INDEX(df_dwell_aff!$D$2:$J$100, MATCH(1, (C$2 = df_dwell_aff!$A$2:$A$100) * ($J199 = df_dwell_aff!$B$2:$B$100) * ("2016 to 2021" = df_dwell_aff!$C$2:$C$100), 0), MATCH("rs", df_dwell_aff!$D$1:$J$1,0))</f>
        <v>#N/A</v>
      </c>
    </row>
    <row r="200" spans="1:14" ht="20.100000000000001" customHeight="1" x14ac:dyDescent="0.2">
      <c r="A200" s="299"/>
      <c r="B200" s="918" t="s">
        <v>98</v>
      </c>
      <c r="C200" s="84" t="s">
        <v>531</v>
      </c>
      <c r="D200" s="173"/>
      <c r="E200" s="558" t="e">
        <f t="array" ref="E200">INDEX(df_dwell_aff!$D$2:$J$100, MATCH(1, (A$2 = df_dwell_aff!$A$2:$A$100) * ($C200 = df_dwell_aff!$B$2:$B$100) * ("Total" = df_dwell_aff!$C$2:$C$100), 0), MATCH("r", df_dwell_aff!$D$1:$J$1,0)) - INDEX(df_dwell_aff!$D$2:$J$100, MATCH(1, (A$2 = df_dwell_aff!$A$2:$A$100) * ($C200 = df_dwell_aff!$B$2:$B$100) * ("Total" = df_dwell_aff!$C$2:$C$100), 0), MATCH("rs", df_dwell_aff!$D$1:$J$1,0))</f>
        <v>#N/A</v>
      </c>
      <c r="F200" s="239" t="e">
        <f t="array" ref="F200">INDEX(df_dwell_aff!$D$2:$J$100, MATCH(1, (B$2 = df_dwell_aff!$A$2:$A$100) * ($C200 = df_dwell_aff!$B$2:$B$100) * ("Total" = df_dwell_aff!$C$2:$C$100), 0), MATCH("r", df_dwell_aff!$D$1:$J$1,0)) - INDEX(df_dwell_aff!$D$2:$J$100, MATCH(1, (B$2 = df_dwell_aff!$A$2:$A$100) * ($C200 = df_dwell_aff!$B$2:$B$100) * ("Total" = df_dwell_aff!$C$2:$C$100), 0), MATCH("rs", df_dwell_aff!$D$1:$J$1,0))</f>
        <v>#N/A</v>
      </c>
      <c r="G200" s="552" t="e">
        <f t="array" ref="G200">INDEX(df_dwell_aff!$D$2:$J$100, MATCH(1, (C$2 = df_dwell_aff!$A$2:$A$100) * ($C200 = df_dwell_aff!$B$2:$B$100) * ("Total" = df_dwell_aff!$C$2:$C$100), 0), MATCH("r", df_dwell_aff!$D$1:$J$1,0)) - INDEX(df_dwell_aff!$D$2:$J$100, MATCH(1, (C$2 = df_dwell_aff!$A$2:$A$100) * ($C200 = df_dwell_aff!$B$2:$B$100) * ("Total" = df_dwell_aff!$C$2:$C$100), 0), MATCH("rs", df_dwell_aff!$D$1:$J$1,0))</f>
        <v>#N/A</v>
      </c>
      <c r="H200" s="239"/>
      <c r="I200" s="918" t="s">
        <v>98</v>
      </c>
      <c r="J200" s="84" t="s">
        <v>531</v>
      </c>
      <c r="K200" s="173"/>
      <c r="L200" s="558" t="e">
        <f t="array" ref="L200">INDEX(df_dwell_aff!$D$2:$J$100, MATCH(1, (A$2 = df_dwell_aff!$A$2:$A$100) * ($J200 = df_dwell_aff!$B$2:$B$100) * ("2016 to 2021" = df_dwell_aff!$C$2:$C$100), 0), MATCH("r", df_dwell_aff!$D$1:$J$1,0)) - INDEX(df_dwell_aff!$D$2:$J$100, MATCH(1, (A$2 = df_dwell_aff!$A$2:$A$100) * ($J200 = df_dwell_aff!$B$2:$B$100) * ("2016 to 2021" = df_dwell_aff!$C$2:$C$100), 0), MATCH("rs", df_dwell_aff!$D$1:$J$1,0))</f>
        <v>#N/A</v>
      </c>
      <c r="M200" s="239" t="e">
        <f t="array" ref="M200">INDEX(df_dwell_aff!$D$2:$J$100, MATCH(1, (B$2 = df_dwell_aff!$A$2:$A$100) * ($J200 = df_dwell_aff!$B$2:$B$100) * ("2016 to 2021" = df_dwell_aff!$C$2:$C$100), 0), MATCH("r", df_dwell_aff!$D$1:$J$1,0)) - INDEX(df_dwell_aff!$D$2:$J$100, MATCH(1, (B$2 = df_dwell_aff!$A$2:$A$100) * ($J200 = df_dwell_aff!$B$2:$B$100) * ("2016 to 2021" = df_dwell_aff!$C$2:$C$100), 0), MATCH("rs", df_dwell_aff!$D$1:$J$1,0))</f>
        <v>#N/A</v>
      </c>
      <c r="N200" s="552" t="e">
        <f t="array" ref="N200">INDEX(df_dwell_aff!$D$2:$J$100, MATCH(1, (C$2 = df_dwell_aff!$A$2:$A$100) * ($J200 = df_dwell_aff!$B$2:$B$100) * ("2016 to 2021" = df_dwell_aff!$C$2:$C$100), 0), MATCH("r", df_dwell_aff!$D$1:$J$1,0)) - INDEX(df_dwell_aff!$D$2:$J$100, MATCH(1, (C$2 = df_dwell_aff!$A$2:$A$100) * ($J200 = df_dwell_aff!$B$2:$B$100) * ("2016 to 2021" = df_dwell_aff!$C$2:$C$100), 0), MATCH("rs", df_dwell_aff!$D$1:$J$1,0))</f>
        <v>#N/A</v>
      </c>
    </row>
    <row r="201" spans="1:14" ht="20.100000000000001" customHeight="1" x14ac:dyDescent="0.2">
      <c r="A201" s="299"/>
      <c r="B201" s="918" t="s">
        <v>8</v>
      </c>
      <c r="C201" s="84" t="s">
        <v>532</v>
      </c>
      <c r="D201" s="173"/>
      <c r="E201" s="558" t="e">
        <f t="array" ref="E201">INDEX(df_dwell_aff!$D$2:$J$100, MATCH(1, (A$2 = df_dwell_aff!$A$2:$A$100) * ($C201 = df_dwell_aff!$B$2:$B$100) * ("Total" = df_dwell_aff!$C$2:$C$100), 0), MATCH("r", df_dwell_aff!$D$1:$J$1,0)) - INDEX(df_dwell_aff!$D$2:$J$100, MATCH(1, (A$2 = df_dwell_aff!$A$2:$A$100) * ($C201 = df_dwell_aff!$B$2:$B$100) * ("Total" = df_dwell_aff!$C$2:$C$100), 0), MATCH("rs", df_dwell_aff!$D$1:$J$1,0))</f>
        <v>#N/A</v>
      </c>
      <c r="F201" s="239" t="e">
        <f t="array" ref="F201">INDEX(df_dwell_aff!$D$2:$J$100, MATCH(1, (B$2 = df_dwell_aff!$A$2:$A$100) * ($C201 = df_dwell_aff!$B$2:$B$100) * ("Total" = df_dwell_aff!$C$2:$C$100), 0), MATCH("r", df_dwell_aff!$D$1:$J$1,0)) - INDEX(df_dwell_aff!$D$2:$J$100, MATCH(1, (B$2 = df_dwell_aff!$A$2:$A$100) * ($C201 = df_dwell_aff!$B$2:$B$100) * ("Total" = df_dwell_aff!$C$2:$C$100), 0), MATCH("rs", df_dwell_aff!$D$1:$J$1,0))</f>
        <v>#N/A</v>
      </c>
      <c r="G201" s="552" t="e">
        <f t="array" ref="G201">INDEX(df_dwell_aff!$D$2:$J$100, MATCH(1, (C$2 = df_dwell_aff!$A$2:$A$100) * ($C201 = df_dwell_aff!$B$2:$B$100) * ("Total" = df_dwell_aff!$C$2:$C$100), 0), MATCH("r", df_dwell_aff!$D$1:$J$1,0)) - INDEX(df_dwell_aff!$D$2:$J$100, MATCH(1, (C$2 = df_dwell_aff!$A$2:$A$100) * ($C201 = df_dwell_aff!$B$2:$B$100) * ("Total" = df_dwell_aff!$C$2:$C$100), 0), MATCH("rs", df_dwell_aff!$D$1:$J$1,0))</f>
        <v>#N/A</v>
      </c>
      <c r="H201" s="239"/>
      <c r="I201" s="918" t="s">
        <v>8</v>
      </c>
      <c r="J201" s="84" t="s">
        <v>532</v>
      </c>
      <c r="K201" s="173"/>
      <c r="L201" s="558" t="e">
        <f t="array" ref="L201">INDEX(df_dwell_aff!$D$2:$J$100, MATCH(1, (A$2 = df_dwell_aff!$A$2:$A$100) * ($J201 = df_dwell_aff!$B$2:$B$100) * ("2016 to 2021" = df_dwell_aff!$C$2:$C$100), 0), MATCH("r", df_dwell_aff!$D$1:$J$1,0)) - INDEX(df_dwell_aff!$D$2:$J$100, MATCH(1, (A$2 = df_dwell_aff!$A$2:$A$100) * ($J201 = df_dwell_aff!$B$2:$B$100) * ("2016 to 2021" = df_dwell_aff!$C$2:$C$100), 0), MATCH("rs", df_dwell_aff!$D$1:$J$1,0))</f>
        <v>#N/A</v>
      </c>
      <c r="M201" s="239" t="e">
        <f t="array" ref="M201">INDEX(df_dwell_aff!$D$2:$J$100, MATCH(1, (B$2 = df_dwell_aff!$A$2:$A$100) * ($J201 = df_dwell_aff!$B$2:$B$100) * ("2016 to 2021" = df_dwell_aff!$C$2:$C$100), 0), MATCH("r", df_dwell_aff!$D$1:$J$1,0)) - INDEX(df_dwell_aff!$D$2:$J$100, MATCH(1, (B$2 = df_dwell_aff!$A$2:$A$100) * ($J201 = df_dwell_aff!$B$2:$B$100) * ("2016 to 2021" = df_dwell_aff!$C$2:$C$100), 0), MATCH("rs", df_dwell_aff!$D$1:$J$1,0))</f>
        <v>#N/A</v>
      </c>
      <c r="N201" s="552" t="e">
        <f t="array" ref="N201">INDEX(df_dwell_aff!$D$2:$J$100, MATCH(1, (C$2 = df_dwell_aff!$A$2:$A$100) * ($J201 = df_dwell_aff!$B$2:$B$100) * ("2016 to 2021" = df_dwell_aff!$C$2:$C$100), 0), MATCH("r", df_dwell_aff!$D$1:$J$1,0)) - INDEX(df_dwell_aff!$D$2:$J$100, MATCH(1, (C$2 = df_dwell_aff!$A$2:$A$100) * ($J201 = df_dwell_aff!$B$2:$B$100) * ("2016 to 2021" = df_dwell_aff!$C$2:$C$100), 0), MATCH("rs", df_dwell_aff!$D$1:$J$1,0))</f>
        <v>#N/A</v>
      </c>
    </row>
    <row r="202" spans="1:14" ht="20.100000000000001" customHeight="1" x14ac:dyDescent="0.2">
      <c r="A202" s="299"/>
      <c r="B202" s="918" t="s">
        <v>99</v>
      </c>
      <c r="C202" s="84" t="s">
        <v>533</v>
      </c>
      <c r="D202" s="173"/>
      <c r="E202" s="558" t="e">
        <f t="array" ref="E202">INDEX(df_dwell_aff!$D$2:$J$100, MATCH(1, (A$2 = df_dwell_aff!$A$2:$A$100) * ($C202 = df_dwell_aff!$B$2:$B$100) * ("Total" = df_dwell_aff!$C$2:$C$100), 0), MATCH("r", df_dwell_aff!$D$1:$J$1,0)) - INDEX(df_dwell_aff!$D$2:$J$100, MATCH(1, (A$2 = df_dwell_aff!$A$2:$A$100) * ($C202 = df_dwell_aff!$B$2:$B$100) * ("Total" = df_dwell_aff!$C$2:$C$100), 0), MATCH("rs", df_dwell_aff!$D$1:$J$1,0))</f>
        <v>#N/A</v>
      </c>
      <c r="F202" s="239" t="e">
        <f t="array" ref="F202">INDEX(df_dwell_aff!$D$2:$J$100, MATCH(1, (B$2 = df_dwell_aff!$A$2:$A$100) * ($C202 = df_dwell_aff!$B$2:$B$100) * ("Total" = df_dwell_aff!$C$2:$C$100), 0), MATCH("r", df_dwell_aff!$D$1:$J$1,0)) - INDEX(df_dwell_aff!$D$2:$J$100, MATCH(1, (B$2 = df_dwell_aff!$A$2:$A$100) * ($C202 = df_dwell_aff!$B$2:$B$100) * ("Total" = df_dwell_aff!$C$2:$C$100), 0), MATCH("rs", df_dwell_aff!$D$1:$J$1,0))</f>
        <v>#N/A</v>
      </c>
      <c r="G202" s="552" t="e">
        <f t="array" ref="G202">INDEX(df_dwell_aff!$D$2:$J$100, MATCH(1, (C$2 = df_dwell_aff!$A$2:$A$100) * ($C202 = df_dwell_aff!$B$2:$B$100) * ("Total" = df_dwell_aff!$C$2:$C$100), 0), MATCH("r", df_dwell_aff!$D$1:$J$1,0)) - INDEX(df_dwell_aff!$D$2:$J$100, MATCH(1, (C$2 = df_dwell_aff!$A$2:$A$100) * ($C202 = df_dwell_aff!$B$2:$B$100) * ("Total" = df_dwell_aff!$C$2:$C$100), 0), MATCH("rs", df_dwell_aff!$D$1:$J$1,0))</f>
        <v>#N/A</v>
      </c>
      <c r="H202" s="239"/>
      <c r="I202" s="918" t="s">
        <v>99</v>
      </c>
      <c r="J202" s="84" t="s">
        <v>533</v>
      </c>
      <c r="K202" s="173"/>
      <c r="L202" s="558" t="e">
        <f t="array" ref="L202">INDEX(df_dwell_aff!$D$2:$J$100, MATCH(1, (A$2 = df_dwell_aff!$A$2:$A$100) * ($J202 = df_dwell_aff!$B$2:$B$100) * ("2016 to 2021" = df_dwell_aff!$C$2:$C$100), 0), MATCH("r", df_dwell_aff!$D$1:$J$1,0)) - INDEX(df_dwell_aff!$D$2:$J$100, MATCH(1, (A$2 = df_dwell_aff!$A$2:$A$100) * ($J202 = df_dwell_aff!$B$2:$B$100) * ("2016 to 2021" = df_dwell_aff!$C$2:$C$100), 0), MATCH("rs", df_dwell_aff!$D$1:$J$1,0))</f>
        <v>#N/A</v>
      </c>
      <c r="M202" s="239" t="e">
        <f t="array" ref="M202">INDEX(df_dwell_aff!$D$2:$J$100, MATCH(1, (B$2 = df_dwell_aff!$A$2:$A$100) * ($J202 = df_dwell_aff!$B$2:$B$100) * ("2016 to 2021" = df_dwell_aff!$C$2:$C$100), 0), MATCH("r", df_dwell_aff!$D$1:$J$1,0)) - INDEX(df_dwell_aff!$D$2:$J$100, MATCH(1, (B$2 = df_dwell_aff!$A$2:$A$100) * ($J202 = df_dwell_aff!$B$2:$B$100) * ("2016 to 2021" = df_dwell_aff!$C$2:$C$100), 0), MATCH("rs", df_dwell_aff!$D$1:$J$1,0))</f>
        <v>#N/A</v>
      </c>
      <c r="N202" s="552" t="e">
        <f t="array" ref="N202">INDEX(df_dwell_aff!$D$2:$J$100, MATCH(1, (C$2 = df_dwell_aff!$A$2:$A$100) * ($J202 = df_dwell_aff!$B$2:$B$100) * ("2016 to 2021" = df_dwell_aff!$C$2:$C$100), 0), MATCH("r", df_dwell_aff!$D$1:$J$1,0)) - INDEX(df_dwell_aff!$D$2:$J$100, MATCH(1, (C$2 = df_dwell_aff!$A$2:$A$100) * ($J202 = df_dwell_aff!$B$2:$B$100) * ("2016 to 2021" = df_dwell_aff!$C$2:$C$100), 0), MATCH("rs", df_dwell_aff!$D$1:$J$1,0))</f>
        <v>#N/A</v>
      </c>
    </row>
    <row r="203" spans="1:14" ht="20.100000000000001" customHeight="1" x14ac:dyDescent="0.2">
      <c r="A203" s="299"/>
      <c r="B203" s="918" t="s">
        <v>100</v>
      </c>
      <c r="C203" s="84" t="s">
        <v>534</v>
      </c>
      <c r="D203" s="173"/>
      <c r="E203" s="558" t="e">
        <f t="array" ref="E203">INDEX(df_dwell_aff!$D$2:$J$100, MATCH(1, (A$2 = df_dwell_aff!$A$2:$A$100) * ($C203 = df_dwell_aff!$B$2:$B$100) * ("Total" = df_dwell_aff!$C$2:$C$100), 0), MATCH("r", df_dwell_aff!$D$1:$J$1,0)) - INDEX(df_dwell_aff!$D$2:$J$100, MATCH(1, (A$2 = df_dwell_aff!$A$2:$A$100) * ($C203 = df_dwell_aff!$B$2:$B$100) * ("Total" = df_dwell_aff!$C$2:$C$100), 0), MATCH("rs", df_dwell_aff!$D$1:$J$1,0))</f>
        <v>#N/A</v>
      </c>
      <c r="F203" s="239" t="e">
        <f t="array" ref="F203">INDEX(df_dwell_aff!$D$2:$J$100, MATCH(1, (B$2 = df_dwell_aff!$A$2:$A$100) * ($C203 = df_dwell_aff!$B$2:$B$100) * ("Total" = df_dwell_aff!$C$2:$C$100), 0), MATCH("r", df_dwell_aff!$D$1:$J$1,0)) - INDEX(df_dwell_aff!$D$2:$J$100, MATCH(1, (B$2 = df_dwell_aff!$A$2:$A$100) * ($C203 = df_dwell_aff!$B$2:$B$100) * ("Total" = df_dwell_aff!$C$2:$C$100), 0), MATCH("rs", df_dwell_aff!$D$1:$J$1,0))</f>
        <v>#N/A</v>
      </c>
      <c r="G203" s="552" t="e">
        <f t="array" ref="G203">INDEX(df_dwell_aff!$D$2:$J$100, MATCH(1, (C$2 = df_dwell_aff!$A$2:$A$100) * ($C203 = df_dwell_aff!$B$2:$B$100) * ("Total" = df_dwell_aff!$C$2:$C$100), 0), MATCH("r", df_dwell_aff!$D$1:$J$1,0)) - INDEX(df_dwell_aff!$D$2:$J$100, MATCH(1, (C$2 = df_dwell_aff!$A$2:$A$100) * ($C203 = df_dwell_aff!$B$2:$B$100) * ("Total" = df_dwell_aff!$C$2:$C$100), 0), MATCH("rs", df_dwell_aff!$D$1:$J$1,0))</f>
        <v>#N/A</v>
      </c>
      <c r="H203" s="239"/>
      <c r="I203" s="918" t="s">
        <v>100</v>
      </c>
      <c r="J203" s="84" t="s">
        <v>534</v>
      </c>
      <c r="K203" s="173"/>
      <c r="L203" s="558" t="e">
        <f t="array" ref="L203">INDEX(df_dwell_aff!$D$2:$J$100, MATCH(1, (A$2 = df_dwell_aff!$A$2:$A$100) * ($J203 = df_dwell_aff!$B$2:$B$100) * ("2016 to 2021" = df_dwell_aff!$C$2:$C$100), 0), MATCH("r", df_dwell_aff!$D$1:$J$1,0)) - INDEX(df_dwell_aff!$D$2:$J$100, MATCH(1, (A$2 = df_dwell_aff!$A$2:$A$100) * ($J203 = df_dwell_aff!$B$2:$B$100) * ("2016 to 2021" = df_dwell_aff!$C$2:$C$100), 0), MATCH("rs", df_dwell_aff!$D$1:$J$1,0))</f>
        <v>#N/A</v>
      </c>
      <c r="M203" s="239" t="e">
        <f t="array" ref="M203">INDEX(df_dwell_aff!$D$2:$J$100, MATCH(1, (B$2 = df_dwell_aff!$A$2:$A$100) * ($J203 = df_dwell_aff!$B$2:$B$100) * ("2016 to 2021" = df_dwell_aff!$C$2:$C$100), 0), MATCH("r", df_dwell_aff!$D$1:$J$1,0)) - INDEX(df_dwell_aff!$D$2:$J$100, MATCH(1, (B$2 = df_dwell_aff!$A$2:$A$100) * ($J203 = df_dwell_aff!$B$2:$B$100) * ("2016 to 2021" = df_dwell_aff!$C$2:$C$100), 0), MATCH("rs", df_dwell_aff!$D$1:$J$1,0))</f>
        <v>#N/A</v>
      </c>
      <c r="N203" s="552" t="e">
        <f t="array" ref="N203">INDEX(df_dwell_aff!$D$2:$J$100, MATCH(1, (C$2 = df_dwell_aff!$A$2:$A$100) * ($J203 = df_dwell_aff!$B$2:$B$100) * ("2016 to 2021" = df_dwell_aff!$C$2:$C$100), 0), MATCH("r", df_dwell_aff!$D$1:$J$1,0)) - INDEX(df_dwell_aff!$D$2:$J$100, MATCH(1, (C$2 = df_dwell_aff!$A$2:$A$100) * ($J203 = df_dwell_aff!$B$2:$B$100) * ("2016 to 2021" = df_dwell_aff!$C$2:$C$100), 0), MATCH("rs", df_dwell_aff!$D$1:$J$1,0))</f>
        <v>#N/A</v>
      </c>
    </row>
    <row r="204" spans="1:14" ht="20.100000000000001" customHeight="1" x14ac:dyDescent="0.2">
      <c r="A204" s="299"/>
      <c r="B204" s="854" t="s">
        <v>9</v>
      </c>
      <c r="C204" s="569" t="s">
        <v>535</v>
      </c>
      <c r="D204" s="494"/>
      <c r="E204" s="559" t="e">
        <f t="array" ref="E204">INDEX(df_dwell_aff!$D$2:$J$100, MATCH(1, (A$2 = df_dwell_aff!$A$2:$A$100) * ($C204 = df_dwell_aff!$B$2:$B$100) * ("Total" = df_dwell_aff!$C$2:$C$100), 0), MATCH("r", df_dwell_aff!$D$1:$J$1,0)) - INDEX(df_dwell_aff!$D$2:$J$100, MATCH(1, (A$2 = df_dwell_aff!$A$2:$A$100) * ($C204 = df_dwell_aff!$B$2:$B$100) * ("Total" = df_dwell_aff!$C$2:$C$100), 0), MATCH("rs", df_dwell_aff!$D$1:$J$1,0))</f>
        <v>#N/A</v>
      </c>
      <c r="F204" s="553" t="e">
        <f t="array" ref="F204">INDEX(df_dwell_aff!$D$2:$J$100, MATCH(1, (B$2 = df_dwell_aff!$A$2:$A$100) * ($C204 = df_dwell_aff!$B$2:$B$100) * ("Total" = df_dwell_aff!$C$2:$C$100), 0), MATCH("r", df_dwell_aff!$D$1:$J$1,0)) - INDEX(df_dwell_aff!$D$2:$J$100, MATCH(1, (B$2 = df_dwell_aff!$A$2:$A$100) * ($C204 = df_dwell_aff!$B$2:$B$100) * ("Total" = df_dwell_aff!$C$2:$C$100), 0), MATCH("rs", df_dwell_aff!$D$1:$J$1,0))</f>
        <v>#N/A</v>
      </c>
      <c r="G204" s="554" t="e">
        <f t="array" ref="G204">INDEX(df_dwell_aff!$D$2:$J$100, MATCH(1, (C$2 = df_dwell_aff!$A$2:$A$100) * ($C204 = df_dwell_aff!$B$2:$B$100) * ("Total" = df_dwell_aff!$C$2:$C$100), 0), MATCH("r", df_dwell_aff!$D$1:$J$1,0)) - INDEX(df_dwell_aff!$D$2:$J$100, MATCH(1, (C$2 = df_dwell_aff!$A$2:$A$100) * ($C204 = df_dwell_aff!$B$2:$B$100) * ("Total" = df_dwell_aff!$C$2:$C$100), 0), MATCH("rs", df_dwell_aff!$D$1:$J$1,0))</f>
        <v>#N/A</v>
      </c>
      <c r="H204" s="239"/>
      <c r="I204" s="854" t="s">
        <v>9</v>
      </c>
      <c r="J204" s="569" t="s">
        <v>535</v>
      </c>
      <c r="K204" s="494"/>
      <c r="L204" s="559" t="e">
        <f t="array" ref="L204">INDEX(df_dwell_aff!$D$2:$J$100, MATCH(1, (A$2 = df_dwell_aff!$A$2:$A$100) * ($J204 = df_dwell_aff!$B$2:$B$100) * ("2016 to 2021" = df_dwell_aff!$C$2:$C$100), 0), MATCH("r", df_dwell_aff!$D$1:$J$1,0)) - INDEX(df_dwell_aff!$D$2:$J$100, MATCH(1, (A$2 = df_dwell_aff!$A$2:$A$100) * ($J204 = df_dwell_aff!$B$2:$B$100) * ("2016 to 2021" = df_dwell_aff!$C$2:$C$100), 0), MATCH("rs", df_dwell_aff!$D$1:$J$1,0))</f>
        <v>#N/A</v>
      </c>
      <c r="M204" s="553" t="e">
        <f t="array" ref="M204">INDEX(df_dwell_aff!$D$2:$J$100, MATCH(1, (B$2 = df_dwell_aff!$A$2:$A$100) * ($J204 = df_dwell_aff!$B$2:$B$100) * ("2016 to 2021" = df_dwell_aff!$C$2:$C$100), 0), MATCH("r", df_dwell_aff!$D$1:$J$1,0)) - INDEX(df_dwell_aff!$D$2:$J$100, MATCH(1, (B$2 = df_dwell_aff!$A$2:$A$100) * ($J204 = df_dwell_aff!$B$2:$B$100) * ("2016 to 2021" = df_dwell_aff!$C$2:$C$100), 0), MATCH("rs", df_dwell_aff!$D$1:$J$1,0))</f>
        <v>#N/A</v>
      </c>
      <c r="N204" s="554" t="e">
        <f t="array" ref="N204">INDEX(df_dwell_aff!$D$2:$J$100, MATCH(1, (C$2 = df_dwell_aff!$A$2:$A$100) * ($J204 = df_dwell_aff!$B$2:$B$100) * ("2016 to 2021" = df_dwell_aff!$C$2:$C$100), 0), MATCH("r", df_dwell_aff!$D$1:$J$1,0)) - INDEX(df_dwell_aff!$D$2:$J$100, MATCH(1, (C$2 = df_dwell_aff!$A$2:$A$100) * ($J204 = df_dwell_aff!$B$2:$B$100) * ("2016 to 2021" = df_dwell_aff!$C$2:$C$100), 0), MATCH("rs", df_dwell_aff!$D$1:$J$1,0))</f>
        <v>#N/A</v>
      </c>
    </row>
    <row r="205" spans="1:14" ht="20.100000000000001" customHeight="1" x14ac:dyDescent="0.2">
      <c r="A205" s="299"/>
    </row>
    <row r="206" spans="1:14" ht="20.100000000000001" customHeight="1" x14ac:dyDescent="0.2">
      <c r="A206" s="299"/>
      <c r="B206" s="1240" t="s">
        <v>1207</v>
      </c>
      <c r="C206" s="1240"/>
      <c r="D206" s="1240"/>
      <c r="E206" s="1240"/>
      <c r="F206" s="1240"/>
      <c r="G206" s="1240"/>
      <c r="I206" s="1240" t="s">
        <v>1204</v>
      </c>
      <c r="J206" s="1240"/>
      <c r="K206" s="1240"/>
      <c r="L206" s="1240"/>
      <c r="M206" s="1240"/>
      <c r="N206" s="1240"/>
    </row>
    <row r="207" spans="1:14" ht="20.100000000000001" customHeight="1" x14ac:dyDescent="0.2">
      <c r="A207" s="299"/>
    </row>
    <row r="208" spans="1:14" ht="20.100000000000001" customHeight="1" x14ac:dyDescent="0.2">
      <c r="A208" s="299"/>
      <c r="B208" s="500" t="s">
        <v>1232</v>
      </c>
      <c r="C208" s="511" t="s">
        <v>1251</v>
      </c>
      <c r="D208" s="72"/>
      <c r="E208" s="128" t="s">
        <v>181</v>
      </c>
      <c r="F208" s="117" t="s">
        <v>182</v>
      </c>
      <c r="G208" s="302" t="s">
        <v>183</v>
      </c>
      <c r="I208" s="500" t="s">
        <v>1232</v>
      </c>
      <c r="J208" s="511" t="s">
        <v>1251</v>
      </c>
      <c r="K208" s="72"/>
      <c r="L208" s="128" t="s">
        <v>181</v>
      </c>
      <c r="M208" s="117" t="s">
        <v>182</v>
      </c>
      <c r="N208" s="302" t="s">
        <v>183</v>
      </c>
    </row>
    <row r="209" spans="1:14" ht="20.100000000000001" customHeight="1" x14ac:dyDescent="0.2">
      <c r="A209" s="299"/>
      <c r="B209" s="853" t="s">
        <v>6</v>
      </c>
      <c r="C209" s="570" t="s">
        <v>6</v>
      </c>
      <c r="D209" s="493"/>
      <c r="E209" s="557" t="e">
        <f t="array" ref="E209">INDEX(df_dwell_aff!$D$2:$J$100, MATCH(1, (A$2 = df_dwell_aff!$A$2:$A$100) * ($C209 = df_dwell_aff!$B$2:$B$100) * ("before 2016" = df_dwell_aff!$C$2:$C$100), 0), MATCH("r", df_dwell_aff!$D$1:$J$1,0)) - INDEX(df_dwell_aff!$D$2:$J$100, MATCH(1, (A$2 = df_dwell_aff!$A$2:$A$100) * ($C209 = df_dwell_aff!$B$2:$B$100) * ("before 2016" = df_dwell_aff!$C$2:$C$100), 0), MATCH("rs", df_dwell_aff!$D$1:$J$1,0))</f>
        <v>#N/A</v>
      </c>
      <c r="F209" s="555" t="e">
        <f t="array" ref="F209">INDEX(df_dwell_aff!$D$2:$J$100, MATCH(1, (B$2 = df_dwell_aff!$A$2:$A$100) * ($C209 = df_dwell_aff!$B$2:$B$100) * ("before 2016" = df_dwell_aff!$C$2:$C$100), 0), MATCH("r", df_dwell_aff!$D$1:$J$1,0)) - INDEX(df_dwell_aff!$D$2:$J$100, MATCH(1, (B$2 = df_dwell_aff!$A$2:$A$100) * ($C209 = df_dwell_aff!$B$2:$B$100) * ("before 2016" = df_dwell_aff!$C$2:$C$100), 0), MATCH("rs", df_dwell_aff!$D$1:$J$1,0))</f>
        <v>#N/A</v>
      </c>
      <c r="G209" s="556" t="e">
        <f t="array" ref="G209">INDEX(df_dwell_aff!$D$2:$J$100, MATCH(1, (C$2 = df_dwell_aff!$A$2:$A$100) * ($C209 = df_dwell_aff!$B$2:$B$100) * ("before 2016" = df_dwell_aff!$C$2:$C$100), 0), MATCH("r", df_dwell_aff!$D$1:$J$1,0)) - INDEX(df_dwell_aff!$D$2:$J$100, MATCH(1, (C$2 = df_dwell_aff!$A$2:$A$100) * ($C209 = df_dwell_aff!$B$2:$B$100) * ("before 2016" = df_dwell_aff!$C$2:$C$100), 0), MATCH("rs", df_dwell_aff!$D$1:$J$1,0))</f>
        <v>#N/A</v>
      </c>
      <c r="I209" s="853" t="s">
        <v>6</v>
      </c>
      <c r="J209" s="570" t="s">
        <v>6</v>
      </c>
      <c r="K209" s="493"/>
      <c r="L209" s="557">
        <f t="array" ref="L209">IFERROR(INDEX(df_dwell16_aff!$C$2:$I$100, MATCH(1, (A$2 = df_dwell16_aff!$A$2:$A$100) * ($J209 = df_dwell16_aff!$B$2:$B$100), 0), MATCH("r", df_dwell16_aff!$C$1:$I$1,0)),0) - IFERROR(INDEX(df_dwell16_aff!$C$2:$I$100, MATCH(1, (A$2 = df_dwell16_aff!$A$2:$A$100) * ($J209 = df_dwell16_aff!$B$2:$B$100), 0), MATCH("rs", df_dwell16_aff!$C$1:$I$1,0)),0)</f>
        <v>0</v>
      </c>
      <c r="M209" s="555">
        <f t="array" ref="M209">IFERROR(INDEX(df_dwell16_aff!$C$2:$I$100, MATCH(1, (B$2 = df_dwell16_aff!$A$2:$A$100) * ($J209 = df_dwell16_aff!$B$2:$B$100), 0), MATCH("r", df_dwell16_aff!$C$1:$I$1,0)),0) - IFERROR(INDEX(df_dwell16_aff!$C$2:$I$100, MATCH(1, (B$2 = df_dwell16_aff!$A$2:$A$100) * ($J209 = df_dwell16_aff!$B$2:$B$100), 0), MATCH("rs", df_dwell16_aff!$C$1:$I$1,0)),0)</f>
        <v>0</v>
      </c>
      <c r="N209" s="556">
        <f t="array" ref="N209">IFERROR(INDEX(df_dwell16_aff!$C$2:$I$100, MATCH(1, (C$2 = df_dwell16_aff!$A$2:$A$100) * ($J209 = df_dwell16_aff!$B$2:$B$100), 0), MATCH("r", df_dwell16_aff!$C$1:$I$1,0)),0) - IFERROR(INDEX(df_dwell16_aff!$C$2:$I$100, MATCH(1, (C$2 = df_dwell16_aff!$A$2:$A$100) * ($J209 = df_dwell16_aff!$B$2:$B$100), 0), MATCH("rs", df_dwell16_aff!$C$1:$I$1,0)),0)</f>
        <v>0</v>
      </c>
    </row>
    <row r="210" spans="1:14" ht="20.100000000000001" customHeight="1" x14ac:dyDescent="0.2">
      <c r="A210" s="299"/>
      <c r="B210" s="918" t="s">
        <v>98</v>
      </c>
      <c r="C210" s="84" t="s">
        <v>531</v>
      </c>
      <c r="D210" s="173"/>
      <c r="E210" s="558" t="e">
        <f t="array" ref="E210">INDEX(df_dwell_aff!$D$2:$J$100, MATCH(1, (A$2 = df_dwell_aff!$A$2:$A$100) * ($C210 = df_dwell_aff!$B$2:$B$100) * ("before 2016" = df_dwell_aff!$C$2:$C$100), 0), MATCH("r", df_dwell_aff!$D$1:$J$1,0)) - INDEX(df_dwell_aff!$D$2:$J$100, MATCH(1, (A$2 = df_dwell_aff!$A$2:$A$100) * ($C210 = df_dwell_aff!$B$2:$B$100) * ("before 2016" = df_dwell_aff!$C$2:$C$100), 0), MATCH("rs", df_dwell_aff!$D$1:$J$1,0))</f>
        <v>#N/A</v>
      </c>
      <c r="F210" s="239" t="e">
        <f t="array" ref="F210">INDEX(df_dwell_aff!$D$2:$J$100, MATCH(1, (B$2 = df_dwell_aff!$A$2:$A$100) * ($C210 = df_dwell_aff!$B$2:$B$100) * ("before 2016" = df_dwell_aff!$C$2:$C$100), 0), MATCH("r", df_dwell_aff!$D$1:$J$1,0)) - INDEX(df_dwell_aff!$D$2:$J$100, MATCH(1, (B$2 = df_dwell_aff!$A$2:$A$100) * ($C210 = df_dwell_aff!$B$2:$B$100) * ("before 2016" = df_dwell_aff!$C$2:$C$100), 0), MATCH("rs", df_dwell_aff!$D$1:$J$1,0))</f>
        <v>#N/A</v>
      </c>
      <c r="G210" s="552" t="e">
        <f t="array" ref="G210">INDEX(df_dwell_aff!$D$2:$J$100, MATCH(1, (C$2 = df_dwell_aff!$A$2:$A$100) * ($C210 = df_dwell_aff!$B$2:$B$100) * ("before 2016" = df_dwell_aff!$C$2:$C$100), 0), MATCH("r", df_dwell_aff!$D$1:$J$1,0)) - INDEX(df_dwell_aff!$D$2:$J$100, MATCH(1, (C$2 = df_dwell_aff!$A$2:$A$100) * ($C210 = df_dwell_aff!$B$2:$B$100) * ("before 2016" = df_dwell_aff!$C$2:$C$100), 0), MATCH("rs", df_dwell_aff!$D$1:$J$1,0))</f>
        <v>#N/A</v>
      </c>
      <c r="I210" s="918" t="s">
        <v>98</v>
      </c>
      <c r="J210" s="84" t="s">
        <v>531</v>
      </c>
      <c r="K210" s="173"/>
      <c r="L210" s="558">
        <f t="array" ref="L210">IFERROR(INDEX(df_dwell16_aff!$C$2:$I$100, MATCH(1, (A$2 = df_dwell16_aff!$A$2:$A$100) * ($J210 = df_dwell16_aff!$B$2:$B$100), 0), MATCH("r", df_dwell16_aff!$C$1:$I$1,0)),0) - IFERROR(INDEX(df_dwell16_aff!$C$2:$I$100, MATCH(1, (A$2 = df_dwell16_aff!$A$2:$A$100) * ($J210 = df_dwell16_aff!$B$2:$B$100), 0), MATCH("rs", df_dwell16_aff!$C$1:$I$1,0)),0)</f>
        <v>0</v>
      </c>
      <c r="M210" s="239">
        <f t="array" ref="M210">IFERROR(INDEX(df_dwell16_aff!$C$2:$I$100, MATCH(1, (B$2 = df_dwell16_aff!$A$2:$A$100) * ($J210 = df_dwell16_aff!$B$2:$B$100), 0), MATCH("r", df_dwell16_aff!$C$1:$I$1,0)),0) - IFERROR(INDEX(df_dwell16_aff!$C$2:$I$100, MATCH(1, (B$2 = df_dwell16_aff!$A$2:$A$100) * ($J210 = df_dwell16_aff!$B$2:$B$100), 0), MATCH("rs", df_dwell16_aff!$C$1:$I$1,0)),0)</f>
        <v>0</v>
      </c>
      <c r="N210" s="552">
        <f t="array" ref="N210">IFERROR(INDEX(df_dwell16_aff!$C$2:$I$100, MATCH(1, (C$2 = df_dwell16_aff!$A$2:$A$100) * ($J210 = df_dwell16_aff!$B$2:$B$100), 0), MATCH("r", df_dwell16_aff!$C$1:$I$1,0)),0) - IFERROR(INDEX(df_dwell16_aff!$C$2:$I$100, MATCH(1, (C$2 = df_dwell16_aff!$A$2:$A$100) * ($J210 = df_dwell16_aff!$B$2:$B$100), 0), MATCH("rs", df_dwell16_aff!$C$1:$I$1,0)),0)</f>
        <v>0</v>
      </c>
    </row>
    <row r="211" spans="1:14" ht="20.100000000000001" customHeight="1" x14ac:dyDescent="0.2">
      <c r="A211" s="299"/>
      <c r="B211" s="918" t="s">
        <v>8</v>
      </c>
      <c r="C211" s="84" t="s">
        <v>532</v>
      </c>
      <c r="D211" s="173"/>
      <c r="E211" s="558" t="e">
        <f t="array" ref="E211">INDEX(df_dwell_aff!$D$2:$J$100, MATCH(1, (A$2 = df_dwell_aff!$A$2:$A$100) * ($C211 = df_dwell_aff!$B$2:$B$100) * ("before 2016" = df_dwell_aff!$C$2:$C$100), 0), MATCH("r", df_dwell_aff!$D$1:$J$1,0)) - INDEX(df_dwell_aff!$D$2:$J$100, MATCH(1, (A$2 = df_dwell_aff!$A$2:$A$100) * ($C211 = df_dwell_aff!$B$2:$B$100) * ("before 2016" = df_dwell_aff!$C$2:$C$100), 0), MATCH("rs", df_dwell_aff!$D$1:$J$1,0))</f>
        <v>#N/A</v>
      </c>
      <c r="F211" s="239" t="e">
        <f t="array" ref="F211">INDEX(df_dwell_aff!$D$2:$J$100, MATCH(1, (B$2 = df_dwell_aff!$A$2:$A$100) * ($C211 = df_dwell_aff!$B$2:$B$100) * ("before 2016" = df_dwell_aff!$C$2:$C$100), 0), MATCH("r", df_dwell_aff!$D$1:$J$1,0)) - INDEX(df_dwell_aff!$D$2:$J$100, MATCH(1, (B$2 = df_dwell_aff!$A$2:$A$100) * ($C211 = df_dwell_aff!$B$2:$B$100) * ("before 2016" = df_dwell_aff!$C$2:$C$100), 0), MATCH("rs", df_dwell_aff!$D$1:$J$1,0))</f>
        <v>#N/A</v>
      </c>
      <c r="G211" s="552" t="e">
        <f t="array" ref="G211">INDEX(df_dwell_aff!$D$2:$J$100, MATCH(1, (C$2 = df_dwell_aff!$A$2:$A$100) * ($C211 = df_dwell_aff!$B$2:$B$100) * ("before 2016" = df_dwell_aff!$C$2:$C$100), 0), MATCH("r", df_dwell_aff!$D$1:$J$1,0)) - INDEX(df_dwell_aff!$D$2:$J$100, MATCH(1, (C$2 = df_dwell_aff!$A$2:$A$100) * ($C211 = df_dwell_aff!$B$2:$B$100) * ("before 2016" = df_dwell_aff!$C$2:$C$100), 0), MATCH("rs", df_dwell_aff!$D$1:$J$1,0))</f>
        <v>#N/A</v>
      </c>
      <c r="I211" s="918" t="s">
        <v>8</v>
      </c>
      <c r="J211" s="84" t="s">
        <v>532</v>
      </c>
      <c r="K211" s="173"/>
      <c r="L211" s="558">
        <f t="array" ref="L211">IFERROR(INDEX(df_dwell16_aff!$C$2:$I$100, MATCH(1, (A$2 = df_dwell16_aff!$A$2:$A$100) * ($J211 = df_dwell16_aff!$B$2:$B$100), 0), MATCH("r", df_dwell16_aff!$C$1:$I$1,0)),0) - IFERROR(INDEX(df_dwell16_aff!$C$2:$I$100, MATCH(1, (A$2 = df_dwell16_aff!$A$2:$A$100) * ($J211 = df_dwell16_aff!$B$2:$B$100), 0), MATCH("rs", df_dwell16_aff!$C$1:$I$1,0)),0)</f>
        <v>0</v>
      </c>
      <c r="M211" s="239">
        <f t="array" ref="M211">IFERROR(INDEX(df_dwell16_aff!$C$2:$I$100, MATCH(1, (B$2 = df_dwell16_aff!$A$2:$A$100) * ($J211 = df_dwell16_aff!$B$2:$B$100), 0), MATCH("r", df_dwell16_aff!$C$1:$I$1,0)),0) - IFERROR(INDEX(df_dwell16_aff!$C$2:$I$100, MATCH(1, (B$2 = df_dwell16_aff!$A$2:$A$100) * ($J211 = df_dwell16_aff!$B$2:$B$100), 0), MATCH("rs", df_dwell16_aff!$C$1:$I$1,0)),0)</f>
        <v>0</v>
      </c>
      <c r="N211" s="552">
        <f t="array" ref="N211">IFERROR(INDEX(df_dwell16_aff!$C$2:$I$100, MATCH(1, (C$2 = df_dwell16_aff!$A$2:$A$100) * ($J211 = df_dwell16_aff!$B$2:$B$100), 0), MATCH("r", df_dwell16_aff!$C$1:$I$1,0)),0) - IFERROR(INDEX(df_dwell16_aff!$C$2:$I$100, MATCH(1, (C$2 = df_dwell16_aff!$A$2:$A$100) * ($J211 = df_dwell16_aff!$B$2:$B$100), 0), MATCH("rs", df_dwell16_aff!$C$1:$I$1,0)),0)</f>
        <v>0</v>
      </c>
    </row>
    <row r="212" spans="1:14" ht="20.100000000000001" customHeight="1" x14ac:dyDescent="0.2">
      <c r="A212" s="299"/>
      <c r="B212" s="918" t="s">
        <v>99</v>
      </c>
      <c r="C212" s="84" t="s">
        <v>533</v>
      </c>
      <c r="D212" s="173"/>
      <c r="E212" s="558" t="e">
        <f t="array" ref="E212">INDEX(df_dwell_aff!$D$2:$J$100, MATCH(1, (A$2 = df_dwell_aff!$A$2:$A$100) * ($C212 = df_dwell_aff!$B$2:$B$100) * ("before 2016" = df_dwell_aff!$C$2:$C$100), 0), MATCH("r", df_dwell_aff!$D$1:$J$1,0)) - INDEX(df_dwell_aff!$D$2:$J$100, MATCH(1, (A$2 = df_dwell_aff!$A$2:$A$100) * ($C212 = df_dwell_aff!$B$2:$B$100) * ("before 2016" = df_dwell_aff!$C$2:$C$100), 0), MATCH("rs", df_dwell_aff!$D$1:$J$1,0))</f>
        <v>#N/A</v>
      </c>
      <c r="F212" s="239" t="e">
        <f t="array" ref="F212">INDEX(df_dwell_aff!$D$2:$J$100, MATCH(1, (B$2 = df_dwell_aff!$A$2:$A$100) * ($C212 = df_dwell_aff!$B$2:$B$100) * ("before 2016" = df_dwell_aff!$C$2:$C$100), 0), MATCH("r", df_dwell_aff!$D$1:$J$1,0)) - INDEX(df_dwell_aff!$D$2:$J$100, MATCH(1, (B$2 = df_dwell_aff!$A$2:$A$100) * ($C212 = df_dwell_aff!$B$2:$B$100) * ("before 2016" = df_dwell_aff!$C$2:$C$100), 0), MATCH("rs", df_dwell_aff!$D$1:$J$1,0))</f>
        <v>#N/A</v>
      </c>
      <c r="G212" s="552" t="e">
        <f t="array" ref="G212">INDEX(df_dwell_aff!$D$2:$J$100, MATCH(1, (C$2 = df_dwell_aff!$A$2:$A$100) * ($C212 = df_dwell_aff!$B$2:$B$100) * ("before 2016" = df_dwell_aff!$C$2:$C$100), 0), MATCH("r", df_dwell_aff!$D$1:$J$1,0)) - INDEX(df_dwell_aff!$D$2:$J$100, MATCH(1, (C$2 = df_dwell_aff!$A$2:$A$100) * ($C212 = df_dwell_aff!$B$2:$B$100) * ("before 2016" = df_dwell_aff!$C$2:$C$100), 0), MATCH("rs", df_dwell_aff!$D$1:$J$1,0))</f>
        <v>#N/A</v>
      </c>
      <c r="I212" s="918" t="s">
        <v>99</v>
      </c>
      <c r="J212" s="84" t="s">
        <v>533</v>
      </c>
      <c r="K212" s="173"/>
      <c r="L212" s="558">
        <f t="array" ref="L212">IFERROR(INDEX(df_dwell16_aff!$C$2:$I$100, MATCH(1, (A$2 = df_dwell16_aff!$A$2:$A$100) * ($J212 = df_dwell16_aff!$B$2:$B$100), 0), MATCH("r", df_dwell16_aff!$C$1:$I$1,0)),0) - IFERROR(INDEX(df_dwell16_aff!$C$2:$I$100, MATCH(1, (A$2 = df_dwell16_aff!$A$2:$A$100) * ($J212 = df_dwell16_aff!$B$2:$B$100), 0), MATCH("rs", df_dwell16_aff!$C$1:$I$1,0)),0)</f>
        <v>0</v>
      </c>
      <c r="M212" s="239">
        <f t="array" ref="M212">IFERROR(INDEX(df_dwell16_aff!$C$2:$I$100, MATCH(1, (B$2 = df_dwell16_aff!$A$2:$A$100) * ($J212 = df_dwell16_aff!$B$2:$B$100), 0), MATCH("r", df_dwell16_aff!$C$1:$I$1,0)),0) - IFERROR(INDEX(df_dwell16_aff!$C$2:$I$100, MATCH(1, (B$2 = df_dwell16_aff!$A$2:$A$100) * ($J212 = df_dwell16_aff!$B$2:$B$100), 0), MATCH("rs", df_dwell16_aff!$C$1:$I$1,0)),0)</f>
        <v>0</v>
      </c>
      <c r="N212" s="552">
        <f t="array" ref="N212">IFERROR(INDEX(df_dwell16_aff!$C$2:$I$100, MATCH(1, (C$2 = df_dwell16_aff!$A$2:$A$100) * ($J212 = df_dwell16_aff!$B$2:$B$100), 0), MATCH("r", df_dwell16_aff!$C$1:$I$1,0)),0) - IFERROR(INDEX(df_dwell16_aff!$C$2:$I$100, MATCH(1, (C$2 = df_dwell16_aff!$A$2:$A$100) * ($J212 = df_dwell16_aff!$B$2:$B$100), 0), MATCH("rs", df_dwell16_aff!$C$1:$I$1,0)),0)</f>
        <v>0</v>
      </c>
    </row>
    <row r="213" spans="1:14" ht="20.100000000000001" customHeight="1" x14ac:dyDescent="0.2">
      <c r="A213" s="299"/>
      <c r="B213" s="918" t="s">
        <v>100</v>
      </c>
      <c r="C213" s="84" t="s">
        <v>534</v>
      </c>
      <c r="D213" s="173"/>
      <c r="E213" s="558" t="e">
        <f t="array" ref="E213">INDEX(df_dwell_aff!$D$2:$J$100, MATCH(1, (A$2 = df_dwell_aff!$A$2:$A$100) * ($C213 = df_dwell_aff!$B$2:$B$100) * ("before 2016" = df_dwell_aff!$C$2:$C$100), 0), MATCH("r", df_dwell_aff!$D$1:$J$1,0)) - INDEX(df_dwell_aff!$D$2:$J$100, MATCH(1, (A$2 = df_dwell_aff!$A$2:$A$100) * ($C213 = df_dwell_aff!$B$2:$B$100) * ("before 2016" = df_dwell_aff!$C$2:$C$100), 0), MATCH("rs", df_dwell_aff!$D$1:$J$1,0))</f>
        <v>#N/A</v>
      </c>
      <c r="F213" s="239" t="e">
        <f t="array" ref="F213">INDEX(df_dwell_aff!$D$2:$J$100, MATCH(1, (B$2 = df_dwell_aff!$A$2:$A$100) * ($C213 = df_dwell_aff!$B$2:$B$100) * ("before 2016" = df_dwell_aff!$C$2:$C$100), 0), MATCH("r", df_dwell_aff!$D$1:$J$1,0)) - INDEX(df_dwell_aff!$D$2:$J$100, MATCH(1, (B$2 = df_dwell_aff!$A$2:$A$100) * ($C213 = df_dwell_aff!$B$2:$B$100) * ("before 2016" = df_dwell_aff!$C$2:$C$100), 0), MATCH("rs", df_dwell_aff!$D$1:$J$1,0))</f>
        <v>#N/A</v>
      </c>
      <c r="G213" s="552" t="e">
        <f t="array" ref="G213">INDEX(df_dwell_aff!$D$2:$J$100, MATCH(1, (C$2 = df_dwell_aff!$A$2:$A$100) * ($C213 = df_dwell_aff!$B$2:$B$100) * ("before 2016" = df_dwell_aff!$C$2:$C$100), 0), MATCH("r", df_dwell_aff!$D$1:$J$1,0)) - INDEX(df_dwell_aff!$D$2:$J$100, MATCH(1, (C$2 = df_dwell_aff!$A$2:$A$100) * ($C213 = df_dwell_aff!$B$2:$B$100) * ("before 2016" = df_dwell_aff!$C$2:$C$100), 0), MATCH("rs", df_dwell_aff!$D$1:$J$1,0))</f>
        <v>#N/A</v>
      </c>
      <c r="I213" s="918" t="s">
        <v>100</v>
      </c>
      <c r="J213" s="84" t="s">
        <v>534</v>
      </c>
      <c r="K213" s="173"/>
      <c r="L213" s="558">
        <f t="array" ref="L213">IFERROR(INDEX(df_dwell16_aff!$C$2:$I$100, MATCH(1, (A$2 = df_dwell16_aff!$A$2:$A$100) * ($J213 = df_dwell16_aff!$B$2:$B$100), 0), MATCH("r", df_dwell16_aff!$C$1:$I$1,0)),0) - IFERROR(INDEX(df_dwell16_aff!$C$2:$I$100, MATCH(1, (A$2 = df_dwell16_aff!$A$2:$A$100) * ($J213 = df_dwell16_aff!$B$2:$B$100), 0), MATCH("rs", df_dwell16_aff!$C$1:$I$1,0)),0)</f>
        <v>0</v>
      </c>
      <c r="M213" s="239">
        <f t="array" ref="M213">IFERROR(INDEX(df_dwell16_aff!$C$2:$I$100, MATCH(1, (B$2 = df_dwell16_aff!$A$2:$A$100) * ($J213 = df_dwell16_aff!$B$2:$B$100), 0), MATCH("r", df_dwell16_aff!$C$1:$I$1,0)),0) - IFERROR(INDEX(df_dwell16_aff!$C$2:$I$100, MATCH(1, (B$2 = df_dwell16_aff!$A$2:$A$100) * ($J213 = df_dwell16_aff!$B$2:$B$100), 0), MATCH("rs", df_dwell16_aff!$C$1:$I$1,0)),0)</f>
        <v>0</v>
      </c>
      <c r="N213" s="552">
        <f t="array" ref="N213">IFERROR(INDEX(df_dwell16_aff!$C$2:$I$100, MATCH(1, (C$2 = df_dwell16_aff!$A$2:$A$100) * ($J213 = df_dwell16_aff!$B$2:$B$100), 0), MATCH("r", df_dwell16_aff!$C$1:$I$1,0)),0) - IFERROR(INDEX(df_dwell16_aff!$C$2:$I$100, MATCH(1, (C$2 = df_dwell16_aff!$A$2:$A$100) * ($J213 = df_dwell16_aff!$B$2:$B$100), 0), MATCH("rs", df_dwell16_aff!$C$1:$I$1,0)),0)</f>
        <v>0</v>
      </c>
    </row>
    <row r="214" spans="1:14" ht="20.100000000000001" customHeight="1" x14ac:dyDescent="0.2">
      <c r="A214" s="299"/>
      <c r="B214" s="854" t="s">
        <v>9</v>
      </c>
      <c r="C214" s="569" t="s">
        <v>535</v>
      </c>
      <c r="D214" s="494"/>
      <c r="E214" s="559" t="e">
        <f t="array" ref="E214">INDEX(df_dwell_aff!$D$2:$J$100, MATCH(1, (A$2 = df_dwell_aff!$A$2:$A$100) * ($C214 = df_dwell_aff!$B$2:$B$100) * ("before 2016" = df_dwell_aff!$C$2:$C$100), 0), MATCH("r", df_dwell_aff!$D$1:$J$1,0)) - INDEX(df_dwell_aff!$D$2:$J$100, MATCH(1, (A$2 = df_dwell_aff!$A$2:$A$100) * ($C214 = df_dwell_aff!$B$2:$B$100) * ("before 2016" = df_dwell_aff!$C$2:$C$100), 0), MATCH("rs", df_dwell_aff!$D$1:$J$1,0))</f>
        <v>#N/A</v>
      </c>
      <c r="F214" s="553" t="e">
        <f t="array" ref="F214">INDEX(df_dwell_aff!$D$2:$J$100, MATCH(1, (B$2 = df_dwell_aff!$A$2:$A$100) * ($C214 = df_dwell_aff!$B$2:$B$100) * ("before 2016" = df_dwell_aff!$C$2:$C$100), 0), MATCH("r", df_dwell_aff!$D$1:$J$1,0)) - INDEX(df_dwell_aff!$D$2:$J$100, MATCH(1, (B$2 = df_dwell_aff!$A$2:$A$100) * ($C214 = df_dwell_aff!$B$2:$B$100) * ("before 2016" = df_dwell_aff!$C$2:$C$100), 0), MATCH("rs", df_dwell_aff!$D$1:$J$1,0))</f>
        <v>#N/A</v>
      </c>
      <c r="G214" s="554" t="e">
        <f t="array" ref="G214">INDEX(df_dwell_aff!$D$2:$J$100, MATCH(1, (C$2 = df_dwell_aff!$A$2:$A$100) * ($C214 = df_dwell_aff!$B$2:$B$100) * ("before 2016" = df_dwell_aff!$C$2:$C$100), 0), MATCH("r", df_dwell_aff!$D$1:$J$1,0)) - INDEX(df_dwell_aff!$D$2:$J$100, MATCH(1, (C$2 = df_dwell_aff!$A$2:$A$100) * ($C214 = df_dwell_aff!$B$2:$B$100) * ("before 2016" = df_dwell_aff!$C$2:$C$100), 0), MATCH("rs", df_dwell_aff!$D$1:$J$1,0))</f>
        <v>#N/A</v>
      </c>
      <c r="I214" s="854" t="s">
        <v>9</v>
      </c>
      <c r="J214" s="569" t="s">
        <v>535</v>
      </c>
      <c r="K214" s="494"/>
      <c r="L214" s="559">
        <f t="array" ref="L214">IFERROR(INDEX(df_dwell16_aff!$C$2:$I$100, MATCH(1, (A$2 = df_dwell16_aff!$A$2:$A$100) * ($J214 = df_dwell16_aff!$B$2:$B$100), 0), MATCH("r", df_dwell16_aff!$C$1:$I$1,0)),0) - IFERROR(INDEX(df_dwell16_aff!$C$2:$I$100, MATCH(1, (A$2 = df_dwell16_aff!$A$2:$A$100) * ($J214 = df_dwell16_aff!$B$2:$B$100), 0), MATCH("rs", df_dwell16_aff!$C$1:$I$1,0)),0)</f>
        <v>0</v>
      </c>
      <c r="M214" s="553">
        <f t="array" ref="M214">IFERROR(INDEX(df_dwell16_aff!$C$2:$I$100, MATCH(1, (B$2 = df_dwell16_aff!$A$2:$A$100) * ($J214 = df_dwell16_aff!$B$2:$B$100), 0), MATCH("r", df_dwell16_aff!$C$1:$I$1,0)),0) - IFERROR(INDEX(df_dwell16_aff!$C$2:$I$100, MATCH(1, (B$2 = df_dwell16_aff!$A$2:$A$100) * ($J214 = df_dwell16_aff!$B$2:$B$100), 0), MATCH("rs", df_dwell16_aff!$C$1:$I$1,0)),0)</f>
        <v>0</v>
      </c>
      <c r="N214" s="554">
        <f t="array" ref="N214">IFERROR(INDEX(df_dwell16_aff!$C$2:$I$100, MATCH(1, (C$2 = df_dwell16_aff!$A$2:$A$100) * ($J214 = df_dwell16_aff!$B$2:$B$100), 0), MATCH("r", df_dwell16_aff!$C$1:$I$1,0)),0) - IFERROR(INDEX(df_dwell16_aff!$C$2:$I$100, MATCH(1, (C$2 = df_dwell16_aff!$A$2:$A$100) * ($J214 = df_dwell16_aff!$B$2:$B$100), 0), MATCH("rs", df_dwell16_aff!$C$1:$I$1,0)),0)</f>
        <v>0</v>
      </c>
    </row>
    <row r="215" spans="1:14" ht="20.100000000000001" customHeight="1" x14ac:dyDescent="0.2">
      <c r="A215" s="299"/>
    </row>
    <row r="216" spans="1:14" ht="30" customHeight="1" x14ac:dyDescent="0.2">
      <c r="A216" s="560"/>
      <c r="B216" s="175" t="s">
        <v>1217</v>
      </c>
      <c r="C216" s="310"/>
      <c r="D216" s="310"/>
      <c r="E216" s="310"/>
      <c r="F216" s="310"/>
      <c r="G216" s="310"/>
      <c r="H216" s="310"/>
      <c r="I216" s="310"/>
      <c r="J216" s="310"/>
      <c r="K216" s="310"/>
      <c r="L216" s="310"/>
      <c r="M216" s="310"/>
      <c r="N216" s="310"/>
    </row>
    <row r="218" spans="1:14" ht="20.100000000000001" customHeight="1" x14ac:dyDescent="0.2">
      <c r="B218" s="1258" t="s">
        <v>1218</v>
      </c>
      <c r="C218" s="1258"/>
      <c r="D218" s="1258"/>
      <c r="E218" s="1258"/>
      <c r="G218" s="1258" t="s">
        <v>1218</v>
      </c>
      <c r="H218" s="1258"/>
      <c r="I218" s="1258"/>
      <c r="J218" s="1258"/>
    </row>
    <row r="219" spans="1:14" ht="20.100000000000001" customHeight="1" x14ac:dyDescent="0.2"/>
    <row r="220" spans="1:14" ht="20.100000000000001" customHeight="1" x14ac:dyDescent="0.2">
      <c r="B220" s="282" t="s">
        <v>478</v>
      </c>
      <c r="C220" s="130" t="s">
        <v>187</v>
      </c>
      <c r="D220" s="246" t="s">
        <v>188</v>
      </c>
      <c r="E220" s="317" t="s">
        <v>189</v>
      </c>
      <c r="G220" s="282" t="s">
        <v>478</v>
      </c>
      <c r="H220" s="130" t="s">
        <v>187</v>
      </c>
      <c r="I220" s="246" t="s">
        <v>188</v>
      </c>
      <c r="J220" s="317" t="s">
        <v>189</v>
      </c>
    </row>
    <row r="221" spans="1:14" ht="20.100000000000001" customHeight="1" x14ac:dyDescent="0.2">
      <c r="B221" s="637" t="s">
        <v>1209</v>
      </c>
      <c r="C221" s="630" t="str">
        <f t="array" ref="C221">IFERROR(E199,"x")</f>
        <v>x</v>
      </c>
      <c r="D221" s="649" t="str">
        <f>IFERROR(F199,"x")</f>
        <v>x</v>
      </c>
      <c r="E221" s="631" t="str">
        <f>IFERROR(G199,"x")</f>
        <v>x</v>
      </c>
      <c r="G221" s="637" t="s">
        <v>537</v>
      </c>
      <c r="H221" s="630" t="str">
        <f>IFERROR(L199,"x")</f>
        <v>x</v>
      </c>
      <c r="I221" s="649" t="str">
        <f>IFERROR(M199,"x")</f>
        <v>x</v>
      </c>
      <c r="J221" s="631" t="str">
        <f>IFERROR(N199,"x")</f>
        <v>x</v>
      </c>
    </row>
    <row r="222" spans="1:14" ht="20.100000000000001" customHeight="1" x14ac:dyDescent="0.2">
      <c r="B222" s="960" t="s">
        <v>1210</v>
      </c>
      <c r="C222" s="871" t="str">
        <f t="array" ref="C222">IFERROR(SUM(E200:E202),"x")</f>
        <v>x</v>
      </c>
      <c r="D222" s="877" t="str">
        <f>IFERROR(SUM(F200:F202),"x")</f>
        <v>x</v>
      </c>
      <c r="E222" s="878" t="str">
        <f>IFERROR(SUM(G200:G202),"x")</f>
        <v>x</v>
      </c>
      <c r="G222" s="960" t="s">
        <v>540</v>
      </c>
      <c r="H222" s="871" t="str">
        <f>IFERROR(SUM(L200:L202),"x")</f>
        <v>x</v>
      </c>
      <c r="I222" s="877" t="str">
        <f>IFERROR(SUM(M200:M202),"x")</f>
        <v>x</v>
      </c>
      <c r="J222" s="878" t="str">
        <f>IFERROR(SUM(N200:N202),"x")</f>
        <v>x</v>
      </c>
    </row>
    <row r="223" spans="1:14" ht="20.100000000000001" customHeight="1" x14ac:dyDescent="0.2">
      <c r="B223" s="536" t="s">
        <v>1208</v>
      </c>
      <c r="C223" s="888" t="str">
        <f>IFERROR(C222/C221,"x")</f>
        <v>x</v>
      </c>
      <c r="D223" s="670" t="str">
        <f>IFERROR(D222/D221,"x")</f>
        <v>x</v>
      </c>
      <c r="E223" s="669" t="str">
        <f>IFERROR(E222/E221,"x")</f>
        <v>x</v>
      </c>
      <c r="G223" s="536" t="s">
        <v>541</v>
      </c>
      <c r="H223" s="888" t="str">
        <f>IFERROR(H222/H221,"x")</f>
        <v>x</v>
      </c>
      <c r="I223" s="670" t="str">
        <f>IFERROR(I222/I221,"x")</f>
        <v>x</v>
      </c>
      <c r="J223" s="669" t="str">
        <f>IFERROR(J222/J221,"x")</f>
        <v>x</v>
      </c>
    </row>
    <row r="224" spans="1:14" ht="20.100000000000001" customHeight="1" x14ac:dyDescent="0.2">
      <c r="C224" s="895" t="e">
        <f>income!I84*0.8/12*0.3</f>
        <v>#N/A</v>
      </c>
      <c r="D224" s="895" t="e">
        <f>income!J84*0.8/12*0.3</f>
        <v>#N/A</v>
      </c>
      <c r="E224" s="895" t="e">
        <f>income!K84*0.8/12*0.3</f>
        <v>#N/A</v>
      </c>
      <c r="H224" s="239"/>
    </row>
    <row r="225" spans="1:14" ht="20.100000000000001" customHeight="1" x14ac:dyDescent="0.2">
      <c r="B225" s="1258" t="s">
        <v>1218</v>
      </c>
      <c r="C225" s="1258"/>
      <c r="D225" s="1258"/>
      <c r="E225" s="1258"/>
      <c r="G225" s="1258" t="s">
        <v>1218</v>
      </c>
      <c r="H225" s="1258"/>
      <c r="I225" s="1258"/>
      <c r="J225" s="1258"/>
      <c r="N225" s="613"/>
    </row>
    <row r="226" spans="1:14" ht="20.100000000000001" customHeight="1" x14ac:dyDescent="0.2"/>
    <row r="227" spans="1:14" ht="20.100000000000001" customHeight="1" x14ac:dyDescent="0.2">
      <c r="B227" s="282" t="s">
        <v>478</v>
      </c>
      <c r="C227" s="130" t="s">
        <v>187</v>
      </c>
      <c r="D227" s="246" t="s">
        <v>188</v>
      </c>
      <c r="E227" s="317" t="s">
        <v>189</v>
      </c>
      <c r="G227" s="282" t="s">
        <v>478</v>
      </c>
      <c r="H227" s="130" t="s">
        <v>187</v>
      </c>
      <c r="I227" s="246" t="s">
        <v>188</v>
      </c>
      <c r="J227" s="317" t="s">
        <v>189</v>
      </c>
    </row>
    <row r="228" spans="1:14" ht="20.100000000000001" customHeight="1" x14ac:dyDescent="0.2">
      <c r="B228" s="637" t="s">
        <v>537</v>
      </c>
      <c r="C228" s="630" t="str">
        <f>IFERROR(L209-E209,"x")</f>
        <v>x</v>
      </c>
      <c r="D228" s="649" t="str">
        <f>IFERROR(M209-F209,"x")</f>
        <v>x</v>
      </c>
      <c r="E228" s="631" t="str">
        <f>IFERROR(N209-G209,"x")</f>
        <v>x</v>
      </c>
      <c r="G228" s="629" t="s">
        <v>565</v>
      </c>
      <c r="H228" s="630" t="str">
        <f>IFERROR(IFERROR(H221,0)+IFERROR(C228,0),"x")</f>
        <v>x</v>
      </c>
      <c r="I228" s="649" t="str">
        <f>IFERROR(I221+D228,"x")</f>
        <v>x</v>
      </c>
      <c r="J228" s="631" t="str">
        <f>IFERROR(J221+E228,"x")</f>
        <v>x</v>
      </c>
    </row>
    <row r="229" spans="1:14" ht="20.100000000000001" customHeight="1" x14ac:dyDescent="0.2">
      <c r="B229" s="934" t="s">
        <v>538</v>
      </c>
      <c r="C229" s="873" t="str">
        <f>IFERROR(SUM(L210:L212)-SUM(E210:E212),"x")</f>
        <v>x</v>
      </c>
      <c r="D229" s="1287" t="str">
        <f>IFERROR(SUM(M210:M212)-SUM(F210:F212),"x")</f>
        <v>x</v>
      </c>
      <c r="E229" s="1288" t="str">
        <f>IFERROR(SUM(N210:N212)-SUM(G210:G212),"x")</f>
        <v>x</v>
      </c>
      <c r="G229" s="935" t="s">
        <v>566</v>
      </c>
      <c r="H229" s="873" t="str">
        <f>IFERROR(H222+C229,"x")</f>
        <v>x</v>
      </c>
      <c r="I229" s="1287" t="str">
        <f>IFERROR(I222+D229,"x")</f>
        <v>x</v>
      </c>
      <c r="J229" s="1288" t="str">
        <f>IFERROR(J222+E229,"x")</f>
        <v>x</v>
      </c>
    </row>
    <row r="230" spans="1:14" ht="20.100000000000001" customHeight="1" x14ac:dyDescent="0.2"/>
    <row r="231" spans="1:14" ht="20.100000000000001" customHeight="1" x14ac:dyDescent="0.2"/>
    <row r="232" spans="1:14" ht="50.1" customHeight="1" x14ac:dyDescent="0.2">
      <c r="B232" s="159" t="s">
        <v>1253</v>
      </c>
      <c r="C232" s="59"/>
      <c r="D232" s="59"/>
      <c r="E232" s="59"/>
      <c r="F232" s="59"/>
      <c r="G232" s="59"/>
      <c r="H232" s="59"/>
      <c r="I232" s="59"/>
      <c r="J232" s="59"/>
    </row>
    <row r="234" spans="1:14" ht="30" customHeight="1" x14ac:dyDescent="0.2">
      <c r="A234" s="560"/>
      <c r="B234" s="175" t="s">
        <v>1216</v>
      </c>
      <c r="C234" s="310"/>
      <c r="D234" s="310"/>
      <c r="E234" s="310"/>
      <c r="F234" s="310"/>
      <c r="G234" s="310"/>
      <c r="H234" s="310"/>
      <c r="I234" s="310"/>
      <c r="J234" s="310"/>
    </row>
    <row r="235" spans="1:14" ht="20.100000000000001" customHeight="1" x14ac:dyDescent="0.2"/>
    <row r="236" spans="1:14" ht="20.100000000000001" customHeight="1" x14ac:dyDescent="0.2">
      <c r="B236" s="1240" t="s">
        <v>716</v>
      </c>
      <c r="C236" s="1240"/>
      <c r="D236" s="1240"/>
      <c r="E236" s="1240"/>
      <c r="F236" s="1240"/>
      <c r="G236" s="1240"/>
      <c r="H236" s="1240"/>
    </row>
    <row r="237" spans="1:14" ht="20.100000000000001" customHeight="1" x14ac:dyDescent="0.2"/>
    <row r="238" spans="1:14" ht="20.100000000000001" customHeight="1" x14ac:dyDescent="0.2">
      <c r="B238" s="483"/>
      <c r="C238" s="1238" t="s">
        <v>181</v>
      </c>
      <c r="D238" s="1239"/>
      <c r="E238" s="1238" t="s">
        <v>182</v>
      </c>
      <c r="F238" s="1239"/>
      <c r="G238" s="1238" t="s">
        <v>183</v>
      </c>
      <c r="H238" s="1239"/>
    </row>
    <row r="239" spans="1:14" ht="20.100000000000001" customHeight="1" x14ac:dyDescent="0.2">
      <c r="B239" s="483" t="s">
        <v>1256</v>
      </c>
      <c r="C239" s="128" t="s">
        <v>645</v>
      </c>
      <c r="D239" s="302" t="s">
        <v>646</v>
      </c>
      <c r="E239" s="128" t="s">
        <v>645</v>
      </c>
      <c r="F239" s="302" t="s">
        <v>646</v>
      </c>
      <c r="G239" s="128" t="s">
        <v>645</v>
      </c>
      <c r="H239" s="302" t="s">
        <v>646</v>
      </c>
    </row>
    <row r="240" spans="1:14" ht="20.100000000000001" customHeight="1" x14ac:dyDescent="0.2">
      <c r="B240" s="495">
        <v>2017</v>
      </c>
      <c r="C240" s="557" t="e">
        <f t="array" ref="C240">INDEX(df_dwell_str!$D$2:$L$100, MATCH(1, ($A$2 = df_dwell_str!$B$2:$B$100) * (C$239 = df_dwell_str!$C$2:$C$100), 0), MATCH(TEXT($B240,"##"), df_dwell_str!$D$1:$L$1,0))</f>
        <v>#N/A</v>
      </c>
      <c r="D240" s="556" t="e">
        <f t="array" ref="D240">INDEX(df_dwell_str!$D$2:$L$100, MATCH(1, ($A$2 = df_dwell_str!$B$2:$B$100) * (D$239 = df_dwell_str!$C$2:$C$100), 0), MATCH(TEXT($B240,"##"), df_dwell_str!$D$1:$L$1,0))</f>
        <v>#N/A</v>
      </c>
      <c r="E240" s="557" t="e">
        <f t="array" ref="E240">INDEX(df_dwell_str!$D$2:$L$100, MATCH(1, ($B$2 = df_dwell_str!$B$2:$B$100) * (E$239 = df_dwell_str!$C$2:$C$100), 0), MATCH(TEXT($B240,"##"), df_dwell_str!$D$1:$L$1,0))</f>
        <v>#N/A</v>
      </c>
      <c r="F240" s="556" t="e">
        <f t="array" ref="F240">INDEX(df_dwell_str!$D$2:$L$100, MATCH(1, ($B$2 = df_dwell_str!$B$2:$B$100) * (F$239 = df_dwell_str!$C$2:$C$100), 0), MATCH(TEXT($B240,"##"), df_dwell_str!$D$1:$L$1,0))</f>
        <v>#N/A</v>
      </c>
      <c r="G240" s="557" t="e">
        <f t="array" ref="G240">INDEX(df_dwell_str!$D$2:$L$100, MATCH(1, ($C$2 = df_dwell_str!$B$2:$B$100) * (G$239 = df_dwell_str!$C$2:$C$100), 0), MATCH(TEXT($B240,"##"), df_dwell_str!$D$1:$L$1,0))</f>
        <v>#N/A</v>
      </c>
      <c r="H240" s="556" t="e">
        <f t="array" ref="H240">INDEX(df_dwell_str!$D$2:$L$100, MATCH(1, ($C$2 = df_dwell_str!$B$2:$B$100) * (H$239 = df_dwell_str!$C$2:$C$100), 0), MATCH(TEXT($B240,"##"), df_dwell_str!$D$1:$L$1,0))</f>
        <v>#N/A</v>
      </c>
    </row>
    <row r="241" spans="1:10" ht="20.100000000000001" customHeight="1" x14ac:dyDescent="0.2">
      <c r="B241" s="496">
        <v>2018</v>
      </c>
      <c r="C241" s="558" t="e">
        <f t="array" ref="C241">INDEX(df_dwell_str!$D$2:$L$100, MATCH(1, ($A$2 = df_dwell_str!$B$2:$B$100) * (C$239 = df_dwell_str!$C$2:$C$100), 0), MATCH(TEXT($B241,"##"), df_dwell_str!$D$1:$L$1,0))</f>
        <v>#N/A</v>
      </c>
      <c r="D241" s="552" t="e">
        <f t="array" ref="D241">INDEX(df_dwell_str!$D$2:$L$100, MATCH(1, ($A$2 = df_dwell_str!$B$2:$B$100) * (D$239 = df_dwell_str!$C$2:$C$100), 0), MATCH(TEXT($B241,"##"), df_dwell_str!$D$1:$L$1,0))</f>
        <v>#N/A</v>
      </c>
      <c r="E241" s="558" t="e">
        <f t="array" ref="E241">INDEX(df_dwell_str!$D$2:$L$100, MATCH(1, ($B$2 = df_dwell_str!$B$2:$B$100) * (E$239 = df_dwell_str!$C$2:$C$100), 0), MATCH(TEXT($B241,"##"), df_dwell_str!$D$1:$L$1,0))</f>
        <v>#N/A</v>
      </c>
      <c r="F241" s="552" t="e">
        <f t="array" ref="F241">INDEX(df_dwell_str!$D$2:$L$100, MATCH(1, ($B$2 = df_dwell_str!$B$2:$B$100) * (F$239 = df_dwell_str!$C$2:$C$100), 0), MATCH(TEXT($B241,"##"), df_dwell_str!$D$1:$L$1,0))</f>
        <v>#N/A</v>
      </c>
      <c r="G241" s="558" t="e">
        <f t="array" ref="G241">INDEX(df_dwell_str!$D$2:$L$100, MATCH(1, ($C$2 = df_dwell_str!$B$2:$B$100) * (G$239 = df_dwell_str!$C$2:$C$100), 0), MATCH(TEXT($B241,"##"), df_dwell_str!$D$1:$L$1,0))</f>
        <v>#N/A</v>
      </c>
      <c r="H241" s="552" t="e">
        <f t="array" ref="H241">INDEX(df_dwell_str!$D$2:$L$100, MATCH(1, ($C$2 = df_dwell_str!$B$2:$B$100) * (H$239 = df_dwell_str!$C$2:$C$100), 0), MATCH(TEXT($B241,"##"), df_dwell_str!$D$1:$L$1,0))</f>
        <v>#N/A</v>
      </c>
    </row>
    <row r="242" spans="1:10" ht="20.100000000000001" customHeight="1" x14ac:dyDescent="0.2">
      <c r="B242" s="496">
        <v>2019</v>
      </c>
      <c r="C242" s="558" t="e">
        <f t="array" ref="C242">INDEX(df_dwell_str!$D$2:$L$100, MATCH(1, ($A$2 = df_dwell_str!$B$2:$B$100) * (C$239 = df_dwell_str!$C$2:$C$100), 0), MATCH(TEXT($B242,"##"), df_dwell_str!$D$1:$L$1,0))</f>
        <v>#N/A</v>
      </c>
      <c r="D242" s="552" t="e">
        <f t="array" ref="D242">INDEX(df_dwell_str!$D$2:$L$100, MATCH(1, ($A$2 = df_dwell_str!$B$2:$B$100) * (D$239 = df_dwell_str!$C$2:$C$100), 0), MATCH(TEXT($B242,"##"), df_dwell_str!$D$1:$L$1,0))</f>
        <v>#N/A</v>
      </c>
      <c r="E242" s="558" t="e">
        <f t="array" ref="E242">INDEX(df_dwell_str!$D$2:$L$100, MATCH(1, ($B$2 = df_dwell_str!$B$2:$B$100) * (E$239 = df_dwell_str!$C$2:$C$100), 0), MATCH(TEXT($B242,"##"), df_dwell_str!$D$1:$L$1,0))</f>
        <v>#N/A</v>
      </c>
      <c r="F242" s="552" t="e">
        <f t="array" ref="F242">INDEX(df_dwell_str!$D$2:$L$100, MATCH(1, ($B$2 = df_dwell_str!$B$2:$B$100) * (F$239 = df_dwell_str!$C$2:$C$100), 0), MATCH(TEXT($B242,"##"), df_dwell_str!$D$1:$L$1,0))</f>
        <v>#N/A</v>
      </c>
      <c r="G242" s="558" t="e">
        <f t="array" ref="G242">INDEX(df_dwell_str!$D$2:$L$100, MATCH(1, ($C$2 = df_dwell_str!$B$2:$B$100) * (G$239 = df_dwell_str!$C$2:$C$100), 0), MATCH(TEXT($B242,"##"), df_dwell_str!$D$1:$L$1,0))</f>
        <v>#N/A</v>
      </c>
      <c r="H242" s="552" t="e">
        <f t="array" ref="H242">INDEX(df_dwell_str!$D$2:$L$100, MATCH(1, ($C$2 = df_dwell_str!$B$2:$B$100) * (H$239 = df_dwell_str!$C$2:$C$100), 0), MATCH(TEXT($B242,"##"), df_dwell_str!$D$1:$L$1,0))</f>
        <v>#N/A</v>
      </c>
    </row>
    <row r="243" spans="1:10" ht="20.100000000000001" customHeight="1" x14ac:dyDescent="0.2">
      <c r="B243" s="496">
        <v>2020</v>
      </c>
      <c r="C243" s="558" t="e">
        <f t="array" ref="C243">INDEX(df_dwell_str!$D$2:$L$100, MATCH(1, ($A$2 = df_dwell_str!$B$2:$B$100) * (C$239 = df_dwell_str!$C$2:$C$100), 0), MATCH(TEXT($B243,"##"), df_dwell_str!$D$1:$L$1,0))</f>
        <v>#N/A</v>
      </c>
      <c r="D243" s="552" t="e">
        <f t="array" ref="D243">INDEX(df_dwell_str!$D$2:$L$100, MATCH(1, ($A$2 = df_dwell_str!$B$2:$B$100) * (D$239 = df_dwell_str!$C$2:$C$100), 0), MATCH(TEXT($B243,"##"), df_dwell_str!$D$1:$L$1,0))</f>
        <v>#N/A</v>
      </c>
      <c r="E243" s="558" t="e">
        <f t="array" ref="E243">INDEX(df_dwell_str!$D$2:$L$100, MATCH(1, ($B$2 = df_dwell_str!$B$2:$B$100) * (E$239 = df_dwell_str!$C$2:$C$100), 0), MATCH(TEXT($B243,"##"), df_dwell_str!$D$1:$L$1,0))</f>
        <v>#N/A</v>
      </c>
      <c r="F243" s="552" t="e">
        <f t="array" ref="F243">INDEX(df_dwell_str!$D$2:$L$100, MATCH(1, ($B$2 = df_dwell_str!$B$2:$B$100) * (F$239 = df_dwell_str!$C$2:$C$100), 0), MATCH(TEXT($B243,"##"), df_dwell_str!$D$1:$L$1,0))</f>
        <v>#N/A</v>
      </c>
      <c r="G243" s="558" t="e">
        <f t="array" ref="G243">INDEX(df_dwell_str!$D$2:$L$100, MATCH(1, ($C$2 = df_dwell_str!$B$2:$B$100) * (G$239 = df_dwell_str!$C$2:$C$100), 0), MATCH(TEXT($B243,"##"), df_dwell_str!$D$1:$L$1,0))</f>
        <v>#N/A</v>
      </c>
      <c r="H243" s="552" t="e">
        <f t="array" ref="H243">INDEX(df_dwell_str!$D$2:$L$100, MATCH(1, ($C$2 = df_dwell_str!$B$2:$B$100) * (H$239 = df_dwell_str!$C$2:$C$100), 0), MATCH(TEXT($B243,"##"), df_dwell_str!$D$1:$L$1,0))</f>
        <v>#N/A</v>
      </c>
    </row>
    <row r="244" spans="1:10" ht="20.100000000000001" customHeight="1" x14ac:dyDescent="0.2">
      <c r="B244" s="496">
        <v>2021</v>
      </c>
      <c r="C244" s="558" t="e">
        <f t="array" ref="C244">INDEX(df_dwell_str!$D$2:$L$100, MATCH(1, ($A$2 = df_dwell_str!$B$2:$B$100) * (C$239 = df_dwell_str!$C$2:$C$100), 0), MATCH(TEXT($B244,"##"), df_dwell_str!$D$1:$L$1,0))</f>
        <v>#N/A</v>
      </c>
      <c r="D244" s="552" t="e">
        <f t="array" ref="D244">INDEX(df_dwell_str!$D$2:$L$100, MATCH(1, ($A$2 = df_dwell_str!$B$2:$B$100) * (D$239 = df_dwell_str!$C$2:$C$100), 0), MATCH(TEXT($B244,"##"), df_dwell_str!$D$1:$L$1,0))</f>
        <v>#N/A</v>
      </c>
      <c r="E244" s="558" t="e">
        <f t="array" ref="E244">INDEX(df_dwell_str!$D$2:$L$100, MATCH(1, ($B$2 = df_dwell_str!$B$2:$B$100) * (E$239 = df_dwell_str!$C$2:$C$100), 0), MATCH(TEXT($B244,"##"), df_dwell_str!$D$1:$L$1,0))</f>
        <v>#N/A</v>
      </c>
      <c r="F244" s="552" t="e">
        <f t="array" ref="F244">INDEX(df_dwell_str!$D$2:$L$100, MATCH(1, ($B$2 = df_dwell_str!$B$2:$B$100) * (F$239 = df_dwell_str!$C$2:$C$100), 0), MATCH(TEXT($B244,"##"), df_dwell_str!$D$1:$L$1,0))</f>
        <v>#N/A</v>
      </c>
      <c r="G244" s="558" t="e">
        <f t="array" ref="G244">INDEX(df_dwell_str!$D$2:$L$100, MATCH(1, ($C$2 = df_dwell_str!$B$2:$B$100) * (G$239 = df_dwell_str!$C$2:$C$100), 0), MATCH(TEXT($B244,"##"), df_dwell_str!$D$1:$L$1,0))</f>
        <v>#N/A</v>
      </c>
      <c r="H244" s="552" t="e">
        <f t="array" ref="H244">INDEX(df_dwell_str!$D$2:$L$100, MATCH(1, ($C$2 = df_dwell_str!$B$2:$B$100) * (H$239 = df_dwell_str!$C$2:$C$100), 0), MATCH(TEXT($B244,"##"), df_dwell_str!$D$1:$L$1,0))</f>
        <v>#N/A</v>
      </c>
    </row>
    <row r="245" spans="1:10" ht="20.100000000000001" customHeight="1" x14ac:dyDescent="0.2">
      <c r="B245" s="496">
        <v>2022</v>
      </c>
      <c r="C245" s="558" t="e">
        <f t="array" ref="C245">INDEX(df_dwell_str!$D$2:$L$100, MATCH(1, ($A$2 = df_dwell_str!$B$2:$B$100) * (C$239 = df_dwell_str!$C$2:$C$100), 0), MATCH(TEXT($B245,"##"), df_dwell_str!$D$1:$L$1,0))</f>
        <v>#N/A</v>
      </c>
      <c r="D245" s="552" t="e">
        <f t="array" ref="D245">INDEX(df_dwell_str!$D$2:$L$100, MATCH(1, ($A$2 = df_dwell_str!$B$2:$B$100) * (D$239 = df_dwell_str!$C$2:$C$100), 0), MATCH(TEXT($B245,"##"), df_dwell_str!$D$1:$L$1,0))</f>
        <v>#N/A</v>
      </c>
      <c r="E245" s="558" t="e">
        <f t="array" ref="E245">INDEX(df_dwell_str!$D$2:$L$100, MATCH(1, ($B$2 = df_dwell_str!$B$2:$B$100) * (E$239 = df_dwell_str!$C$2:$C$100), 0), MATCH(TEXT($B245,"##"), df_dwell_str!$D$1:$L$1,0))</f>
        <v>#N/A</v>
      </c>
      <c r="F245" s="552" t="e">
        <f t="array" ref="F245">INDEX(df_dwell_str!$D$2:$L$100, MATCH(1, ($B$2 = df_dwell_str!$B$2:$B$100) * (F$239 = df_dwell_str!$C$2:$C$100), 0), MATCH(TEXT($B245,"##"), df_dwell_str!$D$1:$L$1,0))</f>
        <v>#N/A</v>
      </c>
      <c r="G245" s="558" t="e">
        <f t="array" ref="G245">INDEX(df_dwell_str!$D$2:$L$100, MATCH(1, ($C$2 = df_dwell_str!$B$2:$B$100) * (G$239 = df_dwell_str!$C$2:$C$100), 0), MATCH(TEXT($B245,"##"), df_dwell_str!$D$1:$L$1,0))</f>
        <v>#N/A</v>
      </c>
      <c r="H245" s="552" t="e">
        <f t="array" ref="H245">INDEX(df_dwell_str!$D$2:$L$100, MATCH(1, ($C$2 = df_dwell_str!$B$2:$B$100) * (H$239 = df_dwell_str!$C$2:$C$100), 0), MATCH(TEXT($B245,"##"), df_dwell_str!$D$1:$L$1,0))</f>
        <v>#N/A</v>
      </c>
    </row>
    <row r="246" spans="1:10" ht="20.100000000000001" customHeight="1" x14ac:dyDescent="0.2">
      <c r="B246" s="496">
        <v>2023</v>
      </c>
      <c r="C246" s="558" t="e">
        <f t="array" ref="C246">INDEX(df_dwell_str!$D$2:$L$100, MATCH(1, ($A$2 = df_dwell_str!$B$2:$B$100) * (C$239 = df_dwell_str!$C$2:$C$100), 0), MATCH(TEXT($B246,"##"), df_dwell_str!$D$1:$L$1,0))</f>
        <v>#N/A</v>
      </c>
      <c r="D246" s="552" t="e">
        <f t="array" ref="D246">INDEX(df_dwell_str!$D$2:$L$100, MATCH(1, ($A$2 = df_dwell_str!$B$2:$B$100) * (D$239 = df_dwell_str!$C$2:$C$100), 0), MATCH(TEXT($B246,"##"), df_dwell_str!$D$1:$L$1,0))</f>
        <v>#N/A</v>
      </c>
      <c r="E246" s="558" t="e">
        <f t="array" ref="E246">INDEX(df_dwell_str!$D$2:$L$100, MATCH(1, ($B$2 = df_dwell_str!$B$2:$B$100) * (E$239 = df_dwell_str!$C$2:$C$100), 0), MATCH(TEXT($B246,"##"), df_dwell_str!$D$1:$L$1,0))</f>
        <v>#N/A</v>
      </c>
      <c r="F246" s="552" t="e">
        <f t="array" ref="F246">INDEX(df_dwell_str!$D$2:$L$100, MATCH(1, ($B$2 = df_dwell_str!$B$2:$B$100) * (F$239 = df_dwell_str!$C$2:$C$100), 0), MATCH(TEXT($B246,"##"), df_dwell_str!$D$1:$L$1,0))</f>
        <v>#N/A</v>
      </c>
      <c r="G246" s="558" t="e">
        <f t="array" ref="G246">INDEX(df_dwell_str!$D$2:$L$100, MATCH(1, ($C$2 = df_dwell_str!$B$2:$B$100) * (G$239 = df_dwell_str!$C$2:$C$100), 0), MATCH(TEXT($B246,"##"), df_dwell_str!$D$1:$L$1,0))</f>
        <v>#N/A</v>
      </c>
      <c r="H246" s="552" t="e">
        <f t="array" ref="H246">INDEX(df_dwell_str!$D$2:$L$100, MATCH(1, ($C$2 = df_dwell_str!$B$2:$B$100) * (H$239 = df_dwell_str!$C$2:$C$100), 0), MATCH(TEXT($B246,"##"), df_dwell_str!$D$1:$L$1,0))</f>
        <v>#N/A</v>
      </c>
    </row>
    <row r="247" spans="1:10" ht="20.100000000000001" customHeight="1" x14ac:dyDescent="0.2">
      <c r="B247" s="496">
        <v>2024</v>
      </c>
      <c r="C247" s="558" t="e">
        <f t="array" ref="C247">INDEX(df_dwell_str!$D$2:$L$100, MATCH(1, ($A$2 = df_dwell_str!$B$2:$B$100) * (C$239 = df_dwell_str!$C$2:$C$100), 0), MATCH(TEXT($B247,"##"), df_dwell_str!$D$1:$L$1,0))</f>
        <v>#N/A</v>
      </c>
      <c r="D247" s="552" t="e">
        <f t="array" ref="D247">INDEX(df_dwell_str!$D$2:$L$100, MATCH(1, ($A$2 = df_dwell_str!$B$2:$B$100) * (D$239 = df_dwell_str!$C$2:$C$100), 0), MATCH(TEXT($B247,"##"), df_dwell_str!$D$1:$L$1,0))</f>
        <v>#N/A</v>
      </c>
      <c r="E247" s="558" t="e">
        <f t="array" ref="E247">INDEX(df_dwell_str!$D$2:$L$100, MATCH(1, ($B$2 = df_dwell_str!$B$2:$B$100) * (E$239 = df_dwell_str!$C$2:$C$100), 0), MATCH(TEXT($B247,"##"), df_dwell_str!$D$1:$L$1,0))</f>
        <v>#N/A</v>
      </c>
      <c r="F247" s="552" t="e">
        <f t="array" ref="F247">INDEX(df_dwell_str!$D$2:$L$100, MATCH(1, ($B$2 = df_dwell_str!$B$2:$B$100) * (F$239 = df_dwell_str!$C$2:$C$100), 0), MATCH(TEXT($B247,"##"), df_dwell_str!$D$1:$L$1,0))</f>
        <v>#N/A</v>
      </c>
      <c r="G247" s="558" t="e">
        <f t="array" ref="G247">INDEX(df_dwell_str!$D$2:$L$100, MATCH(1, ($C$2 = df_dwell_str!$B$2:$B$100) * (G$239 = df_dwell_str!$C$2:$C$100), 0), MATCH(TEXT($B247,"##"), df_dwell_str!$D$1:$L$1,0))</f>
        <v>#N/A</v>
      </c>
      <c r="H247" s="552" t="e">
        <f t="array" ref="H247">INDEX(df_dwell_str!$D$2:$L$100, MATCH(1, ($C$2 = df_dwell_str!$B$2:$B$100) * (H$239 = df_dwell_str!$C$2:$C$100), 0), MATCH(TEXT($B247,"##"), df_dwell_str!$D$1:$L$1,0))</f>
        <v>#N/A</v>
      </c>
    </row>
    <row r="248" spans="1:10" ht="20.100000000000001" customHeight="1" x14ac:dyDescent="0.2">
      <c r="B248" s="497">
        <v>2025</v>
      </c>
      <c r="C248" s="559" t="e">
        <f t="array" ref="C248">INDEX(df_dwell_str!$D$2:$L$100, MATCH(1, ($A$2 = df_dwell_str!$B$2:$B$100) * (C$239 = df_dwell_str!$C$2:$C$100), 0), MATCH(TEXT($B248,"##"), df_dwell_str!$D$1:$L$1,0))</f>
        <v>#N/A</v>
      </c>
      <c r="D248" s="554" t="e">
        <f t="array" ref="D248">INDEX(df_dwell_str!$D$2:$L$100, MATCH(1, ($A$2 = df_dwell_str!$B$2:$B$100) * (D$239 = df_dwell_str!$C$2:$C$100), 0), MATCH(TEXT($B248,"##"), df_dwell_str!$D$1:$L$1,0))</f>
        <v>#N/A</v>
      </c>
      <c r="E248" s="559" t="e">
        <f t="array" ref="E248">INDEX(df_dwell_str!$D$2:$L$100, MATCH(1, ($B$2 = df_dwell_str!$B$2:$B$100) * (E$239 = df_dwell_str!$C$2:$C$100), 0), MATCH(TEXT($B248,"##"), df_dwell_str!$D$1:$L$1,0))</f>
        <v>#N/A</v>
      </c>
      <c r="F248" s="554" t="e">
        <f t="array" ref="F248">INDEX(df_dwell_str!$D$2:$L$100, MATCH(1, ($B$2 = df_dwell_str!$B$2:$B$100) * (F$239 = df_dwell_str!$C$2:$C$100), 0), MATCH(TEXT($B248,"##"), df_dwell_str!$D$1:$L$1,0))</f>
        <v>#N/A</v>
      </c>
      <c r="G248" s="559" t="e">
        <f t="array" ref="G248">INDEX(df_dwell_str!$D$2:$L$100, MATCH(1, ($C$2 = df_dwell_str!$B$2:$B$100) * (G$239 = df_dwell_str!$C$2:$C$100), 0), MATCH(TEXT($B248,"##"), df_dwell_str!$D$1:$L$1,0))</f>
        <v>#N/A</v>
      </c>
      <c r="H248" s="554" t="e">
        <f t="array" ref="H248">INDEX(df_dwell_str!$D$2:$L$100, MATCH(1, ($C$2 = df_dwell_str!$B$2:$B$100) * (H$239 = df_dwell_str!$C$2:$C$100), 0), MATCH(TEXT($B248,"##"), df_dwell_str!$D$1:$L$1,0))</f>
        <v>#N/A</v>
      </c>
    </row>
    <row r="249" spans="1:10" ht="20.100000000000001" customHeight="1" x14ac:dyDescent="0.2"/>
    <row r="250" spans="1:10" ht="30" customHeight="1" x14ac:dyDescent="0.2">
      <c r="A250" s="560"/>
      <c r="B250" s="175" t="s">
        <v>1217</v>
      </c>
      <c r="C250" s="310"/>
      <c r="D250" s="310"/>
      <c r="E250" s="310"/>
      <c r="F250" s="310"/>
      <c r="G250" s="310"/>
      <c r="H250" s="310"/>
      <c r="I250" s="310"/>
      <c r="J250" s="310"/>
    </row>
    <row r="251" spans="1:10" ht="20.100000000000001" customHeight="1" x14ac:dyDescent="0.2">
      <c r="A251" s="299"/>
    </row>
    <row r="252" spans="1:10" ht="20.100000000000001" customHeight="1" x14ac:dyDescent="0.2">
      <c r="A252" s="299"/>
      <c r="B252" s="1258" t="s">
        <v>1218</v>
      </c>
      <c r="C252" s="1258"/>
      <c r="D252" s="1258"/>
      <c r="E252" s="1258"/>
      <c r="F252" s="1258"/>
      <c r="G252" s="1258"/>
      <c r="H252" s="1258"/>
    </row>
    <row r="253" spans="1:10" ht="20.100000000000001" customHeight="1" x14ac:dyDescent="0.2">
      <c r="A253" s="299"/>
    </row>
    <row r="254" spans="1:10" ht="20.100000000000001" customHeight="1" x14ac:dyDescent="0.2">
      <c r="A254" s="299"/>
      <c r="B254" s="264"/>
      <c r="C254" s="1234" t="s">
        <v>187</v>
      </c>
      <c r="D254" s="1235"/>
      <c r="E254" s="1234" t="s">
        <v>188</v>
      </c>
      <c r="F254" s="1235"/>
      <c r="G254" s="1234" t="s">
        <v>189</v>
      </c>
      <c r="H254" s="1235"/>
    </row>
    <row r="255" spans="1:10" ht="20.100000000000001" customHeight="1" x14ac:dyDescent="0.2">
      <c r="A255" s="299"/>
      <c r="B255" s="68" t="s">
        <v>649</v>
      </c>
      <c r="C255" s="691" t="s">
        <v>645</v>
      </c>
      <c r="D255" s="692" t="s">
        <v>646</v>
      </c>
      <c r="E255" s="691" t="s">
        <v>645</v>
      </c>
      <c r="F255" s="692" t="s">
        <v>646</v>
      </c>
      <c r="G255" s="691" t="s">
        <v>645</v>
      </c>
      <c r="H255" s="692" t="s">
        <v>646</v>
      </c>
    </row>
    <row r="256" spans="1:10" ht="20.100000000000001" customHeight="1" x14ac:dyDescent="0.2">
      <c r="B256" s="962" t="s">
        <v>647</v>
      </c>
      <c r="C256" s="740" t="str">
        <f t="array" ref="C256:H256">IFERROR(C248:H248,"x")</f>
        <v>x</v>
      </c>
      <c r="D256" s="108" t="str">
        <v>x</v>
      </c>
      <c r="E256" s="740" t="str">
        <v>x</v>
      </c>
      <c r="F256" s="108" t="str">
        <v>x</v>
      </c>
      <c r="G256" s="740" t="str">
        <v>x</v>
      </c>
      <c r="H256" s="108" t="str">
        <v>x</v>
      </c>
    </row>
    <row r="257" spans="1:11" ht="20.100000000000001" customHeight="1" x14ac:dyDescent="0.2">
      <c r="B257" s="963" t="s">
        <v>375</v>
      </c>
      <c r="C257" s="897" t="str">
        <f>IFERROR(C256/$N$17,"x")</f>
        <v>x</v>
      </c>
      <c r="D257" s="898" t="str">
        <f t="shared" ref="D257:H257" si="32">IFERROR(D256/$N$17,"x")</f>
        <v>x</v>
      </c>
      <c r="E257" s="897" t="str">
        <f t="shared" si="32"/>
        <v>x</v>
      </c>
      <c r="F257" s="898" t="str">
        <f t="shared" si="32"/>
        <v>x</v>
      </c>
      <c r="G257" s="897" t="str">
        <f t="shared" si="32"/>
        <v>x</v>
      </c>
      <c r="H257" s="898" t="str">
        <f t="shared" si="32"/>
        <v>x</v>
      </c>
    </row>
    <row r="258" spans="1:11" ht="20.100000000000001" customHeight="1" x14ac:dyDescent="0.2">
      <c r="B258" s="964" t="s">
        <v>648</v>
      </c>
      <c r="C258" s="733" t="str">
        <f t="array" ref="C258:H258">IFERROR(IF(C248:H248/C242:H242-1&gt;0,"+"&amp;TEXT(C248:H248/C242:H242-1,"##0%"), C248:H248/C242:H242-1),"-")</f>
        <v>-</v>
      </c>
      <c r="D258" s="195" t="str">
        <v>-</v>
      </c>
      <c r="E258" s="733" t="str">
        <v>-</v>
      </c>
      <c r="F258" s="195" t="str">
        <v>-</v>
      </c>
      <c r="G258" s="733" t="str">
        <v>-</v>
      </c>
      <c r="H258" s="195" t="str">
        <v>-</v>
      </c>
    </row>
    <row r="259" spans="1:11" ht="20.100000000000001" customHeight="1" x14ac:dyDescent="0.2"/>
    <row r="260" spans="1:11" ht="20.100000000000001" customHeight="1" x14ac:dyDescent="0.2"/>
    <row r="261" spans="1:11" ht="50.1" customHeight="1" x14ac:dyDescent="0.2">
      <c r="B261" s="159" t="s">
        <v>1254</v>
      </c>
      <c r="C261" s="59"/>
      <c r="D261" s="59"/>
      <c r="E261" s="59"/>
      <c r="F261" s="59"/>
      <c r="G261" s="59"/>
      <c r="H261" s="59"/>
      <c r="I261" s="59"/>
      <c r="J261" s="59"/>
      <c r="K261" s="59"/>
    </row>
    <row r="263" spans="1:11" ht="30" customHeight="1" x14ac:dyDescent="0.2">
      <c r="A263" s="560"/>
      <c r="B263" s="175" t="s">
        <v>1216</v>
      </c>
      <c r="C263" s="310"/>
      <c r="D263" s="310"/>
      <c r="E263" s="310"/>
      <c r="F263" s="310"/>
      <c r="G263" s="310"/>
      <c r="H263" s="310"/>
      <c r="I263" s="310"/>
      <c r="J263" s="310"/>
      <c r="K263" s="310"/>
    </row>
    <row r="264" spans="1:11" ht="20.100000000000001" customHeight="1" x14ac:dyDescent="0.2"/>
    <row r="265" spans="1:11" ht="20.100000000000001" customHeight="1" x14ac:dyDescent="0.2">
      <c r="B265" s="1240" t="s">
        <v>1255</v>
      </c>
      <c r="C265" s="1240"/>
      <c r="D265" s="1240"/>
      <c r="E265" s="1240"/>
      <c r="F265" s="1240"/>
      <c r="G265" s="1240"/>
      <c r="H265" s="1240"/>
      <c r="I265" s="1240"/>
      <c r="J265" s="1240"/>
      <c r="K265" s="1240"/>
    </row>
    <row r="266" spans="1:11" ht="20.100000000000001" customHeight="1" x14ac:dyDescent="0.2"/>
    <row r="267" spans="1:11" ht="20.100000000000001" customHeight="1" x14ac:dyDescent="0.2">
      <c r="C267" s="1238" t="s">
        <v>181</v>
      </c>
      <c r="D267" s="1241"/>
      <c r="E267" s="1239"/>
      <c r="F267" s="1238" t="s">
        <v>182</v>
      </c>
      <c r="G267" s="1241"/>
      <c r="H267" s="1239"/>
      <c r="I267" s="1238" t="s">
        <v>183</v>
      </c>
      <c r="J267" s="1241"/>
      <c r="K267" s="1239"/>
    </row>
    <row r="268" spans="1:11" ht="20.100000000000001" customHeight="1" x14ac:dyDescent="0.2">
      <c r="B268" s="483" t="s">
        <v>1259</v>
      </c>
      <c r="C268" s="128" t="s">
        <v>718</v>
      </c>
      <c r="D268" s="117" t="s">
        <v>719</v>
      </c>
      <c r="E268" s="302" t="s">
        <v>720</v>
      </c>
      <c r="F268" s="128" t="s">
        <v>718</v>
      </c>
      <c r="G268" s="117" t="s">
        <v>719</v>
      </c>
      <c r="H268" s="302" t="s">
        <v>720</v>
      </c>
      <c r="I268" s="128" t="s">
        <v>718</v>
      </c>
      <c r="J268" s="117" t="s">
        <v>719</v>
      </c>
      <c r="K268" s="302" t="s">
        <v>720</v>
      </c>
    </row>
    <row r="269" spans="1:11" ht="20.100000000000001" customHeight="1" x14ac:dyDescent="0.2">
      <c r="B269" s="853" t="s">
        <v>721</v>
      </c>
      <c r="C269" s="896" t="e">
        <f>INDEX(df_flood!$D$2:$M$100, MATCH($A$2, df_flood!$A$2:$A$100,0), MATCH($B269 &amp; "_" &amp; C$268, df_flood!$D$1:$M$1,0))</f>
        <v>#N/A</v>
      </c>
      <c r="D269" s="899" t="e">
        <f>INDEX(df_flood!$D$2:$M$100, MATCH($A$2, df_flood!$A$2:$A$100,0), MATCH($B269 &amp; "_" &amp; D$268, df_flood!$D$1:$M$1,0))</f>
        <v>#N/A</v>
      </c>
      <c r="E269" s="900" t="e">
        <f>INDEX(df_flood!$D$2:$M$100, MATCH($A$2, df_flood!$A$2:$A$100,0), MATCH($B269 &amp; "_" &amp; E$268, df_flood!$D$1:$M$1,0))</f>
        <v>#N/A</v>
      </c>
      <c r="F269" s="896" t="e">
        <f>INDEX(df_flood!$D$2:$M$100, MATCH($B$2, df_flood!$A$2:$A$100,0), MATCH($B269 &amp; "_" &amp; F$268, df_flood!$D$1:$M$1,0))</f>
        <v>#N/A</v>
      </c>
      <c r="G269" s="899" t="e">
        <f>INDEX(df_flood!$D$2:$M$100, MATCH($B$2, df_flood!$A$2:$A$100,0), MATCH($B269 &amp; "_" &amp; G$268, df_flood!$D$1:$M$1,0))</f>
        <v>#N/A</v>
      </c>
      <c r="H269" s="900" t="e">
        <f>INDEX(df_flood!$D$2:$M$100, MATCH($B$2, df_flood!$A$2:$A$100,0), MATCH($B269 &amp; "_" &amp; H$268, df_flood!$D$1:$M$1,0))</f>
        <v>#N/A</v>
      </c>
      <c r="I269" s="896" t="e">
        <f>INDEX(df_flood!$D$2:$M$100, MATCH($C$2, df_flood!$A$2:$A$100,0), MATCH($B269 &amp; "_" &amp; I$268, df_flood!$D$1:$M$1,0))</f>
        <v>#N/A</v>
      </c>
      <c r="J269" s="899" t="e">
        <f>INDEX(df_flood!$D$2:$M$100, MATCH($C$2, df_flood!$A$2:$A$100,0), MATCH($B269 &amp; "_" &amp; J$268, df_flood!$D$1:$M$1,0))</f>
        <v>#N/A</v>
      </c>
      <c r="K269" s="900" t="e">
        <f>INDEX(df_flood!$D$2:$M$100, MATCH($C$2, df_flood!$A$2:$A$100,0), MATCH($B269 &amp; "_" &amp; K$268, df_flood!$D$1:$M$1,0))</f>
        <v>#N/A</v>
      </c>
    </row>
    <row r="270" spans="1:11" ht="20.100000000000001" customHeight="1" x14ac:dyDescent="0.2">
      <c r="B270" s="918" t="s">
        <v>722</v>
      </c>
      <c r="C270" s="901" t="e">
        <f>INDEX(df_flood!$D$2:$M$100, MATCH($A$2, df_flood!$A$2:$A$100,0), MATCH($B270 &amp; "_" &amp; C$268, df_flood!$D$1:$M$1,0))</f>
        <v>#N/A</v>
      </c>
      <c r="D270" s="186" t="e">
        <f>INDEX(df_flood!$D$2:$M$100, MATCH($A$2, df_flood!$A$2:$A$100,0), MATCH($B270 &amp; "_" &amp; D$268, df_flood!$D$1:$M$1,0))</f>
        <v>#N/A</v>
      </c>
      <c r="E270" s="910" t="e">
        <f>INDEX(df_flood!$D$2:$M$100, MATCH($A$2, df_flood!$A$2:$A$100,0), MATCH($B270 &amp; "_" &amp; E$268, df_flood!$D$1:$M$1,0))</f>
        <v>#N/A</v>
      </c>
      <c r="F270" s="901" t="e">
        <f>INDEX(df_flood!$D$2:$M$100, MATCH($B$2, df_flood!$A$2:$A$100,0), MATCH($B270 &amp; "_" &amp; F$268, df_flood!$D$1:$M$1,0))</f>
        <v>#N/A</v>
      </c>
      <c r="G270" s="186" t="e">
        <f>INDEX(df_flood!$D$2:$M$100, MATCH($B$2, df_flood!$A$2:$A$100,0), MATCH($B270 &amp; "_" &amp; G$268, df_flood!$D$1:$M$1,0))</f>
        <v>#N/A</v>
      </c>
      <c r="H270" s="910" t="e">
        <f>INDEX(df_flood!$D$2:$M$100, MATCH($B$2, df_flood!$A$2:$A$100,0), MATCH($B270 &amp; "_" &amp; H$268, df_flood!$D$1:$M$1,0))</f>
        <v>#N/A</v>
      </c>
      <c r="I270" s="901" t="e">
        <f>INDEX(df_flood!$D$2:$M$100, MATCH($C$2, df_flood!$A$2:$A$100,0), MATCH($B270 &amp; "_" &amp; I$268, df_flood!$D$1:$M$1,0))</f>
        <v>#N/A</v>
      </c>
      <c r="J270" s="186" t="e">
        <f>INDEX(df_flood!$D$2:$M$100, MATCH($C$2, df_flood!$A$2:$A$100,0), MATCH($B270 &amp; "_" &amp; J$268, df_flood!$D$1:$M$1,0))</f>
        <v>#N/A</v>
      </c>
      <c r="K270" s="910" t="e">
        <f>INDEX(df_flood!$D$2:$M$100, MATCH($C$2, df_flood!$A$2:$A$100,0), MATCH($B270 &amp; "_" &amp; K$268, df_flood!$D$1:$M$1,0))</f>
        <v>#N/A</v>
      </c>
    </row>
    <row r="271" spans="1:11" ht="20.100000000000001" customHeight="1" x14ac:dyDescent="0.2">
      <c r="B271" s="854" t="s">
        <v>723</v>
      </c>
      <c r="C271" s="911" t="e">
        <f>INDEX(df_flood!$D$2:$M$100, MATCH($A$2, df_flood!$A$2:$A$100,0), MATCH($B271 &amp; "_" &amp; C$268, df_flood!$D$1:$M$1,0))</f>
        <v>#N/A</v>
      </c>
      <c r="D271" s="912" t="e">
        <f>INDEX(df_flood!$D$2:$M$100, MATCH($A$2, df_flood!$A$2:$A$100,0), MATCH($B271 &amp; "_" &amp; D$268, df_flood!$D$1:$M$1,0))</f>
        <v>#N/A</v>
      </c>
      <c r="E271" s="913" t="e">
        <f>INDEX(df_flood!$D$2:$M$100, MATCH($A$2, df_flood!$A$2:$A$100,0), MATCH($B271 &amp; "_" &amp; E$268, df_flood!$D$1:$M$1,0))</f>
        <v>#N/A</v>
      </c>
      <c r="F271" s="911" t="e">
        <f>INDEX(df_flood!$D$2:$M$100, MATCH($B$2, df_flood!$A$2:$A$100,0), MATCH($B271 &amp; "_" &amp; F$268, df_flood!$D$1:$M$1,0))</f>
        <v>#N/A</v>
      </c>
      <c r="G271" s="912" t="e">
        <f>INDEX(df_flood!$D$2:$M$100, MATCH($B$2, df_flood!$A$2:$A$100,0), MATCH($B271 &amp; "_" &amp; G$268, df_flood!$D$1:$M$1,0))</f>
        <v>#N/A</v>
      </c>
      <c r="H271" s="913" t="e">
        <f>INDEX(df_flood!$D$2:$M$100, MATCH($B$2, df_flood!$A$2:$A$100,0), MATCH($B271 &amp; "_" &amp; H$268, df_flood!$D$1:$M$1,0))</f>
        <v>#N/A</v>
      </c>
      <c r="I271" s="911" t="e">
        <f>INDEX(df_flood!$D$2:$M$100, MATCH($C$2, df_flood!$A$2:$A$100,0), MATCH($B271 &amp; "_" &amp; I$268, df_flood!$D$1:$M$1,0))</f>
        <v>#N/A</v>
      </c>
      <c r="J271" s="912" t="e">
        <f>INDEX(df_flood!$D$2:$M$100, MATCH($C$2, df_flood!$A$2:$A$100,0), MATCH($B271 &amp; "_" &amp; J$268, df_flood!$D$1:$M$1,0))</f>
        <v>#N/A</v>
      </c>
      <c r="K271" s="913" t="e">
        <f>INDEX(df_flood!$D$2:$M$100, MATCH($C$2, df_flood!$A$2:$A$100,0), MATCH($B271 &amp; "_" &amp; K$268, df_flood!$D$1:$M$1,0))</f>
        <v>#N/A</v>
      </c>
    </row>
    <row r="273" spans="1:11" ht="20.100000000000001" customHeight="1" x14ac:dyDescent="0.2">
      <c r="B273" s="1240" t="s">
        <v>1257</v>
      </c>
      <c r="C273" s="1240"/>
      <c r="D273" s="1240"/>
      <c r="E273" s="1240"/>
      <c r="G273" s="1240" t="s">
        <v>1258</v>
      </c>
      <c r="H273" s="1240"/>
      <c r="I273" s="1240"/>
      <c r="J273" s="1240"/>
    </row>
    <row r="274" spans="1:11" ht="20.100000000000001" customHeight="1" x14ac:dyDescent="0.2"/>
    <row r="275" spans="1:11" ht="20.100000000000001" customHeight="1" x14ac:dyDescent="0.2">
      <c r="B275" s="483" t="s">
        <v>1259</v>
      </c>
      <c r="C275" s="128" t="s">
        <v>181</v>
      </c>
      <c r="D275" s="117" t="s">
        <v>182</v>
      </c>
      <c r="E275" s="302" t="s">
        <v>183</v>
      </c>
      <c r="G275" s="483" t="s">
        <v>1259</v>
      </c>
      <c r="H275" s="128" t="s">
        <v>181</v>
      </c>
      <c r="I275" s="117" t="s">
        <v>182</v>
      </c>
      <c r="J275" s="302" t="s">
        <v>183</v>
      </c>
    </row>
    <row r="276" spans="1:11" ht="20.100000000000001" customHeight="1" x14ac:dyDescent="0.2">
      <c r="B276" s="853" t="s">
        <v>721</v>
      </c>
      <c r="C276" s="896" t="e">
        <f>INDEX(df_coastal!$C$2:$K$100, MATCH(A$2, df_coastal!$B$2:$B$100, 0), MATCH("total_"&amp;$B276, df_coastal!$C$1:$K$1,0))</f>
        <v>#N/A</v>
      </c>
      <c r="D276" s="899" t="e">
        <f>INDEX(df_coastal!$C$2:$K$100, MATCH(B$2, df_coastal!$B$2:$B$100, 0), MATCH("total_"&amp;$B276, df_coastal!$C$1:$K$1,0))</f>
        <v>#N/A</v>
      </c>
      <c r="E276" s="900" t="e">
        <f>INDEX(df_coastal!$C$2:$K$100, MATCH(C$2, df_coastal!$B$2:$B$100, 0), MATCH("total_"&amp;$B276, df_coastal!$C$1:$K$1,0))</f>
        <v>#N/A</v>
      </c>
      <c r="G276" s="853" t="s">
        <v>721</v>
      </c>
      <c r="H276" s="896" t="e">
        <f>INDEX(df_coastal!$C$2:$K$100, MATCH(A$2, df_coastal!$B$2:$B$100, 0), MATCH("flood_"&amp;$B276, df_coastal!$C$1:$K$1,0))</f>
        <v>#N/A</v>
      </c>
      <c r="I276" s="899" t="e">
        <f>INDEX(df_coastal!$C$2:$K$100, MATCH(B$2, df_coastal!$B$2:$B$100, 0), MATCH("flood_"&amp;$B276, df_coastal!$C$1:$K$1,0))</f>
        <v>#N/A</v>
      </c>
      <c r="J276" s="900" t="e">
        <f>INDEX(df_coastal!$C$2:$K$100, MATCH(C$2, df_coastal!$B$2:$B$100, 0), MATCH("flood_"&amp;$B276, df_coastal!$C$1:$K$1,0))</f>
        <v>#N/A</v>
      </c>
    </row>
    <row r="277" spans="1:11" ht="20.100000000000001" customHeight="1" x14ac:dyDescent="0.2">
      <c r="B277" s="918" t="s">
        <v>1212</v>
      </c>
      <c r="C277" s="901" t="e">
        <f>INDEX(df_coastal!$C$2:$K$100, MATCH(A$2, df_coastal!$B$2:$B$100, 0), MATCH("total_"&amp;$B277, df_coastal!$C$1:$K$1,0))</f>
        <v>#N/A</v>
      </c>
      <c r="D277" s="186" t="e">
        <f>INDEX(df_coastal!$C$2:$K$100, MATCH(B$2, df_coastal!$B$2:$B$100, 0), MATCH("total_"&amp;$B277, df_coastal!$C$1:$K$1,0))</f>
        <v>#N/A</v>
      </c>
      <c r="E277" s="910" t="e">
        <f>INDEX(df_coastal!$C$2:$K$100, MATCH(C$2, df_coastal!$B$2:$B$100, 0), MATCH("total_"&amp;$B277, df_coastal!$C$1:$K$1,0))</f>
        <v>#N/A</v>
      </c>
      <c r="G277" s="918" t="s">
        <v>1212</v>
      </c>
      <c r="H277" s="901" t="e">
        <f>INDEX(df_coastal!$C$2:$K$100, MATCH(A$2, df_coastal!$B$2:$B$100, 0), MATCH("flood_"&amp;$B277, df_coastal!$C$1:$K$1,0))</f>
        <v>#N/A</v>
      </c>
      <c r="I277" s="186" t="e">
        <f>INDEX(df_coastal!$C$2:$K$100, MATCH(B$2, df_coastal!$B$2:$B$100, 0), MATCH("flood_"&amp;$B277, df_coastal!$C$1:$K$1,0))</f>
        <v>#N/A</v>
      </c>
      <c r="J277" s="910" t="e">
        <f>INDEX(df_coastal!$C$2:$K$100, MATCH(C$2, df_coastal!$B$2:$B$100, 0), MATCH("flood_"&amp;$B277, df_coastal!$C$1:$K$1,0))</f>
        <v>#N/A</v>
      </c>
    </row>
    <row r="278" spans="1:11" ht="20.100000000000001" customHeight="1" x14ac:dyDescent="0.2">
      <c r="B278" s="854" t="s">
        <v>723</v>
      </c>
      <c r="C278" s="911" t="e">
        <f>INDEX(df_coastal!$C$2:$K$100, MATCH(A$2, df_coastal!$B$2:$B$100, 0), MATCH("total_"&amp;$B278, df_coastal!$C$1:$K$1,0))</f>
        <v>#N/A</v>
      </c>
      <c r="D278" s="912" t="e">
        <f>INDEX(df_coastal!$C$2:$K$100, MATCH(B$2, df_coastal!$B$2:$B$100, 0), MATCH("total_"&amp;$B278, df_coastal!$C$1:$K$1,0))</f>
        <v>#N/A</v>
      </c>
      <c r="E278" s="913" t="e">
        <f>INDEX(df_coastal!$C$2:$K$100, MATCH(C$2, df_coastal!$B$2:$B$100, 0), MATCH("total_"&amp;$B278, df_coastal!$C$1:$K$1,0))</f>
        <v>#N/A</v>
      </c>
      <c r="G278" s="854" t="s">
        <v>723</v>
      </c>
      <c r="H278" s="911" t="e">
        <f>INDEX(df_coastal!$C$2:$K$100, MATCH(A$2, df_coastal!$B$2:$B$100, 0), MATCH("flood_"&amp;$B278, df_coastal!$C$1:$K$1,0))</f>
        <v>#N/A</v>
      </c>
      <c r="I278" s="912" t="e">
        <f>INDEX(df_coastal!$C$2:$K$100, MATCH(B$2, df_coastal!$B$2:$B$100, 0), MATCH("flood_"&amp;$B278, df_coastal!$C$1:$K$1,0))</f>
        <v>#N/A</v>
      </c>
      <c r="J278" s="913" t="e">
        <f>INDEX(df_coastal!$C$2:$K$100, MATCH(C$2, df_coastal!$B$2:$B$100, 0), MATCH("flood_"&amp;$B278, df_coastal!$C$1:$K$1,0))</f>
        <v>#N/A</v>
      </c>
    </row>
    <row r="279" spans="1:11" ht="20.100000000000001" customHeight="1" x14ac:dyDescent="0.2"/>
    <row r="280" spans="1:11" ht="30" customHeight="1" x14ac:dyDescent="0.2">
      <c r="A280" s="560"/>
      <c r="B280" s="175" t="s">
        <v>1217</v>
      </c>
      <c r="C280" s="310"/>
      <c r="D280" s="310"/>
      <c r="E280" s="310"/>
      <c r="F280" s="310"/>
      <c r="G280" s="310"/>
      <c r="H280" s="310"/>
      <c r="I280" s="310"/>
      <c r="J280" s="310"/>
      <c r="K280" s="310"/>
    </row>
    <row r="281" spans="1:11" ht="20.100000000000001" customHeight="1" x14ac:dyDescent="0.2"/>
    <row r="282" spans="1:11" ht="20.100000000000001" customHeight="1" x14ac:dyDescent="0.2">
      <c r="B282" s="1258" t="s">
        <v>1218</v>
      </c>
      <c r="C282" s="1258"/>
      <c r="D282" s="1258"/>
      <c r="E282" s="1258"/>
      <c r="F282" s="1258"/>
      <c r="G282" s="1258"/>
      <c r="H282" s="1258"/>
    </row>
    <row r="283" spans="1:11" ht="20.100000000000001" customHeight="1" x14ac:dyDescent="0.2"/>
    <row r="284" spans="1:11" ht="20.100000000000001" customHeight="1" x14ac:dyDescent="0.2">
      <c r="B284" s="264"/>
      <c r="C284" s="1234" t="s">
        <v>187</v>
      </c>
      <c r="D284" s="1235"/>
      <c r="E284" s="1234" t="s">
        <v>188</v>
      </c>
      <c r="F284" s="1235"/>
      <c r="G284" s="1234" t="s">
        <v>189</v>
      </c>
      <c r="H284" s="1235"/>
    </row>
    <row r="285" spans="1:11" ht="20.100000000000001" customHeight="1" x14ac:dyDescent="0.2">
      <c r="B285" s="68" t="s">
        <v>478</v>
      </c>
      <c r="C285" s="691" t="s">
        <v>99</v>
      </c>
      <c r="D285" s="692" t="s">
        <v>9</v>
      </c>
      <c r="E285" s="691" t="s">
        <v>99</v>
      </c>
      <c r="F285" s="692" t="s">
        <v>9</v>
      </c>
      <c r="G285" s="691" t="s">
        <v>99</v>
      </c>
      <c r="H285" s="692" t="s">
        <v>9</v>
      </c>
    </row>
    <row r="286" spans="1:11" ht="20.100000000000001" customHeight="1" x14ac:dyDescent="0.2">
      <c r="B286" s="965" t="s">
        <v>1213</v>
      </c>
      <c r="C286" s="827" t="str">
        <f>IFERROR(D269/SUM(C269:E269),"x")</f>
        <v>x</v>
      </c>
      <c r="D286" s="210" t="str">
        <f t="array" ref="D286">IFERROR(E269/SUM(C269:E269),"x")</f>
        <v>x</v>
      </c>
      <c r="E286" s="827" t="str">
        <f>IFERROR(G269/SUM(F269:H269),"x")</f>
        <v>x</v>
      </c>
      <c r="F286" s="210" t="str">
        <f>IFERROR(H269/SUM(F269:H269),"x")</f>
        <v>x</v>
      </c>
      <c r="G286" s="827" t="str">
        <f>IFERROR(J269/SUM(I269:K269),"x")</f>
        <v>x</v>
      </c>
      <c r="H286" s="210" t="str">
        <f>IFERROR(K269/SUM(I269:K269),"x")</f>
        <v>x</v>
      </c>
    </row>
    <row r="287" spans="1:11" ht="20.100000000000001" customHeight="1" x14ac:dyDescent="0.2">
      <c r="B287" s="966" t="s">
        <v>1214</v>
      </c>
      <c r="C287" s="897" t="str">
        <f t="shared" ref="C287:C288" si="33">IFERROR(D270/SUM(C270:E270),"x")</f>
        <v>x</v>
      </c>
      <c r="D287" s="898" t="str">
        <f t="array" ref="D287">IFERROR(E270/SUM(C270:E270),"x")</f>
        <v>x</v>
      </c>
      <c r="E287" s="897" t="str">
        <f t="shared" ref="E287:E288" si="34">IFERROR(G270/SUM(F270:H270),"x")</f>
        <v>x</v>
      </c>
      <c r="F287" s="898" t="str">
        <f>IFERROR(H270/SUM(F270:H270),"x")</f>
        <v>x</v>
      </c>
      <c r="G287" s="897" t="str">
        <f>IFERROR(J270/SUM(I270:K270),"x")</f>
        <v>x</v>
      </c>
      <c r="H287" s="898" t="str">
        <f>IFERROR(K270/SUM(I270:K270),"x")</f>
        <v>x</v>
      </c>
    </row>
    <row r="288" spans="1:11" ht="20.100000000000001" customHeight="1" x14ac:dyDescent="0.2">
      <c r="B288" s="870" t="s">
        <v>717</v>
      </c>
      <c r="C288" s="733" t="str">
        <f t="shared" si="33"/>
        <v>x</v>
      </c>
      <c r="D288" s="195" t="str">
        <f t="array" ref="D288">IFERROR(E271/SUM(C271:E271),"x")</f>
        <v>x</v>
      </c>
      <c r="E288" s="733" t="str">
        <f t="shared" si="34"/>
        <v>x</v>
      </c>
      <c r="F288" s="195" t="str">
        <f>IFERROR(H271/SUM(F271:H271),"x")</f>
        <v>x</v>
      </c>
      <c r="G288" s="733" t="str">
        <f>IFERROR(J271/SUM(I271:K271),"x")</f>
        <v>x</v>
      </c>
      <c r="H288" s="195" t="str">
        <f>IFERROR(K271/SUM(I271:K271),"x")</f>
        <v>x</v>
      </c>
    </row>
    <row r="289" spans="1:16" ht="20.100000000000001" customHeight="1" x14ac:dyDescent="0.2"/>
    <row r="290" spans="1:16" ht="20.100000000000001" customHeight="1" x14ac:dyDescent="0.2">
      <c r="B290" s="1258" t="s">
        <v>1218</v>
      </c>
      <c r="C290" s="1258"/>
      <c r="D290" s="1258"/>
      <c r="E290" s="1258"/>
      <c r="F290" s="1258"/>
      <c r="G290" s="1258"/>
      <c r="H290" s="1258"/>
    </row>
    <row r="291" spans="1:16" ht="20.100000000000001" customHeight="1" x14ac:dyDescent="0.2"/>
    <row r="292" spans="1:16" ht="20.100000000000001" customHeight="1" x14ac:dyDescent="0.2">
      <c r="B292" s="264"/>
      <c r="C292" s="1234" t="s">
        <v>187</v>
      </c>
      <c r="D292" s="1235"/>
      <c r="E292" s="1234" t="s">
        <v>188</v>
      </c>
      <c r="F292" s="1235"/>
      <c r="G292" s="1234" t="s">
        <v>189</v>
      </c>
      <c r="H292" s="1235"/>
    </row>
    <row r="293" spans="1:16" ht="20.100000000000001" customHeight="1" x14ac:dyDescent="0.2">
      <c r="B293" s="68" t="s">
        <v>478</v>
      </c>
      <c r="C293" s="691" t="s">
        <v>1211</v>
      </c>
      <c r="D293" s="692" t="s">
        <v>290</v>
      </c>
      <c r="E293" s="691" t="s">
        <v>1211</v>
      </c>
      <c r="F293" s="692" t="s">
        <v>290</v>
      </c>
      <c r="G293" s="691" t="s">
        <v>1211</v>
      </c>
      <c r="H293" s="692" t="s">
        <v>290</v>
      </c>
    </row>
    <row r="294" spans="1:16" ht="20.100000000000001" customHeight="1" x14ac:dyDescent="0.2">
      <c r="B294" s="965" t="s">
        <v>1213</v>
      </c>
      <c r="C294" s="740" t="str">
        <f t="array" ref="C294:C296">IFERROR(H276:H278,"x")</f>
        <v>x</v>
      </c>
      <c r="D294" s="1206" t="str">
        <f t="array" ref="D294:D296">IFERROR(H276:H278/C276:C278,"x")</f>
        <v>x</v>
      </c>
      <c r="E294" s="740" t="str">
        <f t="array" ref="E294:E296">IFERROR(I276:I278,"x")</f>
        <v>x</v>
      </c>
      <c r="F294" s="1206" t="str">
        <f t="array" ref="F294:F296">IFERROR(I276:I278/D276:D278,"x")</f>
        <v>x</v>
      </c>
      <c r="G294" s="740" t="str">
        <f t="array" ref="G294:G296">IFERROR(J276:J278,"x")</f>
        <v>x</v>
      </c>
      <c r="H294" s="1206" t="str">
        <f t="array" ref="H294:H296">IFERROR(J276:J278/E276:E278,"x")</f>
        <v>x</v>
      </c>
    </row>
    <row r="295" spans="1:16" ht="20.100000000000001" customHeight="1" x14ac:dyDescent="0.2">
      <c r="B295" s="966" t="s">
        <v>1214</v>
      </c>
      <c r="C295" s="908" t="str">
        <v>x</v>
      </c>
      <c r="D295" s="1207" t="str">
        <v>x</v>
      </c>
      <c r="E295" s="908" t="str">
        <v>x</v>
      </c>
      <c r="F295" s="1207" t="str">
        <v>x</v>
      </c>
      <c r="G295" s="908" t="str">
        <v>x</v>
      </c>
      <c r="H295" s="1207" t="str">
        <v>x</v>
      </c>
    </row>
    <row r="296" spans="1:16" ht="20.100000000000001" customHeight="1" x14ac:dyDescent="0.2">
      <c r="B296" s="870" t="s">
        <v>717</v>
      </c>
      <c r="C296" s="735" t="str">
        <v>x</v>
      </c>
      <c r="D296" s="886" t="str">
        <v>x</v>
      </c>
      <c r="E296" s="735" t="str">
        <v>x</v>
      </c>
      <c r="F296" s="886" t="str">
        <v>x</v>
      </c>
      <c r="G296" s="735" t="str">
        <v>x</v>
      </c>
      <c r="H296" s="886" t="str">
        <v>x</v>
      </c>
    </row>
    <row r="299" spans="1:16" ht="50.1" customHeight="1" x14ac:dyDescent="0.2">
      <c r="B299" s="159" t="s">
        <v>1260</v>
      </c>
      <c r="C299" s="59"/>
      <c r="D299" s="59"/>
      <c r="E299" s="59"/>
      <c r="F299" s="59"/>
      <c r="G299" s="59"/>
      <c r="H299" s="59"/>
      <c r="I299" s="59"/>
      <c r="J299" s="59"/>
      <c r="K299" s="59"/>
      <c r="L299" s="59"/>
      <c r="M299" s="59"/>
      <c r="N299" s="59"/>
      <c r="O299" s="59"/>
      <c r="P299" s="59"/>
    </row>
    <row r="301" spans="1:16" ht="30" customHeight="1" x14ac:dyDescent="0.2">
      <c r="A301" s="560"/>
      <c r="B301" s="175" t="s">
        <v>1216</v>
      </c>
      <c r="C301" s="310"/>
      <c r="D301" s="310"/>
      <c r="E301" s="310"/>
      <c r="F301" s="310"/>
      <c r="G301" s="310"/>
      <c r="H301" s="310"/>
      <c r="I301" s="310"/>
      <c r="J301" s="310"/>
      <c r="K301" s="310"/>
      <c r="L301" s="310"/>
      <c r="M301" s="310"/>
      <c r="N301" s="310"/>
      <c r="O301" s="310"/>
      <c r="P301" s="310"/>
    </row>
    <row r="303" spans="1:16" ht="20.100000000000001" customHeight="1" x14ac:dyDescent="0.2">
      <c r="B303" s="1240" t="s">
        <v>1164</v>
      </c>
      <c r="C303" s="1240"/>
      <c r="D303" s="1240"/>
      <c r="E303" s="1240"/>
      <c r="F303" s="1240"/>
      <c r="G303" s="1240"/>
      <c r="H303" s="1240"/>
      <c r="J303" s="1240" t="s">
        <v>1167</v>
      </c>
      <c r="K303" s="1240"/>
      <c r="L303" s="1240"/>
      <c r="M303" s="1240"/>
      <c r="N303" s="1240"/>
      <c r="O303" s="1240"/>
      <c r="P303" s="1240"/>
    </row>
    <row r="304" spans="1:16" ht="20.100000000000001" customHeight="1" x14ac:dyDescent="0.2"/>
    <row r="305" spans="1:17" ht="20.100000000000001" customHeight="1" x14ac:dyDescent="0.2">
      <c r="A305" s="560"/>
      <c r="B305" s="483"/>
      <c r="C305" s="128" t="s">
        <v>1135</v>
      </c>
      <c r="D305" s="117" t="s">
        <v>1136</v>
      </c>
      <c r="E305" s="117" t="s">
        <v>1137</v>
      </c>
      <c r="F305" s="117" t="s">
        <v>1138</v>
      </c>
      <c r="G305" s="117" t="s">
        <v>1139</v>
      </c>
      <c r="H305" s="302" t="s">
        <v>1140</v>
      </c>
      <c r="J305" s="483"/>
      <c r="K305" s="128" t="s">
        <v>1141</v>
      </c>
      <c r="L305" s="117" t="s">
        <v>1142</v>
      </c>
      <c r="M305" s="117" t="s">
        <v>1143</v>
      </c>
      <c r="N305" s="117" t="s">
        <v>1144</v>
      </c>
      <c r="O305" s="117" t="s">
        <v>1145</v>
      </c>
      <c r="P305" s="302" t="s">
        <v>1146</v>
      </c>
    </row>
    <row r="306" spans="1:17" ht="20.100000000000001" customHeight="1" x14ac:dyDescent="0.2">
      <c r="A306" s="560"/>
      <c r="B306" s="853" t="s">
        <v>478</v>
      </c>
      <c r="C306" s="570" t="e">
        <f>INDEX(df_humid!$F$2:$AC$100, MATCH($A$2, df_humid!$A$2:$A$100, 0), MATCH(C$305, df_humid!$F$1:$AC$1,0))</f>
        <v>#N/A</v>
      </c>
      <c r="D306" s="567" t="e">
        <f>INDEX(df_humid!$F$2:$AC$100, MATCH($A$2, df_humid!$A$2:$A$100, 0), MATCH(D$305, df_humid!$F$1:$AC$1,0))</f>
        <v>#N/A</v>
      </c>
      <c r="E306" s="567" t="e">
        <f>INDEX(df_humid!$F$2:$AC$100, MATCH($A$2, df_humid!$A$2:$A$100, 0), MATCH(E$305, df_humid!$F$1:$AC$1,0))</f>
        <v>#N/A</v>
      </c>
      <c r="F306" s="567" t="e">
        <f>INDEX(df_humid!$F$2:$AC$100, MATCH($A$2, df_humid!$A$2:$A$100, 0), MATCH(F$305, df_humid!$F$1:$AC$1,0))</f>
        <v>#N/A</v>
      </c>
      <c r="G306" s="567" t="e">
        <f>INDEX(df_humid!$F$2:$AC$100, MATCH($A$2, df_humid!$A$2:$A$100, 0), MATCH(G$305, df_humid!$F$1:$AC$1,0))</f>
        <v>#N/A</v>
      </c>
      <c r="H306" s="561" t="e">
        <f>INDEX(df_humid!$F$2:$AC$100, MATCH($A$2, df_humid!$A$2:$A$100, 0), MATCH(H$305, df_humid!$F$1:$AC$1,0))</f>
        <v>#N/A</v>
      </c>
      <c r="J306" s="853" t="s">
        <v>478</v>
      </c>
      <c r="K306" s="570" t="e">
        <f t="array" ref="K306">INDEX(df_hot!$F$2:$AC$100, MATCH($A$2, df_hot!$A$2:$A$100, 0), MATCH(K$305, df_hot!$F$1:$AC$1,0))</f>
        <v>#N/A</v>
      </c>
      <c r="L306" s="567" t="e">
        <f t="array" ref="L306">INDEX(df_hot!$F$2:$AC$100, MATCH($A$2, df_hot!$A$2:$A$100, 0), MATCH(L$305, df_hot!$F$1:$AC$1,0))</f>
        <v>#N/A</v>
      </c>
      <c r="M306" s="567" t="e">
        <f t="array" ref="M306">INDEX(df_hot!$F$2:$AC$100, MATCH($A$2, df_hot!$A$2:$A$100, 0), MATCH(M$305, df_hot!$F$1:$AC$1,0))</f>
        <v>#N/A</v>
      </c>
      <c r="N306" s="567" t="e">
        <f t="array" ref="N306">INDEX(df_hot!$F$2:$AC$100, MATCH($A$2, df_hot!$A$2:$A$100, 0), MATCH(N$305, df_hot!$F$1:$AC$1,0))</f>
        <v>#N/A</v>
      </c>
      <c r="O306" s="567" t="e">
        <f t="array" ref="O306">INDEX(df_hot!$F$2:$AC$100, MATCH($A$2, df_hot!$A$2:$A$100, 0), MATCH(O$305, df_hot!$F$1:$AC$1,0))</f>
        <v>#N/A</v>
      </c>
      <c r="P306" s="561" t="e">
        <f t="array" ref="P306">INDEX(df_hot!$F$2:$AC$100, MATCH($A$2, df_hot!$A$2:$A$100, 0), MATCH(P$305, df_hot!$F$1:$AC$1,0))</f>
        <v>#N/A</v>
      </c>
    </row>
    <row r="307" spans="1:17" ht="20.100000000000001" customHeight="1" x14ac:dyDescent="0.2">
      <c r="A307" s="476" t="s">
        <v>1165</v>
      </c>
      <c r="B307" s="854" t="s">
        <v>1166</v>
      </c>
      <c r="C307" s="569" t="e">
        <f>INDEX(df_humid!$F$2:$AC$100, MATCH($A$2, df_humid!$A$2:$A$100, 0), MATCH(C$305&amp;$A$307, df_humid!$F$1:$AC$1,0))</f>
        <v>#N/A</v>
      </c>
      <c r="D307" s="498" t="e">
        <f>INDEX(df_humid!$F$2:$AC$100, MATCH($A$2, df_humid!$A$2:$A$100, 0), MATCH(D$305&amp;$A$307, df_humid!$F$1:$AC$1,0))</f>
        <v>#N/A</v>
      </c>
      <c r="E307" s="498" t="e">
        <f>INDEX(df_humid!$F$2:$AC$100, MATCH($A$2, df_humid!$A$2:$A$100, 0), MATCH(E$305&amp;$A$307, df_humid!$F$1:$AC$1,0))</f>
        <v>#N/A</v>
      </c>
      <c r="F307" s="498" t="e">
        <f>INDEX(df_humid!$F$2:$AC$100, MATCH($A$2, df_humid!$A$2:$A$100, 0), MATCH(F$305&amp;$A$307, df_humid!$F$1:$AC$1,0))</f>
        <v>#N/A</v>
      </c>
      <c r="G307" s="498" t="e">
        <f>INDEX(df_humid!$F$2:$AC$100, MATCH($A$2, df_humid!$A$2:$A$100, 0), MATCH(G$305&amp;$A$307, df_humid!$F$1:$AC$1,0))</f>
        <v>#N/A</v>
      </c>
      <c r="H307" s="499" t="e">
        <f>INDEX(df_humid!$F$2:$AC$100, MATCH($A$2, df_humid!$A$2:$A$100, 0), MATCH(H$305&amp;$A$307, df_humid!$F$1:$AC$1,0))</f>
        <v>#N/A</v>
      </c>
      <c r="I307" s="476" t="s">
        <v>1165</v>
      </c>
      <c r="J307" s="854" t="s">
        <v>1166</v>
      </c>
      <c r="K307" s="569" t="e">
        <f>INDEX(df_hot!$F$2:$AC$100, MATCH($A$2, df_hot!$A$2:$A$100, 0), MATCH(K$305&amp;$I$307, df_hot!$F$1:$AC$1,0))</f>
        <v>#N/A</v>
      </c>
      <c r="L307" s="498" t="e">
        <f>INDEX(df_hot!$F$2:$AC$100, MATCH($A$2, df_hot!$A$2:$A$100, 0), MATCH(L$305&amp;$I$307, df_hot!$F$1:$AC$1,0))</f>
        <v>#N/A</v>
      </c>
      <c r="M307" s="498" t="e">
        <f>INDEX(df_hot!$F$2:$AC$100, MATCH($A$2, df_hot!$A$2:$A$100, 0), MATCH(M$305&amp;$I$307, df_hot!$F$1:$AC$1,0))</f>
        <v>#N/A</v>
      </c>
      <c r="N307" s="498" t="e">
        <f>INDEX(df_hot!$F$2:$AC$100, MATCH($A$2, df_hot!$A$2:$A$100, 0), MATCH(N$305&amp;$I$307, df_hot!$F$1:$AC$1,0))</f>
        <v>#N/A</v>
      </c>
      <c r="O307" s="498" t="e">
        <f>INDEX(df_hot!$F$2:$AC$100, MATCH($A$2, df_hot!$A$2:$A$100, 0), MATCH(O$305&amp;$I$307, df_hot!$F$1:$AC$1,0))</f>
        <v>#N/A</v>
      </c>
      <c r="P307" s="499" t="e">
        <f>INDEX(df_hot!$F$2:$AC$100, MATCH($A$2, df_hot!$A$2:$A$100, 0), MATCH(P$305&amp;$I$307, df_hot!$F$1:$AC$1,0))</f>
        <v>#N/A</v>
      </c>
    </row>
    <row r="308" spans="1:17" ht="20.100000000000001" customHeight="1" x14ac:dyDescent="0.2">
      <c r="A308" s="560"/>
    </row>
    <row r="309" spans="1:17" ht="20.100000000000001" customHeight="1" x14ac:dyDescent="0.2">
      <c r="A309" s="560"/>
      <c r="B309" s="1240" t="s">
        <v>1168</v>
      </c>
      <c r="C309" s="1240"/>
      <c r="D309" s="1240"/>
      <c r="E309" s="1240"/>
      <c r="F309" s="1240"/>
      <c r="G309" s="1240"/>
      <c r="H309" s="1240"/>
    </row>
    <row r="310" spans="1:17" ht="20.100000000000001" customHeight="1" x14ac:dyDescent="0.2">
      <c r="A310" s="560"/>
      <c r="B310" s="560"/>
      <c r="C310" s="560"/>
      <c r="D310" s="560"/>
      <c r="E310" s="560"/>
      <c r="F310" s="560"/>
      <c r="G310" s="560"/>
      <c r="H310" s="560"/>
      <c r="I310" s="560"/>
    </row>
    <row r="311" spans="1:17" ht="20.100000000000001" customHeight="1" x14ac:dyDescent="0.2">
      <c r="A311" s="560"/>
      <c r="B311" s="483"/>
      <c r="C311" s="128" t="s">
        <v>1147</v>
      </c>
      <c r="D311" s="117" t="s">
        <v>1148</v>
      </c>
      <c r="E311" s="117" t="s">
        <v>1173</v>
      </c>
      <c r="F311" s="117" t="s">
        <v>1174</v>
      </c>
      <c r="G311" s="117" t="s">
        <v>1175</v>
      </c>
      <c r="H311" s="302" t="s">
        <v>1176</v>
      </c>
    </row>
    <row r="312" spans="1:17" ht="20.100000000000001" customHeight="1" x14ac:dyDescent="0.2">
      <c r="A312" s="560"/>
      <c r="B312" s="853" t="s">
        <v>478</v>
      </c>
      <c r="C312" s="570" t="e">
        <f>INDEX(df_cold!$F$2:$AC$100, MATCH($A$2, df_cold!$A$2:$A$100, 0), MATCH(C$311, df_cold!$F$1:$AC$1,0))</f>
        <v>#N/A</v>
      </c>
      <c r="D312" s="567" t="e">
        <f>INDEX(df_cold!$F$2:$AC$100, MATCH($A$2, df_cold!$A$2:$A$100, 0), MATCH(D$311, df_cold!$F$1:$AC$1,0))</f>
        <v>#N/A</v>
      </c>
      <c r="E312" s="567" t="e">
        <f>INDEX(df_cold!$F$2:$AC$100, MATCH($A$2, df_cold!$A$2:$A$100, 0), MATCH(E$311, df_cold!$F$1:$AC$1,0))</f>
        <v>#N/A</v>
      </c>
      <c r="F312" s="567" t="e">
        <f>INDEX(df_cold!$F$2:$AC$100, MATCH($A$2, df_cold!$A$2:$A$100, 0), MATCH(F$311, df_cold!$F$1:$AC$1,0))</f>
        <v>#N/A</v>
      </c>
      <c r="G312" s="743" t="e">
        <f>INDEX(df_cold!$F$2:$AC$100, MATCH($A$2, df_cold!$A$2:$A$100, 0), MATCH(G$311, df_cold!$F$1:$AC$1,0))</f>
        <v>#N/A</v>
      </c>
      <c r="H312" s="892" t="e">
        <f>INDEX(df_cold!$F$2:$AC$100, MATCH($A$2, df_cold!$A$2:$A$100, 0), MATCH(H$311, df_cold!$F$1:$AC$1,0))</f>
        <v>#N/A</v>
      </c>
    </row>
    <row r="313" spans="1:17" ht="20.100000000000001" customHeight="1" x14ac:dyDescent="0.2">
      <c r="A313" s="476" t="s">
        <v>1165</v>
      </c>
      <c r="B313" s="854" t="s">
        <v>1166</v>
      </c>
      <c r="C313" s="569" t="e">
        <f>INDEX(df_cold!$F$2:$AC$100, MATCH($A$2, df_cold!$A$2:$A$100, 0), MATCH(C$311&amp;$A$313, df_cold!$F$1:$AC$1,0))</f>
        <v>#N/A</v>
      </c>
      <c r="D313" s="498" t="e">
        <f>INDEX(df_cold!$F$2:$AC$100, MATCH($A$2, df_cold!$A$2:$A$100, 0), MATCH(D$311&amp;$A$313, df_cold!$F$1:$AC$1,0))</f>
        <v>#N/A</v>
      </c>
      <c r="E313" s="498" t="e">
        <f>INDEX(df_cold!$F$2:$AC$100, MATCH($A$2, df_cold!$A$2:$A$100, 0), MATCH(E$311&amp;$A$313, df_cold!$F$1:$AC$1,0))</f>
        <v>#N/A</v>
      </c>
      <c r="F313" s="498" t="e">
        <f>INDEX(df_cold!$F$2:$AC$100, MATCH($A$2, df_cold!$A$2:$A$100, 0), MATCH(F$311&amp;$A$313, df_cold!$F$1:$AC$1,0))</f>
        <v>#N/A</v>
      </c>
      <c r="G313" s="498" t="e">
        <f>INDEX(df_cold!$F$2:$AC$100, MATCH($A$2, df_cold!$A$2:$A$100, 0), MATCH(G$311&amp;$A$313, df_cold!$F$1:$AC$1,0))</f>
        <v>#N/A</v>
      </c>
      <c r="H313" s="499" t="e">
        <f>INDEX(df_cold!$F$2:$AC$100, MATCH($A$2, df_cold!$A$2:$A$100, 0), MATCH(H$311&amp;$A$313, df_cold!$F$1:$AC$1,0))</f>
        <v>#N/A</v>
      </c>
    </row>
    <row r="314" spans="1:17" ht="20.100000000000001" customHeight="1" x14ac:dyDescent="0.2">
      <c r="A314" s="560"/>
    </row>
    <row r="315" spans="1:17" ht="20.100000000000001" customHeight="1" x14ac:dyDescent="0.2">
      <c r="A315" s="560"/>
      <c r="B315" s="1240" t="s">
        <v>1169</v>
      </c>
      <c r="C315" s="1240"/>
      <c r="D315" s="1240"/>
      <c r="E315" s="1240"/>
      <c r="F315" s="1240"/>
      <c r="G315" s="1240"/>
      <c r="H315" s="1240"/>
      <c r="I315" s="1240"/>
      <c r="J315" s="1240"/>
      <c r="K315" s="1240"/>
      <c r="L315" s="1240"/>
      <c r="M315" s="1240"/>
      <c r="N315" s="1240"/>
    </row>
    <row r="316" spans="1:17" ht="20.100000000000001" customHeight="1" x14ac:dyDescent="0.2">
      <c r="A316" s="560"/>
      <c r="B316" s="560"/>
      <c r="C316" s="560"/>
      <c r="D316" s="560"/>
      <c r="E316" s="560"/>
      <c r="F316" s="560"/>
      <c r="G316" s="560"/>
      <c r="H316" s="560"/>
      <c r="I316" s="560"/>
      <c r="J316" s="560"/>
      <c r="K316" s="560"/>
      <c r="L316" s="560"/>
      <c r="M316" s="560"/>
      <c r="N316" s="560"/>
      <c r="O316" s="560"/>
      <c r="P316" s="560"/>
      <c r="Q316" s="560"/>
    </row>
    <row r="317" spans="1:17" ht="20.100000000000001" customHeight="1" x14ac:dyDescent="0.2">
      <c r="A317" s="560"/>
      <c r="B317" s="483"/>
      <c r="C317" s="128" t="s">
        <v>1149</v>
      </c>
      <c r="D317" s="117" t="s">
        <v>1150</v>
      </c>
      <c r="E317" s="117" t="s">
        <v>1151</v>
      </c>
      <c r="F317" s="117" t="s">
        <v>1152</v>
      </c>
      <c r="G317" s="117" t="s">
        <v>1200</v>
      </c>
      <c r="H317" s="117" t="s">
        <v>1201</v>
      </c>
      <c r="I317" s="117" t="s">
        <v>1153</v>
      </c>
      <c r="J317" s="117" t="s">
        <v>1154</v>
      </c>
      <c r="K317" s="117" t="s">
        <v>1155</v>
      </c>
      <c r="L317" s="117" t="s">
        <v>1156</v>
      </c>
      <c r="M317" s="117" t="s">
        <v>1157</v>
      </c>
      <c r="N317" s="302" t="s">
        <v>1158</v>
      </c>
    </row>
    <row r="318" spans="1:17" ht="20.100000000000001" customHeight="1" x14ac:dyDescent="0.2">
      <c r="A318" s="560"/>
      <c r="B318" s="853" t="s">
        <v>478</v>
      </c>
      <c r="C318" s="570" t="e">
        <f>INDEX(df_rain!$F$2:$BA$100, MATCH($A$2, df_rain!$A$2:$A$100, 0), MATCH(C$317, df_rain!$F$1:$BA$1,0))</f>
        <v>#N/A</v>
      </c>
      <c r="D318" s="567" t="e">
        <f>INDEX(df_rain!$F$2:$BA$100, MATCH($A$2, df_rain!$A$2:$A$100, 0), MATCH(D$317, df_rain!$F$1:$BA$1,0))</f>
        <v>#N/A</v>
      </c>
      <c r="E318" s="567" t="e">
        <f>INDEX(df_rain!$F$2:$BA$100, MATCH($A$2, df_rain!$A$2:$A$100, 0), MATCH(E$317, df_rain!$F$1:$BA$1,0))</f>
        <v>#N/A</v>
      </c>
      <c r="F318" s="567" t="e">
        <f>INDEX(df_rain!$F$2:$BA$100, MATCH($A$2, df_rain!$A$2:$A$100, 0), MATCH(F$317, df_rain!$F$1:$BA$1,0))</f>
        <v>#N/A</v>
      </c>
      <c r="G318" s="567" t="e">
        <f>INDEX(df_rain!$F$2:$BA$100, MATCH($A$2, df_rain!$A$2:$A$100, 0), MATCH(G$317, df_rain!$F$1:$BA$1,0))</f>
        <v>#N/A</v>
      </c>
      <c r="H318" s="567" t="e">
        <f>INDEX(df_rain!$F$2:$BA$100, MATCH($A$2, df_rain!$A$2:$A$100, 0), MATCH(H$317, df_rain!$F$1:$BA$1,0))</f>
        <v>#N/A</v>
      </c>
      <c r="I318" s="567" t="e">
        <f>INDEX(df_rain!$F$2:$BA$100, MATCH($A$2, df_rain!$A$2:$A$100, 0), MATCH(I$317, df_rain!$F$1:$BA$1,0))</f>
        <v>#N/A</v>
      </c>
      <c r="J318" s="567" t="e">
        <f>INDEX(df_rain!$F$2:$BA$100, MATCH($A$2, df_rain!$A$2:$A$100, 0), MATCH(J$317, df_rain!$F$1:$BA$1,0))</f>
        <v>#N/A</v>
      </c>
      <c r="K318" s="567" t="e">
        <f>INDEX(df_rain!$F$2:$BA$100, MATCH($A$2, df_rain!$A$2:$A$100, 0), MATCH(K$317, df_rain!$F$1:$BA$1,0))</f>
        <v>#N/A</v>
      </c>
      <c r="L318" s="567" t="e">
        <f>INDEX(df_rain!$F$2:$BA$100, MATCH($A$2, df_rain!$A$2:$A$100, 0), MATCH(L$317, df_rain!$F$1:$BA$1,0))</f>
        <v>#N/A</v>
      </c>
      <c r="M318" s="567" t="e">
        <f>INDEX(df_rain!$F$2:$BA$100, MATCH($A$2, df_rain!$A$2:$A$100, 0), MATCH(M$317, df_rain!$F$1:$BA$1,0))</f>
        <v>#N/A</v>
      </c>
      <c r="N318" s="561" t="e">
        <f>INDEX(df_rain!$F$2:$BA$100, MATCH($A$2, df_rain!$A$2:$A$100, 0), MATCH(N$317, df_rain!$F$1:$BA$1,0))</f>
        <v>#N/A</v>
      </c>
    </row>
    <row r="319" spans="1:17" ht="20.100000000000001" customHeight="1" x14ac:dyDescent="0.2">
      <c r="A319" s="476" t="s">
        <v>1165</v>
      </c>
      <c r="B319" s="854" t="s">
        <v>1166</v>
      </c>
      <c r="C319" s="569" t="e">
        <f>INDEX(df_rain!$F$2:$BA$100, MATCH($A$2, df_rain!$A$2:$A$100, 0), MATCH(C$317&amp;$A$319, df_rain!$F$1:$BA$1,0))</f>
        <v>#N/A</v>
      </c>
      <c r="D319" s="498" t="e">
        <f>INDEX(df_rain!$F$2:$BA$100, MATCH($A$2, df_rain!$A$2:$A$100, 0), MATCH(D$317&amp;$A$319, df_rain!$F$1:$BA$1,0))</f>
        <v>#N/A</v>
      </c>
      <c r="E319" s="498" t="e">
        <f>INDEX(df_rain!$F$2:$BA$100, MATCH($A$2, df_rain!$A$2:$A$100, 0), MATCH(E$317&amp;$A$319, df_rain!$F$1:$BA$1,0))</f>
        <v>#N/A</v>
      </c>
      <c r="F319" s="498" t="e">
        <f>INDEX(df_rain!$F$2:$BA$100, MATCH($A$2, df_rain!$A$2:$A$100, 0), MATCH(F$317&amp;$A$319, df_rain!$F$1:$BA$1,0))</f>
        <v>#N/A</v>
      </c>
      <c r="G319" s="498" t="e">
        <f>INDEX(df_rain!$F$2:$BA$100, MATCH($A$2, df_rain!$A$2:$A$100, 0), MATCH(G$317&amp;$A$319, df_rain!$F$1:$BA$1,0))</f>
        <v>#N/A</v>
      </c>
      <c r="H319" s="498" t="e">
        <f>INDEX(df_rain!$F$2:$BA$100, MATCH($A$2, df_rain!$A$2:$A$100, 0), MATCH(H$317&amp;$A$319, df_rain!$F$1:$BA$1,0))</f>
        <v>#N/A</v>
      </c>
      <c r="I319" s="498" t="e">
        <f>INDEX(df_rain!$F$2:$BA$100, MATCH($A$2, df_rain!$A$2:$A$100, 0), MATCH(I$317&amp;$A$319, df_rain!$F$1:$BA$1,0))</f>
        <v>#N/A</v>
      </c>
      <c r="J319" s="498" t="e">
        <f>INDEX(df_rain!$F$2:$BA$100, MATCH($A$2, df_rain!$A$2:$A$100, 0), MATCH(J$317&amp;$A$319, df_rain!$F$1:$BA$1,0))</f>
        <v>#N/A</v>
      </c>
      <c r="K319" s="498" t="e">
        <f>INDEX(df_rain!$F$2:$BA$100, MATCH($A$2, df_rain!$A$2:$A$100, 0), MATCH(K$317&amp;$A$319, df_rain!$F$1:$BA$1,0))</f>
        <v>#N/A</v>
      </c>
      <c r="L319" s="498" t="e">
        <f>INDEX(df_rain!$F$2:$BA$100, MATCH($A$2, df_rain!$A$2:$A$100, 0), MATCH(L$317&amp;$A$319, df_rain!$F$1:$BA$1,0))</f>
        <v>#N/A</v>
      </c>
      <c r="M319" s="498" t="e">
        <f>INDEX(df_rain!$F$2:$BA$100, MATCH($A$2, df_rain!$A$2:$A$100, 0), MATCH(M$317&amp;$A$319, df_rain!$F$1:$BA$1,0))</f>
        <v>#N/A</v>
      </c>
      <c r="N319" s="499" t="e">
        <f>INDEX(df_rain!$F$2:$BA$100, MATCH($A$2, df_rain!$A$2:$A$100, 0), MATCH(N$317&amp;$A$319, df_rain!$F$1:$BA$1,0))</f>
        <v>#N/A</v>
      </c>
    </row>
    <row r="320" spans="1:17" ht="20.100000000000001" customHeight="1" x14ac:dyDescent="0.2"/>
    <row r="321" spans="1:18" ht="20.100000000000001" customHeight="1" x14ac:dyDescent="0.2">
      <c r="B321" s="1240" t="s">
        <v>1261</v>
      </c>
      <c r="C321" s="1240"/>
      <c r="D321" s="1240"/>
      <c r="E321" s="1240"/>
      <c r="F321" s="1240"/>
      <c r="G321" s="1240"/>
    </row>
    <row r="322" spans="1:18" ht="20.100000000000001" customHeight="1" x14ac:dyDescent="0.2"/>
    <row r="323" spans="1:18" ht="20.100000000000001" customHeight="1" x14ac:dyDescent="0.2">
      <c r="B323" s="487"/>
      <c r="C323" s="128" t="s">
        <v>1187</v>
      </c>
      <c r="D323" s="117" t="s">
        <v>1188</v>
      </c>
      <c r="E323" s="117" t="s">
        <v>1189</v>
      </c>
      <c r="F323" s="117" t="s">
        <v>1190</v>
      </c>
      <c r="G323" s="302" t="s">
        <v>1191</v>
      </c>
    </row>
    <row r="324" spans="1:18" ht="20.100000000000001" customHeight="1" x14ac:dyDescent="0.2">
      <c r="B324" s="853" t="s">
        <v>478</v>
      </c>
      <c r="C324" s="914" t="e">
        <f t="array" ref="C324">INDEX(df_clim_vuln!$B$2:$K$100, MATCH($A$2, df_clim_vuln!$A$2:$A$100, 0), MATCH(C$323, df_clim_vuln!$B$1:$K$1,0))</f>
        <v>#N/A</v>
      </c>
      <c r="D324" s="915" t="e">
        <f t="array" ref="D324">INDEX(df_clim_vuln!$B$2:$K$100, MATCH($A$2, df_clim_vuln!$A$2:$A$100, 0), MATCH(D$323, df_clim_vuln!$B$1:$K$1,0))</f>
        <v>#N/A</v>
      </c>
      <c r="E324" s="915" t="e">
        <f t="array" ref="E324">INDEX(df_clim_vuln!$B$2:$K$100, MATCH($A$2, df_clim_vuln!$A$2:$A$100, 0), MATCH(E$323, df_clim_vuln!$B$1:$K$1,0))</f>
        <v>#N/A</v>
      </c>
      <c r="F324" s="915" t="e">
        <f t="array" ref="F324">INDEX(df_clim_vuln!$B$2:$K$100, MATCH($A$2, df_clim_vuln!$A$2:$A$100, 0), MATCH(F$323, df_clim_vuln!$B$1:$K$1,0))</f>
        <v>#N/A</v>
      </c>
      <c r="G324" s="916" t="e">
        <f t="array" ref="G324">INDEX(df_clim_vuln!$B$2:$K$100, MATCH($A$2, df_clim_vuln!$A$2:$A$100, 0), MATCH(G$323, df_clim_vuln!$B$1:$K$1,0))</f>
        <v>#N/A</v>
      </c>
    </row>
    <row r="325" spans="1:18" ht="20.100000000000001" customHeight="1" x14ac:dyDescent="0.2">
      <c r="A325" s="299" t="s">
        <v>1192</v>
      </c>
      <c r="B325" s="854" t="s">
        <v>1166</v>
      </c>
      <c r="C325" s="890" t="e">
        <f t="array" ref="C325">INDEX(df_clim_vuln!$B$2:$K$100, MATCH($A$2, df_clim_vuln!$A$2:$A$100, 0), MATCH(C$323&amp;$A$325, df_clim_vuln!$B$1:$K$1,0))</f>
        <v>#N/A</v>
      </c>
      <c r="D325" s="917" t="e">
        <f t="array" ref="D325">INDEX(df_clim_vuln!$B$2:$K$100, MATCH($A$2, df_clim_vuln!$A$2:$A$100, 0), MATCH(D$323&amp;$A$325, df_clim_vuln!$B$1:$K$1,0))</f>
        <v>#N/A</v>
      </c>
      <c r="E325" s="917" t="e">
        <f t="array" ref="E325">INDEX(df_clim_vuln!$B$2:$K$100, MATCH($A$2, df_clim_vuln!$A$2:$A$100, 0), MATCH(E$323&amp;$A$325, df_clim_vuln!$B$1:$K$1,0))</f>
        <v>#N/A</v>
      </c>
      <c r="F325" s="917" t="e">
        <f t="array" ref="F325">IF(F324 = 0, NA(), INDEX(df_clim_vuln!$B$2:$K$100, MATCH($A$2, df_clim_vuln!$A$2:$A$100, 0), MATCH(F$323&amp;$A$325, df_clim_vuln!$B$1:$K$1,0)))</f>
        <v>#N/A</v>
      </c>
      <c r="G325" s="891" t="e">
        <f t="array" ref="G325">IF(G324= 0, NA(), INDEX(df_clim_vuln!$B$2:$K$100, MATCH($A$2, df_clim_vuln!$A$2:$A$100, 0), MATCH(G$323&amp;$A$325, df_clim_vuln!$B$1:$K$1,0)))</f>
        <v>#N/A</v>
      </c>
    </row>
    <row r="326" spans="1:18" ht="20.100000000000001" customHeight="1" x14ac:dyDescent="0.2"/>
    <row r="327" spans="1:18" ht="30" customHeight="1" x14ac:dyDescent="0.2">
      <c r="A327" s="560"/>
      <c r="B327" s="175" t="s">
        <v>1217</v>
      </c>
      <c r="C327" s="310"/>
      <c r="D327" s="310"/>
      <c r="E327" s="310"/>
      <c r="F327" s="310"/>
      <c r="G327" s="310"/>
      <c r="H327" s="310"/>
      <c r="I327" s="310"/>
      <c r="J327" s="310"/>
      <c r="K327" s="310"/>
      <c r="L327" s="310"/>
      <c r="M327" s="310"/>
      <c r="N327" s="310"/>
      <c r="O327" s="310"/>
      <c r="P327" s="310"/>
    </row>
    <row r="328" spans="1:18" ht="20.100000000000001" customHeight="1" x14ac:dyDescent="0.2"/>
    <row r="329" spans="1:18" ht="20.100000000000001" customHeight="1" x14ac:dyDescent="0.2">
      <c r="B329" s="1258" t="s">
        <v>1218</v>
      </c>
      <c r="C329" s="1258"/>
      <c r="D329" s="1258"/>
      <c r="F329" s="1258" t="s">
        <v>1218</v>
      </c>
      <c r="G329" s="1258"/>
      <c r="H329" s="1258"/>
    </row>
    <row r="330" spans="1:18" ht="20.100000000000001" customHeight="1" x14ac:dyDescent="0.2">
      <c r="B330" s="1"/>
    </row>
    <row r="331" spans="1:18" ht="20.100000000000001" customHeight="1" x14ac:dyDescent="0.2">
      <c r="B331" s="68" t="s">
        <v>478</v>
      </c>
      <c r="C331" s="130" t="s">
        <v>35</v>
      </c>
      <c r="D331" s="317" t="s">
        <v>1166</v>
      </c>
      <c r="F331" s="68" t="s">
        <v>478</v>
      </c>
      <c r="G331" s="130" t="s">
        <v>35</v>
      </c>
      <c r="H331" s="317" t="s">
        <v>1166</v>
      </c>
    </row>
    <row r="332" spans="1:18" ht="20.100000000000001" customHeight="1" x14ac:dyDescent="0.2">
      <c r="B332" s="948" t="s">
        <v>1178</v>
      </c>
      <c r="C332" s="949"/>
      <c r="D332" s="950"/>
      <c r="F332" s="69" t="s">
        <v>1193</v>
      </c>
      <c r="G332" s="938" t="str">
        <f t="array" ref="G332:G336">IFERROR(IF(ROUND(TRANSPOSE(C324:G324)/100,2) = 0, "x", ROUND(TRANSPOSE(C324:G324)/100,2)),"x")</f>
        <v>x</v>
      </c>
      <c r="H332" s="939" t="str">
        <f t="array" ref="H332:H336">IFERROR(IF(ROUND(TRANSPOSE(C325:G325),0) = 0, "x", ROUND(TRANSPOSE(C325:G325),0)),"x")</f>
        <v>x</v>
      </c>
    </row>
    <row r="333" spans="1:18" ht="20.100000000000001" customHeight="1" x14ac:dyDescent="0.2">
      <c r="B333" s="69" t="s">
        <v>1170</v>
      </c>
      <c r="C333" s="943" t="str">
        <f t="array" ref="C333">IFERROR(TEXT(C318,"##0")&amp;" days","x")</f>
        <v>x</v>
      </c>
      <c r="D333" s="944" t="str">
        <f>IFERROR(ROUND(C319,0),"x")</f>
        <v>x</v>
      </c>
      <c r="F333" s="954" t="s">
        <v>1194</v>
      </c>
      <c r="G333" s="936" t="str">
        <v>x</v>
      </c>
      <c r="H333" s="955" t="str">
        <v>x</v>
      </c>
    </row>
    <row r="334" spans="1:18" ht="20.100000000000001" customHeight="1" x14ac:dyDescent="0.2">
      <c r="B334" s="954" t="s">
        <v>1172</v>
      </c>
      <c r="C334" s="941" t="str">
        <f>IFERROR(TEXT(I318,"##0") &amp; "mm","x")</f>
        <v>x</v>
      </c>
      <c r="D334" s="955" t="str">
        <f>IFERROR(ROUND(I319,0),"x")</f>
        <v>x</v>
      </c>
      <c r="F334" s="722" t="s">
        <v>1195</v>
      </c>
      <c r="G334" s="254" t="str">
        <v>x</v>
      </c>
      <c r="H334" s="937" t="str">
        <v>x</v>
      </c>
    </row>
    <row r="335" spans="1:18" ht="20.100000000000001" customHeight="1" x14ac:dyDescent="0.2">
      <c r="B335" s="722" t="s">
        <v>1171</v>
      </c>
      <c r="C335" s="933" t="str">
        <f>IFERROR(TEXT(K318,"##0")&amp;" days","x")</f>
        <v>x</v>
      </c>
      <c r="D335" s="937" t="str">
        <f>IFERROR(ROUND(K319,0),"x")</f>
        <v>x</v>
      </c>
      <c r="F335" s="954" t="s">
        <v>1196</v>
      </c>
      <c r="G335" s="936" t="str">
        <v>x</v>
      </c>
      <c r="H335" s="955" t="str">
        <v>x</v>
      </c>
      <c r="P335" s="613"/>
      <c r="Q335" s="613"/>
      <c r="R335" s="613"/>
    </row>
    <row r="336" spans="1:18" ht="20.100000000000001" customHeight="1" x14ac:dyDescent="0.2">
      <c r="B336" s="954" t="s">
        <v>1202</v>
      </c>
      <c r="C336" s="941" t="str">
        <f>IFERROR(TEXT(365-G318,"##0") &amp; " days","x")</f>
        <v>x</v>
      </c>
      <c r="D336" s="955" t="str">
        <f>IFERROR(ROUND(100-G319,0),"x")</f>
        <v>x</v>
      </c>
      <c r="F336" s="789" t="s">
        <v>1197</v>
      </c>
      <c r="G336" s="940" t="str">
        <v>x</v>
      </c>
      <c r="H336" s="953" t="str">
        <v>x</v>
      </c>
    </row>
    <row r="337" spans="2:9" ht="20.100000000000001" customHeight="1" x14ac:dyDescent="0.2">
      <c r="B337" s="722" t="s">
        <v>1203</v>
      </c>
      <c r="C337" s="933" t="str">
        <f>IFERROR(TEXT(365-H318,"##0") &amp; " days","x")</f>
        <v>x</v>
      </c>
      <c r="D337" s="937" t="str">
        <f>IFERROR(ROUND(100-H319,0),"x")</f>
        <v>x</v>
      </c>
      <c r="F337" s="613"/>
    </row>
    <row r="338" spans="2:9" ht="20.100000000000001" customHeight="1" x14ac:dyDescent="0.2">
      <c r="B338" s="954" t="s">
        <v>1198</v>
      </c>
      <c r="C338" s="941" t="str">
        <f>IFERROR(TEXT(E318,"##0") &amp; " days","x")</f>
        <v>x</v>
      </c>
      <c r="D338" s="955" t="str">
        <f>IFERROR(ROUND(E319,0),"x")</f>
        <v>x</v>
      </c>
      <c r="F338" s="932"/>
    </row>
    <row r="339" spans="2:9" ht="20.100000000000001" customHeight="1" x14ac:dyDescent="0.2">
      <c r="B339" s="722" t="s">
        <v>1199</v>
      </c>
      <c r="C339" s="933" t="str">
        <f>IFERROR(TEXT(F318,"##0") &amp; " days","x")</f>
        <v>x</v>
      </c>
      <c r="D339" s="937" t="str">
        <f>IFERROR(ROUND(F319,0),"x")</f>
        <v>x</v>
      </c>
    </row>
    <row r="340" spans="2:9" ht="20.100000000000001" customHeight="1" x14ac:dyDescent="0.2">
      <c r="B340" s="948" t="s">
        <v>1167</v>
      </c>
      <c r="C340" s="949"/>
      <c r="D340" s="950"/>
      <c r="F340" s="952"/>
    </row>
    <row r="341" spans="2:9" ht="20.100000000000001" customHeight="1" x14ac:dyDescent="0.2">
      <c r="B341" s="69" t="s">
        <v>1183</v>
      </c>
      <c r="C341" s="943" t="str">
        <f>IFERROR(TEXT(K306,"##0") &amp; " days","x")</f>
        <v>x</v>
      </c>
      <c r="D341" s="944" t="str">
        <f>IFERROR(ROUND(K307,0),"x")</f>
        <v>x</v>
      </c>
    </row>
    <row r="342" spans="2:9" ht="20.100000000000001" customHeight="1" x14ac:dyDescent="0.2">
      <c r="B342" s="954" t="s">
        <v>1182</v>
      </c>
      <c r="C342" s="951" t="str">
        <f>IFERROR(TEXT(L306,"##0") &amp; " days","x")</f>
        <v>x</v>
      </c>
      <c r="D342" s="955" t="str">
        <f>IFERROR(ROUND(L307,0),"x")</f>
        <v>x</v>
      </c>
    </row>
    <row r="343" spans="2:9" ht="20.100000000000001" customHeight="1" x14ac:dyDescent="0.2">
      <c r="B343" s="948" t="s">
        <v>1177</v>
      </c>
      <c r="C343" s="949"/>
      <c r="D343" s="950"/>
    </row>
    <row r="344" spans="2:9" ht="20.100000000000001" customHeight="1" x14ac:dyDescent="0.2">
      <c r="B344" s="69" t="s">
        <v>1185</v>
      </c>
      <c r="C344" s="943" t="str">
        <f>IFERROR(TEXT(E306,"##0") &amp; " days","x")</f>
        <v>x</v>
      </c>
      <c r="D344" s="944" t="str">
        <f>IFERROR(ROUND(E307,0),"x")</f>
        <v>x</v>
      </c>
    </row>
    <row r="345" spans="2:9" ht="20.100000000000001" customHeight="1" x14ac:dyDescent="0.2">
      <c r="B345" s="954" t="s">
        <v>1184</v>
      </c>
      <c r="C345" s="951" t="str">
        <f>IFERROR(TEXT(F306,"##0") &amp; " days","x")</f>
        <v>x</v>
      </c>
      <c r="D345" s="955" t="str">
        <f>IFERROR(ROUND(F307,0),"x")</f>
        <v>x</v>
      </c>
    </row>
    <row r="346" spans="2:9" ht="20.100000000000001" customHeight="1" x14ac:dyDescent="0.2">
      <c r="B346" s="948" t="s">
        <v>1186</v>
      </c>
      <c r="C346" s="949"/>
      <c r="D346" s="950"/>
    </row>
    <row r="347" spans="2:9" ht="20.100000000000001" customHeight="1" x14ac:dyDescent="0.2">
      <c r="B347" s="69" t="s">
        <v>1179</v>
      </c>
      <c r="C347" s="943" t="str">
        <f>IFERROR(TEXT(E312,"##0") &amp; " days","x")</f>
        <v>x</v>
      </c>
      <c r="D347" s="944" t="str">
        <f>IFERROR(ROUND(E313,0),"x")</f>
        <v>x</v>
      </c>
    </row>
    <row r="348" spans="2:9" ht="20.100000000000001" customHeight="1" x14ac:dyDescent="0.2">
      <c r="B348" s="954" t="s">
        <v>1180</v>
      </c>
      <c r="C348" s="941" t="str">
        <f>IFERROR(TEXT(C312,"##0") &amp; " days","x")</f>
        <v>x</v>
      </c>
      <c r="D348" s="955" t="str">
        <f>IFERROR(ROUND(C313,0),"x")</f>
        <v>x</v>
      </c>
    </row>
    <row r="349" spans="2:9" ht="20.100000000000001" customHeight="1" x14ac:dyDescent="0.2">
      <c r="B349" s="789" t="s">
        <v>1181</v>
      </c>
      <c r="C349" s="942" t="str">
        <f>IFERROR(TEXT(G312,"##0") &amp; " days","x")</f>
        <v>x</v>
      </c>
      <c r="D349" s="953" t="str">
        <f>IFERROR(ROUND(G313,0),"x")</f>
        <v>x</v>
      </c>
    </row>
    <row r="352" spans="2:9" ht="50.1" customHeight="1" x14ac:dyDescent="0.2">
      <c r="B352" s="159" t="s">
        <v>1372</v>
      </c>
      <c r="C352" s="59"/>
      <c r="D352" s="59"/>
      <c r="E352" s="59"/>
      <c r="F352" s="59"/>
      <c r="G352" s="59"/>
      <c r="H352" s="59"/>
      <c r="I352" s="59"/>
    </row>
    <row r="354" spans="1:11" ht="30" customHeight="1" x14ac:dyDescent="0.2">
      <c r="A354" s="560"/>
      <c r="B354" s="175" t="s">
        <v>1216</v>
      </c>
      <c r="C354" s="310"/>
      <c r="D354" s="310"/>
      <c r="E354" s="310"/>
      <c r="F354" s="310"/>
      <c r="G354" s="310"/>
      <c r="H354" s="310"/>
      <c r="I354" s="310"/>
    </row>
    <row r="356" spans="1:11" ht="20.100000000000001" customHeight="1" x14ac:dyDescent="0.2">
      <c r="B356" s="1240" t="s">
        <v>1373</v>
      </c>
      <c r="C356" s="1240"/>
      <c r="D356" s="1240"/>
      <c r="E356" s="1240"/>
      <c r="F356" s="1240"/>
      <c r="G356" s="1240"/>
      <c r="H356" s="1240"/>
      <c r="I356" s="1240"/>
    </row>
    <row r="358" spans="1:11" ht="20.100000000000001" customHeight="1" x14ac:dyDescent="0.2">
      <c r="D358" s="1238" t="s">
        <v>181</v>
      </c>
      <c r="E358" s="1239"/>
      <c r="F358" s="1238" t="s">
        <v>182</v>
      </c>
      <c r="G358" s="1239"/>
      <c r="H358" s="1238" t="s">
        <v>183</v>
      </c>
      <c r="I358" s="1239"/>
    </row>
    <row r="359" spans="1:11" ht="20.100000000000001" customHeight="1" x14ac:dyDescent="0.2">
      <c r="B359" s="1"/>
      <c r="C359" s="1"/>
      <c r="D359" s="128" t="s">
        <v>1363</v>
      </c>
      <c r="E359" s="302" t="s">
        <v>1364</v>
      </c>
      <c r="F359" s="128" t="s">
        <v>1363</v>
      </c>
      <c r="G359" s="302" t="s">
        <v>1364</v>
      </c>
      <c r="H359" s="128" t="s">
        <v>1363</v>
      </c>
      <c r="I359" s="302" t="s">
        <v>1364</v>
      </c>
      <c r="J359" s="1"/>
      <c r="K359" s="1"/>
    </row>
    <row r="360" spans="1:11" ht="20.100000000000001" customHeight="1" x14ac:dyDescent="0.2">
      <c r="B360" s="570" t="s">
        <v>1365</v>
      </c>
      <c r="C360" s="561"/>
      <c r="D360" s="570" t="e">
        <f t="array" ref="D360">INDEX(df_nm!$B$2:$C$100, MATCH(1, (df_nm!$A$2:$A$100 = $B360) * ($A$2 = df_nm!$D$2:$D$100), 0), MATCH(D$359, df_nm!$B$1:$C$1, 0))</f>
        <v>#N/A</v>
      </c>
      <c r="E360" s="561" t="e">
        <f t="array" ref="E360">INDEX(df_nm!$B$2:$C$100, MATCH(1, (df_nm!$A$2:$A$100 = $B360) * ($A$2 = df_nm!$D$2:$D$100), 0), MATCH(E$359, df_nm!$B$1:$C$1, 0))</f>
        <v>#N/A</v>
      </c>
      <c r="F360" s="570" t="e">
        <f t="array" ref="F360">INDEX(df_nm!$B$2:$C$100, MATCH(1, (df_nm!$A$2:$A$100 = $B360) * ($B$2 = df_nm!$D$2:$D$100), 0), MATCH(F$359, df_nm!$B$1:$C$1, 0))</f>
        <v>#N/A</v>
      </c>
      <c r="G360" s="561" t="e">
        <f t="array" ref="G360">INDEX(df_nm!$B$2:$C$100, MATCH(1, (df_nm!$A$2:$A$100 = $B360) * ($B$2 = df_nm!$D$2:$D$100), 0), MATCH(G$359, df_nm!$B$1:$C$1, 0))</f>
        <v>#N/A</v>
      </c>
      <c r="H360" s="570" t="e">
        <f t="array" ref="H360">INDEX(df_nm!$B$2:$C$100, MATCH(1, (df_nm!$A$2:$A$100 = $B360) * ($C$2 = df_nm!$D$2:$D$100), 0), MATCH(H$359, df_nm!$B$1:$C$1, 0))</f>
        <v>#N/A</v>
      </c>
      <c r="I360" s="561" t="e">
        <f t="array" ref="I360">INDEX(df_nm!$B$2:$C$100, MATCH(1, (df_nm!$A$2:$A$100 = $B360) * ($C$2 = df_nm!$D$2:$D$100), 0), MATCH(I$359, df_nm!$B$1:$C$1, 0))</f>
        <v>#N/A</v>
      </c>
      <c r="J360" s="1"/>
      <c r="K360" s="1"/>
    </row>
    <row r="361" spans="1:11" ht="20.100000000000001" customHeight="1" x14ac:dyDescent="0.2">
      <c r="B361" s="84" t="s">
        <v>1366</v>
      </c>
      <c r="C361" s="359"/>
      <c r="D361" s="84" t="e">
        <f t="array" ref="D361">INDEX(df_nm!$B$2:$C$100, MATCH(1, (df_nm!$A$2:$A$100 = $B361) * ($A$2 = df_nm!$D$2:$D$100), 0), MATCH(D$359, df_nm!$B$1:$C$1, 0))</f>
        <v>#N/A</v>
      </c>
      <c r="E361" s="359" t="e">
        <f t="array" ref="E361">INDEX(df_nm!$B$2:$C$100, MATCH(1, (df_nm!$A$2:$A$100 = $B361) * ($A$2 = df_nm!$D$2:$D$100), 0), MATCH(E$359, df_nm!$B$1:$C$1, 0))</f>
        <v>#N/A</v>
      </c>
      <c r="F361" s="84" t="e">
        <f t="array" ref="F361">INDEX(df_nm!$B$2:$C$100, MATCH(1, (df_nm!$A$2:$A$100 = $B361) * ($B$2 = df_nm!$D$2:$D$100), 0), MATCH(F$359, df_nm!$B$1:$C$1, 0))</f>
        <v>#N/A</v>
      </c>
      <c r="G361" s="359" t="e">
        <f t="array" ref="G361">INDEX(df_nm!$B$2:$C$100, MATCH(1, (df_nm!$A$2:$A$100 = $B361) * ($B$2 = df_nm!$D$2:$D$100), 0), MATCH(G$359, df_nm!$B$1:$C$1, 0))</f>
        <v>#N/A</v>
      </c>
      <c r="H361" s="84" t="e">
        <f t="array" ref="H361">INDEX(df_nm!$B$2:$C$100, MATCH(1, (df_nm!$A$2:$A$100 = $B361) * ($C$2 = df_nm!$D$2:$D$100), 0), MATCH(H$359, df_nm!$B$1:$C$1, 0))</f>
        <v>#N/A</v>
      </c>
      <c r="I361" s="359" t="e">
        <f t="array" ref="I361">INDEX(df_nm!$B$2:$C$100, MATCH(1, (df_nm!$A$2:$A$100 = $B361) * ($C$2 = df_nm!$D$2:$D$100), 0), MATCH(I$359, df_nm!$B$1:$C$1, 0))</f>
        <v>#N/A</v>
      </c>
      <c r="J361" s="1"/>
      <c r="K361" s="1"/>
    </row>
    <row r="362" spans="1:11" ht="20.100000000000001" customHeight="1" x14ac:dyDescent="0.2">
      <c r="B362" s="84" t="s">
        <v>1367</v>
      </c>
      <c r="C362" s="359"/>
      <c r="D362" s="84" t="e">
        <f t="array" ref="D362">INDEX(df_nm!$B$2:$C$100, MATCH(1, (df_nm!$A$2:$A$100 = $B362) * ($A$2 = df_nm!$D$2:$D$100), 0), MATCH(D$359, df_nm!$B$1:$C$1, 0))</f>
        <v>#N/A</v>
      </c>
      <c r="E362" s="359" t="e">
        <f t="array" ref="E362">INDEX(df_nm!$B$2:$C$100, MATCH(1, (df_nm!$A$2:$A$100 = $B362) * ($A$2 = df_nm!$D$2:$D$100), 0), MATCH(E$359, df_nm!$B$1:$C$1, 0))</f>
        <v>#N/A</v>
      </c>
      <c r="F362" s="84" t="e">
        <f t="array" ref="F362">INDEX(df_nm!$B$2:$C$100, MATCH(1, (df_nm!$A$2:$A$100 = $B362) * ($B$2 = df_nm!$D$2:$D$100), 0), MATCH(F$359, df_nm!$B$1:$C$1, 0))</f>
        <v>#N/A</v>
      </c>
      <c r="G362" s="359" t="e">
        <f t="array" ref="G362">INDEX(df_nm!$B$2:$C$100, MATCH(1, (df_nm!$A$2:$A$100 = $B362) * ($B$2 = df_nm!$D$2:$D$100), 0), MATCH(G$359, df_nm!$B$1:$C$1, 0))</f>
        <v>#N/A</v>
      </c>
      <c r="H362" s="84" t="e">
        <f t="array" ref="H362">INDEX(df_nm!$B$2:$C$100, MATCH(1, (df_nm!$A$2:$A$100 = $B362) * ($C$2 = df_nm!$D$2:$D$100), 0), MATCH(H$359, df_nm!$B$1:$C$1, 0))</f>
        <v>#N/A</v>
      </c>
      <c r="I362" s="359" t="e">
        <f t="array" ref="I362">INDEX(df_nm!$B$2:$C$100, MATCH(1, (df_nm!$A$2:$A$100 = $B362) * ($C$2 = df_nm!$D$2:$D$100), 0), MATCH(I$359, df_nm!$B$1:$C$1, 0))</f>
        <v>#N/A</v>
      </c>
      <c r="J362" s="1"/>
      <c r="K362" s="1"/>
    </row>
    <row r="363" spans="1:11" ht="20.100000000000001" customHeight="1" x14ac:dyDescent="0.2">
      <c r="B363" s="84" t="s">
        <v>1371</v>
      </c>
      <c r="C363" s="359"/>
      <c r="D363" s="84" t="e">
        <f t="array" ref="D363">INDEX(df_nm!$B$2:$C$100, MATCH(1, (df_nm!$A$2:$A$100 = $B363) * ($A$2 = df_nm!$D$2:$D$100), 0), MATCH(D$359, df_nm!$B$1:$C$1, 0))</f>
        <v>#N/A</v>
      </c>
      <c r="E363" s="359" t="e">
        <f t="array" ref="E363">INDEX(df_nm!$B$2:$C$100, MATCH(1, (df_nm!$A$2:$A$100 = $B363) * ($A$2 = df_nm!$D$2:$D$100), 0), MATCH(E$359, df_nm!$B$1:$C$1, 0))</f>
        <v>#N/A</v>
      </c>
      <c r="F363" s="84" t="e">
        <f t="array" ref="F363">INDEX(df_nm!$B$2:$C$100, MATCH(1, (df_nm!$A$2:$A$100 = $B363) * ($B$2 = df_nm!$D$2:$D$100), 0), MATCH(F$359, df_nm!$B$1:$C$1, 0))</f>
        <v>#N/A</v>
      </c>
      <c r="G363" s="359" t="e">
        <f t="array" ref="G363">INDEX(df_nm!$B$2:$C$100, MATCH(1, (df_nm!$A$2:$A$100 = $B363) * ($B$2 = df_nm!$D$2:$D$100), 0), MATCH(G$359, df_nm!$B$1:$C$1, 0))</f>
        <v>#N/A</v>
      </c>
      <c r="H363" s="84" t="e">
        <f t="array" ref="H363">INDEX(df_nm!$B$2:$C$100, MATCH(1, (df_nm!$A$2:$A$100 = $B363) * ($C$2 = df_nm!$D$2:$D$100), 0), MATCH(H$359, df_nm!$B$1:$C$1, 0))</f>
        <v>#N/A</v>
      </c>
      <c r="I363" s="359" t="e">
        <f t="array" ref="I363">INDEX(df_nm!$B$2:$C$100, MATCH(1, (df_nm!$A$2:$A$100 = $B363) * ($C$2 = df_nm!$D$2:$D$100), 0), MATCH(I$359, df_nm!$B$1:$C$1, 0))</f>
        <v>#N/A</v>
      </c>
      <c r="J363" s="1"/>
      <c r="K363" s="1"/>
    </row>
    <row r="364" spans="1:11" ht="20.100000000000001" customHeight="1" x14ac:dyDescent="0.2">
      <c r="B364" s="84" t="s">
        <v>1370</v>
      </c>
      <c r="C364" s="359"/>
      <c r="D364" s="84" t="e">
        <f t="array" ref="D364">INDEX(df_nm!$B$2:$C$100, MATCH(1, (df_nm!$A$2:$A$100 = $B364) * ($A$2 = df_nm!$D$2:$D$100), 0), MATCH(D$359, df_nm!$B$1:$C$1, 0))</f>
        <v>#N/A</v>
      </c>
      <c r="E364" s="359" t="e">
        <f t="array" ref="E364">INDEX(df_nm!$B$2:$C$100, MATCH(1, (df_nm!$A$2:$A$100 = $B364) * ($A$2 = df_nm!$D$2:$D$100), 0), MATCH(E$359, df_nm!$B$1:$C$1, 0))</f>
        <v>#N/A</v>
      </c>
      <c r="F364" s="84" t="e">
        <f t="array" ref="F364">INDEX(df_nm!$B$2:$C$100, MATCH(1, (df_nm!$A$2:$A$100 = $B364) * ($B$2 = df_nm!$D$2:$D$100), 0), MATCH(F$359, df_nm!$B$1:$C$1, 0))</f>
        <v>#N/A</v>
      </c>
      <c r="G364" s="359" t="e">
        <f t="array" ref="G364">INDEX(df_nm!$B$2:$C$100, MATCH(1, (df_nm!$A$2:$A$100 = $B364) * ($B$2 = df_nm!$D$2:$D$100), 0), MATCH(G$359, df_nm!$B$1:$C$1, 0))</f>
        <v>#N/A</v>
      </c>
      <c r="H364" s="84" t="e">
        <f t="array" ref="H364">INDEX(df_nm!$B$2:$C$100, MATCH(1, (df_nm!$A$2:$A$100 = $B364) * ($C$2 = df_nm!$D$2:$D$100), 0), MATCH(H$359, df_nm!$B$1:$C$1, 0))</f>
        <v>#N/A</v>
      </c>
      <c r="I364" s="359" t="e">
        <f t="array" ref="I364">INDEX(df_nm!$B$2:$C$100, MATCH(1, (df_nm!$A$2:$A$100 = $B364) * ($C$2 = df_nm!$D$2:$D$100), 0), MATCH(I$359, df_nm!$B$1:$C$1, 0))</f>
        <v>#N/A</v>
      </c>
      <c r="J364" s="1"/>
      <c r="K364" s="1"/>
    </row>
    <row r="365" spans="1:11" ht="20.100000000000001" customHeight="1" x14ac:dyDescent="0.2">
      <c r="B365" s="84" t="s">
        <v>1368</v>
      </c>
      <c r="C365" s="359"/>
      <c r="D365" s="84" t="e">
        <f t="array" ref="D365">INDEX(df_nm!$B$2:$C$100, MATCH(1, (df_nm!$A$2:$A$100 = $B365) * ($A$2 = df_nm!$D$2:$D$100), 0), MATCH(D$359, df_nm!$B$1:$C$1, 0))</f>
        <v>#N/A</v>
      </c>
      <c r="E365" s="359" t="e">
        <f t="array" ref="E365">INDEX(df_nm!$B$2:$C$100, MATCH(1, (df_nm!$A$2:$A$100 = $B365) * ($A$2 = df_nm!$D$2:$D$100), 0), MATCH(E$359, df_nm!$B$1:$C$1, 0))</f>
        <v>#N/A</v>
      </c>
      <c r="F365" s="84" t="e">
        <f t="array" ref="F365">INDEX(df_nm!$B$2:$C$100, MATCH(1, (df_nm!$A$2:$A$100 = $B365) * ($B$2 = df_nm!$D$2:$D$100), 0), MATCH(F$359, df_nm!$B$1:$C$1, 0))</f>
        <v>#N/A</v>
      </c>
      <c r="G365" s="359" t="e">
        <f t="array" ref="G365">INDEX(df_nm!$B$2:$C$100, MATCH(1, (df_nm!$A$2:$A$100 = $B365) * ($B$2 = df_nm!$D$2:$D$100), 0), MATCH(G$359, df_nm!$B$1:$C$1, 0))</f>
        <v>#N/A</v>
      </c>
      <c r="H365" s="84" t="e">
        <f t="array" ref="H365">INDEX(df_nm!$B$2:$C$100, MATCH(1, (df_nm!$A$2:$A$100 = $B365) * ($C$2 = df_nm!$D$2:$D$100), 0), MATCH(H$359, df_nm!$B$1:$C$1, 0))</f>
        <v>#N/A</v>
      </c>
      <c r="I365" s="359" t="e">
        <f t="array" ref="I365">INDEX(df_nm!$B$2:$C$100, MATCH(1, (df_nm!$A$2:$A$100 = $B365) * ($C$2 = df_nm!$D$2:$D$100), 0), MATCH(I$359, df_nm!$B$1:$C$1, 0))</f>
        <v>#N/A</v>
      </c>
      <c r="J365" s="1"/>
      <c r="K365" s="1"/>
    </row>
    <row r="366" spans="1:11" ht="20.100000000000001" customHeight="1" x14ac:dyDescent="0.2">
      <c r="B366" s="569" t="s">
        <v>1369</v>
      </c>
      <c r="C366" s="499"/>
      <c r="D366" s="569" t="e">
        <f t="array" ref="D366">INDEX(df_nm!$B$2:$C$100, MATCH(1, (df_nm!$A$2:$A$100 = $B366) * ($A$2 = df_nm!$D$2:$D$100), 0), MATCH(D$359, df_nm!$B$1:$C$1, 0))</f>
        <v>#N/A</v>
      </c>
      <c r="E366" s="499" t="e">
        <f t="array" ref="E366">INDEX(df_nm!$B$2:$C$100, MATCH(1, (df_nm!$A$2:$A$100 = $B366) * ($A$2 = df_nm!$D$2:$D$100), 0), MATCH(E$359, df_nm!$B$1:$C$1, 0))</f>
        <v>#N/A</v>
      </c>
      <c r="F366" s="569" t="e">
        <f t="array" ref="F366">INDEX(df_nm!$B$2:$C$100, MATCH(1, (df_nm!$A$2:$A$100 = $B366) * ($B$2 = df_nm!$D$2:$D$100), 0), MATCH(F$359, df_nm!$B$1:$C$1, 0))</f>
        <v>#N/A</v>
      </c>
      <c r="G366" s="499" t="e">
        <f t="array" ref="G366">INDEX(df_nm!$B$2:$C$100, MATCH(1, (df_nm!$A$2:$A$100 = $B366) * ($B$2 = df_nm!$D$2:$D$100), 0), MATCH(G$359, df_nm!$B$1:$C$1, 0))</f>
        <v>#N/A</v>
      </c>
      <c r="H366" s="569" t="e">
        <f t="array" ref="H366">INDEX(df_nm!$B$2:$C$100, MATCH(1, (df_nm!$A$2:$A$100 = $B366) * ($C$2 = df_nm!$D$2:$D$100), 0), MATCH(H$359, df_nm!$B$1:$C$1, 0))</f>
        <v>#N/A</v>
      </c>
      <c r="I366" s="499" t="e">
        <f t="array" ref="I366">INDEX(df_nm!$B$2:$C$100, MATCH(1, (df_nm!$A$2:$A$100 = $B366) * ($C$2 = df_nm!$D$2:$D$100), 0), MATCH(I$359, df_nm!$B$1:$C$1, 0))</f>
        <v>#N/A</v>
      </c>
      <c r="J366" s="1"/>
      <c r="K366" s="1"/>
    </row>
    <row r="367" spans="1:11" ht="20.100000000000001" customHeight="1" x14ac:dyDescent="0.2"/>
    <row r="368" spans="1:11" ht="30" customHeight="1" x14ac:dyDescent="0.2">
      <c r="A368" s="560"/>
      <c r="B368" s="175" t="s">
        <v>1217</v>
      </c>
      <c r="C368" s="310"/>
      <c r="D368" s="310"/>
      <c r="E368" s="310"/>
      <c r="F368" s="310"/>
      <c r="G368" s="310"/>
      <c r="H368" s="310"/>
      <c r="I368" s="310"/>
    </row>
    <row r="369" spans="2:9" ht="20.100000000000001" customHeight="1" x14ac:dyDescent="0.2"/>
    <row r="370" spans="2:9" ht="20.100000000000001" customHeight="1" x14ac:dyDescent="0.2">
      <c r="B370" s="1258" t="s">
        <v>1218</v>
      </c>
      <c r="C370" s="1258"/>
      <c r="D370" s="1258"/>
      <c r="E370" s="1258"/>
      <c r="F370" s="1258"/>
      <c r="G370" s="1258"/>
      <c r="H370" s="1258"/>
    </row>
    <row r="371" spans="2:9" ht="20.100000000000001" customHeight="1" x14ac:dyDescent="0.2"/>
    <row r="372" spans="2:9" ht="20.100000000000001" customHeight="1" x14ac:dyDescent="0.2">
      <c r="B372" s="264"/>
      <c r="C372" s="1234" t="s">
        <v>187</v>
      </c>
      <c r="D372" s="1235"/>
      <c r="E372" s="1234" t="s">
        <v>188</v>
      </c>
      <c r="F372" s="1235"/>
      <c r="G372" s="1234" t="s">
        <v>189</v>
      </c>
      <c r="H372" s="1235"/>
    </row>
    <row r="373" spans="2:9" ht="20.100000000000001" customHeight="1" x14ac:dyDescent="0.2">
      <c r="B373" s="68" t="s">
        <v>649</v>
      </c>
      <c r="C373" s="691" t="s">
        <v>1374</v>
      </c>
      <c r="D373" s="692" t="s">
        <v>1375</v>
      </c>
      <c r="E373" s="691" t="s">
        <v>1374</v>
      </c>
      <c r="F373" s="692" t="s">
        <v>1375</v>
      </c>
      <c r="G373" s="691" t="s">
        <v>1374</v>
      </c>
      <c r="H373" s="692" t="s">
        <v>1375</v>
      </c>
    </row>
    <row r="374" spans="2:9" ht="20.100000000000001" customHeight="1" x14ac:dyDescent="0.2">
      <c r="B374" s="638" t="s">
        <v>6</v>
      </c>
      <c r="C374" s="957">
        <f t="shared" ref="C374:H374" si="35">SUM(C375:C381)</f>
        <v>0</v>
      </c>
      <c r="D374" s="958">
        <f t="shared" si="35"/>
        <v>0</v>
      </c>
      <c r="E374" s="957">
        <f t="shared" si="35"/>
        <v>0</v>
      </c>
      <c r="F374" s="958">
        <f t="shared" si="35"/>
        <v>0</v>
      </c>
      <c r="G374" s="957">
        <f t="shared" si="35"/>
        <v>0</v>
      </c>
      <c r="H374" s="958">
        <f t="shared" si="35"/>
        <v>0</v>
      </c>
      <c r="I374" s="946">
        <f>SUM(G374:H374)</f>
        <v>0</v>
      </c>
    </row>
    <row r="375" spans="2:9" ht="20.100000000000001" customHeight="1" x14ac:dyDescent="0.2">
      <c r="B375" s="902" t="s">
        <v>1365</v>
      </c>
      <c r="C375" s="903" t="str">
        <f t="shared" ref="C375:H381" si="36">IFERROR(IF(D360 = 0, "-", D360),"-")</f>
        <v>-</v>
      </c>
      <c r="D375" s="904" t="str">
        <f t="shared" si="36"/>
        <v>-</v>
      </c>
      <c r="E375" s="903" t="str">
        <f t="shared" si="36"/>
        <v>-</v>
      </c>
      <c r="F375" s="904" t="str">
        <f t="shared" si="36"/>
        <v>-</v>
      </c>
      <c r="G375" s="903" t="str">
        <f t="shared" si="36"/>
        <v>-</v>
      </c>
      <c r="H375" s="904" t="str">
        <f t="shared" si="36"/>
        <v>-</v>
      </c>
      <c r="I375" s="946">
        <f t="shared" ref="I375:I381" si="37">SUM(G375:H375)</f>
        <v>0</v>
      </c>
    </row>
    <row r="376" spans="2:9" ht="20.100000000000001" customHeight="1" x14ac:dyDescent="0.2">
      <c r="B376" s="534" t="s">
        <v>1366</v>
      </c>
      <c r="C376" s="632" t="str">
        <f t="shared" si="36"/>
        <v>-</v>
      </c>
      <c r="D376" s="633" t="str">
        <f t="shared" si="36"/>
        <v>-</v>
      </c>
      <c r="E376" s="632" t="str">
        <f t="shared" si="36"/>
        <v>-</v>
      </c>
      <c r="F376" s="633" t="str">
        <f t="shared" si="36"/>
        <v>-</v>
      </c>
      <c r="G376" s="632" t="str">
        <f t="shared" si="36"/>
        <v>-</v>
      </c>
      <c r="H376" s="633" t="str">
        <f t="shared" si="36"/>
        <v>-</v>
      </c>
      <c r="I376" s="946">
        <f t="shared" si="37"/>
        <v>0</v>
      </c>
    </row>
    <row r="377" spans="2:9" ht="20.100000000000001" customHeight="1" x14ac:dyDescent="0.2">
      <c r="B377" s="963" t="s">
        <v>1367</v>
      </c>
      <c r="C377" s="908" t="str">
        <f t="shared" si="36"/>
        <v>-</v>
      </c>
      <c r="D377" s="909" t="str">
        <f t="shared" si="36"/>
        <v>-</v>
      </c>
      <c r="E377" s="908" t="str">
        <f t="shared" si="36"/>
        <v>-</v>
      </c>
      <c r="F377" s="909" t="str">
        <f t="shared" si="36"/>
        <v>-</v>
      </c>
      <c r="G377" s="908" t="str">
        <f t="shared" si="36"/>
        <v>-</v>
      </c>
      <c r="H377" s="909" t="str">
        <f t="shared" si="36"/>
        <v>-</v>
      </c>
      <c r="I377" s="946">
        <f t="shared" si="37"/>
        <v>0</v>
      </c>
    </row>
    <row r="378" spans="2:9" ht="20.100000000000001" customHeight="1" x14ac:dyDescent="0.2">
      <c r="B378" s="534" t="s">
        <v>1371</v>
      </c>
      <c r="C378" s="632" t="str">
        <f t="shared" si="36"/>
        <v>-</v>
      </c>
      <c r="D378" s="633" t="str">
        <f t="shared" si="36"/>
        <v>-</v>
      </c>
      <c r="E378" s="632" t="str">
        <f t="shared" si="36"/>
        <v>-</v>
      </c>
      <c r="F378" s="633" t="str">
        <f t="shared" si="36"/>
        <v>-</v>
      </c>
      <c r="G378" s="632" t="str">
        <f t="shared" si="36"/>
        <v>-</v>
      </c>
      <c r="H378" s="633" t="str">
        <f t="shared" si="36"/>
        <v>-</v>
      </c>
      <c r="I378" s="946">
        <f t="shared" si="37"/>
        <v>0</v>
      </c>
    </row>
    <row r="379" spans="2:9" ht="20.100000000000001" customHeight="1" x14ac:dyDescent="0.2">
      <c r="B379" s="963" t="s">
        <v>1370</v>
      </c>
      <c r="C379" s="908" t="str">
        <f t="shared" si="36"/>
        <v>-</v>
      </c>
      <c r="D379" s="909" t="str">
        <f t="shared" si="36"/>
        <v>-</v>
      </c>
      <c r="E379" s="908" t="str">
        <f t="shared" si="36"/>
        <v>-</v>
      </c>
      <c r="F379" s="909" t="str">
        <f t="shared" si="36"/>
        <v>-</v>
      </c>
      <c r="G379" s="908" t="str">
        <f t="shared" si="36"/>
        <v>-</v>
      </c>
      <c r="H379" s="909" t="str">
        <f t="shared" si="36"/>
        <v>-</v>
      </c>
      <c r="I379" s="946">
        <f t="shared" si="37"/>
        <v>0</v>
      </c>
    </row>
    <row r="380" spans="2:9" ht="20.100000000000001" customHeight="1" x14ac:dyDescent="0.2">
      <c r="B380" s="534" t="s">
        <v>1368</v>
      </c>
      <c r="C380" s="632" t="str">
        <f t="shared" si="36"/>
        <v>-</v>
      </c>
      <c r="D380" s="633" t="str">
        <f t="shared" si="36"/>
        <v>-</v>
      </c>
      <c r="E380" s="632" t="str">
        <f t="shared" si="36"/>
        <v>-</v>
      </c>
      <c r="F380" s="633" t="str">
        <f t="shared" si="36"/>
        <v>-</v>
      </c>
      <c r="G380" s="632" t="str">
        <f t="shared" si="36"/>
        <v>-</v>
      </c>
      <c r="H380" s="633" t="str">
        <f t="shared" si="36"/>
        <v>-</v>
      </c>
      <c r="I380" s="946">
        <f t="shared" si="37"/>
        <v>0</v>
      </c>
    </row>
    <row r="381" spans="2:9" ht="20.100000000000001" customHeight="1" x14ac:dyDescent="0.2">
      <c r="B381" s="905" t="s">
        <v>1369</v>
      </c>
      <c r="C381" s="906" t="str">
        <f t="shared" si="36"/>
        <v>-</v>
      </c>
      <c r="D381" s="907" t="str">
        <f t="shared" si="36"/>
        <v>-</v>
      </c>
      <c r="E381" s="906" t="str">
        <f t="shared" si="36"/>
        <v>-</v>
      </c>
      <c r="F381" s="907" t="str">
        <f t="shared" si="36"/>
        <v>-</v>
      </c>
      <c r="G381" s="906" t="str">
        <f t="shared" si="36"/>
        <v>-</v>
      </c>
      <c r="H381" s="907" t="str">
        <f t="shared" si="36"/>
        <v>-</v>
      </c>
      <c r="I381" s="946">
        <f t="shared" si="37"/>
        <v>0</v>
      </c>
    </row>
    <row r="382" spans="2:9" ht="20.100000000000001" customHeight="1" x14ac:dyDescent="0.2"/>
    <row r="383" spans="2:9" ht="20.100000000000001" customHeight="1" x14ac:dyDescent="0.2"/>
    <row r="384" spans="2:9" ht="20.100000000000001" customHeight="1" x14ac:dyDescent="0.2"/>
    <row r="385" ht="20.100000000000001" customHeight="1" x14ac:dyDescent="0.2"/>
    <row r="386" ht="20.100000000000001" customHeight="1" x14ac:dyDescent="0.2"/>
    <row r="387" ht="20.100000000000001" customHeight="1" x14ac:dyDescent="0.2"/>
    <row r="388" ht="20.100000000000001" customHeight="1" x14ac:dyDescent="0.2"/>
    <row r="389" ht="20.100000000000001" customHeight="1" x14ac:dyDescent="0.2"/>
    <row r="390" ht="20.100000000000001" customHeight="1" x14ac:dyDescent="0.2"/>
    <row r="391" ht="20.100000000000001" customHeight="1" x14ac:dyDescent="0.2"/>
  </sheetData>
  <mergeCells count="71">
    <mergeCell ref="B356:I356"/>
    <mergeCell ref="C372:D372"/>
    <mergeCell ref="E372:F372"/>
    <mergeCell ref="G372:H372"/>
    <mergeCell ref="B370:H370"/>
    <mergeCell ref="D358:E358"/>
    <mergeCell ref="F358:G358"/>
    <mergeCell ref="H358:I358"/>
    <mergeCell ref="B315:N315"/>
    <mergeCell ref="B321:G321"/>
    <mergeCell ref="B329:D329"/>
    <mergeCell ref="F329:H329"/>
    <mergeCell ref="B303:H303"/>
    <mergeCell ref="J303:P303"/>
    <mergeCell ref="B309:H309"/>
    <mergeCell ref="G183:J183"/>
    <mergeCell ref="B183:E183"/>
    <mergeCell ref="B218:E218"/>
    <mergeCell ref="G218:J218"/>
    <mergeCell ref="B290:H290"/>
    <mergeCell ref="C267:E267"/>
    <mergeCell ref="I267:K267"/>
    <mergeCell ref="G254:H254"/>
    <mergeCell ref="C238:D238"/>
    <mergeCell ref="E238:F238"/>
    <mergeCell ref="G238:H238"/>
    <mergeCell ref="I206:N206"/>
    <mergeCell ref="B196:G196"/>
    <mergeCell ref="I196:N196"/>
    <mergeCell ref="B206:G206"/>
    <mergeCell ref="B225:E225"/>
    <mergeCell ref="B88:F88"/>
    <mergeCell ref="B98:H98"/>
    <mergeCell ref="B132:F132"/>
    <mergeCell ref="B140:E140"/>
    <mergeCell ref="B174:E174"/>
    <mergeCell ref="G174:J174"/>
    <mergeCell ref="C100:E100"/>
    <mergeCell ref="F100:H100"/>
    <mergeCell ref="B117:F117"/>
    <mergeCell ref="B152:G152"/>
    <mergeCell ref="B162:G162"/>
    <mergeCell ref="I152:N152"/>
    <mergeCell ref="I162:N162"/>
    <mergeCell ref="J8:P8"/>
    <mergeCell ref="J14:P14"/>
    <mergeCell ref="J21:P21"/>
    <mergeCell ref="B75:F75"/>
    <mergeCell ref="H75:K75"/>
    <mergeCell ref="B8:H8"/>
    <mergeCell ref="B30:H30"/>
    <mergeCell ref="B46:H46"/>
    <mergeCell ref="C48:E48"/>
    <mergeCell ref="F48:H48"/>
    <mergeCell ref="B62:K62"/>
    <mergeCell ref="G292:H292"/>
    <mergeCell ref="B273:E273"/>
    <mergeCell ref="G225:J225"/>
    <mergeCell ref="C284:D284"/>
    <mergeCell ref="E284:F284"/>
    <mergeCell ref="G284:H284"/>
    <mergeCell ref="B236:H236"/>
    <mergeCell ref="F267:H267"/>
    <mergeCell ref="C254:D254"/>
    <mergeCell ref="E254:F254"/>
    <mergeCell ref="B265:K265"/>
    <mergeCell ref="B252:H252"/>
    <mergeCell ref="B282:H282"/>
    <mergeCell ref="G273:J273"/>
    <mergeCell ref="C292:D292"/>
    <mergeCell ref="E292:F292"/>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1:O96"/>
  <sheetViews>
    <sheetView zoomScale="85" zoomScaleNormal="85" workbookViewId="0">
      <pane ySplit="2" topLeftCell="A3" activePane="bottomLeft" state="frozen"/>
      <selection pane="bottomLeft" activeCell="A3" sqref="A3"/>
    </sheetView>
  </sheetViews>
  <sheetFormatPr defaultColWidth="11" defaultRowHeight="14.25" x14ac:dyDescent="0.2"/>
  <cols>
    <col min="3" max="3" width="11" customWidth="1"/>
  </cols>
  <sheetData>
    <row r="1" spans="1:14" ht="20.100000000000001" customHeight="1" x14ac:dyDescent="0.2">
      <c r="A1" s="2" t="s">
        <v>181</v>
      </c>
      <c r="B1" s="2" t="s">
        <v>182</v>
      </c>
      <c r="C1" s="2" t="s">
        <v>183</v>
      </c>
    </row>
    <row r="2" spans="1:14" ht="20.100000000000001" customHeight="1" x14ac:dyDescent="0.2">
      <c r="A2" s="2">
        <f>df_geo!A2</f>
        <v>1000000</v>
      </c>
      <c r="B2" s="99">
        <f>_xlfn.NUMBERVALUE(LEFT(A2,4))</f>
        <v>1000</v>
      </c>
      <c r="C2" s="2">
        <f>_xlfn.NUMBERVALUE(LEFT(B2,2))</f>
        <v>10</v>
      </c>
    </row>
    <row r="4" spans="1:14" ht="50.1" customHeight="1" x14ac:dyDescent="0.2">
      <c r="B4" s="159" t="s">
        <v>1226</v>
      </c>
      <c r="C4" s="59"/>
      <c r="D4" s="59"/>
      <c r="E4" s="59"/>
      <c r="F4" s="59"/>
      <c r="G4" s="59"/>
      <c r="H4" s="59"/>
      <c r="I4" s="59"/>
      <c r="J4" s="59"/>
      <c r="K4" s="59"/>
      <c r="L4" s="59"/>
      <c r="M4" s="59"/>
      <c r="N4" s="59"/>
    </row>
    <row r="6" spans="1:14" ht="30" customHeight="1" x14ac:dyDescent="0.2">
      <c r="B6" s="175" t="s">
        <v>1216</v>
      </c>
      <c r="C6" s="310"/>
      <c r="D6" s="310"/>
      <c r="E6" s="310"/>
      <c r="F6" s="310"/>
      <c r="G6" s="310"/>
      <c r="H6" s="310"/>
      <c r="I6" s="310"/>
      <c r="J6" s="310"/>
      <c r="K6" s="310"/>
      <c r="L6" s="310"/>
      <c r="M6" s="310"/>
      <c r="N6" s="310"/>
    </row>
    <row r="8" spans="1:14" ht="20.100000000000001" customHeight="1" x14ac:dyDescent="0.2">
      <c r="B8" s="1240" t="s">
        <v>614</v>
      </c>
      <c r="C8" s="1240"/>
      <c r="D8" s="1240"/>
      <c r="E8" s="1240"/>
      <c r="F8" s="1240"/>
      <c r="G8" s="1240"/>
      <c r="I8" s="1240" t="s">
        <v>1001</v>
      </c>
      <c r="J8" s="1240"/>
      <c r="K8" s="1240"/>
      <c r="L8" s="1240"/>
      <c r="M8" s="1240"/>
      <c r="N8" s="1240"/>
    </row>
    <row r="9" spans="1:14" ht="20.100000000000001" customHeight="1" x14ac:dyDescent="0.2"/>
    <row r="10" spans="1:14" ht="20.100000000000001" customHeight="1" x14ac:dyDescent="0.2">
      <c r="D10" s="1238" t="s">
        <v>181</v>
      </c>
      <c r="E10" s="1239"/>
      <c r="F10" s="1238" t="s">
        <v>183</v>
      </c>
      <c r="G10" s="1239"/>
      <c r="K10" s="1238" t="s">
        <v>181</v>
      </c>
      <c r="L10" s="1239"/>
      <c r="M10" s="1238" t="s">
        <v>183</v>
      </c>
      <c r="N10" s="1239"/>
    </row>
    <row r="11" spans="1:14" ht="20.100000000000001" customHeight="1" x14ac:dyDescent="0.2">
      <c r="A11" s="299"/>
      <c r="B11" s="206" t="s">
        <v>585</v>
      </c>
      <c r="C11" s="72"/>
      <c r="D11" s="967">
        <v>44105</v>
      </c>
      <c r="E11" s="968">
        <v>45931</v>
      </c>
      <c r="F11" s="967">
        <v>44105</v>
      </c>
      <c r="G11" s="968">
        <v>45931</v>
      </c>
      <c r="H11" s="299"/>
      <c r="I11" s="206" t="s">
        <v>585</v>
      </c>
      <c r="J11" s="72"/>
      <c r="K11" s="967">
        <v>44105</v>
      </c>
      <c r="L11" s="968">
        <v>45931</v>
      </c>
      <c r="M11" s="967">
        <v>44105</v>
      </c>
      <c r="N11" s="968">
        <v>45931</v>
      </c>
    </row>
    <row r="12" spans="1:14" ht="20.100000000000001" customHeight="1" x14ac:dyDescent="0.2">
      <c r="A12" s="476" t="s">
        <v>496</v>
      </c>
      <c r="B12" s="206" t="s">
        <v>615</v>
      </c>
      <c r="C12" s="72"/>
      <c r="D12" s="855" t="e">
        <f t="array" ref="D12">INDEX(df_cmhc_rms!$D$2:$P$1000, MATCH(1, ($A$2 = df_cmhc_rms!$A$2:$A$1000) * (df_cmhc_rms!$C$2:$C$1000 = $B$8) * (df_cmhc_rms!$B$2:$B$1000 = D$11), 0), MATCH($A12, df_cmhc_rms!$D$1:$P$1,0))</f>
        <v>#N/A</v>
      </c>
      <c r="E12" s="856" t="e">
        <f t="array" ref="E12">INDEX(df_cmhc_rms!$D$2:$P$1000, MATCH(1, ($A$2 = df_cmhc_rms!$A$2:$A$1000) * (df_cmhc_rms!$C$2:$C$1000 = $B$8) * (df_cmhc_rms!$B$2:$B$1000 = E$11), 0), MATCH($A12, df_cmhc_rms!$D$1:$P$1,0))</f>
        <v>#N/A</v>
      </c>
      <c r="F12" s="855" t="e">
        <f t="array" ref="F12">INDEX(df_cmhc_rms!$D$2:$P$1000, MATCH(1, ($C$2 = df_cmhc_rms!$A$2:$A$1000) * (df_cmhc_rms!$C$2:$C$1000 = $B$8) * (df_cmhc_rms!$B$2:$B$1000 = F$11), 0), MATCH($A12, df_cmhc_rms!$D$1:$P$1,0))</f>
        <v>#N/A</v>
      </c>
      <c r="G12" s="856" t="e">
        <f t="array" ref="G12">INDEX(df_cmhc_rms!$D$2:$P$1000, MATCH(1, ($C$2 = df_cmhc_rms!$A$2:$A$1000) * (df_cmhc_rms!$C$2:$C$1000 = $B$8) * (df_cmhc_rms!$B$2:$B$1000 = G$11), 0), MATCH($A12, df_cmhc_rms!$D$1:$P$1,0))</f>
        <v>#N/A</v>
      </c>
      <c r="H12" s="476" t="s">
        <v>496</v>
      </c>
      <c r="I12" s="206" t="s">
        <v>615</v>
      </c>
      <c r="J12" s="72"/>
      <c r="K12" s="855" t="e">
        <f t="array" ref="K12">INDEX(df_cmhc_rms!$D$2:$P$1000, MATCH(1, ($A$2 = df_cmhc_rms!$A$2:$A$1000) * (df_cmhc_rms!$C$2:$C$1000 = $I$8) * (df_cmhc_rms!$B$2:$B$1000 = K$11), 0), MATCH($A12, df_cmhc_rms!$D$1:$P$1,0))</f>
        <v>#N/A</v>
      </c>
      <c r="L12" s="856" t="e">
        <f t="array" ref="L12">INDEX(df_cmhc_rms!$D$2:$P$1000, MATCH(1, ($A$2 = df_cmhc_rms!$A$2:$A$1000) * (df_cmhc_rms!$C$2:$C$1000 = $I$8) * (df_cmhc_rms!$B$2:$B$1000 = L$11), 0), MATCH($A12, df_cmhc_rms!$D$1:$P$1,0))</f>
        <v>#N/A</v>
      </c>
      <c r="M12" s="855" t="e">
        <f t="array" ref="M12">INDEX(df_cmhc_rms!$D$2:$P$1000, MATCH(1, ($C$2 = df_cmhc_rms!$A$2:$A$1000) * (df_cmhc_rms!$C$2:$C$1000 = $I$8) * (df_cmhc_rms!$B$2:$B$1000 = M$11), 0), MATCH($A12, df_cmhc_rms!$D$1:$P$1,0))</f>
        <v>#N/A</v>
      </c>
      <c r="N12" s="856" t="e">
        <f t="array" ref="N12">INDEX(df_cmhc_rms!$D$2:$P$1000, MATCH(1, ($C$2 = df_cmhc_rms!$A$2:$A$1000) * (df_cmhc_rms!$C$2:$C$1000 = $I$8) * (df_cmhc_rms!$B$2:$B$1000 = N$11), 0), MATCH($A12, df_cmhc_rms!$D$1:$P$1,0))</f>
        <v>#N/A</v>
      </c>
    </row>
    <row r="13" spans="1:14" ht="20.100000000000001" customHeight="1" x14ac:dyDescent="0.2">
      <c r="A13" s="476" t="s">
        <v>610</v>
      </c>
      <c r="B13" s="84" t="s">
        <v>616</v>
      </c>
      <c r="C13" s="173"/>
      <c r="D13" s="969" t="e">
        <f t="array" ref="D13">INDEX(df_cmhc_rms!$D$2:$P$1000, MATCH(1, ($A$2 = df_cmhc_rms!$A$2:$A$1000) * (df_cmhc_rms!$C$2:$C$1000 = $B$8) * (df_cmhc_rms!$B$2:$B$1000 = D$11), 0), MATCH($A13, df_cmhc_rms!$D$1:$P$1,0))</f>
        <v>#N/A</v>
      </c>
      <c r="E13" s="970" t="e">
        <f t="array" ref="E13">INDEX(df_cmhc_rms!$D$2:$P$1000, MATCH(1, ($A$2 = df_cmhc_rms!$A$2:$A$1000) * (df_cmhc_rms!$C$2:$C$1000 = $B$8) * (df_cmhc_rms!$B$2:$B$1000 = E$11), 0), MATCH($A13, df_cmhc_rms!$D$1:$P$1,0))</f>
        <v>#N/A</v>
      </c>
      <c r="F13" s="969" t="e">
        <f t="array" ref="F13">INDEX(df_cmhc_rms!$D$2:$P$1000, MATCH(1, ($C$2 = df_cmhc_rms!$A$2:$A$1000) * (df_cmhc_rms!$C$2:$C$1000 = $B$8) * (df_cmhc_rms!$B$2:$B$1000 = F$11), 0), MATCH($A13, df_cmhc_rms!$D$1:$P$1,0))</f>
        <v>#N/A</v>
      </c>
      <c r="G13" s="970" t="e">
        <f t="array" ref="G13">INDEX(df_cmhc_rms!$D$2:$P$1000, MATCH(1, ($C$2 = df_cmhc_rms!$A$2:$A$1000) * (df_cmhc_rms!$C$2:$C$1000 = $B$8) * (df_cmhc_rms!$B$2:$B$1000 = G$11), 0), MATCH($A13, df_cmhc_rms!$D$1:$P$1,0))</f>
        <v>#N/A</v>
      </c>
      <c r="H13" s="476" t="s">
        <v>610</v>
      </c>
      <c r="I13" s="84" t="s">
        <v>616</v>
      </c>
      <c r="J13" s="173"/>
      <c r="K13" s="969" t="e">
        <f t="array" ref="K13">INDEX(df_cmhc_rms!$D$2:$P$1000, MATCH(1, ($A$2 = df_cmhc_rms!$A$2:$A$1000) * (df_cmhc_rms!$C$2:$C$1000 = $I$8) * (df_cmhc_rms!$B$2:$B$1000 = K$11), 0), MATCH($A13, df_cmhc_rms!$D$1:$P$1,0))</f>
        <v>#N/A</v>
      </c>
      <c r="L13" s="970" t="e">
        <f t="array" ref="L13">INDEX(df_cmhc_rms!$D$2:$P$1000, MATCH(1, ($A$2 = df_cmhc_rms!$A$2:$A$1000) * (df_cmhc_rms!$C$2:$C$1000 = $I$8) * (df_cmhc_rms!$B$2:$B$1000 = L$11), 0), MATCH($A13, df_cmhc_rms!$D$1:$P$1,0))</f>
        <v>#N/A</v>
      </c>
      <c r="M13" s="969" t="e">
        <f t="array" ref="M13">INDEX(df_cmhc_rms!$D$2:$P$1000, MATCH(1, ($C$2 = df_cmhc_rms!$A$2:$A$1000) * (df_cmhc_rms!$C$2:$C$1000 = $I$8) * (df_cmhc_rms!$B$2:$B$1000 = M$11), 0), MATCH($A13, df_cmhc_rms!$D$1:$P$1,0))</f>
        <v>#N/A</v>
      </c>
      <c r="N13" s="970" t="e">
        <f t="array" ref="N13">INDEX(df_cmhc_rms!$D$2:$P$1000, MATCH(1, ($C$2 = df_cmhc_rms!$A$2:$A$1000) * (df_cmhc_rms!$C$2:$C$1000 = $I$8) * (df_cmhc_rms!$B$2:$B$1000 = N$11), 0), MATCH($A13, df_cmhc_rms!$D$1:$P$1,0))</f>
        <v>#N/A</v>
      </c>
    </row>
    <row r="14" spans="1:14" ht="20.100000000000001" customHeight="1" x14ac:dyDescent="0.2">
      <c r="A14" s="476" t="s">
        <v>611</v>
      </c>
      <c r="B14" s="84" t="s">
        <v>617</v>
      </c>
      <c r="C14" s="173"/>
      <c r="D14" s="969" t="e">
        <f t="array" ref="D14">INDEX(df_cmhc_rms!$D$2:$P$1000, MATCH(1, ($A$2 = df_cmhc_rms!$A$2:$A$1000) * (df_cmhc_rms!$C$2:$C$1000 = $B$8) * (df_cmhc_rms!$B$2:$B$1000 = D$11), 0), MATCH($A14, df_cmhc_rms!$D$1:$P$1,0))</f>
        <v>#N/A</v>
      </c>
      <c r="E14" s="970" t="e">
        <f t="array" ref="E14">INDEX(df_cmhc_rms!$D$2:$P$1000, MATCH(1, ($A$2 = df_cmhc_rms!$A$2:$A$1000) * (df_cmhc_rms!$C$2:$C$1000 = $B$8) * (df_cmhc_rms!$B$2:$B$1000 = E$11), 0), MATCH($A14, df_cmhc_rms!$D$1:$P$1,0))</f>
        <v>#N/A</v>
      </c>
      <c r="F14" s="969" t="e">
        <f t="array" ref="F14">INDEX(df_cmhc_rms!$D$2:$P$1000, MATCH(1, ($C$2 = df_cmhc_rms!$A$2:$A$1000) * (df_cmhc_rms!$C$2:$C$1000 = $B$8) * (df_cmhc_rms!$B$2:$B$1000 = F$11), 0), MATCH($A14, df_cmhc_rms!$D$1:$P$1,0))</f>
        <v>#N/A</v>
      </c>
      <c r="G14" s="970" t="e">
        <f t="array" ref="G14">INDEX(df_cmhc_rms!$D$2:$P$1000, MATCH(1, ($C$2 = df_cmhc_rms!$A$2:$A$1000) * (df_cmhc_rms!$C$2:$C$1000 = $B$8) * (df_cmhc_rms!$B$2:$B$1000 = G$11), 0), MATCH($A14, df_cmhc_rms!$D$1:$P$1,0))</f>
        <v>#N/A</v>
      </c>
      <c r="H14" s="476" t="s">
        <v>611</v>
      </c>
      <c r="I14" s="84" t="s">
        <v>617</v>
      </c>
      <c r="J14" s="173"/>
      <c r="K14" s="969" t="e">
        <f t="array" ref="K14">INDEX(df_cmhc_rms!$D$2:$P$1000, MATCH(1, ($A$2 = df_cmhc_rms!$A$2:$A$1000) * (df_cmhc_rms!$C$2:$C$1000 = $I$8) * (df_cmhc_rms!$B$2:$B$1000 = K$11), 0), MATCH($A14, df_cmhc_rms!$D$1:$P$1,0))</f>
        <v>#N/A</v>
      </c>
      <c r="L14" s="970" t="e">
        <f t="array" ref="L14">INDEX(df_cmhc_rms!$D$2:$P$1000, MATCH(1, ($A$2 = df_cmhc_rms!$A$2:$A$1000) * (df_cmhc_rms!$C$2:$C$1000 = $I$8) * (df_cmhc_rms!$B$2:$B$1000 = L$11), 0), MATCH($A14, df_cmhc_rms!$D$1:$P$1,0))</f>
        <v>#N/A</v>
      </c>
      <c r="M14" s="969" t="e">
        <f t="array" ref="M14">INDEX(df_cmhc_rms!$D$2:$P$1000, MATCH(1, ($C$2 = df_cmhc_rms!$A$2:$A$1000) * (df_cmhc_rms!$C$2:$C$1000 = $I$8) * (df_cmhc_rms!$B$2:$B$1000 = M$11), 0), MATCH($A14, df_cmhc_rms!$D$1:$P$1,0))</f>
        <v>#N/A</v>
      </c>
      <c r="N14" s="970" t="e">
        <f t="array" ref="N14">INDEX(df_cmhc_rms!$D$2:$P$1000, MATCH(1, ($C$2 = df_cmhc_rms!$A$2:$A$1000) * (df_cmhc_rms!$C$2:$C$1000 = $I$8) * (df_cmhc_rms!$B$2:$B$1000 = N$11), 0), MATCH($A14, df_cmhc_rms!$D$1:$P$1,0))</f>
        <v>#N/A</v>
      </c>
    </row>
    <row r="15" spans="1:14" ht="20.100000000000001" customHeight="1" x14ac:dyDescent="0.2">
      <c r="A15" s="476" t="s">
        <v>612</v>
      </c>
      <c r="B15" s="84" t="s">
        <v>618</v>
      </c>
      <c r="C15" s="173"/>
      <c r="D15" s="969" t="e">
        <f t="array" ref="D15">INDEX(df_cmhc_rms!$D$2:$P$1000, MATCH(1, ($A$2 = df_cmhc_rms!$A$2:$A$1000) * (df_cmhc_rms!$C$2:$C$1000 = $B$8) * (df_cmhc_rms!$B$2:$B$1000 = D$11), 0), MATCH($A15, df_cmhc_rms!$D$1:$P$1,0))</f>
        <v>#N/A</v>
      </c>
      <c r="E15" s="970" t="e">
        <f t="array" ref="E15">INDEX(df_cmhc_rms!$D$2:$P$1000, MATCH(1, ($A$2 = df_cmhc_rms!$A$2:$A$1000) * (df_cmhc_rms!$C$2:$C$1000 = $B$8) * (df_cmhc_rms!$B$2:$B$1000 = E$11), 0), MATCH($A15, df_cmhc_rms!$D$1:$P$1,0))</f>
        <v>#N/A</v>
      </c>
      <c r="F15" s="969" t="e">
        <f t="array" ref="F15">INDEX(df_cmhc_rms!$D$2:$P$1000, MATCH(1, ($C$2 = df_cmhc_rms!$A$2:$A$1000) * (df_cmhc_rms!$C$2:$C$1000 = $B$8) * (df_cmhc_rms!$B$2:$B$1000 = F$11), 0), MATCH($A15, df_cmhc_rms!$D$1:$P$1,0))</f>
        <v>#N/A</v>
      </c>
      <c r="G15" s="970" t="e">
        <f t="array" ref="G15">INDEX(df_cmhc_rms!$D$2:$P$1000, MATCH(1, ($C$2 = df_cmhc_rms!$A$2:$A$1000) * (df_cmhc_rms!$C$2:$C$1000 = $B$8) * (df_cmhc_rms!$B$2:$B$1000 = G$11), 0), MATCH($A15, df_cmhc_rms!$D$1:$P$1,0))</f>
        <v>#N/A</v>
      </c>
      <c r="H15" s="476" t="s">
        <v>612</v>
      </c>
      <c r="I15" s="84" t="s">
        <v>618</v>
      </c>
      <c r="J15" s="173"/>
      <c r="K15" s="969" t="e">
        <f t="array" ref="K15">INDEX(df_cmhc_rms!$D$2:$P$1000, MATCH(1, ($A$2 = df_cmhc_rms!$A$2:$A$1000) * (df_cmhc_rms!$C$2:$C$1000 = $I$8) * (df_cmhc_rms!$B$2:$B$1000 = K$11), 0), MATCH($A15, df_cmhc_rms!$D$1:$P$1,0))</f>
        <v>#N/A</v>
      </c>
      <c r="L15" s="970" t="e">
        <f t="array" ref="L15">INDEX(df_cmhc_rms!$D$2:$P$1000, MATCH(1, ($A$2 = df_cmhc_rms!$A$2:$A$1000) * (df_cmhc_rms!$C$2:$C$1000 = $I$8) * (df_cmhc_rms!$B$2:$B$1000 = L$11), 0), MATCH($A15, df_cmhc_rms!$D$1:$P$1,0))</f>
        <v>#N/A</v>
      </c>
      <c r="M15" s="969" t="e">
        <f t="array" ref="M15">INDEX(df_cmhc_rms!$D$2:$P$1000, MATCH(1, ($C$2 = df_cmhc_rms!$A$2:$A$1000) * (df_cmhc_rms!$C$2:$C$1000 = $I$8) * (df_cmhc_rms!$B$2:$B$1000 = M$11), 0), MATCH($A15, df_cmhc_rms!$D$1:$P$1,0))</f>
        <v>#N/A</v>
      </c>
      <c r="N15" s="970" t="e">
        <f t="array" ref="N15">INDEX(df_cmhc_rms!$D$2:$P$1000, MATCH(1, ($C$2 = df_cmhc_rms!$A$2:$A$1000) * (df_cmhc_rms!$C$2:$C$1000 = $I$8) * (df_cmhc_rms!$B$2:$B$1000 = N$11), 0), MATCH($A15, df_cmhc_rms!$D$1:$P$1,0))</f>
        <v>#N/A</v>
      </c>
    </row>
    <row r="16" spans="1:14" ht="20.100000000000001" customHeight="1" x14ac:dyDescent="0.2">
      <c r="A16" s="476" t="s">
        <v>613</v>
      </c>
      <c r="B16" s="569" t="s">
        <v>619</v>
      </c>
      <c r="C16" s="494"/>
      <c r="D16" s="1013" t="e">
        <f t="array" ref="D16">INDEX(df_cmhc_rms!$D$2:$P$1000, MATCH(1, ($A$2 = df_cmhc_rms!$A$2:$A$1000) * (df_cmhc_rms!$C$2:$C$1000 = $B$8) * (df_cmhc_rms!$B$2:$B$1000 = D$11), 0), MATCH($A16, df_cmhc_rms!$D$1:$P$1,0))</f>
        <v>#N/A</v>
      </c>
      <c r="E16" s="1014" t="e">
        <f t="array" ref="E16">INDEX(df_cmhc_rms!$D$2:$P$1000, MATCH(1, ($A$2 = df_cmhc_rms!$A$2:$A$1000) * (df_cmhc_rms!$C$2:$C$1000 = $B$8) * (df_cmhc_rms!$B$2:$B$1000 = E$11), 0), MATCH($A16, df_cmhc_rms!$D$1:$P$1,0))</f>
        <v>#N/A</v>
      </c>
      <c r="F16" s="1013" t="e">
        <f t="array" ref="F16">INDEX(df_cmhc_rms!$D$2:$P$1000, MATCH(1, ($C$2 = df_cmhc_rms!$A$2:$A$1000) * (df_cmhc_rms!$C$2:$C$1000 = $B$8) * (df_cmhc_rms!$B$2:$B$1000 = F$11), 0), MATCH($A16, df_cmhc_rms!$D$1:$P$1,0))</f>
        <v>#N/A</v>
      </c>
      <c r="G16" s="1014" t="e">
        <f t="array" ref="G16">INDEX(df_cmhc_rms!$D$2:$P$1000, MATCH(1, ($C$2 = df_cmhc_rms!$A$2:$A$1000) * (df_cmhc_rms!$C$2:$C$1000 = $B$8) * (df_cmhc_rms!$B$2:$B$1000 = G$11), 0), MATCH($A16, df_cmhc_rms!$D$1:$P$1,0))</f>
        <v>#N/A</v>
      </c>
      <c r="H16" s="476" t="s">
        <v>613</v>
      </c>
      <c r="I16" s="569" t="s">
        <v>619</v>
      </c>
      <c r="J16" s="494"/>
      <c r="K16" s="1013" t="e">
        <f t="array" ref="K16">INDEX(df_cmhc_rms!$D$2:$P$1000, MATCH(1, ($A$2 = df_cmhc_rms!$A$2:$A$1000) * (df_cmhc_rms!$C$2:$C$1000 = $I$8) * (df_cmhc_rms!$B$2:$B$1000 = K$11), 0), MATCH($A16, df_cmhc_rms!$D$1:$P$1,0))</f>
        <v>#N/A</v>
      </c>
      <c r="L16" s="1014" t="e">
        <f t="array" ref="L16">INDEX(df_cmhc_rms!$D$2:$P$1000, MATCH(1, ($A$2 = df_cmhc_rms!$A$2:$A$1000) * (df_cmhc_rms!$C$2:$C$1000 = $I$8) * (df_cmhc_rms!$B$2:$B$1000 = L$11), 0), MATCH($A16, df_cmhc_rms!$D$1:$P$1,0))</f>
        <v>#N/A</v>
      </c>
      <c r="M16" s="1013" t="e">
        <f t="array" ref="M16">INDEX(df_cmhc_rms!$D$2:$P$1000, MATCH(1, ($C$2 = df_cmhc_rms!$A$2:$A$1000) * (df_cmhc_rms!$C$2:$C$1000 = $I$8) * (df_cmhc_rms!$B$2:$B$1000 = M$11), 0), MATCH($A16, df_cmhc_rms!$D$1:$P$1,0))</f>
        <v>#N/A</v>
      </c>
      <c r="N16" s="1014" t="e">
        <f t="array" ref="N16">INDEX(df_cmhc_rms!$D$2:$P$1000, MATCH(1, ($C$2 = df_cmhc_rms!$A$2:$A$1000) * (df_cmhc_rms!$C$2:$C$1000 = $I$8) * (df_cmhc_rms!$B$2:$B$1000 = N$11), 0), MATCH($A16, df_cmhc_rms!$D$1:$P$1,0))</f>
        <v>#N/A</v>
      </c>
    </row>
    <row r="17" spans="1:14" ht="20.100000000000001" customHeight="1" x14ac:dyDescent="0.2">
      <c r="A17" s="476"/>
    </row>
    <row r="18" spans="1:14" ht="20.100000000000001" customHeight="1" x14ac:dyDescent="0.2">
      <c r="A18" s="476"/>
      <c r="B18" s="1240" t="s">
        <v>23</v>
      </c>
      <c r="C18" s="1240"/>
      <c r="D18" s="1240"/>
      <c r="E18" s="1240"/>
      <c r="F18" s="1240"/>
      <c r="G18" s="1240"/>
    </row>
    <row r="19" spans="1:14" ht="20.100000000000001" customHeight="1" x14ac:dyDescent="0.2">
      <c r="A19" s="476"/>
      <c r="B19" s="299"/>
      <c r="C19" s="299"/>
      <c r="D19" s="299"/>
      <c r="E19" s="299"/>
      <c r="F19" s="299"/>
      <c r="G19" s="299"/>
      <c r="H19" s="299"/>
      <c r="I19" s="299"/>
      <c r="J19" s="299"/>
    </row>
    <row r="20" spans="1:14" ht="20.100000000000001" customHeight="1" x14ac:dyDescent="0.2">
      <c r="A20" s="476"/>
      <c r="D20" s="1238" t="s">
        <v>181</v>
      </c>
      <c r="E20" s="1239"/>
      <c r="F20" s="1238" t="s">
        <v>183</v>
      </c>
      <c r="G20" s="1239"/>
    </row>
    <row r="21" spans="1:14" ht="20.100000000000001" customHeight="1" x14ac:dyDescent="0.2">
      <c r="A21" s="476"/>
      <c r="B21" s="206" t="s">
        <v>585</v>
      </c>
      <c r="C21" s="72"/>
      <c r="D21" s="967">
        <v>44105</v>
      </c>
      <c r="E21" s="968">
        <v>45931</v>
      </c>
      <c r="F21" s="967">
        <v>44105</v>
      </c>
      <c r="G21" s="968">
        <v>45931</v>
      </c>
    </row>
    <row r="22" spans="1:14" ht="20.100000000000001" customHeight="1" x14ac:dyDescent="0.2">
      <c r="A22" s="476" t="s">
        <v>496</v>
      </c>
      <c r="B22" s="206" t="s">
        <v>615</v>
      </c>
      <c r="C22" s="72"/>
      <c r="D22" s="973" t="e">
        <f t="array" ref="D22">INDEX(df_cmhc_rms!$D$2:$P$1000, MATCH(1, ($A$2 = df_cmhc_rms!$A$2:$A$1000) * (df_cmhc_rms!$C$2:$C$1000 = $B$18) * (df_cmhc_rms!$B$2:$B$1000 = D$11), 0), MATCH($A22, df_cmhc_rms!$D$1:$P$1,0))</f>
        <v>#N/A</v>
      </c>
      <c r="E22" s="974" t="e">
        <f t="array" ref="E22">INDEX(df_cmhc_rms!$D$2:$P$1000, MATCH(1, ($A$2 = df_cmhc_rms!$A$2:$A$1000) * (df_cmhc_rms!$C$2:$C$1000 = $B$18) * (df_cmhc_rms!$B$2:$B$1000 = E$11), 0), MATCH($A22, df_cmhc_rms!$D$1:$P$1,0))</f>
        <v>#N/A</v>
      </c>
      <c r="F22" s="973" t="e">
        <f t="array" ref="F22">INDEX(df_cmhc_rms!$D$2:$P$1000, MATCH(1, ($C$2 = df_cmhc_rms!$A$2:$A$1000) * (df_cmhc_rms!$C$2:$C$1000 = $B$18) * (df_cmhc_rms!$B$2:$B$1000 = F$11), 0), MATCH($A22, df_cmhc_rms!$D$1:$P$1,0))</f>
        <v>#N/A</v>
      </c>
      <c r="G22" s="974" t="e">
        <f t="array" ref="G22">INDEX(df_cmhc_rms!$D$2:$P$1000, MATCH(1, ($C$2 = df_cmhc_rms!$A$2:$A$1000) * (df_cmhc_rms!$C$2:$C$1000 = $B$18) * (df_cmhc_rms!$B$2:$B$1000 = G$11), 0), MATCH($A22, df_cmhc_rms!$D$1:$P$1,0))</f>
        <v>#N/A</v>
      </c>
    </row>
    <row r="23" spans="1:14" ht="20.100000000000001" customHeight="1" x14ac:dyDescent="0.2">
      <c r="A23" s="476" t="s">
        <v>610</v>
      </c>
      <c r="B23" s="84" t="s">
        <v>616</v>
      </c>
      <c r="C23" s="173"/>
      <c r="D23" s="971" t="e">
        <f t="array" ref="D23">INDEX(df_cmhc_rms!$D$2:$P$1000, MATCH(1, ($A$2 = df_cmhc_rms!$A$2:$A$1000) * (df_cmhc_rms!$C$2:$C$1000 = $B$18) * (df_cmhc_rms!$B$2:$B$1000 = D$11), 0), MATCH($A23, df_cmhc_rms!$D$1:$P$1,0))</f>
        <v>#N/A</v>
      </c>
      <c r="E23" s="972" t="e">
        <f t="array" ref="E23">INDEX(df_cmhc_rms!$D$2:$P$1000, MATCH(1, ($A$2 = df_cmhc_rms!$A$2:$A$1000) * (df_cmhc_rms!$C$2:$C$1000 = $B$18) * (df_cmhc_rms!$B$2:$B$1000 = E$11), 0), MATCH($A23, df_cmhc_rms!$D$1:$P$1,0))</f>
        <v>#N/A</v>
      </c>
      <c r="F23" s="971" t="e">
        <f t="array" ref="F23">INDEX(df_cmhc_rms!$D$2:$P$1000, MATCH(1, ($C$2 = df_cmhc_rms!$A$2:$A$1000) * (df_cmhc_rms!$C$2:$C$1000 = $B$18) * (df_cmhc_rms!$B$2:$B$1000 = F$11), 0), MATCH($A23, df_cmhc_rms!$D$1:$P$1,0))</f>
        <v>#N/A</v>
      </c>
      <c r="G23" s="972" t="e">
        <f t="array" ref="G23">INDEX(df_cmhc_rms!$D$2:$P$1000, MATCH(1, ($C$2 = df_cmhc_rms!$A$2:$A$1000) * (df_cmhc_rms!$C$2:$C$1000 = $B$18) * (df_cmhc_rms!$B$2:$B$1000 = G$11), 0), MATCH($A23, df_cmhc_rms!$D$1:$P$1,0))</f>
        <v>#N/A</v>
      </c>
    </row>
    <row r="24" spans="1:14" ht="20.100000000000001" customHeight="1" x14ac:dyDescent="0.2">
      <c r="A24" s="476" t="s">
        <v>611</v>
      </c>
      <c r="B24" s="84" t="s">
        <v>617</v>
      </c>
      <c r="C24" s="173"/>
      <c r="D24" s="971" t="e">
        <f t="array" ref="D24">INDEX(df_cmhc_rms!$D$2:$P$1000, MATCH(1, ($A$2 = df_cmhc_rms!$A$2:$A$1000) * (df_cmhc_rms!$C$2:$C$1000 = $B$18) * (df_cmhc_rms!$B$2:$B$1000 = D$11), 0), MATCH($A24, df_cmhc_rms!$D$1:$P$1,0))</f>
        <v>#N/A</v>
      </c>
      <c r="E24" s="972" t="e">
        <f t="array" ref="E24">INDEX(df_cmhc_rms!$D$2:$P$1000, MATCH(1, ($A$2 = df_cmhc_rms!$A$2:$A$1000) * (df_cmhc_rms!$C$2:$C$1000 = $B$18) * (df_cmhc_rms!$B$2:$B$1000 = E$11), 0), MATCH($A24, df_cmhc_rms!$D$1:$P$1,0))</f>
        <v>#N/A</v>
      </c>
      <c r="F24" s="971" t="e">
        <f t="array" ref="F24">INDEX(df_cmhc_rms!$D$2:$P$1000, MATCH(1, ($C$2 = df_cmhc_rms!$A$2:$A$1000) * (df_cmhc_rms!$C$2:$C$1000 = $B$18) * (df_cmhc_rms!$B$2:$B$1000 = F$11), 0), MATCH($A24, df_cmhc_rms!$D$1:$P$1,0))</f>
        <v>#N/A</v>
      </c>
      <c r="G24" s="972" t="e">
        <f t="array" ref="G24">INDEX(df_cmhc_rms!$D$2:$P$1000, MATCH(1, ($C$2 = df_cmhc_rms!$A$2:$A$1000) * (df_cmhc_rms!$C$2:$C$1000 = $B$18) * (df_cmhc_rms!$B$2:$B$1000 = G$11), 0), MATCH($A24, df_cmhc_rms!$D$1:$P$1,0))</f>
        <v>#N/A</v>
      </c>
    </row>
    <row r="25" spans="1:14" ht="20.100000000000001" customHeight="1" x14ac:dyDescent="0.2">
      <c r="A25" s="476" t="s">
        <v>612</v>
      </c>
      <c r="B25" s="84" t="s">
        <v>618</v>
      </c>
      <c r="C25" s="173"/>
      <c r="D25" s="971" t="e">
        <f t="array" ref="D25">INDEX(df_cmhc_rms!$D$2:$P$1000, MATCH(1, ($A$2 = df_cmhc_rms!$A$2:$A$1000) * (df_cmhc_rms!$C$2:$C$1000 = $B$18) * (df_cmhc_rms!$B$2:$B$1000 = D$11), 0), MATCH($A25, df_cmhc_rms!$D$1:$P$1,0))</f>
        <v>#N/A</v>
      </c>
      <c r="E25" s="972" t="e">
        <f t="array" ref="E25">INDEX(df_cmhc_rms!$D$2:$P$1000, MATCH(1, ($A$2 = df_cmhc_rms!$A$2:$A$1000) * (df_cmhc_rms!$C$2:$C$1000 = $B$18) * (df_cmhc_rms!$B$2:$B$1000 = E$11), 0), MATCH($A25, df_cmhc_rms!$D$1:$P$1,0))</f>
        <v>#N/A</v>
      </c>
      <c r="F25" s="971" t="e">
        <f t="array" ref="F25">INDEX(df_cmhc_rms!$D$2:$P$1000, MATCH(1, ($C$2 = df_cmhc_rms!$A$2:$A$1000) * (df_cmhc_rms!$C$2:$C$1000 = $B$18) * (df_cmhc_rms!$B$2:$B$1000 = F$11), 0), MATCH($A25, df_cmhc_rms!$D$1:$P$1,0))</f>
        <v>#N/A</v>
      </c>
      <c r="G25" s="972" t="e">
        <f t="array" ref="G25">INDEX(df_cmhc_rms!$D$2:$P$1000, MATCH(1, ($C$2 = df_cmhc_rms!$A$2:$A$1000) * (df_cmhc_rms!$C$2:$C$1000 = $B$18) * (df_cmhc_rms!$B$2:$B$1000 = G$11), 0), MATCH($A25, df_cmhc_rms!$D$1:$P$1,0))</f>
        <v>#N/A</v>
      </c>
    </row>
    <row r="26" spans="1:14" ht="20.100000000000001" customHeight="1" x14ac:dyDescent="0.2">
      <c r="A26" s="476" t="s">
        <v>613</v>
      </c>
      <c r="B26" s="569" t="s">
        <v>619</v>
      </c>
      <c r="C26" s="494"/>
      <c r="D26" s="890" t="e">
        <f t="array" ref="D26">INDEX(df_cmhc_rms!$D$2:$P$1000, MATCH(1, ($A$2 = df_cmhc_rms!$A$2:$A$1000) * (df_cmhc_rms!$C$2:$C$1000 = $B$18) * (df_cmhc_rms!$B$2:$B$1000 = D$11), 0), MATCH($A26, df_cmhc_rms!$D$1:$P$1,0))</f>
        <v>#N/A</v>
      </c>
      <c r="E26" s="891" t="e">
        <f t="array" ref="E26">INDEX(df_cmhc_rms!$D$2:$P$1000, MATCH(1, ($A$2 = df_cmhc_rms!$A$2:$A$1000) * (df_cmhc_rms!$C$2:$C$1000 = $B$18) * (df_cmhc_rms!$B$2:$B$1000 = E$11), 0), MATCH($A26, df_cmhc_rms!$D$1:$P$1,0))</f>
        <v>#N/A</v>
      </c>
      <c r="F26" s="890" t="e">
        <f t="array" ref="F26">INDEX(df_cmhc_rms!$D$2:$P$1000, MATCH(1, ($C$2 = df_cmhc_rms!$A$2:$A$1000) * (df_cmhc_rms!$C$2:$C$1000 = $B$18) * (df_cmhc_rms!$B$2:$B$1000 = F$11), 0), MATCH($A26, df_cmhc_rms!$D$1:$P$1,0))</f>
        <v>#N/A</v>
      </c>
      <c r="G26" s="891" t="e">
        <f t="array" ref="G26">INDEX(df_cmhc_rms!$D$2:$P$1000, MATCH(1, ($C$2 = df_cmhc_rms!$A$2:$A$1000) * (df_cmhc_rms!$C$2:$C$1000 = $B$18) * (df_cmhc_rms!$B$2:$B$1000 = G$11), 0), MATCH($A26, df_cmhc_rms!$D$1:$P$1,0))</f>
        <v>#N/A</v>
      </c>
    </row>
    <row r="27" spans="1:14" ht="20.100000000000001" customHeight="1" x14ac:dyDescent="0.2">
      <c r="A27" s="476"/>
    </row>
    <row r="28" spans="1:14" ht="30" customHeight="1" x14ac:dyDescent="0.2">
      <c r="A28" s="560"/>
      <c r="B28" s="175" t="s">
        <v>1217</v>
      </c>
      <c r="C28" s="310"/>
      <c r="D28" s="310"/>
      <c r="E28" s="310"/>
      <c r="F28" s="310"/>
      <c r="G28" s="310"/>
      <c r="H28" s="310"/>
      <c r="I28" s="310"/>
      <c r="J28" s="310"/>
      <c r="K28" s="310"/>
      <c r="L28" s="310"/>
      <c r="M28" s="310"/>
      <c r="N28" s="310"/>
    </row>
    <row r="29" spans="1:14" ht="20.100000000000001" customHeight="1" x14ac:dyDescent="0.2">
      <c r="A29" s="476"/>
    </row>
    <row r="30" spans="1:14" ht="20.100000000000001" customHeight="1" x14ac:dyDescent="0.2">
      <c r="A30" s="476"/>
      <c r="B30" s="1258" t="s">
        <v>1218</v>
      </c>
      <c r="C30" s="1258"/>
      <c r="D30" s="1258"/>
      <c r="E30" s="1258"/>
      <c r="F30" s="1258"/>
    </row>
    <row r="31" spans="1:14" ht="20.100000000000001" customHeight="1" x14ac:dyDescent="0.2">
      <c r="A31" s="476"/>
    </row>
    <row r="32" spans="1:14" ht="20.100000000000001" customHeight="1" x14ac:dyDescent="0.2">
      <c r="A32" s="476"/>
      <c r="B32" s="613"/>
      <c r="C32" s="1234" t="s">
        <v>187</v>
      </c>
      <c r="D32" s="1235"/>
      <c r="E32" s="1254" t="s">
        <v>189</v>
      </c>
      <c r="F32" s="1256"/>
      <c r="G32" s="613"/>
    </row>
    <row r="33" spans="1:14" ht="20.100000000000001" customHeight="1" x14ac:dyDescent="0.2">
      <c r="A33" s="476"/>
      <c r="B33" s="68" t="s">
        <v>585</v>
      </c>
      <c r="C33" s="691" t="s">
        <v>655</v>
      </c>
      <c r="D33" s="692" t="s">
        <v>620</v>
      </c>
      <c r="E33" s="998" t="s">
        <v>655</v>
      </c>
      <c r="F33" s="999" t="s">
        <v>620</v>
      </c>
      <c r="G33" s="613"/>
    </row>
    <row r="34" spans="1:14" ht="20.100000000000001" customHeight="1" x14ac:dyDescent="0.2">
      <c r="A34" s="476"/>
      <c r="B34" s="97" t="s">
        <v>615</v>
      </c>
      <c r="C34" s="741" t="str">
        <f>IFERROR(IF(E12/D12-1&gt;0, "+"&amp;TEXT(E12/D12-1, "##0%"), E12/D12-1),"x")</f>
        <v>x</v>
      </c>
      <c r="D34" s="725" t="str">
        <f>IFERROR(E22/100,"x")</f>
        <v>x</v>
      </c>
      <c r="E34" s="741" t="str">
        <f>IFERROR(IF(G12/F12-1&gt;0, "+"&amp;TEXT(G12/F12-1, "##0%"), G12/F12-1),"x")</f>
        <v>x</v>
      </c>
      <c r="F34" s="725" t="str">
        <f>IFERROR(G22/100,"x")</f>
        <v>x</v>
      </c>
      <c r="G34" s="613"/>
    </row>
    <row r="35" spans="1:14" ht="20.100000000000001" customHeight="1" x14ac:dyDescent="0.2">
      <c r="A35" s="476"/>
      <c r="B35" s="721" t="s">
        <v>616</v>
      </c>
      <c r="C35" s="947" t="str">
        <f>IFERROR(IF(E13/D13-1&gt;0, "+"&amp;TEXT(E13/D13-1, "##0%"), E13/D13-1),"x")</f>
        <v>x</v>
      </c>
      <c r="D35" s="696" t="str">
        <f>IFERROR(E23/100,"x")</f>
        <v>x</v>
      </c>
      <c r="E35" s="947" t="str">
        <f t="shared" ref="E35:E38" si="0">IFERROR(IF(G13/F13-1&gt;0, "+"&amp;TEXT(G13/F13-1, "##0%"), G13/F13-1),"x")</f>
        <v>x</v>
      </c>
      <c r="F35" s="696" t="str">
        <f t="shared" ref="F35:F38" si="1">IFERROR(G23/100,"x")</f>
        <v>x</v>
      </c>
      <c r="G35" s="613"/>
    </row>
    <row r="36" spans="1:14" ht="20.100000000000001" customHeight="1" x14ac:dyDescent="0.2">
      <c r="A36" s="476"/>
      <c r="B36" s="722" t="s">
        <v>617</v>
      </c>
      <c r="C36" s="742" t="str">
        <f>IFERROR(IF(E14/D14-1&gt;0, "+"&amp;TEXT(E14/D14-1, "##0%"), E14/D14-1),"x")</f>
        <v>x</v>
      </c>
      <c r="D36" s="709" t="str">
        <f>IFERROR(E24/100,"x")</f>
        <v>x</v>
      </c>
      <c r="E36" s="742" t="str">
        <f t="shared" si="0"/>
        <v>x</v>
      </c>
      <c r="F36" s="709" t="str">
        <f t="shared" si="1"/>
        <v>x</v>
      </c>
      <c r="G36" s="613"/>
    </row>
    <row r="37" spans="1:14" ht="20.100000000000001" customHeight="1" x14ac:dyDescent="0.2">
      <c r="A37" s="476"/>
      <c r="B37" s="723" t="s">
        <v>618</v>
      </c>
      <c r="C37" s="1008" t="str">
        <f>IFERROR(IF(E15/D15-1&gt;0, "+"&amp;TEXT(E15/D15-1, "##0%"), E15/D15-1),"x")</f>
        <v>x</v>
      </c>
      <c r="D37" s="699" t="str">
        <f>IFERROR(E25/100,"x")</f>
        <v>x</v>
      </c>
      <c r="E37" s="1008" t="str">
        <f t="shared" si="0"/>
        <v>x</v>
      </c>
      <c r="F37" s="699" t="str">
        <f t="shared" si="1"/>
        <v>x</v>
      </c>
      <c r="G37" s="613"/>
    </row>
    <row r="38" spans="1:14" ht="20.100000000000001" customHeight="1" x14ac:dyDescent="0.2">
      <c r="A38" s="476"/>
      <c r="B38" s="789" t="s">
        <v>619</v>
      </c>
      <c r="C38" s="733" t="str">
        <f>IFERROR(IF(E16/D16-1&gt;0, "+"&amp;TEXT(E16/D16-1, "##0%"), E16/D16-1),"x")</f>
        <v>x</v>
      </c>
      <c r="D38" s="886" t="str">
        <f>IFERROR(E26/100,"x")</f>
        <v>x</v>
      </c>
      <c r="E38" s="733" t="str">
        <f t="shared" si="0"/>
        <v>x</v>
      </c>
      <c r="F38" s="886" t="str">
        <f t="shared" si="1"/>
        <v>x</v>
      </c>
      <c r="G38" s="613"/>
    </row>
    <row r="39" spans="1:14" ht="20.100000000000001" customHeight="1" x14ac:dyDescent="0.2">
      <c r="A39" s="476"/>
    </row>
    <row r="40" spans="1:14" ht="20.100000000000001" customHeight="1" x14ac:dyDescent="0.2">
      <c r="A40" s="476"/>
      <c r="B40" s="68" t="s">
        <v>832</v>
      </c>
      <c r="C40" s="517" t="s">
        <v>833</v>
      </c>
    </row>
    <row r="41" spans="1:14" ht="20.100000000000001" customHeight="1" x14ac:dyDescent="0.2">
      <c r="A41" s="476"/>
      <c r="B41" s="306" t="s">
        <v>834</v>
      </c>
      <c r="C41" s="196" t="str">
        <f t="array" ref="C41:C42">IFERROR(sales!C41:C42,"x")</f>
        <v>x</v>
      </c>
    </row>
    <row r="42" spans="1:14" ht="20.100000000000001" customHeight="1" x14ac:dyDescent="0.2">
      <c r="A42" s="476"/>
      <c r="B42" s="790" t="s">
        <v>835</v>
      </c>
      <c r="C42" s="732" t="str">
        <v>x</v>
      </c>
    </row>
    <row r="43" spans="1:14" ht="20.100000000000001" customHeight="1" x14ac:dyDescent="0.2">
      <c r="A43" s="476"/>
      <c r="B43" s="299"/>
      <c r="C43" s="299"/>
      <c r="D43" s="299"/>
      <c r="E43" s="299"/>
    </row>
    <row r="44" spans="1:14" ht="20.100000000000001" customHeight="1" x14ac:dyDescent="0.2">
      <c r="A44" s="476"/>
      <c r="B44" s="299"/>
      <c r="C44" s="299"/>
      <c r="D44" s="299"/>
      <c r="E44" s="299"/>
    </row>
    <row r="45" spans="1:14" ht="50.1" customHeight="1" x14ac:dyDescent="0.2">
      <c r="A45" s="560"/>
      <c r="B45" s="159" t="s">
        <v>1227</v>
      </c>
      <c r="C45" s="59"/>
      <c r="D45" s="59"/>
      <c r="E45" s="59"/>
      <c r="F45" s="59"/>
      <c r="G45" s="59"/>
      <c r="H45" s="59"/>
      <c r="I45" s="59"/>
      <c r="J45" s="59"/>
      <c r="K45" s="59"/>
      <c r="L45" s="59"/>
      <c r="M45" s="59"/>
      <c r="N45" s="59"/>
    </row>
    <row r="46" spans="1:14" ht="20.100000000000001" customHeight="1" x14ac:dyDescent="0.2">
      <c r="A46" s="476"/>
      <c r="B46" s="299"/>
      <c r="C46" s="299"/>
      <c r="D46" s="299"/>
      <c r="E46" s="299"/>
    </row>
    <row r="47" spans="1:14" ht="30" customHeight="1" x14ac:dyDescent="0.2">
      <c r="A47" s="560"/>
      <c r="B47" s="175" t="s">
        <v>1216</v>
      </c>
      <c r="C47" s="310"/>
      <c r="D47" s="310"/>
      <c r="E47" s="310"/>
      <c r="F47" s="310"/>
      <c r="G47" s="310"/>
      <c r="H47" s="310"/>
      <c r="I47" s="310"/>
      <c r="J47" s="310"/>
      <c r="K47" s="310"/>
      <c r="L47" s="310"/>
      <c r="M47" s="310"/>
      <c r="N47" s="310"/>
    </row>
    <row r="48" spans="1:14" ht="20.100000000000001" customHeight="1" x14ac:dyDescent="0.2">
      <c r="A48" s="476"/>
      <c r="B48" s="299"/>
      <c r="C48" s="299"/>
      <c r="D48" s="299"/>
      <c r="E48" s="299"/>
    </row>
    <row r="49" spans="1:14" ht="20.100000000000001" customHeight="1" x14ac:dyDescent="0.2">
      <c r="A49" s="476"/>
      <c r="B49" s="1240" t="s">
        <v>621</v>
      </c>
      <c r="C49" s="1240"/>
      <c r="D49" s="1240"/>
      <c r="E49" s="1240"/>
      <c r="F49" s="1240"/>
      <c r="G49" s="1240"/>
      <c r="I49" s="1240" t="s">
        <v>622</v>
      </c>
      <c r="J49" s="1240"/>
      <c r="K49" s="1240"/>
      <c r="L49" s="1240"/>
      <c r="M49" s="1240"/>
      <c r="N49" s="1240"/>
    </row>
    <row r="50" spans="1:14" ht="20.100000000000001" customHeight="1" x14ac:dyDescent="0.2">
      <c r="A50" s="476"/>
      <c r="B50" s="299"/>
      <c r="C50" s="299"/>
      <c r="D50" s="299"/>
      <c r="E50" s="299"/>
      <c r="F50" s="299"/>
      <c r="G50" s="299"/>
      <c r="H50" s="299"/>
      <c r="I50" s="299"/>
      <c r="J50" s="299"/>
      <c r="K50" s="299"/>
      <c r="L50" s="299"/>
      <c r="M50" s="299"/>
      <c r="N50" s="299"/>
    </row>
    <row r="51" spans="1:14" ht="20.100000000000001" customHeight="1" x14ac:dyDescent="0.2">
      <c r="A51" s="476"/>
      <c r="D51" s="1238" t="s">
        <v>181</v>
      </c>
      <c r="E51" s="1239"/>
      <c r="F51" s="1238" t="s">
        <v>183</v>
      </c>
      <c r="G51" s="1239"/>
      <c r="K51" s="1238" t="s">
        <v>181</v>
      </c>
      <c r="L51" s="1239"/>
      <c r="M51" s="1238" t="s">
        <v>183</v>
      </c>
      <c r="N51" s="1239"/>
    </row>
    <row r="52" spans="1:14" ht="20.100000000000001" customHeight="1" x14ac:dyDescent="0.2">
      <c r="A52" s="476"/>
      <c r="B52" s="206" t="s">
        <v>585</v>
      </c>
      <c r="C52" s="72"/>
      <c r="D52" s="967">
        <v>44470</v>
      </c>
      <c r="E52" s="968">
        <v>45931</v>
      </c>
      <c r="F52" s="967">
        <v>44470</v>
      </c>
      <c r="G52" s="968">
        <v>45931</v>
      </c>
      <c r="I52" s="206" t="s">
        <v>585</v>
      </c>
      <c r="J52" s="72"/>
      <c r="K52" s="967">
        <v>44470</v>
      </c>
      <c r="L52" s="968" t="s">
        <v>625</v>
      </c>
      <c r="M52" s="967">
        <v>44470</v>
      </c>
      <c r="N52" s="968" t="s">
        <v>625</v>
      </c>
    </row>
    <row r="53" spans="1:14" ht="20.100000000000001" customHeight="1" x14ac:dyDescent="0.2">
      <c r="A53" s="476" t="s">
        <v>496</v>
      </c>
      <c r="B53" s="206" t="s">
        <v>615</v>
      </c>
      <c r="C53" s="72"/>
      <c r="D53" s="975">
        <f t="array" ref="D53">IFERROR(INDEX(df_cmhc_rms!$D$2:$P$1000, MATCH(1, ($A$2 = df_cmhc_rms!$A$2:$A$1000) * (df_cmhc_rms!$C$2:$C$1000 = $B$49) * (df_cmhc_rms!$B$2:$B$1000 = D$52), 0), MATCH($A53, df_cmhc_rms!$D$1:$P$1,0)),0)</f>
        <v>0</v>
      </c>
      <c r="E53" s="976">
        <f t="array" ref="E53">IFERROR(INDEX(df_cmhc_rms!$D$2:$P$1000, MATCH(1, ($A$2 = df_cmhc_rms!$A$2:$A$1000) * (df_cmhc_rms!$C$2:$C$1000 = $B$49) * (df_cmhc_rms!$B$2:$B$1000 = E$52), 0), MATCH($A53, df_cmhc_rms!$D$1:$P$1,0)),0)</f>
        <v>0</v>
      </c>
      <c r="F53" s="975" t="e">
        <f t="array" ref="F53">INDEX(df_cmhc_rms!$D$2:$P$1000, MATCH(1, ($C$2 = df_cmhc_rms!$A$2:$A$1000) * (df_cmhc_rms!$C$2:$C$1000 = $B$49) * (df_cmhc_rms!$B$2:$B$1000 = F$52), 0), MATCH($A53, df_cmhc_rms!$D$1:$P$1,0))</f>
        <v>#N/A</v>
      </c>
      <c r="G53" s="976" t="e">
        <f t="array" ref="G53">INDEX(df_cmhc_rms!$D$2:$P$1000, MATCH(1, ($C$2 = df_cmhc_rms!$A$2:$A$1000) * (df_cmhc_rms!$C$2:$C$1000 = $B$49) * (df_cmhc_rms!$B$2:$B$1000 = G$52), 0), MATCH($A53, df_cmhc_rms!$D$1:$P$1,0))</f>
        <v>#N/A</v>
      </c>
      <c r="I53" s="206" t="s">
        <v>6</v>
      </c>
      <c r="J53" s="72"/>
      <c r="K53" s="975" t="e">
        <f t="array" ref="K53">INDEX(df_hh_ten!$D$2:$G$100, MATCH(1, (df_hh_ten!$B$2:$B$100 = $A$2) * (df_hh_ten!$C$2:$C$100 = $I53), 0), MATCH("Renter", df_hh_ten!$D$1:$G$1, 0))</f>
        <v>#N/A</v>
      </c>
      <c r="L53" s="976" t="e">
        <f>K53</f>
        <v>#N/A</v>
      </c>
      <c r="M53" s="975" t="e">
        <f t="array" ref="M53">INDEX(df_hh_ten!$D$2:$G$100, MATCH(1, (df_hh_ten!$B$2:$B$100 = $C$2) * (df_hh_ten!$C$2:$C$100 = $I53), 0), MATCH("Renter", df_hh_ten!$D$1:$G$1, 0))</f>
        <v>#N/A</v>
      </c>
      <c r="N53" s="976" t="e">
        <f>M53</f>
        <v>#N/A</v>
      </c>
    </row>
    <row r="54" spans="1:14" ht="20.100000000000001" customHeight="1" x14ac:dyDescent="0.2">
      <c r="A54" s="476" t="s">
        <v>610</v>
      </c>
      <c r="B54" s="84" t="s">
        <v>616</v>
      </c>
      <c r="C54" s="173"/>
      <c r="D54" s="977">
        <f t="array" ref="D54">IFERROR(INDEX(df_cmhc_rms!$D$2:$P$1000, MATCH(1, ($A$2 = df_cmhc_rms!$A$2:$A$1000) * (df_cmhc_rms!$C$2:$C$1000 = $B$49) * (df_cmhc_rms!$B$2:$B$1000 = D$52), 0), MATCH($A54, df_cmhc_rms!$D$1:$P$1,0)),0)</f>
        <v>0</v>
      </c>
      <c r="E54" s="978">
        <f t="array" ref="E54">IFERROR(INDEX(df_cmhc_rms!$D$2:$P$1000, MATCH(1, ($A$2 = df_cmhc_rms!$A$2:$A$1000) * (df_cmhc_rms!$C$2:$C$1000 = $B$49) * (df_cmhc_rms!$B$2:$B$1000 = E$52), 0), MATCH($A54, df_cmhc_rms!$D$1:$P$1,0)),0)</f>
        <v>0</v>
      </c>
      <c r="F54" s="977" t="e">
        <f t="array" ref="F54">INDEX(df_cmhc_rms!$D$2:$P$1000, MATCH(1, ($C$2 = df_cmhc_rms!$A$2:$A$1000) * (df_cmhc_rms!$C$2:$C$1000 = $B$49) * (df_cmhc_rms!$B$2:$B$1000 = F$52), 0), MATCH($A54, df_cmhc_rms!$D$1:$P$1,0))</f>
        <v>#N/A</v>
      </c>
      <c r="G54" s="978" t="e">
        <f t="array" ref="G54">INDEX(df_cmhc_rms!$D$2:$P$1000, MATCH(1, ($C$2 = df_cmhc_rms!$A$2:$A$1000) * (df_cmhc_rms!$C$2:$C$1000 = $B$49) * (df_cmhc_rms!$B$2:$B$1000 = G$52), 0), MATCH($A54, df_cmhc_rms!$D$1:$P$1,0))</f>
        <v>#N/A</v>
      </c>
      <c r="I54" s="570" t="s">
        <v>380</v>
      </c>
      <c r="J54" s="493"/>
      <c r="K54" s="858" t="e">
        <f t="array" ref="K54">INDEX(df_hh_ten!$D$2:$G$100, MATCH(1, (df_hh_ten!$B$2:$B$100 = $A$2) * (df_hh_ten!$C$2:$C$100 = $I54), 0), MATCH("Renter", df_hh_ten!$D$1:$G$1, 0))</f>
        <v>#N/A</v>
      </c>
      <c r="L54" s="892" t="e">
        <f t="shared" ref="L54:N56" si="2">K54</f>
        <v>#N/A</v>
      </c>
      <c r="M54" s="858" t="e">
        <f t="array" ref="M54">INDEX(df_hh_ten!$D$2:$G$100, MATCH(1, (df_hh_ten!$B$2:$B$100 = $C$2) * (df_hh_ten!$C$2:$C$100 = $I54), 0), MATCH("Renter", df_hh_ten!$D$1:$G$1, 0))</f>
        <v>#N/A</v>
      </c>
      <c r="N54" s="892" t="e">
        <f t="shared" si="2"/>
        <v>#N/A</v>
      </c>
    </row>
    <row r="55" spans="1:14" ht="20.100000000000001" customHeight="1" x14ac:dyDescent="0.2">
      <c r="A55" s="476" t="s">
        <v>611</v>
      </c>
      <c r="B55" s="84" t="s">
        <v>617</v>
      </c>
      <c r="C55" s="173"/>
      <c r="D55" s="977">
        <f t="array" ref="D55">IFERROR(INDEX(df_cmhc_rms!$D$2:$P$1000, MATCH(1, ($A$2 = df_cmhc_rms!$A$2:$A$1000) * (df_cmhc_rms!$C$2:$C$1000 = $B$49) * (df_cmhc_rms!$B$2:$B$1000 = D$52), 0), MATCH($A55, df_cmhc_rms!$D$1:$P$1,0)),0)</f>
        <v>0</v>
      </c>
      <c r="E55" s="978">
        <f t="array" ref="E55">IFERROR(INDEX(df_cmhc_rms!$D$2:$P$1000, MATCH(1, ($A$2 = df_cmhc_rms!$A$2:$A$1000) * (df_cmhc_rms!$C$2:$C$1000 = $B$49) * (df_cmhc_rms!$B$2:$B$1000 = E$52), 0), MATCH($A55, df_cmhc_rms!$D$1:$P$1,0)),0)</f>
        <v>0</v>
      </c>
      <c r="F55" s="977" t="e">
        <f t="array" ref="F55">INDEX(df_cmhc_rms!$D$2:$P$1000, MATCH(1, ($C$2 = df_cmhc_rms!$A$2:$A$1000) * (df_cmhc_rms!$C$2:$C$1000 = $B$49) * (df_cmhc_rms!$B$2:$B$1000 = F$52), 0), MATCH($A55, df_cmhc_rms!$D$1:$P$1,0))</f>
        <v>#N/A</v>
      </c>
      <c r="G55" s="978" t="e">
        <f t="array" ref="G55">INDEX(df_cmhc_rms!$D$2:$P$1000, MATCH(1, ($C$2 = df_cmhc_rms!$A$2:$A$1000) * (df_cmhc_rms!$C$2:$C$1000 = $B$49) * (df_cmhc_rms!$B$2:$B$1000 = G$52), 0), MATCH($A55, df_cmhc_rms!$D$1:$P$1,0))</f>
        <v>#N/A</v>
      </c>
      <c r="I55" s="84" t="s">
        <v>142</v>
      </c>
      <c r="J55" s="173"/>
      <c r="K55" s="977" t="e">
        <f t="array" ref="K55">INDEX(df_hh_ten!$D$2:$G$100, MATCH(1, (df_hh_ten!$B$2:$B$100 = $A$2) * (df_hh_ten!$C$2:$C$100 = $I55), 0), MATCH("Renter", df_hh_ten!$D$1:$G$1, 0))</f>
        <v>#N/A</v>
      </c>
      <c r="L55" s="978" t="e">
        <f t="shared" si="2"/>
        <v>#N/A</v>
      </c>
      <c r="M55" s="977" t="e">
        <f t="array" ref="M55">INDEX(df_hh_ten!$D$2:$G$100, MATCH(1, (df_hh_ten!$B$2:$B$100 = $C$2) * (df_hh_ten!$C$2:$C$100 = $I55), 0), MATCH("Renter", df_hh_ten!$D$1:$G$1, 0))</f>
        <v>#N/A</v>
      </c>
      <c r="N55" s="978" t="e">
        <f t="shared" si="2"/>
        <v>#N/A</v>
      </c>
    </row>
    <row r="56" spans="1:14" ht="20.100000000000001" customHeight="1" x14ac:dyDescent="0.2">
      <c r="A56" s="476" t="s">
        <v>612</v>
      </c>
      <c r="B56" s="84" t="s">
        <v>618</v>
      </c>
      <c r="C56" s="173"/>
      <c r="D56" s="977">
        <f t="array" ref="D56">IFERROR(INDEX(df_cmhc_rms!$D$2:$P$1000, MATCH(1, ($A$2 = df_cmhc_rms!$A$2:$A$1000) * (df_cmhc_rms!$C$2:$C$1000 = $B$49) * (df_cmhc_rms!$B$2:$B$1000 = D$52), 0), MATCH($A56, df_cmhc_rms!$D$1:$P$1,0)),0)</f>
        <v>0</v>
      </c>
      <c r="E56" s="978">
        <f t="array" ref="E56">IFERROR(INDEX(df_cmhc_rms!$D$2:$P$1000, MATCH(1, ($A$2 = df_cmhc_rms!$A$2:$A$1000) * (df_cmhc_rms!$C$2:$C$1000 = $B$49) * (df_cmhc_rms!$B$2:$B$1000 = E$52), 0), MATCH($A56, df_cmhc_rms!$D$1:$P$1,0)),0)</f>
        <v>0</v>
      </c>
      <c r="F56" s="977" t="e">
        <f t="array" ref="F56">INDEX(df_cmhc_rms!$D$2:$P$1000, MATCH(1, ($C$2 = df_cmhc_rms!$A$2:$A$1000) * (df_cmhc_rms!$C$2:$C$1000 = $B$49) * (df_cmhc_rms!$B$2:$B$1000 = F$52), 0), MATCH($A56, df_cmhc_rms!$D$1:$P$1,0))</f>
        <v>#N/A</v>
      </c>
      <c r="G56" s="978" t="e">
        <f t="array" ref="G56">INDEX(df_cmhc_rms!$D$2:$P$1000, MATCH(1, ($C$2 = df_cmhc_rms!$A$2:$A$1000) * (df_cmhc_rms!$C$2:$C$1000 = $B$49) * (df_cmhc_rms!$B$2:$B$1000 = G$52), 0), MATCH($A56, df_cmhc_rms!$D$1:$P$1,0))</f>
        <v>#N/A</v>
      </c>
      <c r="I56" s="84" t="s">
        <v>381</v>
      </c>
      <c r="J56" s="173"/>
      <c r="K56" s="977" t="e">
        <f t="array" ref="K56">INDEX(df_hh_ten!$D$2:$G$100, MATCH(1, (df_hh_ten!$B$2:$B$100 = $A$2) * (df_hh_ten!$C$2:$C$100 = $I56), 0), MATCH("Renter", df_hh_ten!$D$1:$G$1, 0))</f>
        <v>#N/A</v>
      </c>
      <c r="L56" s="978" t="e">
        <f t="shared" si="2"/>
        <v>#N/A</v>
      </c>
      <c r="M56" s="977" t="e">
        <f t="array" ref="M56">INDEX(df_hh_ten!$D$2:$G$100, MATCH(1, (df_hh_ten!$B$2:$B$100 = $C$2) * (df_hh_ten!$C$2:$C$100 = $I56), 0), MATCH("Renter", df_hh_ten!$D$1:$G$1, 0))</f>
        <v>#N/A</v>
      </c>
      <c r="N56" s="978" t="e">
        <f t="shared" si="2"/>
        <v>#N/A</v>
      </c>
    </row>
    <row r="57" spans="1:14" ht="20.100000000000001" customHeight="1" x14ac:dyDescent="0.2">
      <c r="A57" s="476" t="s">
        <v>613</v>
      </c>
      <c r="B57" s="569" t="s">
        <v>619</v>
      </c>
      <c r="C57" s="494"/>
      <c r="D57" s="857">
        <f t="array" ref="D57">IFERROR(INDEX(df_cmhc_rms!$D$2:$P$1000, MATCH(1, ($A$2 = df_cmhc_rms!$A$2:$A$1000) * (df_cmhc_rms!$C$2:$C$1000 = $B$49) * (df_cmhc_rms!$B$2:$B$1000 = D$52), 0), MATCH($A57, df_cmhc_rms!$D$1:$P$1,0)),0)</f>
        <v>0</v>
      </c>
      <c r="E57" s="979">
        <f t="array" ref="E57">IFERROR(INDEX(df_cmhc_rms!$D$2:$P$1000, MATCH(1, ($A$2 = df_cmhc_rms!$A$2:$A$1000) * (df_cmhc_rms!$C$2:$C$1000 = $B$49) * (df_cmhc_rms!$B$2:$B$1000 = E$52), 0), MATCH($A57, df_cmhc_rms!$D$1:$P$1,0)),0)</f>
        <v>0</v>
      </c>
      <c r="F57" s="857" t="e">
        <f t="array" ref="F57">INDEX(df_cmhc_rms!$D$2:$P$1000, MATCH(1, ($C$2 = df_cmhc_rms!$A$2:$A$1000) * (df_cmhc_rms!$C$2:$C$1000 = $B$49) * (df_cmhc_rms!$B$2:$B$1000 = F$52), 0), MATCH($A57, df_cmhc_rms!$D$1:$P$1,0))</f>
        <v>#N/A</v>
      </c>
      <c r="G57" s="979" t="e">
        <f t="array" ref="G57">INDEX(df_cmhc_rms!$D$2:$P$1000, MATCH(1, ($C$2 = df_cmhc_rms!$A$2:$A$1000) * (df_cmhc_rms!$C$2:$C$1000 = $B$49) * (df_cmhc_rms!$B$2:$B$1000 = G$52), 0), MATCH($A57, df_cmhc_rms!$D$1:$P$1,0))</f>
        <v>#N/A</v>
      </c>
      <c r="I57" s="84" t="s">
        <v>382</v>
      </c>
      <c r="J57" s="173"/>
      <c r="K57" s="977" t="e">
        <f t="array" ref="K57">INDEX(df_hh_ten!$D$2:$G$100, MATCH(1, (df_hh_ten!$B$2:$B$100 = $A$2) * (df_hh_ten!$C$2:$C$100 = $I57), 0), MATCH("Renter", df_hh_ten!$D$1:$G$1, 0))</f>
        <v>#N/A</v>
      </c>
      <c r="L57" s="978" t="e">
        <f>SUM(K57:K58)</f>
        <v>#N/A</v>
      </c>
      <c r="M57" s="977" t="e">
        <f t="array" ref="M57">INDEX(df_hh_ten!$D$2:$G$100, MATCH(1, (df_hh_ten!$B$2:$B$100 = $C$2) * (df_hh_ten!$C$2:$C$100 = $I57), 0), MATCH("Renter", df_hh_ten!$D$1:$G$1, 0))</f>
        <v>#N/A</v>
      </c>
      <c r="N57" s="978" t="e">
        <f>SUM(M57:M58)</f>
        <v>#N/A</v>
      </c>
    </row>
    <row r="58" spans="1:14" ht="20.100000000000001" customHeight="1" x14ac:dyDescent="0.2">
      <c r="A58" s="560"/>
      <c r="I58" s="569" t="s">
        <v>383</v>
      </c>
      <c r="J58" s="494"/>
      <c r="K58" s="857" t="e">
        <f t="array" ref="K58">INDEX(df_hh_ten!$D$2:$G$100, MATCH(1, (df_hh_ten!$B$2:$B$100 = $A$2) * (df_hh_ten!$C$2:$C$100 = $I58), 0), MATCH("Renter", df_hh_ten!$D$1:$G$1, 0))</f>
        <v>#N/A</v>
      </c>
      <c r="L58" s="980"/>
      <c r="M58" s="857" t="e">
        <f t="array" ref="M58">INDEX(df_hh_ten!$D$2:$G$100, MATCH(1, (df_hh_ten!$B$2:$B$100 = $C$2) * (df_hh_ten!$C$2:$C$100 = $I58), 0), MATCH("Renter", df_hh_ten!$D$1:$G$1, 0))</f>
        <v>#N/A</v>
      </c>
      <c r="N58" s="980"/>
    </row>
    <row r="59" spans="1:14" x14ac:dyDescent="0.2">
      <c r="A59" s="560"/>
    </row>
    <row r="60" spans="1:14" ht="30" customHeight="1" x14ac:dyDescent="0.2">
      <c r="A60" s="560"/>
      <c r="B60" s="175" t="s">
        <v>1217</v>
      </c>
      <c r="C60" s="310"/>
      <c r="D60" s="310"/>
      <c r="E60" s="310"/>
      <c r="F60" s="310"/>
      <c r="G60" s="310"/>
      <c r="H60" s="310"/>
      <c r="I60" s="310"/>
      <c r="J60" s="310"/>
      <c r="K60" s="310"/>
      <c r="L60" s="310"/>
      <c r="M60" s="310"/>
      <c r="N60" s="310"/>
    </row>
    <row r="61" spans="1:14" ht="20.100000000000001" customHeight="1" x14ac:dyDescent="0.2">
      <c r="A61" s="560"/>
    </row>
    <row r="62" spans="1:14" ht="20.100000000000001" customHeight="1" x14ac:dyDescent="0.2">
      <c r="A62" s="560"/>
      <c r="B62" s="1212" t="s">
        <v>1228</v>
      </c>
      <c r="C62" s="1212"/>
      <c r="D62" s="1212"/>
      <c r="E62" s="1212"/>
      <c r="F62" s="1212"/>
      <c r="G62" s="1212"/>
      <c r="I62" s="1258" t="s">
        <v>1218</v>
      </c>
      <c r="J62" s="1258"/>
      <c r="K62" s="1258"/>
      <c r="L62" s="1258"/>
      <c r="M62" s="1258"/>
    </row>
    <row r="63" spans="1:14" ht="20.100000000000001" customHeight="1" x14ac:dyDescent="0.2">
      <c r="A63" s="560"/>
    </row>
    <row r="64" spans="1:14" ht="20.100000000000001" customHeight="1" x14ac:dyDescent="0.2">
      <c r="A64" s="560"/>
      <c r="B64" s="264"/>
      <c r="C64" s="264"/>
      <c r="D64" s="1272" t="s">
        <v>187</v>
      </c>
      <c r="E64" s="1273"/>
      <c r="F64" s="1272" t="s">
        <v>189</v>
      </c>
      <c r="G64" s="1273"/>
      <c r="I64" s="613"/>
      <c r="J64" s="1234" t="s">
        <v>187</v>
      </c>
      <c r="K64" s="1235"/>
      <c r="L64" s="1254" t="s">
        <v>189</v>
      </c>
      <c r="M64" s="1256"/>
    </row>
    <row r="65" spans="1:15" ht="20.100000000000001" customHeight="1" x14ac:dyDescent="0.2">
      <c r="A65" s="560"/>
      <c r="B65" s="984" t="s">
        <v>585</v>
      </c>
      <c r="C65" s="985"/>
      <c r="D65" s="990" t="s">
        <v>623</v>
      </c>
      <c r="E65" s="991" t="s">
        <v>624</v>
      </c>
      <c r="F65" s="990" t="s">
        <v>623</v>
      </c>
      <c r="G65" s="991" t="s">
        <v>624</v>
      </c>
      <c r="I65" s="68" t="s">
        <v>585</v>
      </c>
      <c r="J65" s="691" t="s">
        <v>623</v>
      </c>
      <c r="K65" s="692" t="s">
        <v>624</v>
      </c>
      <c r="L65" s="998" t="s">
        <v>623</v>
      </c>
      <c r="M65" s="999" t="s">
        <v>624</v>
      </c>
    </row>
    <row r="66" spans="1:15" ht="20.100000000000001" customHeight="1" x14ac:dyDescent="0.2">
      <c r="A66" s="560"/>
      <c r="B66" s="984" t="s">
        <v>615</v>
      </c>
      <c r="C66" s="985"/>
      <c r="D66" s="992">
        <f>MROUND(D53,5)</f>
        <v>0</v>
      </c>
      <c r="E66" s="993" t="e">
        <f>MROUND(IF(L53-D53&lt;0,0,L53-D53),5)</f>
        <v>#N/A</v>
      </c>
      <c r="F66" s="992" t="e">
        <f>MROUND(F53,5)</f>
        <v>#N/A</v>
      </c>
      <c r="G66" s="993" t="e">
        <f>MROUND(IF(N53-F53&lt;0,0,N53-F53),5)</f>
        <v>#N/A</v>
      </c>
      <c r="I66" s="97" t="s">
        <v>615</v>
      </c>
      <c r="J66" s="86">
        <f t="array" ref="J66:M66">IFERROR(D66:G66,"x")</f>
        <v>0</v>
      </c>
      <c r="K66" s="338" t="str">
        <v>x</v>
      </c>
      <c r="L66" s="86" t="str">
        <v>x</v>
      </c>
      <c r="M66" s="338" t="str">
        <v>x</v>
      </c>
    </row>
    <row r="67" spans="1:15" ht="20.100000000000001" customHeight="1" x14ac:dyDescent="0.2">
      <c r="A67" s="560"/>
      <c r="B67" s="986" t="s">
        <v>616</v>
      </c>
      <c r="C67" s="987"/>
      <c r="D67" s="994">
        <f>MROUND(D54,5)</f>
        <v>0</v>
      </c>
      <c r="E67" s="995" t="e">
        <f>MROUND(IF(L54-D54&lt;0,0,L54-D54),5)</f>
        <v>#N/A</v>
      </c>
      <c r="F67" s="994" t="e">
        <f>MROUND(F54,5)</f>
        <v>#N/A</v>
      </c>
      <c r="G67" s="995" t="e">
        <f>MROUND(IF(N54-F54&lt;0,0,N54-F54),5)</f>
        <v>#N/A</v>
      </c>
      <c r="I67" s="721" t="s">
        <v>616</v>
      </c>
      <c r="J67" s="947" t="str">
        <f t="array" ref="J67:J70">IFERROR(D67:D70/SUM(D67:D70),"x")</f>
        <v>x</v>
      </c>
      <c r="K67" s="232" t="str">
        <f t="array" ref="K67:K70">IFERROR(E67:E70/SUM(E67:E70),"x")</f>
        <v>x</v>
      </c>
      <c r="L67" s="947" t="str">
        <f t="array" ref="L67:L70">IFERROR(F67:F70/SUM(F67:F70),"x")</f>
        <v>x</v>
      </c>
      <c r="M67" s="232" t="str">
        <f t="array" ref="M67:M70">IFERROR(G67:G70/SUM(G67:G70),"x")</f>
        <v>x</v>
      </c>
    </row>
    <row r="68" spans="1:15" ht="20.100000000000001" customHeight="1" x14ac:dyDescent="0.2">
      <c r="A68" s="560"/>
      <c r="B68" s="986" t="s">
        <v>617</v>
      </c>
      <c r="C68" s="987"/>
      <c r="D68" s="994">
        <f>MROUND(D55,5)</f>
        <v>0</v>
      </c>
      <c r="E68" s="995" t="e">
        <f>MROUND(IF(L55-D55&lt;0,0,L55-D55),5)</f>
        <v>#N/A</v>
      </c>
      <c r="F68" s="994" t="e">
        <f>MROUND(F55,5)</f>
        <v>#N/A</v>
      </c>
      <c r="G68" s="995" t="e">
        <f>MROUND(IF(N55-F55&lt;0,0,N55-F55),5)</f>
        <v>#N/A</v>
      </c>
      <c r="I68" s="722" t="s">
        <v>617</v>
      </c>
      <c r="J68" s="742" t="str">
        <v>x</v>
      </c>
      <c r="K68" s="135" t="str">
        <v>x</v>
      </c>
      <c r="L68" s="742" t="str">
        <v>x</v>
      </c>
      <c r="M68" s="135" t="str">
        <v>x</v>
      </c>
    </row>
    <row r="69" spans="1:15" ht="20.100000000000001" customHeight="1" x14ac:dyDescent="0.2">
      <c r="A69" s="560"/>
      <c r="B69" s="986" t="s">
        <v>618</v>
      </c>
      <c r="C69" s="987"/>
      <c r="D69" s="994">
        <f>MROUND(D56,5)</f>
        <v>0</v>
      </c>
      <c r="E69" s="995" t="e">
        <f>MROUND(IF(L56-D56&lt;0,0,L56-D56),5)</f>
        <v>#N/A</v>
      </c>
      <c r="F69" s="994" t="e">
        <f>MROUND(F56,5)</f>
        <v>#N/A</v>
      </c>
      <c r="G69" s="995" t="e">
        <f>MROUND(IF(N56-F56&lt;0,0,N56-F56),5)</f>
        <v>#N/A</v>
      </c>
      <c r="I69" s="723" t="s">
        <v>618</v>
      </c>
      <c r="J69" s="1008" t="str">
        <v>x</v>
      </c>
      <c r="K69" s="110" t="str">
        <v>x</v>
      </c>
      <c r="L69" s="1008" t="str">
        <v>x</v>
      </c>
      <c r="M69" s="110" t="str">
        <v>x</v>
      </c>
    </row>
    <row r="70" spans="1:15" ht="20.100000000000001" customHeight="1" x14ac:dyDescent="0.2">
      <c r="A70" s="560"/>
      <c r="B70" s="988" t="s">
        <v>619</v>
      </c>
      <c r="C70" s="989"/>
      <c r="D70" s="996">
        <f>MROUND(D57,5)</f>
        <v>0</v>
      </c>
      <c r="E70" s="997" t="e">
        <f>MROUND(IF(L57-D57&lt;0,0,L57-D57),5)</f>
        <v>#N/A</v>
      </c>
      <c r="F70" s="996" t="e">
        <f>MROUND(F57,5)</f>
        <v>#N/A</v>
      </c>
      <c r="G70" s="997" t="e">
        <f>MROUND(IF(N57-F57&lt;0,0,N57-F57),5)</f>
        <v>#N/A</v>
      </c>
      <c r="I70" s="789" t="s">
        <v>619</v>
      </c>
      <c r="J70" s="733" t="str">
        <v>x</v>
      </c>
      <c r="K70" s="195" t="str">
        <v>x</v>
      </c>
      <c r="L70" s="733" t="str">
        <v>x</v>
      </c>
      <c r="M70" s="195" t="str">
        <v>x</v>
      </c>
    </row>
    <row r="71" spans="1:15" ht="20.100000000000001" customHeight="1" x14ac:dyDescent="0.2">
      <c r="A71" s="560"/>
    </row>
    <row r="72" spans="1:15" ht="20.100000000000001" customHeight="1" x14ac:dyDescent="0.2">
      <c r="A72" s="560"/>
    </row>
    <row r="73" spans="1:15" ht="50.1" customHeight="1" x14ac:dyDescent="0.2">
      <c r="A73" s="560"/>
      <c r="B73" s="159" t="s">
        <v>1229</v>
      </c>
      <c r="C73" s="59"/>
      <c r="D73" s="59"/>
      <c r="E73" s="59"/>
      <c r="F73" s="59"/>
      <c r="G73" s="59"/>
      <c r="H73" s="59"/>
      <c r="I73" s="59"/>
      <c r="J73" s="59"/>
      <c r="K73" s="59"/>
      <c r="L73" s="59"/>
      <c r="M73" s="59"/>
      <c r="N73" s="59"/>
      <c r="O73" s="59"/>
    </row>
    <row r="74" spans="1:15" ht="20.100000000000001" customHeight="1" x14ac:dyDescent="0.2">
      <c r="A74" s="560"/>
    </row>
    <row r="75" spans="1:15" ht="30" customHeight="1" x14ac:dyDescent="0.2">
      <c r="A75" s="560"/>
      <c r="B75" s="175" t="s">
        <v>1216</v>
      </c>
      <c r="C75" s="310"/>
      <c r="D75" s="310"/>
      <c r="E75" s="310"/>
      <c r="F75" s="310"/>
      <c r="G75" s="310"/>
      <c r="H75" s="310"/>
      <c r="I75" s="310"/>
      <c r="J75" s="310"/>
      <c r="K75" s="310"/>
      <c r="L75" s="310"/>
      <c r="M75" s="310"/>
      <c r="N75" s="310"/>
      <c r="O75" s="310"/>
    </row>
    <row r="76" spans="1:15" ht="20.100000000000001" customHeight="1" x14ac:dyDescent="0.2">
      <c r="A76" s="560"/>
    </row>
    <row r="77" spans="1:15" ht="20.100000000000001" customHeight="1" x14ac:dyDescent="0.2">
      <c r="A77" s="560"/>
      <c r="B77" s="1240" t="s">
        <v>1231</v>
      </c>
      <c r="C77" s="1240"/>
      <c r="D77" s="1240"/>
      <c r="E77" s="1240"/>
      <c r="F77" s="1240"/>
      <c r="G77" s="1240"/>
      <c r="I77" s="1240" t="s">
        <v>744</v>
      </c>
      <c r="J77" s="1240"/>
      <c r="K77" s="1240"/>
      <c r="L77" s="1240"/>
      <c r="M77" s="1240"/>
      <c r="N77" s="1240"/>
      <c r="O77" s="1240"/>
    </row>
    <row r="78" spans="1:15" ht="20.100000000000001" customHeight="1" x14ac:dyDescent="0.2">
      <c r="A78" s="560"/>
      <c r="I78" s="223"/>
      <c r="J78" s="223"/>
      <c r="K78" s="299">
        <v>1</v>
      </c>
      <c r="L78" s="299">
        <v>1.276</v>
      </c>
      <c r="M78" s="299">
        <v>2</v>
      </c>
      <c r="N78" s="299">
        <v>3</v>
      </c>
      <c r="O78" s="299">
        <v>4.5</v>
      </c>
    </row>
    <row r="79" spans="1:15" ht="20.100000000000001" customHeight="1" x14ac:dyDescent="0.2">
      <c r="A79" s="560"/>
      <c r="B79" s="487"/>
      <c r="C79" s="128" t="s">
        <v>83</v>
      </c>
      <c r="D79" s="117" t="s">
        <v>84</v>
      </c>
      <c r="E79" s="117" t="s">
        <v>85</v>
      </c>
      <c r="F79" s="117" t="s">
        <v>86</v>
      </c>
      <c r="G79" s="302" t="s">
        <v>87</v>
      </c>
      <c r="K79" s="1238" t="s">
        <v>752</v>
      </c>
      <c r="L79" s="1241"/>
      <c r="M79" s="1241"/>
      <c r="N79" s="1241"/>
      <c r="O79" s="1239"/>
    </row>
    <row r="80" spans="1:15" ht="20.100000000000001" customHeight="1" x14ac:dyDescent="0.2">
      <c r="A80" s="560"/>
      <c r="B80" s="483" t="s">
        <v>1230</v>
      </c>
      <c r="C80" s="859" t="e">
        <f t="array" ref="C80:G80">TRANSPOSE(income!C12:C16)</f>
        <v>#N/A</v>
      </c>
      <c r="D80" s="860" t="e">
        <v>#N/A</v>
      </c>
      <c r="E80" s="860" t="e">
        <v>#N/A</v>
      </c>
      <c r="F80" s="860" t="e">
        <v>#N/A</v>
      </c>
      <c r="G80" s="861" t="e">
        <v>#N/A</v>
      </c>
      <c r="I80" s="483" t="s">
        <v>1232</v>
      </c>
      <c r="J80" s="571" t="s">
        <v>753</v>
      </c>
      <c r="K80" s="128" t="s">
        <v>66</v>
      </c>
      <c r="L80" s="117" t="s">
        <v>749</v>
      </c>
      <c r="M80" s="117" t="s">
        <v>750</v>
      </c>
      <c r="N80" s="117" t="s">
        <v>751</v>
      </c>
      <c r="O80" s="562" t="s">
        <v>758</v>
      </c>
    </row>
    <row r="81" spans="1:15" ht="20.100000000000001" customHeight="1" x14ac:dyDescent="0.2">
      <c r="A81" s="560"/>
      <c r="H81" s="1003">
        <v>0.25</v>
      </c>
      <c r="I81" s="853" t="s">
        <v>745</v>
      </c>
      <c r="J81" s="981" t="s">
        <v>754</v>
      </c>
      <c r="K81" s="862" t="e">
        <f>ROUND(C$80*$H81/12*0.3*(1.02)^(2026-2020),0)</f>
        <v>#N/A</v>
      </c>
      <c r="L81" s="863" t="e">
        <f>ROUND(((D$80-C$80)*(L$78-1)+C$80)*$H81/12*0.3*(1.02)^(2026-2020),0)</f>
        <v>#N/A</v>
      </c>
      <c r="M81" s="863" t="e">
        <f t="shared" ref="M81:N84" si="3">ROUND(D$80*$H81/12*0.3*(1.02)^(2026-2020),0)</f>
        <v>#N/A</v>
      </c>
      <c r="N81" s="863" t="e">
        <f t="shared" si="3"/>
        <v>#N/A</v>
      </c>
      <c r="O81" s="864" t="e">
        <f>ROUND(((G$80-F$80)*(O$78-1)+F$80)*$H81/12*0.3*(1.02)^(2026-2020),0)</f>
        <v>#N/A</v>
      </c>
    </row>
    <row r="82" spans="1:15" ht="20.100000000000001" customHeight="1" x14ac:dyDescent="0.2">
      <c r="A82" s="560"/>
      <c r="H82" s="1003">
        <v>0.5</v>
      </c>
      <c r="I82" s="918" t="s">
        <v>746</v>
      </c>
      <c r="J82" s="982" t="s">
        <v>755</v>
      </c>
      <c r="K82" s="865" t="e">
        <f>ROUND(C$80*$H82/12*0.3*(1.02)^(2026-2020),0)</f>
        <v>#N/A</v>
      </c>
      <c r="L82" s="793" t="e">
        <f>ROUND(((D$80-C$80)*(L$78-1)+C$80)*$H82/12*0.3*(1.02)^(2026-2020),0)</f>
        <v>#N/A</v>
      </c>
      <c r="M82" s="793" t="e">
        <f t="shared" si="3"/>
        <v>#N/A</v>
      </c>
      <c r="N82" s="793" t="e">
        <f t="shared" si="3"/>
        <v>#N/A</v>
      </c>
      <c r="O82" s="866" t="e">
        <f>ROUND(((G$80-F$80)*(O$78-1)+F$80)*$H82/12*0.3*(1.02)^(2026-2020),0)</f>
        <v>#N/A</v>
      </c>
    </row>
    <row r="83" spans="1:15" ht="20.100000000000001" customHeight="1" x14ac:dyDescent="0.2">
      <c r="A83" s="560"/>
      <c r="H83" s="1003">
        <v>0.75</v>
      </c>
      <c r="I83" s="918" t="s">
        <v>747</v>
      </c>
      <c r="J83" s="982" t="s">
        <v>756</v>
      </c>
      <c r="K83" s="865" t="e">
        <f>ROUND(C$80*$H83/12*0.3*(1.02)^(2026-2020),0)</f>
        <v>#N/A</v>
      </c>
      <c r="L83" s="793" t="e">
        <f>ROUND(((D$80-C$80)*(L$78-1)+C$80)*$H83/12*0.3*(1.02)^(2026-2020),0)</f>
        <v>#N/A</v>
      </c>
      <c r="M83" s="793" t="e">
        <f t="shared" si="3"/>
        <v>#N/A</v>
      </c>
      <c r="N83" s="793" t="e">
        <f t="shared" si="3"/>
        <v>#N/A</v>
      </c>
      <c r="O83" s="866" t="e">
        <f>ROUND(((G$80-F$80)*(O$78-1)+F$80)*$H83/12*0.3*(1.02)^(2026-2020),0)</f>
        <v>#N/A</v>
      </c>
    </row>
    <row r="84" spans="1:15" ht="20.100000000000001" customHeight="1" x14ac:dyDescent="0.2">
      <c r="A84" s="560"/>
      <c r="H84" s="1003">
        <v>1</v>
      </c>
      <c r="I84" s="854" t="s">
        <v>748</v>
      </c>
      <c r="J84" s="983" t="s">
        <v>757</v>
      </c>
      <c r="K84" s="867" t="e">
        <f>ROUND(C$80*$H84/12*0.3*(1.02)^(2026-2020),0)</f>
        <v>#N/A</v>
      </c>
      <c r="L84" s="868" t="e">
        <f>ROUND(((D$80-C$80)*(L$78-1)+C$80)*$H84/12*0.3*(1.02)^(2026-2020),0)</f>
        <v>#N/A</v>
      </c>
      <c r="M84" s="868" t="e">
        <f t="shared" si="3"/>
        <v>#N/A</v>
      </c>
      <c r="N84" s="868" t="e">
        <f t="shared" si="3"/>
        <v>#N/A</v>
      </c>
      <c r="O84" s="869" t="e">
        <f>ROUND(((G$80-F$80)*(O$78-1)+F$80)*$H84/12*0.3*(1.02)^(2026-2020),0)</f>
        <v>#N/A</v>
      </c>
    </row>
    <row r="85" spans="1:15" x14ac:dyDescent="0.2">
      <c r="A85" s="560"/>
    </row>
    <row r="86" spans="1:15" ht="30" customHeight="1" x14ac:dyDescent="0.2">
      <c r="A86" s="560"/>
      <c r="B86" s="175" t="s">
        <v>1217</v>
      </c>
      <c r="C86" s="310"/>
      <c r="D86" s="310"/>
      <c r="E86" s="310"/>
      <c r="F86" s="310"/>
      <c r="G86" s="310"/>
      <c r="H86" s="310"/>
      <c r="I86" s="310"/>
      <c r="J86" s="310"/>
      <c r="K86" s="310"/>
      <c r="L86" s="310"/>
      <c r="M86" s="310"/>
      <c r="N86" s="310"/>
      <c r="O86" s="310"/>
    </row>
    <row r="87" spans="1:15" x14ac:dyDescent="0.2">
      <c r="A87" s="560"/>
    </row>
    <row r="88" spans="1:15" ht="20.100000000000001" customHeight="1" x14ac:dyDescent="0.2">
      <c r="A88" s="560"/>
      <c r="B88" s="1243" t="s">
        <v>1218</v>
      </c>
      <c r="C88" s="1243"/>
      <c r="D88" s="1243"/>
      <c r="E88" s="1243"/>
      <c r="F88" s="1243"/>
      <c r="G88" s="1243"/>
      <c r="H88" s="1243"/>
    </row>
    <row r="89" spans="1:15" x14ac:dyDescent="0.2">
      <c r="A89" s="560"/>
    </row>
    <row r="90" spans="1:15" ht="20.100000000000001" customHeight="1" x14ac:dyDescent="0.2">
      <c r="A90" s="560"/>
      <c r="B90" s="1268" t="s">
        <v>530</v>
      </c>
      <c r="C90" s="1270" t="s">
        <v>759</v>
      </c>
      <c r="D90" s="1234" t="s">
        <v>752</v>
      </c>
      <c r="E90" s="1257"/>
      <c r="F90" s="1257"/>
      <c r="G90" s="1257"/>
      <c r="H90" s="1235"/>
    </row>
    <row r="91" spans="1:15" ht="20.100000000000001" customHeight="1" x14ac:dyDescent="0.2">
      <c r="A91" s="560"/>
      <c r="B91" s="1269"/>
      <c r="C91" s="1271"/>
      <c r="D91" s="691" t="s">
        <v>66</v>
      </c>
      <c r="E91" s="1001" t="s">
        <v>749</v>
      </c>
      <c r="F91" s="1001" t="s">
        <v>750</v>
      </c>
      <c r="G91" s="1001" t="s">
        <v>751</v>
      </c>
      <c r="H91" s="692" t="s">
        <v>758</v>
      </c>
    </row>
    <row r="92" spans="1:15" ht="20.100000000000001" customHeight="1" x14ac:dyDescent="0.2">
      <c r="A92" s="560"/>
      <c r="B92" s="69" t="s">
        <v>745</v>
      </c>
      <c r="C92" s="1009" t="s">
        <v>760</v>
      </c>
      <c r="D92" s="794" t="str">
        <f t="array" ref="D92:H95">IFERROR(K81:O84,"x")</f>
        <v>x</v>
      </c>
      <c r="E92" s="795" t="str">
        <v>x</v>
      </c>
      <c r="F92" s="795" t="str">
        <v>x</v>
      </c>
      <c r="G92" s="795" t="str">
        <v>x</v>
      </c>
      <c r="H92" s="796" t="str">
        <v>x</v>
      </c>
    </row>
    <row r="93" spans="1:15" ht="20.100000000000001" customHeight="1" x14ac:dyDescent="0.2">
      <c r="A93" s="560"/>
      <c r="B93" s="723" t="s">
        <v>746</v>
      </c>
      <c r="C93" s="1010" t="s">
        <v>761</v>
      </c>
      <c r="D93" s="1000" t="str">
        <v>x</v>
      </c>
      <c r="E93" s="1004" t="str">
        <v>x</v>
      </c>
      <c r="F93" s="1004" t="str">
        <v>x</v>
      </c>
      <c r="G93" s="1004" t="str">
        <v>x</v>
      </c>
      <c r="H93" s="1002" t="str">
        <v>x</v>
      </c>
    </row>
    <row r="94" spans="1:15" ht="20.100000000000001" customHeight="1" x14ac:dyDescent="0.2">
      <c r="A94" s="560"/>
      <c r="B94" s="722" t="s">
        <v>747</v>
      </c>
      <c r="C94" s="1011" t="s">
        <v>762</v>
      </c>
      <c r="D94" s="791" t="str">
        <v>x</v>
      </c>
      <c r="E94" s="797" t="str">
        <v>x</v>
      </c>
      <c r="F94" s="797" t="str">
        <v>x</v>
      </c>
      <c r="G94" s="797" t="str">
        <v>x</v>
      </c>
      <c r="H94" s="792" t="str">
        <v>x</v>
      </c>
    </row>
    <row r="95" spans="1:15" ht="20.100000000000001" customHeight="1" x14ac:dyDescent="0.2">
      <c r="A95" s="560"/>
      <c r="B95" s="280" t="s">
        <v>748</v>
      </c>
      <c r="C95" s="1012" t="s">
        <v>763</v>
      </c>
      <c r="D95" s="1005" t="str">
        <v>x</v>
      </c>
      <c r="E95" s="1006" t="str">
        <v>x</v>
      </c>
      <c r="F95" s="1006" t="str">
        <v>x</v>
      </c>
      <c r="G95" s="1006" t="str">
        <v>x</v>
      </c>
      <c r="H95" s="1007" t="str">
        <v>x</v>
      </c>
    </row>
    <row r="96" spans="1:15" x14ac:dyDescent="0.2">
      <c r="A96" s="560"/>
    </row>
  </sheetData>
  <mergeCells count="31">
    <mergeCell ref="I8:N8"/>
    <mergeCell ref="K10:L10"/>
    <mergeCell ref="M10:N10"/>
    <mergeCell ref="B30:F30"/>
    <mergeCell ref="B8:G8"/>
    <mergeCell ref="D10:E10"/>
    <mergeCell ref="F10:G10"/>
    <mergeCell ref="E32:F32"/>
    <mergeCell ref="B18:G18"/>
    <mergeCell ref="D20:E20"/>
    <mergeCell ref="F20:G20"/>
    <mergeCell ref="C32:D32"/>
    <mergeCell ref="B49:G49"/>
    <mergeCell ref="D51:E51"/>
    <mergeCell ref="F51:G51"/>
    <mergeCell ref="I49:N49"/>
    <mergeCell ref="K51:L51"/>
    <mergeCell ref="M51:N51"/>
    <mergeCell ref="B62:G62"/>
    <mergeCell ref="D64:E64"/>
    <mergeCell ref="F64:G64"/>
    <mergeCell ref="J64:K64"/>
    <mergeCell ref="L64:M64"/>
    <mergeCell ref="I62:M62"/>
    <mergeCell ref="B77:G77"/>
    <mergeCell ref="D90:H90"/>
    <mergeCell ref="B90:B91"/>
    <mergeCell ref="C90:C91"/>
    <mergeCell ref="K79:O79"/>
    <mergeCell ref="I77:O77"/>
    <mergeCell ref="B88:H88"/>
  </mergeCell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sheetPr>
  <dimension ref="A1:J44"/>
  <sheetViews>
    <sheetView workbookViewId="0">
      <pane ySplit="2" topLeftCell="A3" activePane="bottomLeft" state="frozen"/>
      <selection pane="bottomLeft" activeCell="A3" sqref="A3"/>
    </sheetView>
  </sheetViews>
  <sheetFormatPr defaultColWidth="11" defaultRowHeight="14.25" x14ac:dyDescent="0.2"/>
  <sheetData>
    <row r="1" spans="1:10" ht="20.100000000000001" customHeight="1" x14ac:dyDescent="0.2">
      <c r="A1" s="2" t="s">
        <v>181</v>
      </c>
      <c r="B1" s="2" t="s">
        <v>182</v>
      </c>
      <c r="C1" s="2" t="s">
        <v>183</v>
      </c>
    </row>
    <row r="2" spans="1:10" ht="20.100000000000001" customHeight="1" x14ac:dyDescent="0.2">
      <c r="A2" s="2">
        <f>df_geo!A2</f>
        <v>1000000</v>
      </c>
      <c r="B2" s="99">
        <f>_xlfn.NUMBERVALUE(LEFT(A2,4))</f>
        <v>1000</v>
      </c>
      <c r="C2" s="2">
        <f>_xlfn.NUMBERVALUE(LEFT(B2,2))</f>
        <v>10</v>
      </c>
    </row>
    <row r="4" spans="1:10" ht="50.1" customHeight="1" x14ac:dyDescent="0.2">
      <c r="B4" s="159" t="s">
        <v>1233</v>
      </c>
      <c r="C4" s="59"/>
      <c r="D4" s="59"/>
      <c r="E4" s="59"/>
      <c r="F4" s="59"/>
      <c r="G4" s="59"/>
      <c r="H4" s="59"/>
      <c r="I4" s="59"/>
    </row>
    <row r="6" spans="1:10" ht="30" customHeight="1" x14ac:dyDescent="0.2">
      <c r="B6" s="175" t="s">
        <v>1216</v>
      </c>
      <c r="C6" s="310"/>
      <c r="D6" s="310"/>
      <c r="E6" s="310"/>
      <c r="F6" s="310"/>
      <c r="G6" s="310"/>
      <c r="H6" s="310"/>
      <c r="I6" s="310"/>
    </row>
    <row r="8" spans="1:10" ht="20.100000000000001" customHeight="1" x14ac:dyDescent="0.2">
      <c r="B8" s="1240" t="s">
        <v>653</v>
      </c>
      <c r="C8" s="1240"/>
      <c r="D8" s="1240"/>
      <c r="E8" s="1240"/>
      <c r="F8" s="1240"/>
      <c r="G8" s="1240"/>
      <c r="H8" s="1240"/>
      <c r="I8" s="1240"/>
    </row>
    <row r="9" spans="1:10" ht="20.100000000000001" customHeight="1" x14ac:dyDescent="0.2"/>
    <row r="10" spans="1:10" ht="20.100000000000001" customHeight="1" x14ac:dyDescent="0.2">
      <c r="D10" s="1238" t="s">
        <v>181</v>
      </c>
      <c r="E10" s="1239"/>
      <c r="F10" s="1238" t="s">
        <v>182</v>
      </c>
      <c r="G10" s="1239"/>
      <c r="H10" s="1238" t="s">
        <v>183</v>
      </c>
      <c r="I10" s="1239"/>
      <c r="J10" s="186"/>
    </row>
    <row r="11" spans="1:10" ht="20.100000000000001" customHeight="1" x14ac:dyDescent="0.2">
      <c r="B11" s="206" t="s">
        <v>585</v>
      </c>
      <c r="C11" s="72"/>
      <c r="D11" s="975">
        <v>2020</v>
      </c>
      <c r="E11" s="976">
        <v>2025</v>
      </c>
      <c r="F11" s="975">
        <v>2020</v>
      </c>
      <c r="G11" s="976">
        <v>2025</v>
      </c>
      <c r="H11" s="975">
        <v>2020</v>
      </c>
      <c r="I11" s="976">
        <v>2025</v>
      </c>
    </row>
    <row r="12" spans="1:10" ht="20.100000000000001" customHeight="1" x14ac:dyDescent="0.2">
      <c r="A12" s="476" t="s">
        <v>6</v>
      </c>
      <c r="B12" s="206" t="s">
        <v>650</v>
      </c>
      <c r="C12" s="72"/>
      <c r="D12" s="855" t="e">
        <f t="array" ref="D12">INDEX(df_sales!$D$2:$M$100,MATCH(1,($A$2=df_sales!$A$2:$A$100)*($A12=df_sales!$C$2:$C$100)*("median"=df_sales!$B$2:$B$100),0),MATCH(TEXT(D$11,"###0"),df_sales!$D$1:$M$1,0))</f>
        <v>#N/A</v>
      </c>
      <c r="E12" s="856" t="e">
        <f t="array" ref="E12">INDEX(df_sales!$D$2:$M$100,MATCH(1,($A$2=df_sales!$A$2:$A$100)*($A12=df_sales!$C$2:$C$100)*("median"=df_sales!$B$2:$B$100),0),MATCH(TEXT(E$11,"###0"),df_sales!$D$1:$M$1,0))</f>
        <v>#N/A</v>
      </c>
      <c r="F12" s="855" t="e">
        <f t="array" ref="F12">INDEX(df_sales!$D$2:$M$100,MATCH(1,($B$2=df_sales!$A$2:$A$100)*($A12=df_sales!$C$2:$C$100)*("median"=df_sales!$B$2:$B$100),0),MATCH(TEXT(F$11,"###0"),df_sales!$D$1:$M$1,0))</f>
        <v>#N/A</v>
      </c>
      <c r="G12" s="856" t="e">
        <f t="array" ref="G12">INDEX(df_sales!$D$2:$M$100,MATCH(1,($B$2=df_sales!$A$2:$A$100)*($A12=df_sales!$C$2:$C$100)*("median"=df_sales!$B$2:$B$100),0),MATCH(TEXT(G$11,"###0"),df_sales!$D$1:$M$1,0))</f>
        <v>#N/A</v>
      </c>
      <c r="H12" s="855" t="e">
        <f t="array" ref="H12">INDEX(df_sales!$D$2:$M$100,MATCH(1,($C$2=df_sales!$A$2:$A$100)*($A12=df_sales!$C$2:$C$100)*("median"=df_sales!$B$2:$B$100),0),MATCH(TEXT(H$11,"###0"),df_sales!$D$1:$M$1,0))</f>
        <v>#N/A</v>
      </c>
      <c r="I12" s="856" t="e">
        <f t="array" ref="I12">INDEX(df_sales!$D$2:$M$100,MATCH(1,($C$2=df_sales!$A$2:$A$100)*($A12=df_sales!$C$2:$C$100)*("median"=df_sales!$B$2:$B$100),0),MATCH(TEXT(I$11,"###0"),df_sales!$D$1:$M$1,0))</f>
        <v>#N/A</v>
      </c>
    </row>
    <row r="13" spans="1:10" ht="20.100000000000001" customHeight="1" x14ac:dyDescent="0.2">
      <c r="A13" s="476">
        <v>0</v>
      </c>
      <c r="B13" s="570" t="s">
        <v>616</v>
      </c>
      <c r="C13" s="493"/>
      <c r="D13" s="1021" t="e">
        <f t="array" ref="D13">INDEX(df_sales!$D$2:$M$100,MATCH(1,($A$2=df_sales!$A$2:$A$100)*(TEXT($A13,"##0") =df_sales!$C$2:$C$100)*("median"=df_sales!$B$2:$B$100),0),MATCH(TEXT(D$11,"###0"),df_sales!$D$1:$M$1,0))</f>
        <v>#N/A</v>
      </c>
      <c r="E13" s="1022" t="e">
        <f t="array" ref="E13">INDEX(df_sales!$D$2:$M$100,MATCH(1,($A$2=df_sales!$A$2:$A$100)*(TEXT($A13,"##0") =df_sales!$C$2:$C$100)*("median"=df_sales!$B$2:$B$100),0),MATCH(TEXT(E$11,"###0"),df_sales!$D$1:$M$1,0))</f>
        <v>#N/A</v>
      </c>
      <c r="F13" s="1021" t="e">
        <f t="array" ref="F13">INDEX(df_sales!$D$2:$M$100,MATCH(1,($B$2=df_sales!$A$2:$A$100)*(TEXT($A13,"##0") =df_sales!$C$2:$C$100)*("median"=df_sales!$B$2:$B$100),0),MATCH(TEXT(F$11,"###0"),df_sales!$D$1:$M$1,0))</f>
        <v>#N/A</v>
      </c>
      <c r="G13" s="1022" t="e">
        <f t="array" ref="G13">INDEX(df_sales!$D$2:$M$100,MATCH(1,($B$2=df_sales!$A$2:$A$100)*(TEXT($A13,"##0") =df_sales!$C$2:$C$100)*("median"=df_sales!$B$2:$B$100),0),MATCH(TEXT(G$11,"###0"),df_sales!$D$1:$M$1,0))</f>
        <v>#N/A</v>
      </c>
      <c r="H13" s="1021" t="e">
        <f t="array" ref="H13">INDEX(df_sales!$D$2:$M$100,MATCH(1,($C$2=df_sales!$A$2:$A$100)*(TEXT($A13,"##0") =df_sales!$C$2:$C$100)*("median"=df_sales!$B$2:$B$100),0),MATCH(TEXT(H$11,"###0"),df_sales!$D$1:$M$1,0))</f>
        <v>#N/A</v>
      </c>
      <c r="I13" s="1022" t="e">
        <f t="array" ref="I13">INDEX(df_sales!$D$2:$M$100,MATCH(1,($C$2=df_sales!$A$2:$A$100)*(TEXT($A13,"##0") =df_sales!$C$2:$C$100)*("median"=df_sales!$B$2:$B$100),0),MATCH(TEXT(I$11,"###0"),df_sales!$D$1:$M$1,0))</f>
        <v>#N/A</v>
      </c>
    </row>
    <row r="14" spans="1:10" ht="20.100000000000001" customHeight="1" x14ac:dyDescent="0.2">
      <c r="A14" s="476">
        <v>1</v>
      </c>
      <c r="B14" s="84" t="s">
        <v>617</v>
      </c>
      <c r="C14" s="173"/>
      <c r="D14" s="969" t="e">
        <f t="array" ref="D14">INDEX(df_sales!$D$2:$M$100,MATCH(1,($A$2=df_sales!$A$2:$A$100)*(TEXT($A14,"##0") =df_sales!$C$2:$C$100)*("median"=df_sales!$B$2:$B$100),0),MATCH(TEXT(D$11,"###0"),df_sales!$D$1:$M$1,0))</f>
        <v>#N/A</v>
      </c>
      <c r="E14" s="970" t="e">
        <f t="array" ref="E14">INDEX(df_sales!$D$2:$M$100,MATCH(1,($A$2=df_sales!$A$2:$A$100)*(TEXT($A14,"##0") =df_sales!$C$2:$C$100)*("median"=df_sales!$B$2:$B$100),0),MATCH(TEXT(E$11,"###0"),df_sales!$D$1:$M$1,0))</f>
        <v>#N/A</v>
      </c>
      <c r="F14" s="969" t="e">
        <f t="array" ref="F14">INDEX(df_sales!$D$2:$M$100,MATCH(1,($B$2=df_sales!$A$2:$A$100)*(TEXT($A14,"##0") =df_sales!$C$2:$C$100)*("median"=df_sales!$B$2:$B$100),0),MATCH(TEXT(F$11,"###0"),df_sales!$D$1:$M$1,0))</f>
        <v>#N/A</v>
      </c>
      <c r="G14" s="970" t="e">
        <f t="array" ref="G14">INDEX(df_sales!$D$2:$M$100,MATCH(1,($B$2=df_sales!$A$2:$A$100)*(TEXT($A14,"##0") =df_sales!$C$2:$C$100)*("median"=df_sales!$B$2:$B$100),0),MATCH(TEXT(G$11,"###0"),df_sales!$D$1:$M$1,0))</f>
        <v>#N/A</v>
      </c>
      <c r="H14" s="969" t="e">
        <f t="array" ref="H14">INDEX(df_sales!$D$2:$M$100,MATCH(1,($C$2=df_sales!$A$2:$A$100)*(TEXT($A14,"##0") =df_sales!$C$2:$C$100)*("median"=df_sales!$B$2:$B$100),0),MATCH(TEXT(H$11,"###0"),df_sales!$D$1:$M$1,0))</f>
        <v>#N/A</v>
      </c>
      <c r="I14" s="970" t="e">
        <f t="array" ref="I14">INDEX(df_sales!$D$2:$M$100,MATCH(1,($C$2=df_sales!$A$2:$A$100)*(TEXT($A14,"##0") =df_sales!$C$2:$C$100)*("median"=df_sales!$B$2:$B$100),0),MATCH(TEXT(I$11,"###0"),df_sales!$D$1:$M$1,0))</f>
        <v>#N/A</v>
      </c>
    </row>
    <row r="15" spans="1:10" ht="20.100000000000001" customHeight="1" x14ac:dyDescent="0.2">
      <c r="A15" s="476">
        <v>2</v>
      </c>
      <c r="B15" s="84" t="s">
        <v>618</v>
      </c>
      <c r="C15" s="173"/>
      <c r="D15" s="969" t="e">
        <f t="array" ref="D15">INDEX(df_sales!$D$2:$M$100,MATCH(1,($A$2=df_sales!$A$2:$A$100)*(TEXT($A15,"##0") =df_sales!$C$2:$C$100)*("median"=df_sales!$B$2:$B$100),0),MATCH(TEXT(D$11,"###0"),df_sales!$D$1:$M$1,0))</f>
        <v>#N/A</v>
      </c>
      <c r="E15" s="970" t="e">
        <f t="array" ref="E15">INDEX(df_sales!$D$2:$M$100,MATCH(1,($A$2=df_sales!$A$2:$A$100)*(TEXT($A15,"##0") =df_sales!$C$2:$C$100)*("median"=df_sales!$B$2:$B$100),0),MATCH(TEXT(E$11,"###0"),df_sales!$D$1:$M$1,0))</f>
        <v>#N/A</v>
      </c>
      <c r="F15" s="969" t="e">
        <f t="array" ref="F15">INDEX(df_sales!$D$2:$M$100,MATCH(1,($B$2=df_sales!$A$2:$A$100)*(TEXT($A15,"##0") =df_sales!$C$2:$C$100)*("median"=df_sales!$B$2:$B$100),0),MATCH(TEXT(F$11,"###0"),df_sales!$D$1:$M$1,0))</f>
        <v>#N/A</v>
      </c>
      <c r="G15" s="970" t="e">
        <f t="array" ref="G15">INDEX(df_sales!$D$2:$M$100,MATCH(1,($B$2=df_sales!$A$2:$A$100)*(TEXT($A15,"##0") =df_sales!$C$2:$C$100)*("median"=df_sales!$B$2:$B$100),0),MATCH(TEXT(G$11,"###0"),df_sales!$D$1:$M$1,0))</f>
        <v>#N/A</v>
      </c>
      <c r="H15" s="969" t="e">
        <f t="array" ref="H15">INDEX(df_sales!$D$2:$M$100,MATCH(1,($C$2=df_sales!$A$2:$A$100)*(TEXT($A15,"##0") =df_sales!$C$2:$C$100)*("median"=df_sales!$B$2:$B$100),0),MATCH(TEXT(H$11,"###0"),df_sales!$D$1:$M$1,0))</f>
        <v>#N/A</v>
      </c>
      <c r="I15" s="970" t="e">
        <f t="array" ref="I15">INDEX(df_sales!$D$2:$M$100,MATCH(1,($C$2=df_sales!$A$2:$A$100)*(TEXT($A15,"##0") =df_sales!$C$2:$C$100)*("median"=df_sales!$B$2:$B$100),0),MATCH(TEXT(I$11,"###0"),df_sales!$D$1:$M$1,0))</f>
        <v>#N/A</v>
      </c>
    </row>
    <row r="16" spans="1:10" ht="20.100000000000001" customHeight="1" x14ac:dyDescent="0.2">
      <c r="A16" s="476">
        <v>3</v>
      </c>
      <c r="B16" s="569" t="s">
        <v>619</v>
      </c>
      <c r="C16" s="494"/>
      <c r="D16" s="1013" t="e">
        <f t="array" ref="D16">INDEX(df_sales!$D$2:$M$100,MATCH(1,($A$2=df_sales!$A$2:$A$100)*(TEXT($A16,"##0") =df_sales!$C$2:$C$100)*("median"=df_sales!$B$2:$B$100),0),MATCH(TEXT(D$11,"###0"),df_sales!$D$1:$M$1,0))</f>
        <v>#N/A</v>
      </c>
      <c r="E16" s="1014" t="e">
        <f t="array" ref="E16">INDEX(df_sales!$D$2:$M$100,MATCH(1,($A$2=df_sales!$A$2:$A$100)*(TEXT($A16,"##0") =df_sales!$C$2:$C$100)*("median"=df_sales!$B$2:$B$100),0),MATCH(TEXT(E$11,"###0"),df_sales!$D$1:$M$1,0))</f>
        <v>#N/A</v>
      </c>
      <c r="F16" s="1013" t="e">
        <f t="array" ref="F16">INDEX(df_sales!$D$2:$M$100,MATCH(1,($B$2=df_sales!$A$2:$A$100)*(TEXT($A16,"##0") =df_sales!$C$2:$C$100)*("median"=df_sales!$B$2:$B$100),0),MATCH(TEXT(F$11,"###0"),df_sales!$D$1:$M$1,0))</f>
        <v>#N/A</v>
      </c>
      <c r="G16" s="1014" t="e">
        <f t="array" ref="G16">INDEX(df_sales!$D$2:$M$100,MATCH(1,($B$2=df_sales!$A$2:$A$100)*(TEXT($A16,"##0") =df_sales!$C$2:$C$100)*("median"=df_sales!$B$2:$B$100),0),MATCH(TEXT(G$11,"###0"),df_sales!$D$1:$M$1,0))</f>
        <v>#N/A</v>
      </c>
      <c r="H16" s="1013" t="e">
        <f t="array" ref="H16">INDEX(df_sales!$D$2:$M$100,MATCH(1,($C$2=df_sales!$A$2:$A$100)*(TEXT($A16,"##0") =df_sales!$C$2:$C$100)*("median"=df_sales!$B$2:$B$100),0),MATCH(TEXT(H$11,"###0"),df_sales!$D$1:$M$1,0))</f>
        <v>#N/A</v>
      </c>
      <c r="I16" s="1014" t="e">
        <f t="array" ref="I16">INDEX(df_sales!$D$2:$M$100,MATCH(1,($C$2=df_sales!$A$2:$A$100)*(TEXT($A16,"##0") =df_sales!$C$2:$C$100)*("median"=df_sales!$B$2:$B$100),0),MATCH(TEXT(I$11,"###0"),df_sales!$D$1:$M$1,0))</f>
        <v>#N/A</v>
      </c>
    </row>
    <row r="17" spans="1:10" ht="20.100000000000001" customHeight="1" x14ac:dyDescent="0.2"/>
    <row r="18" spans="1:10" ht="20.100000000000001" customHeight="1" x14ac:dyDescent="0.2">
      <c r="B18" s="1240" t="s">
        <v>654</v>
      </c>
      <c r="C18" s="1240"/>
      <c r="D18" s="1240"/>
      <c r="E18" s="1240"/>
      <c r="F18" s="1240"/>
      <c r="G18" s="1240"/>
      <c r="H18" s="1240"/>
      <c r="I18" s="1240"/>
    </row>
    <row r="19" spans="1:10" ht="20.100000000000001" customHeight="1" x14ac:dyDescent="0.2"/>
    <row r="20" spans="1:10" ht="20.100000000000001" customHeight="1" x14ac:dyDescent="0.2">
      <c r="D20" s="1238" t="s">
        <v>181</v>
      </c>
      <c r="E20" s="1239"/>
      <c r="F20" s="1238" t="s">
        <v>182</v>
      </c>
      <c r="G20" s="1239"/>
      <c r="H20" s="1238" t="s">
        <v>183</v>
      </c>
      <c r="I20" s="1239"/>
      <c r="J20" s="186"/>
    </row>
    <row r="21" spans="1:10" ht="20.100000000000001" customHeight="1" x14ac:dyDescent="0.2">
      <c r="B21" s="206" t="s">
        <v>585</v>
      </c>
      <c r="C21" s="72"/>
      <c r="D21" s="975">
        <v>2020</v>
      </c>
      <c r="E21" s="976">
        <v>2025</v>
      </c>
      <c r="F21" s="975">
        <v>2020</v>
      </c>
      <c r="G21" s="976">
        <v>2025</v>
      </c>
      <c r="H21" s="975">
        <v>2020</v>
      </c>
      <c r="I21" s="976">
        <v>2025</v>
      </c>
    </row>
    <row r="22" spans="1:10" ht="20.100000000000001" customHeight="1" x14ac:dyDescent="0.2">
      <c r="A22" s="476" t="s">
        <v>6</v>
      </c>
      <c r="B22" s="206" t="s">
        <v>650</v>
      </c>
      <c r="C22" s="72"/>
      <c r="D22" s="855" t="e">
        <f t="array" ref="D22">IF(INDEX(df_sales!$D$2:$M$100,MATCH(1,($A$2=df_sales!$A$2:$A$100)*(TEXT($A22,"##0") =df_sales!$C$2:$C$100)*("average"=df_sales!$B$2:$B$100),0),MATCH(TEXT(D$11,"###0"),df_sales!$D$1:$M$1,0))=0,NA(),INDEX(df_sales!$D$2:$M$100,MATCH(1,($A$2=df_sales!$A$2:$A$100)*(TEXT($A22,"##0") =df_sales!$C$2:$C$100)*("average"=df_sales!$B$2:$B$100),0),MATCH(TEXT(D$11,"###0"),df_sales!$D$1:$M$1,0)))</f>
        <v>#N/A</v>
      </c>
      <c r="E22" s="856" t="e">
        <f t="array" ref="E22">IF(INDEX(df_sales!$D$2:$M$100,MATCH(1,($A$2=df_sales!$A$2:$A$100)*(TEXT($A22,"##0") =df_sales!$C$2:$C$100)*("average"=df_sales!$B$2:$B$100),0),MATCH(TEXT(E$11,"###0"),df_sales!$D$1:$M$1,0))=0,NA(),INDEX(df_sales!$D$2:$M$100,MATCH(1,($A$2=df_sales!$A$2:$A$100)*(TEXT($A22,"##0") =df_sales!$C$2:$C$100)*("average"=df_sales!$B$2:$B$100),0),MATCH(TEXT(E$11,"###0"),df_sales!$D$1:$M$1,0)))</f>
        <v>#N/A</v>
      </c>
      <c r="F22" s="855" t="e">
        <f t="array" ref="F22">IF(INDEX(df_sales!$D$2:$M$100,MATCH(1,($B$2=df_sales!$A$2:$A$100)*(TEXT($A22,"##0") =df_sales!$C$2:$C$100)*("average"=df_sales!$B$2:$B$100),0),MATCH(TEXT(F$11,"###0"),df_sales!$D$1:$M$1,0))=0,NA(),INDEX(df_sales!$D$2:$M$100,MATCH(1,($B$2=df_sales!$A$2:$A$100)*(TEXT($A22,"##0") =df_sales!$C$2:$C$100)*("average"=df_sales!$B$2:$B$100),0),MATCH(TEXT(F$11,"###0"),df_sales!$D$1:$M$1,0)))</f>
        <v>#N/A</v>
      </c>
      <c r="G22" s="856" t="e">
        <f t="array" ref="G22">IF(INDEX(df_sales!$D$2:$M$100,MATCH(1,($B$2=df_sales!$A$2:$A$100)*(TEXT($A22,"##0") =df_sales!$C$2:$C$100)*("average"=df_sales!$B$2:$B$100),0),MATCH(TEXT(G$11,"###0"),df_sales!$D$1:$M$1,0))=0,NA(),INDEX(df_sales!$D$2:$M$100,MATCH(1,($B$2=df_sales!$A$2:$A$100)*(TEXT($A22,"##0") =df_sales!$C$2:$C$100)*("average"=df_sales!$B$2:$B$100),0),MATCH(TEXT(G$11,"###0"),df_sales!$D$1:$M$1,0)))</f>
        <v>#N/A</v>
      </c>
      <c r="H22" s="855" t="e">
        <f t="array" ref="H22">IF(INDEX(df_sales!$D$2:$M$100,MATCH(1,($C$2=df_sales!$A$2:$A$100)*(TEXT($A22,"##0") =df_sales!$C$2:$C$100)*("average"=df_sales!$B$2:$B$100),0),MATCH(TEXT(H$11,"###0"),df_sales!$D$1:$M$1,0))=0,NA(),INDEX(df_sales!$D$2:$M$100,MATCH(1,($C$2=df_sales!$A$2:$A$100)*(TEXT($A22,"##0") =df_sales!$C$2:$C$100)*("average"=df_sales!$B$2:$B$100),0),MATCH(TEXT(H$11,"###0"),df_sales!$D$1:$M$1,0)))</f>
        <v>#N/A</v>
      </c>
      <c r="I22" s="856" t="e">
        <f t="array" ref="I22">IF(INDEX(df_sales!$D$2:$M$100,MATCH(1,($C$2=df_sales!$A$2:$A$100)*(TEXT($A22,"##0") =df_sales!$C$2:$C$100)*("average"=df_sales!$B$2:$B$100),0),MATCH(TEXT(I$11,"###0"),df_sales!$D$1:$M$1,0))=0,NA(),INDEX(df_sales!$D$2:$M$100,MATCH(1,($C$2=df_sales!$A$2:$A$100)*(TEXT($A22,"##0") =df_sales!$C$2:$C$100)*("average"=df_sales!$B$2:$B$100),0),MATCH(TEXT(I$11,"###0"),df_sales!$D$1:$M$1,0)))</f>
        <v>#N/A</v>
      </c>
    </row>
    <row r="23" spans="1:10" ht="20.100000000000001" customHeight="1" x14ac:dyDescent="0.2">
      <c r="A23" s="476">
        <v>0</v>
      </c>
      <c r="B23" s="570" t="s">
        <v>616</v>
      </c>
      <c r="C23" s="493"/>
      <c r="D23" s="1021" t="e">
        <f t="array" ref="D23">IF(INDEX(df_sales!$D$2:$M$100,MATCH(1,($A$2=df_sales!$A$2:$A$100)*(TEXT($A23,"##0") =df_sales!$C$2:$C$100)*("average"=df_sales!$B$2:$B$100),0),MATCH(TEXT(D$11,"###0"),df_sales!$D$1:$M$1,0))=0,NA(),INDEX(df_sales!$D$2:$M$100,MATCH(1,($A$2=df_sales!$A$2:$A$100)*(TEXT($A23,"##0") =df_sales!$C$2:$C$100)*("average"=df_sales!$B$2:$B$100),0),MATCH(TEXT(D$11,"###0"),df_sales!$D$1:$M$1,0)))</f>
        <v>#N/A</v>
      </c>
      <c r="E23" s="1022" t="e">
        <f t="array" ref="E23">IF(INDEX(df_sales!$D$2:$M$100,MATCH(1,($A$2=df_sales!$A$2:$A$100)*(TEXT($A23,"##0") =df_sales!$C$2:$C$100)*("average"=df_sales!$B$2:$B$100),0),MATCH(TEXT(E$11,"###0"),df_sales!$D$1:$M$1,0))=0,NA(),INDEX(df_sales!$D$2:$M$100,MATCH(1,($A$2=df_sales!$A$2:$A$100)*(TEXT($A23,"##0") =df_sales!$C$2:$C$100)*("average"=df_sales!$B$2:$B$100),0),MATCH(TEXT(E$11,"###0"),df_sales!$D$1:$M$1,0)))</f>
        <v>#N/A</v>
      </c>
      <c r="F23" s="1021" t="e">
        <f t="array" ref="F23">IF(INDEX(df_sales!$D$2:$M$100,MATCH(1,($B$2=df_sales!$A$2:$A$100)*(TEXT($A23,"##0") =df_sales!$C$2:$C$100)*("average"=df_sales!$B$2:$B$100),0),MATCH(TEXT(F$11,"###0"),df_sales!$D$1:$M$1,0))=0,NA(),INDEX(df_sales!$D$2:$M$100,MATCH(1,($B$2=df_sales!$A$2:$A$100)*(TEXT($A23,"##0") =df_sales!$C$2:$C$100)*("average"=df_sales!$B$2:$B$100),0),MATCH(TEXT(F$11,"###0"),df_sales!$D$1:$M$1,0)))</f>
        <v>#N/A</v>
      </c>
      <c r="G23" s="1022" t="e">
        <f t="array" ref="G23">IF(INDEX(df_sales!$D$2:$M$100,MATCH(1,($B$2=df_sales!$A$2:$A$100)*(TEXT($A23,"##0") =df_sales!$C$2:$C$100)*("average"=df_sales!$B$2:$B$100),0),MATCH(TEXT(G$11,"###0"),df_sales!$D$1:$M$1,0))=0,NA(),INDEX(df_sales!$D$2:$M$100,MATCH(1,($B$2=df_sales!$A$2:$A$100)*(TEXT($A23,"##0") =df_sales!$C$2:$C$100)*("average"=df_sales!$B$2:$B$100),0),MATCH(TEXT(G$11,"###0"),df_sales!$D$1:$M$1,0)))</f>
        <v>#N/A</v>
      </c>
      <c r="H23" s="1021" t="e">
        <f t="array" ref="H23">IF(INDEX(df_sales!$D$2:$M$100,MATCH(1,($C$2=df_sales!$A$2:$A$100)*(TEXT($A23,"##0") =df_sales!$C$2:$C$100)*("average"=df_sales!$B$2:$B$100),0),MATCH(TEXT(H$11,"###0"),df_sales!$D$1:$M$1,0))=0,NA(),INDEX(df_sales!$D$2:$M$100,MATCH(1,($C$2=df_sales!$A$2:$A$100)*(TEXT($A23,"##0") =df_sales!$C$2:$C$100)*("average"=df_sales!$B$2:$B$100),0),MATCH(TEXT(H$11,"###0"),df_sales!$D$1:$M$1,0)))</f>
        <v>#N/A</v>
      </c>
      <c r="I23" s="1022" t="e">
        <f t="array" ref="I23">IF(INDEX(df_sales!$D$2:$M$100,MATCH(1,($C$2=df_sales!$A$2:$A$100)*(TEXT($A23,"##0") =df_sales!$C$2:$C$100)*("average"=df_sales!$B$2:$B$100),0),MATCH(TEXT(I$11,"###0"),df_sales!$D$1:$M$1,0))=0,NA(),INDEX(df_sales!$D$2:$M$100,MATCH(1,($C$2=df_sales!$A$2:$A$100)*(TEXT($A23,"##0") =df_sales!$C$2:$C$100)*("average"=df_sales!$B$2:$B$100),0),MATCH(TEXT(I$11,"###0"),df_sales!$D$1:$M$1,0)))</f>
        <v>#N/A</v>
      </c>
    </row>
    <row r="24" spans="1:10" ht="20.100000000000001" customHeight="1" x14ac:dyDescent="0.2">
      <c r="A24" s="476">
        <v>1</v>
      </c>
      <c r="B24" s="84" t="s">
        <v>617</v>
      </c>
      <c r="C24" s="173"/>
      <c r="D24" s="969" t="e">
        <f t="array" ref="D24">IF(INDEX(df_sales!$D$2:$M$100,MATCH(1,($A$2=df_sales!$A$2:$A$100)*(TEXT($A24,"##0") =df_sales!$C$2:$C$100)*("average"=df_sales!$B$2:$B$100),0),MATCH(TEXT(D$11,"###0"),df_sales!$D$1:$M$1,0))=0,NA(),INDEX(df_sales!$D$2:$M$100,MATCH(1,($A$2=df_sales!$A$2:$A$100)*(TEXT($A24,"##0") =df_sales!$C$2:$C$100)*("average"=df_sales!$B$2:$B$100),0),MATCH(TEXT(D$11,"###0"),df_sales!$D$1:$M$1,0)))</f>
        <v>#N/A</v>
      </c>
      <c r="E24" s="970" t="e">
        <f t="array" ref="E24">IF(INDEX(df_sales!$D$2:$M$100,MATCH(1,($A$2=df_sales!$A$2:$A$100)*(TEXT($A24,"##0") =df_sales!$C$2:$C$100)*("average"=df_sales!$B$2:$B$100),0),MATCH(TEXT(E$11,"###0"),df_sales!$D$1:$M$1,0))=0,NA(),INDEX(df_sales!$D$2:$M$100,MATCH(1,($A$2=df_sales!$A$2:$A$100)*(TEXT($A24,"##0") =df_sales!$C$2:$C$100)*("average"=df_sales!$B$2:$B$100),0),MATCH(TEXT(E$11,"###0"),df_sales!$D$1:$M$1,0)))</f>
        <v>#N/A</v>
      </c>
      <c r="F24" s="969" t="e">
        <f t="array" ref="F24">IF(INDEX(df_sales!$D$2:$M$100,MATCH(1,($B$2=df_sales!$A$2:$A$100)*(TEXT($A24,"##0") =df_sales!$C$2:$C$100)*("average"=df_sales!$B$2:$B$100),0),MATCH(TEXT(F$11,"###0"),df_sales!$D$1:$M$1,0))=0,NA(),INDEX(df_sales!$D$2:$M$100,MATCH(1,($B$2=df_sales!$A$2:$A$100)*(TEXT($A24,"##0") =df_sales!$C$2:$C$100)*("average"=df_sales!$B$2:$B$100),0),MATCH(TEXT(F$11,"###0"),df_sales!$D$1:$M$1,0)))</f>
        <v>#N/A</v>
      </c>
      <c r="G24" s="970" t="e">
        <f t="array" ref="G24">IF(INDEX(df_sales!$D$2:$M$100,MATCH(1,($B$2=df_sales!$A$2:$A$100)*(TEXT($A24,"##0") =df_sales!$C$2:$C$100)*("average"=df_sales!$B$2:$B$100),0),MATCH(TEXT(G$11,"###0"),df_sales!$D$1:$M$1,0))=0,NA(),INDEX(df_sales!$D$2:$M$100,MATCH(1,($B$2=df_sales!$A$2:$A$100)*(TEXT($A24,"##0") =df_sales!$C$2:$C$100)*("average"=df_sales!$B$2:$B$100),0),MATCH(TEXT(G$11,"###0"),df_sales!$D$1:$M$1,0)))</f>
        <v>#N/A</v>
      </c>
      <c r="H24" s="969" t="e">
        <f t="array" ref="H24">IF(INDEX(df_sales!$D$2:$M$100,MATCH(1,($C$2=df_sales!$A$2:$A$100)*(TEXT($A24,"##0") =df_sales!$C$2:$C$100)*("average"=df_sales!$B$2:$B$100),0),MATCH(TEXT(H$11,"###0"),df_sales!$D$1:$M$1,0))=0,NA(),INDEX(df_sales!$D$2:$M$100,MATCH(1,($C$2=df_sales!$A$2:$A$100)*(TEXT($A24,"##0") =df_sales!$C$2:$C$100)*("average"=df_sales!$B$2:$B$100),0),MATCH(TEXT(H$11,"###0"),df_sales!$D$1:$M$1,0)))</f>
        <v>#N/A</v>
      </c>
      <c r="I24" s="970" t="e">
        <f t="array" ref="I24">IF(INDEX(df_sales!$D$2:$M$100,MATCH(1,($C$2=df_sales!$A$2:$A$100)*(TEXT($A24,"##0") =df_sales!$C$2:$C$100)*("average"=df_sales!$B$2:$B$100),0),MATCH(TEXT(I$11,"###0"),df_sales!$D$1:$M$1,0))=0,NA(),INDEX(df_sales!$D$2:$M$100,MATCH(1,($C$2=df_sales!$A$2:$A$100)*(TEXT($A24,"##0") =df_sales!$C$2:$C$100)*("average"=df_sales!$B$2:$B$100),0),MATCH(TEXT(I$11,"###0"),df_sales!$D$1:$M$1,0)))</f>
        <v>#N/A</v>
      </c>
    </row>
    <row r="25" spans="1:10" ht="20.100000000000001" customHeight="1" x14ac:dyDescent="0.2">
      <c r="A25" s="476">
        <v>2</v>
      </c>
      <c r="B25" s="84" t="s">
        <v>618</v>
      </c>
      <c r="C25" s="173"/>
      <c r="D25" s="969" t="e">
        <f t="array" ref="D25">IF(INDEX(df_sales!$D$2:$M$100,MATCH(1,($A$2=df_sales!$A$2:$A$100)*(TEXT($A25,"##0") =df_sales!$C$2:$C$100)*("average"=df_sales!$B$2:$B$100),0),MATCH(TEXT(D$11,"###0"),df_sales!$D$1:$M$1,0))=0,NA(),INDEX(df_sales!$D$2:$M$100,MATCH(1,($A$2=df_sales!$A$2:$A$100)*(TEXT($A25,"##0") =df_sales!$C$2:$C$100)*("average"=df_sales!$B$2:$B$100),0),MATCH(TEXT(D$11,"###0"),df_sales!$D$1:$M$1,0)))</f>
        <v>#N/A</v>
      </c>
      <c r="E25" s="970" t="e">
        <f t="array" ref="E25">IF(INDEX(df_sales!$D$2:$M$100,MATCH(1,($A$2=df_sales!$A$2:$A$100)*(TEXT($A25,"##0") =df_sales!$C$2:$C$100)*("average"=df_sales!$B$2:$B$100),0),MATCH(TEXT(E$11,"###0"),df_sales!$D$1:$M$1,0))=0,NA(),INDEX(df_sales!$D$2:$M$100,MATCH(1,($A$2=df_sales!$A$2:$A$100)*(TEXT($A25,"##0") =df_sales!$C$2:$C$100)*("average"=df_sales!$B$2:$B$100),0),MATCH(TEXT(E$11,"###0"),df_sales!$D$1:$M$1,0)))</f>
        <v>#N/A</v>
      </c>
      <c r="F25" s="969" t="e">
        <f t="array" ref="F25">IF(INDEX(df_sales!$D$2:$M$100,MATCH(1,($B$2=df_sales!$A$2:$A$100)*(TEXT($A25,"##0") =df_sales!$C$2:$C$100)*("average"=df_sales!$B$2:$B$100),0),MATCH(TEXT(F$11,"###0"),df_sales!$D$1:$M$1,0))=0,NA(),INDEX(df_sales!$D$2:$M$100,MATCH(1,($B$2=df_sales!$A$2:$A$100)*(TEXT($A25,"##0") =df_sales!$C$2:$C$100)*("average"=df_sales!$B$2:$B$100),0),MATCH(TEXT(F$11,"###0"),df_sales!$D$1:$M$1,0)))</f>
        <v>#N/A</v>
      </c>
      <c r="G25" s="970" t="e">
        <f t="array" ref="G25">IF(INDEX(df_sales!$D$2:$M$100,MATCH(1,($B$2=df_sales!$A$2:$A$100)*(TEXT($A25,"##0") =df_sales!$C$2:$C$100)*("average"=df_sales!$B$2:$B$100),0),MATCH(TEXT(G$11,"###0"),df_sales!$D$1:$M$1,0))=0,NA(),INDEX(df_sales!$D$2:$M$100,MATCH(1,($B$2=df_sales!$A$2:$A$100)*(TEXT($A25,"##0") =df_sales!$C$2:$C$100)*("average"=df_sales!$B$2:$B$100),0),MATCH(TEXT(G$11,"###0"),df_sales!$D$1:$M$1,0)))</f>
        <v>#N/A</v>
      </c>
      <c r="H25" s="969" t="e">
        <f t="array" ref="H25">IF(INDEX(df_sales!$D$2:$M$100,MATCH(1,($C$2=df_sales!$A$2:$A$100)*(TEXT($A25,"##0") =df_sales!$C$2:$C$100)*("average"=df_sales!$B$2:$B$100),0),MATCH(TEXT(H$11,"###0"),df_sales!$D$1:$M$1,0))=0,NA(),INDEX(df_sales!$D$2:$M$100,MATCH(1,($C$2=df_sales!$A$2:$A$100)*(TEXT($A25,"##0") =df_sales!$C$2:$C$100)*("average"=df_sales!$B$2:$B$100),0),MATCH(TEXT(H$11,"###0"),df_sales!$D$1:$M$1,0)))</f>
        <v>#N/A</v>
      </c>
      <c r="I25" s="970" t="e">
        <f t="array" ref="I25">IF(INDEX(df_sales!$D$2:$M$100,MATCH(1,($C$2=df_sales!$A$2:$A$100)*(TEXT($A25,"##0") =df_sales!$C$2:$C$100)*("average"=df_sales!$B$2:$B$100),0),MATCH(TEXT(I$11,"###0"),df_sales!$D$1:$M$1,0))=0,NA(),INDEX(df_sales!$D$2:$M$100,MATCH(1,($C$2=df_sales!$A$2:$A$100)*(TEXT($A25,"##0") =df_sales!$C$2:$C$100)*("average"=df_sales!$B$2:$B$100),0),MATCH(TEXT(I$11,"###0"),df_sales!$D$1:$M$1,0)))</f>
        <v>#N/A</v>
      </c>
    </row>
    <row r="26" spans="1:10" ht="20.100000000000001" customHeight="1" x14ac:dyDescent="0.2">
      <c r="A26" s="476">
        <v>3</v>
      </c>
      <c r="B26" s="569" t="s">
        <v>619</v>
      </c>
      <c r="C26" s="494"/>
      <c r="D26" s="1013" t="e">
        <f t="array" ref="D26">IF(INDEX(df_sales!$D$2:$M$100,MATCH(1,($A$2=df_sales!$A$2:$A$100)*(TEXT($A26,"##0") =df_sales!$C$2:$C$100)*("average"=df_sales!$B$2:$B$100),0),MATCH(TEXT(D$11,"###0"),df_sales!$D$1:$M$1,0))=0,NA(),INDEX(df_sales!$D$2:$M$100,MATCH(1,($A$2=df_sales!$A$2:$A$100)*(TEXT($A26,"##0") =df_sales!$C$2:$C$100)*("average"=df_sales!$B$2:$B$100),0),MATCH(TEXT(D$11,"###0"),df_sales!$D$1:$M$1,0)))</f>
        <v>#N/A</v>
      </c>
      <c r="E26" s="1014" t="e">
        <f t="array" ref="E26">IF(INDEX(df_sales!$D$2:$M$100,MATCH(1,($A$2=df_sales!$A$2:$A$100)*(TEXT($A26,"##0") =df_sales!$C$2:$C$100)*("average"=df_sales!$B$2:$B$100),0),MATCH(TEXT(E$11,"###0"),df_sales!$D$1:$M$1,0))=0,NA(),INDEX(df_sales!$D$2:$M$100,MATCH(1,($A$2=df_sales!$A$2:$A$100)*(TEXT($A26,"##0") =df_sales!$C$2:$C$100)*("average"=df_sales!$B$2:$B$100),0),MATCH(TEXT(E$11,"###0"),df_sales!$D$1:$M$1,0)))</f>
        <v>#N/A</v>
      </c>
      <c r="F26" s="1013" t="e">
        <f t="array" ref="F26">IF(INDEX(df_sales!$D$2:$M$100,MATCH(1,($B$2=df_sales!$A$2:$A$100)*(TEXT($A26,"##0") =df_sales!$C$2:$C$100)*("average"=df_sales!$B$2:$B$100),0),MATCH(TEXT(F$11,"###0"),df_sales!$D$1:$M$1,0))=0,NA(),INDEX(df_sales!$D$2:$M$100,MATCH(1,($B$2=df_sales!$A$2:$A$100)*(TEXT($A26,"##0") =df_sales!$C$2:$C$100)*("average"=df_sales!$B$2:$B$100),0),MATCH(TEXT(F$11,"###0"),df_sales!$D$1:$M$1,0)))</f>
        <v>#N/A</v>
      </c>
      <c r="G26" s="1014" t="e">
        <f t="array" ref="G26">IF(INDEX(df_sales!$D$2:$M$100,MATCH(1,($B$2=df_sales!$A$2:$A$100)*(TEXT($A26,"##0") =df_sales!$C$2:$C$100)*("average"=df_sales!$B$2:$B$100),0),MATCH(TEXT(G$11,"###0"),df_sales!$D$1:$M$1,0))=0,NA(),INDEX(df_sales!$D$2:$M$100,MATCH(1,($B$2=df_sales!$A$2:$A$100)*(TEXT($A26,"##0") =df_sales!$C$2:$C$100)*("average"=df_sales!$B$2:$B$100),0),MATCH(TEXT(G$11,"###0"),df_sales!$D$1:$M$1,0)))</f>
        <v>#N/A</v>
      </c>
      <c r="H26" s="1013" t="e">
        <f t="array" ref="H26">IF(INDEX(df_sales!$D$2:$M$100,MATCH(1,($C$2=df_sales!$A$2:$A$100)*(TEXT($A26,"##0") =df_sales!$C$2:$C$100)*("average"=df_sales!$B$2:$B$100),0),MATCH(TEXT(H$11,"###0"),df_sales!$D$1:$M$1,0))=0,NA(),INDEX(df_sales!$D$2:$M$100,MATCH(1,($C$2=df_sales!$A$2:$A$100)*(TEXT($A26,"##0") =df_sales!$C$2:$C$100)*("average"=df_sales!$B$2:$B$100),0),MATCH(TEXT(H$11,"###0"),df_sales!$D$1:$M$1,0)))</f>
        <v>#N/A</v>
      </c>
      <c r="I26" s="1014" t="e">
        <f t="array" ref="I26">IF(INDEX(df_sales!$D$2:$M$100,MATCH(1,($C$2=df_sales!$A$2:$A$100)*(TEXT($A26,"##0") =df_sales!$C$2:$C$100)*("average"=df_sales!$B$2:$B$100),0),MATCH(TEXT(I$11,"###0"),df_sales!$D$1:$M$1,0))=0,NA(),INDEX(df_sales!$D$2:$M$100,MATCH(1,($C$2=df_sales!$A$2:$A$100)*(TEXT($A26,"##0") =df_sales!$C$2:$C$100)*("average"=df_sales!$B$2:$B$100),0),MATCH(TEXT(I$11,"###0"),df_sales!$D$1:$M$1,0)))</f>
        <v>#N/A</v>
      </c>
    </row>
    <row r="28" spans="1:10" ht="30" customHeight="1" x14ac:dyDescent="0.2">
      <c r="B28" s="175" t="s">
        <v>1217</v>
      </c>
      <c r="C28" s="310"/>
      <c r="D28" s="310"/>
      <c r="E28" s="310"/>
      <c r="F28" s="310"/>
      <c r="G28" s="310"/>
      <c r="H28" s="310"/>
      <c r="I28" s="310"/>
    </row>
    <row r="30" spans="1:10" ht="20.25" customHeight="1" x14ac:dyDescent="0.2">
      <c r="B30" s="1258" t="s">
        <v>1218</v>
      </c>
      <c r="C30" s="1258"/>
      <c r="D30" s="1258"/>
      <c r="E30" s="1258"/>
      <c r="F30" s="1258"/>
      <c r="G30" s="1258"/>
      <c r="H30" s="1258"/>
    </row>
    <row r="32" spans="1:10" ht="20.100000000000001" customHeight="1" x14ac:dyDescent="0.2">
      <c r="B32" s="613"/>
      <c r="C32" s="1234" t="s">
        <v>187</v>
      </c>
      <c r="D32" s="1235"/>
      <c r="E32" s="1234" t="s">
        <v>188</v>
      </c>
      <c r="F32" s="1235"/>
      <c r="G32" s="1234" t="s">
        <v>189</v>
      </c>
      <c r="H32" s="1235"/>
    </row>
    <row r="33" spans="2:9" ht="20.100000000000001" customHeight="1" x14ac:dyDescent="0.2">
      <c r="B33" s="68" t="s">
        <v>585</v>
      </c>
      <c r="C33" s="691" t="s">
        <v>657</v>
      </c>
      <c r="D33" s="1001" t="s">
        <v>656</v>
      </c>
      <c r="E33" s="691" t="s">
        <v>657</v>
      </c>
      <c r="F33" s="1001" t="s">
        <v>656</v>
      </c>
      <c r="G33" s="691" t="s">
        <v>657</v>
      </c>
      <c r="H33" s="692" t="s">
        <v>656</v>
      </c>
    </row>
    <row r="34" spans="2:9" ht="20.100000000000001" customHeight="1" x14ac:dyDescent="0.2">
      <c r="B34" s="97" t="s">
        <v>37</v>
      </c>
      <c r="C34" s="798" t="str">
        <f>IFERROR(IF(E22=0,"x",MROUND(E22,100)),"x")</f>
        <v>x</v>
      </c>
      <c r="D34" s="31" t="str">
        <f>IFERROR(IF(E22/D22-1&gt;0, "+"&amp;TEXT(E22/D22-1, "##0%"), E22/D22-1),"x")</f>
        <v>x</v>
      </c>
      <c r="E34" s="798" t="str">
        <f>IFERROR(IF(G22=0,"x",MROUND(G22,100)),"x")</f>
        <v>x</v>
      </c>
      <c r="F34" s="31" t="str">
        <f>IFERROR(IF(G22/F22-1&gt;0, "+"&amp;TEXT(G22/F22-1, "##0%"), G22/F22-1),"x")</f>
        <v>x</v>
      </c>
      <c r="G34" s="798" t="str">
        <f>IFERROR(IF(I22=0,"x",MROUND(I22,100)),"x")</f>
        <v>x</v>
      </c>
      <c r="H34" s="31" t="str">
        <f>IFERROR(IF(I22/H22-1&gt;0, "+"&amp;TEXT(I22/H22-1, "##0%"), I22/H22-1),"x")</f>
        <v>x</v>
      </c>
      <c r="I34" s="1015" t="e">
        <f>IF(E12=0,"x",E12)</f>
        <v>#N/A</v>
      </c>
    </row>
    <row r="35" spans="2:9" ht="20.100000000000001" customHeight="1" x14ac:dyDescent="0.2">
      <c r="B35" s="721" t="s">
        <v>616</v>
      </c>
      <c r="C35" s="1016" t="str">
        <f>IFERROR(IF(E23=0,"x",MROUND(E23,100)),"x")</f>
        <v>x</v>
      </c>
      <c r="D35" s="232" t="str">
        <f>IFERROR(IF(E23/D23-1&gt;0, "+"&amp;TEXT(E23/D23-1, "##0%"), E23/D23-1),"x")</f>
        <v>x</v>
      </c>
      <c r="E35" s="1016" t="str">
        <f>IFERROR(IF(G23=0,"x",MROUND(G23,100)),"x")</f>
        <v>x</v>
      </c>
      <c r="F35" s="232" t="str">
        <f>IFERROR(IF(G23/F23-1&gt;0, "+"&amp;TEXT(G23/F23-1, "##0%"), G23/F23-1),"x")</f>
        <v>x</v>
      </c>
      <c r="G35" s="1016" t="str">
        <f>IFERROR(IF(I23=0,"x",MROUND(I23,100)),"x")</f>
        <v>x</v>
      </c>
      <c r="H35" s="232" t="str">
        <f>IFERROR(IF(I23/H23-1&gt;0, "+"&amp;TEXT(I23/H23-1, "##0%"), I23/H23-1),"x")</f>
        <v>x</v>
      </c>
      <c r="I35" s="476" t="str">
        <f>IFERROR(IF(E13=0,"x",E13),"x")</f>
        <v>x</v>
      </c>
    </row>
    <row r="36" spans="2:9" ht="20.100000000000001" customHeight="1" x14ac:dyDescent="0.2">
      <c r="B36" s="722" t="s">
        <v>617</v>
      </c>
      <c r="C36" s="791" t="str">
        <f>IFERROR(IF(E24=0,"x",MROUND(E24,100)),"x")</f>
        <v>x</v>
      </c>
      <c r="D36" s="135" t="str">
        <f>IFERROR(IF(E24/D24-1&gt;0, "+"&amp;TEXT(E24/D24-1, "##0%"), E24/D24-1),"x")</f>
        <v>x</v>
      </c>
      <c r="E36" s="791" t="str">
        <f>IFERROR(IF(G24=0,"x",MROUND(G24,100)),"x")</f>
        <v>x</v>
      </c>
      <c r="F36" s="135" t="str">
        <f>IFERROR(IF(G24/F24-1&gt;0, "+"&amp;TEXT(G24/F24-1, "##0%"), G24/F24-1),"x")</f>
        <v>x</v>
      </c>
      <c r="G36" s="791" t="str">
        <f>IFERROR(IF(I24=0,"x",MROUND(I24,100)),"x")</f>
        <v>x</v>
      </c>
      <c r="H36" s="135" t="str">
        <f>IFERROR(IF(I24/H24-1&gt;0, "+"&amp;TEXT(I24/H24-1, "##0%"), I24/H24-1),"x")</f>
        <v>x</v>
      </c>
      <c r="I36" s="1015" t="e">
        <f>IF(E14=0,"x",E14)</f>
        <v>#N/A</v>
      </c>
    </row>
    <row r="37" spans="2:9" ht="20.100000000000001" customHeight="1" x14ac:dyDescent="0.2">
      <c r="B37" s="723" t="s">
        <v>618</v>
      </c>
      <c r="C37" s="1000" t="str">
        <f>IFERROR(IF(E25=0,"x",MROUND(E25,100)),"x")</f>
        <v>x</v>
      </c>
      <c r="D37" s="110" t="str">
        <f>IFERROR(IF(E25/D25-1&gt;0, "+"&amp;TEXT(E25/D25-1, "##0%"), E25/D25-1),"x")</f>
        <v>x</v>
      </c>
      <c r="E37" s="1000" t="str">
        <f>IFERROR(IF(G25=0,"x",MROUND(G25,100)),"x")</f>
        <v>x</v>
      </c>
      <c r="F37" s="110" t="str">
        <f>IFERROR(IF(G25/F25-1&gt;0, "+"&amp;TEXT(G25/F25-1, "##0%"), G25/F25-1),"x")</f>
        <v>x</v>
      </c>
      <c r="G37" s="1000" t="str">
        <f>IFERROR(IF(I25=0,"x",MROUND(I25,100)),"x")</f>
        <v>x</v>
      </c>
      <c r="H37" s="110" t="str">
        <f>IFERROR(IF(I25/H25-1&gt;0, "+"&amp;TEXT(I25/H25-1, "##0%"), I25/H25-1),"x")</f>
        <v>x</v>
      </c>
      <c r="I37" s="1015" t="e">
        <f>IF(E15=0,"x",E15)</f>
        <v>#N/A</v>
      </c>
    </row>
    <row r="38" spans="2:9" ht="20.100000000000001" customHeight="1" x14ac:dyDescent="0.2">
      <c r="B38" s="789" t="s">
        <v>619</v>
      </c>
      <c r="C38" s="799" t="str">
        <f>IFERROR(IF(E26=0,"x",MROUND(E26,100)),"x")</f>
        <v>x</v>
      </c>
      <c r="D38" s="195" t="str">
        <f>IFERROR(IF(E26/D26-1&gt;0, "+"&amp;TEXT(E26/D26-1, "##0%"), E26/D26-1),"x")</f>
        <v>x</v>
      </c>
      <c r="E38" s="799" t="str">
        <f>IFERROR(IF(G26=0,"x",MROUND(G26,100)),"x")</f>
        <v>x</v>
      </c>
      <c r="F38" s="195" t="str">
        <f>IFERROR(IF(G26/F26-1&gt;0, "+"&amp;TEXT(G26/F26-1, "##0%"), G26/F26-1),"x")</f>
        <v>x</v>
      </c>
      <c r="G38" s="799" t="str">
        <f>IFERROR(IF(I26=0,"x",MROUND(I26,100)),"x")</f>
        <v>x</v>
      </c>
      <c r="H38" s="195" t="str">
        <f>IFERROR(IF(I26/H26-1&gt;0, "+"&amp;TEXT(I26/H26-1, "##0%"), I26/H26-1),"x")</f>
        <v>x</v>
      </c>
      <c r="I38" s="1015" t="e">
        <f>IF(E16=0,"x",E16)</f>
        <v>#N/A</v>
      </c>
    </row>
    <row r="39" spans="2:9" ht="20.100000000000001" customHeight="1" x14ac:dyDescent="0.2"/>
    <row r="40" spans="2:9" ht="20.100000000000001" customHeight="1" x14ac:dyDescent="0.2">
      <c r="B40" s="68" t="s">
        <v>832</v>
      </c>
      <c r="C40" s="517" t="s">
        <v>833</v>
      </c>
    </row>
    <row r="41" spans="2:9" ht="20.100000000000001" customHeight="1" x14ac:dyDescent="0.2">
      <c r="B41" s="721" t="s">
        <v>834</v>
      </c>
      <c r="C41" s="1017" t="str">
        <f t="array" ref="C41">IFERROR(IF(INDEX(income!$C201:$AA201, 0, MATCH($G$11-1, income!$C$199:$AA$199,0)) / INDEX(income!$C201:$AA201, 0, MATCH($F$11-1, income!$C$199:$AA$199,0)) -1 &gt;0, "+"&amp;TEXT(INDEX(income!$C201:$AA201, 0, MATCH($G$11-1, income!$C$199:$AA$199,0)) / INDEX(income!$C201:$AA201, 0, MATCH($F$11-1, income!$C$199:$AA$199,0)) -1,"##0%"), INDEX(income!$C201:$AA201, 0, MATCH($G$11-1, income!$C$199:$AA$199,0)) / INDEX(income!$C201:$AA201, 0, MATCH($F$11-1, income!$C$199:$AA$199,0)) -1),"x")</f>
        <v>x</v>
      </c>
    </row>
    <row r="42" spans="2:9" ht="20.100000000000001" customHeight="1" x14ac:dyDescent="0.2">
      <c r="B42" s="789" t="s">
        <v>835</v>
      </c>
      <c r="C42" s="1020" t="str">
        <f t="array" ref="C42">IFERROR(IF(INDEX(income!$C202:$AA202, 0, MATCH($G$11-1, income!$C$199:$AA$199,0)) / INDEX(income!$C202:$AA202, 0, MATCH($F$11-1, income!$C$199:$AA$199,0)) -1 &gt;0, "+"&amp;TEXT(INDEX(income!$C202:$AA202, 0, MATCH($G$11-1, income!$C$199:$AA$199,0)) / INDEX(income!$C202:$AA202, 0, MATCH($F$11-1, income!$C$199:$AA$199,0)) -1,"##0%"), INDEX(income!$C202:$AA202, 0, MATCH($G$11-1, income!$C$199:$AA$199,0)) / INDEX(income!$C202:$AA202, 0, MATCH($F$11-1, income!$C$199:$AA$199,0)) -1),"x")</f>
        <v>x</v>
      </c>
    </row>
    <row r="43" spans="2:9" ht="20.100000000000001" customHeight="1" x14ac:dyDescent="0.2"/>
    <row r="44" spans="2:9" ht="20.100000000000001" customHeight="1" x14ac:dyDescent="0.2">
      <c r="B44" s="1018" t="s">
        <v>6</v>
      </c>
      <c r="C44" s="1019" t="str">
        <f t="array" ref="C44">IFERROR(IF(INDEX(income!$C200:$AA200, 0, MATCH($G$11-1, income!$C$199:$AA$199,0)) / INDEX(income!$C200:$AA200, 0, MATCH($F$11-1, income!$C$199:$AA$199,0)) -1 &gt;0, "+"&amp;TEXT(INDEX(income!$C200:$AA200, 0, MATCH($G$11-1, income!$C$199:$AA$199,0)) / INDEX(income!$C200:$AA200, 0, MATCH($F$11-1, income!$C$199:$AA$199,0)) -1,"##0%"), INDEX(income!$C200:$AA200, 0, MATCH($G$11-1, income!$C$199:$AA$199,0)) / INDEX(income!$C200:$AA200, 0, MATCH($F$11-1, income!$C$199:$AA$199,0)) -1),"x")</f>
        <v>x</v>
      </c>
    </row>
  </sheetData>
  <mergeCells count="12">
    <mergeCell ref="B8:I8"/>
    <mergeCell ref="B30:H30"/>
    <mergeCell ref="B18:I18"/>
    <mergeCell ref="D20:E20"/>
    <mergeCell ref="F20:G20"/>
    <mergeCell ref="H20:I20"/>
    <mergeCell ref="C32:D32"/>
    <mergeCell ref="E32:F32"/>
    <mergeCell ref="G32:H32"/>
    <mergeCell ref="D10:E10"/>
    <mergeCell ref="H10:I10"/>
    <mergeCell ref="F10:G10"/>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sheetPr>
  <dimension ref="A1:X225"/>
  <sheetViews>
    <sheetView zoomScale="85" zoomScaleNormal="85" workbookViewId="0">
      <pane ySplit="2" topLeftCell="A3" activePane="bottomLeft" state="frozen"/>
      <selection pane="bottomLeft" activeCell="A3" sqref="A3"/>
    </sheetView>
  </sheetViews>
  <sheetFormatPr defaultColWidth="11" defaultRowHeight="14.25" x14ac:dyDescent="0.2"/>
  <sheetData>
    <row r="1" spans="1:18" ht="19.5" customHeight="1" x14ac:dyDescent="0.2">
      <c r="A1" s="2" t="s">
        <v>181</v>
      </c>
      <c r="B1" s="2" t="s">
        <v>182</v>
      </c>
      <c r="C1" s="2" t="s">
        <v>183</v>
      </c>
    </row>
    <row r="2" spans="1:18" ht="20.100000000000001" customHeight="1" x14ac:dyDescent="0.2">
      <c r="A2" s="2">
        <f>df_geo!A2</f>
        <v>1000000</v>
      </c>
      <c r="B2" s="99">
        <f>_xlfn.NUMBERVALUE(LEFT(A2,4))</f>
        <v>1000</v>
      </c>
      <c r="C2" s="2">
        <f>_xlfn.NUMBERVALUE(LEFT(B2,2))</f>
        <v>10</v>
      </c>
    </row>
    <row r="4" spans="1:18" ht="50.1" customHeight="1" x14ac:dyDescent="0.2">
      <c r="B4" s="159" t="s">
        <v>1222</v>
      </c>
      <c r="C4" s="59"/>
      <c r="D4" s="59"/>
      <c r="E4" s="59"/>
      <c r="F4" s="59"/>
      <c r="G4" s="59"/>
      <c r="H4" s="59"/>
      <c r="I4" s="59"/>
      <c r="J4" s="59"/>
      <c r="K4" s="59"/>
      <c r="L4" s="59"/>
      <c r="M4" s="59"/>
      <c r="N4" s="59"/>
      <c r="O4" s="59"/>
      <c r="P4" s="59"/>
      <c r="Q4" s="59"/>
      <c r="R4" s="59"/>
    </row>
    <row r="6" spans="1:18" ht="30" customHeight="1" x14ac:dyDescent="0.2">
      <c r="B6" s="175" t="s">
        <v>1223</v>
      </c>
      <c r="C6" s="310"/>
      <c r="D6" s="310"/>
      <c r="E6" s="310"/>
      <c r="F6" s="310"/>
      <c r="G6" s="310"/>
      <c r="H6" s="310"/>
      <c r="I6" s="310"/>
      <c r="J6" s="310"/>
      <c r="K6" s="310"/>
      <c r="L6" s="310"/>
      <c r="M6" s="310"/>
      <c r="N6" s="310"/>
      <c r="O6" s="310"/>
      <c r="P6" s="310"/>
      <c r="Q6" s="310"/>
      <c r="R6" s="310"/>
    </row>
    <row r="8" spans="1:18" ht="20.100000000000001" customHeight="1" x14ac:dyDescent="0.2">
      <c r="B8" s="1240" t="s">
        <v>403</v>
      </c>
      <c r="C8" s="1240"/>
      <c r="D8" s="1240"/>
      <c r="E8" s="1240"/>
      <c r="F8" s="1240"/>
      <c r="H8" s="1240" t="s">
        <v>366</v>
      </c>
      <c r="I8" s="1240"/>
      <c r="J8" s="1240"/>
      <c r="K8" s="1240"/>
      <c r="L8" s="1240"/>
      <c r="N8" s="1240" t="s">
        <v>367</v>
      </c>
      <c r="O8" s="1240"/>
      <c r="P8" s="1240"/>
      <c r="Q8" s="1240"/>
      <c r="R8" s="1240"/>
    </row>
    <row r="9" spans="1:18" ht="20.100000000000001" customHeight="1" x14ac:dyDescent="0.2">
      <c r="B9" s="1024" t="s">
        <v>1215</v>
      </c>
      <c r="C9" s="1024" t="s">
        <v>354</v>
      </c>
      <c r="D9" s="476" t="s">
        <v>6</v>
      </c>
      <c r="E9" s="476" t="s">
        <v>136</v>
      </c>
      <c r="F9" s="476" t="s">
        <v>353</v>
      </c>
      <c r="H9" s="1024" t="s">
        <v>1215</v>
      </c>
      <c r="I9" s="1" t="str">
        <f>C9</f>
        <v>T</v>
      </c>
      <c r="J9" s="476" t="s">
        <v>6</v>
      </c>
      <c r="K9" s="476" t="s">
        <v>136</v>
      </c>
      <c r="L9" s="476" t="s">
        <v>353</v>
      </c>
      <c r="N9" s="1024" t="s">
        <v>1215</v>
      </c>
      <c r="O9" s="1" t="str">
        <f>I9</f>
        <v>T</v>
      </c>
      <c r="P9" s="476" t="s">
        <v>6</v>
      </c>
      <c r="Q9" s="476" t="s">
        <v>136</v>
      </c>
      <c r="R9" s="476" t="s">
        <v>353</v>
      </c>
    </row>
    <row r="10" spans="1:18" ht="20.100000000000001" customHeight="1" x14ac:dyDescent="0.2">
      <c r="B10" s="206" t="s">
        <v>6</v>
      </c>
      <c r="C10" s="72"/>
      <c r="D10" s="128" t="s">
        <v>6</v>
      </c>
      <c r="E10" s="117" t="s">
        <v>95</v>
      </c>
      <c r="F10" s="302" t="s">
        <v>96</v>
      </c>
      <c r="H10" s="206" t="s">
        <v>366</v>
      </c>
      <c r="I10" s="72"/>
      <c r="J10" s="128" t="s">
        <v>6</v>
      </c>
      <c r="K10" s="117" t="s">
        <v>95</v>
      </c>
      <c r="L10" s="302" t="s">
        <v>96</v>
      </c>
      <c r="N10" s="206" t="s">
        <v>367</v>
      </c>
      <c r="O10" s="72"/>
      <c r="P10" s="128" t="s">
        <v>6</v>
      </c>
      <c r="Q10" s="117" t="s">
        <v>95</v>
      </c>
      <c r="R10" s="302" t="s">
        <v>96</v>
      </c>
    </row>
    <row r="11" spans="1:18" ht="20.100000000000001" customHeight="1" x14ac:dyDescent="0.2">
      <c r="A11" s="299">
        <v>1</v>
      </c>
      <c r="B11" s="84" t="s">
        <v>6</v>
      </c>
      <c r="C11" s="173"/>
      <c r="D11" s="570">
        <f t="array" ref="D11">IFERROR(INDEX(df_cond!$E$2:$L$1000, MATCH(1, ($A$2 = df_cond!$A$2:$A$1000) * ($C$9 = df_cond!$B$2:$B$1000) * ($A11 = df_cond!$D$2:$D$1000)  * ($B$10 = df_cond!$C$2:$C$1000), 0), MATCH(D$9, df_cond!$E$1:$L$1,0)),0)</f>
        <v>0</v>
      </c>
      <c r="E11" s="567">
        <f t="array" ref="E11">IFERROR(INDEX(df_cond!$E$2:$L$1000, MATCH(1, ($A$2 = df_cond!$A$2:$A$1000) * ($C$9 = df_cond!$B$2:$B$1000) * ($A11 = df_cond!$D$2:$D$1000)  * ($B$10 = df_cond!$C$2:$C$1000), 0), MATCH(E$9, df_cond!$E$1:$L$1,0)),0)</f>
        <v>0</v>
      </c>
      <c r="F11" s="561">
        <f t="array" ref="F11">IFERROR(INDEX(df_cond!$E$2:$L$1000, MATCH(1, ($A$2 = df_cond!$A$2:$A$1000) * ($C$9 = df_cond!$B$2:$B$1000) * ($A11 = df_cond!$D$2:$D$1000)  * ($B$10 = df_cond!$C$2:$C$1000), 0), MATCH(F$9, df_cond!$E$1:$L$1,0)),0)</f>
        <v>0</v>
      </c>
      <c r="H11" s="84" t="s">
        <v>6</v>
      </c>
      <c r="I11" s="173"/>
      <c r="J11" s="591" t="str">
        <f t="array" ref="J11">IFERROR(INDEX(df_cond!$E$2:$L$1000, MATCH(1, ($A$2 = df_cond!$A$2:$A$1000) * ($C$9 = df_cond!$B$2:$B$1000) * ($A11 = df_cond!$D$2:$D$1000)  * ($H$10 = df_cond!$C$2:$C$1000), 0), MATCH(J$9, df_cond!$E$1:$L$1,0)),"x")</f>
        <v>x</v>
      </c>
      <c r="K11" s="591" t="str">
        <f t="array" ref="K11">IFERROR(INDEX(df_cond!$E$2:$L$1000, MATCH(1, ($A$2 = df_cond!$A$2:$A$1000) * ($C$9 = df_cond!$B$2:$B$1000) * ($A11 = df_cond!$D$2:$D$1000)  * ($H$10 = df_cond!$C$2:$C$1000), 0), MATCH(K$9, df_cond!$E$1:$L$1,0)),"x")</f>
        <v>x</v>
      </c>
      <c r="L11" s="503" t="str">
        <f t="array" ref="L11">IFERROR(INDEX(df_cond!$E$2:$L$1000, MATCH(1, ($A$2 = df_cond!$A$2:$A$1000) * ($C$9 = df_cond!$B$2:$B$1000) * ($A11 = df_cond!$D$2:$D$1000)  * ($H$10 = df_cond!$C$2:$C$1000), 0), MATCH(L$9, df_cond!$E$1:$L$1,0)),"x")</f>
        <v>x</v>
      </c>
      <c r="N11" s="84" t="s">
        <v>6</v>
      </c>
      <c r="O11" s="173"/>
      <c r="P11" s="591" t="str">
        <f t="array" ref="P11">IFERROR(INDEX(df_cond!$E$2:$L$1000, MATCH(1, ($A$2 = df_cond!$A$2:$A$1000) * ($C$9 = df_cond!$B$2:$B$1000) * ($A11 = df_cond!$D$2:$D$1000)  * ($N$10 = df_cond!$C$2:$C$1000), 0), MATCH(P$9, df_cond!$E$1:$L$1,0)),"x")</f>
        <v>x</v>
      </c>
      <c r="Q11" s="591" t="str">
        <f t="array" ref="Q11">IFERROR(INDEX(df_cond!$E$2:$L$1000, MATCH(1, ($A$2 = df_cond!$A$2:$A$1000) * ($C$9 = df_cond!$B$2:$B$1000) * ($A11 = df_cond!$D$2:$D$1000)  * ($N$10 = df_cond!$C$2:$C$1000), 0), MATCH(Q$9, df_cond!$E$1:$L$1,0)),"x")</f>
        <v>x</v>
      </c>
      <c r="R11" s="503" t="str">
        <f t="array" ref="R11">IFERROR(INDEX(df_cond!$E$2:$L$1000, MATCH(1, ($A$2 = df_cond!$A$2:$A$1000) * ($C$9 = df_cond!$B$2:$B$1000) * ($A11 = df_cond!$D$2:$D$1000)  * ($N$10 = df_cond!$C$2:$C$1000), 0), MATCH(R$9, df_cond!$E$1:$L$1,0)),"x")</f>
        <v>x</v>
      </c>
    </row>
    <row r="12" spans="1:18" ht="20.100000000000001" customHeight="1" x14ac:dyDescent="0.2">
      <c r="A12" s="299">
        <v>5</v>
      </c>
      <c r="B12" s="84" t="s">
        <v>355</v>
      </c>
      <c r="C12" s="173"/>
      <c r="D12" s="84">
        <f t="array" ref="D12">IFERROR(INDEX(df_cond!$E$2:$L$1000, MATCH(1, ($A$2 = df_cond!$A$2:$A$1000) * ($C$9 = df_cond!$B$2:$B$1000) * ($A12 = df_cond!$D$2:$D$1000)  * ($B$10 = df_cond!$C$2:$C$1000), 0), MATCH(D$9, df_cond!$E$1:$L$1,0)),0)</f>
        <v>0</v>
      </c>
      <c r="E12" s="1">
        <f t="array" ref="E12">IFERROR(INDEX(df_cond!$E$2:$L$1000, MATCH(1, ($A$2 = df_cond!$A$2:$A$1000) * ($C$9 = df_cond!$B$2:$B$1000) * ($A12 = df_cond!$D$2:$D$1000)  * ($B$10 = df_cond!$C$2:$C$1000), 0), MATCH(E$9, df_cond!$E$1:$L$1,0)),0)</f>
        <v>0</v>
      </c>
      <c r="F12" s="359">
        <f t="array" ref="F12">IFERROR(INDEX(df_cond!$E$2:$L$1000, MATCH(1, ($A$2 = df_cond!$A$2:$A$1000) * ($C$9 = df_cond!$B$2:$B$1000) * ($A12 = df_cond!$D$2:$D$1000)  * ($B$10 = df_cond!$C$2:$C$1000), 0), MATCH(F$9, df_cond!$E$1:$L$1,0)),0)</f>
        <v>0</v>
      </c>
      <c r="H12" s="84" t="s">
        <v>355</v>
      </c>
      <c r="I12" s="173"/>
      <c r="J12" s="591" t="str">
        <f t="array" ref="J12">IFERROR(INDEX(df_cond!$E$2:$L$1000, MATCH(1, ($A$2 = df_cond!$A$2:$A$1000) * ($C$9 = df_cond!$B$2:$B$1000) * ($A12 = df_cond!$D$2:$D$1000)  * ($H$10 = df_cond!$C$2:$C$1000), 0), MATCH(J$9, df_cond!$E$1:$L$1,0)),"x")</f>
        <v>x</v>
      </c>
      <c r="K12" s="591" t="str">
        <f t="array" ref="K12">IFERROR(INDEX(df_cond!$E$2:$L$1000, MATCH(1, ($A$2 = df_cond!$A$2:$A$1000) * ($C$9 = df_cond!$B$2:$B$1000) * ($A12 = df_cond!$D$2:$D$1000)  * ($H$10 = df_cond!$C$2:$C$1000), 0), MATCH(K$9, df_cond!$E$1:$L$1,0)),"x")</f>
        <v>x</v>
      </c>
      <c r="L12" s="503" t="str">
        <f t="array" ref="L12">IFERROR(INDEX(df_cond!$E$2:$L$1000, MATCH(1, ($A$2 = df_cond!$A$2:$A$1000) * ($C$9 = df_cond!$B$2:$B$1000) * ($A12 = df_cond!$D$2:$D$1000)  * ($H$10 = df_cond!$C$2:$C$1000), 0), MATCH(L$9, df_cond!$E$1:$L$1,0)),"x")</f>
        <v>x</v>
      </c>
      <c r="N12" s="84" t="s">
        <v>355</v>
      </c>
      <c r="O12" s="173"/>
      <c r="P12" s="591" t="str">
        <f t="array" ref="P12">IFERROR(INDEX(df_cond!$E$2:$L$1000, MATCH(1, ($A$2 = df_cond!$A$2:$A$1000) * ($C$9 = df_cond!$B$2:$B$1000) * ($A12 = df_cond!$D$2:$D$1000)  * ($N$10 = df_cond!$C$2:$C$1000), 0), MATCH(P$9, df_cond!$E$1:$L$1,0)),"x")</f>
        <v>x</v>
      </c>
      <c r="Q12" s="591" t="str">
        <f t="array" ref="Q12">IFERROR(INDEX(df_cond!$E$2:$L$1000, MATCH(1, ($A$2 = df_cond!$A$2:$A$1000) * ($C$9 = df_cond!$B$2:$B$1000) * ($A12 = df_cond!$D$2:$D$1000)  * ($N$10 = df_cond!$C$2:$C$1000), 0), MATCH(Q$9, df_cond!$E$1:$L$1,0)),"x")</f>
        <v>x</v>
      </c>
      <c r="R12" s="503" t="str">
        <f t="array" ref="R12">IFERROR(INDEX(df_cond!$E$2:$L$1000, MATCH(1, ($A$2 = df_cond!$A$2:$A$1000) * ($C$9 = df_cond!$B$2:$B$1000) * ($A12 = df_cond!$D$2:$D$1000)  * ($N$10 = df_cond!$C$2:$C$1000), 0), MATCH(R$9, df_cond!$E$1:$L$1,0)),"x")</f>
        <v>x</v>
      </c>
    </row>
    <row r="13" spans="1:18" ht="20.100000000000001" customHeight="1" x14ac:dyDescent="0.2">
      <c r="A13" s="299">
        <v>6</v>
      </c>
      <c r="B13" s="84" t="s">
        <v>356</v>
      </c>
      <c r="C13" s="173"/>
      <c r="D13" s="84">
        <f t="array" ref="D13">IFERROR(INDEX(df_cond!$E$2:$L$1000, MATCH(1, ($A$2 = df_cond!$A$2:$A$1000) * ($C$9 = df_cond!$B$2:$B$1000) * ($A13 = df_cond!$D$2:$D$1000)  * ($B$10 = df_cond!$C$2:$C$1000), 0), MATCH(D$9, df_cond!$E$1:$L$1,0)),0)</f>
        <v>0</v>
      </c>
      <c r="E13" s="1">
        <f t="array" ref="E13">IFERROR(INDEX(df_cond!$E$2:$L$1000, MATCH(1, ($A$2 = df_cond!$A$2:$A$1000) * ($C$9 = df_cond!$B$2:$B$1000) * ($A13 = df_cond!$D$2:$D$1000)  * ($B$10 = df_cond!$C$2:$C$1000), 0), MATCH(E$9, df_cond!$E$1:$L$1,0)),0)</f>
        <v>0</v>
      </c>
      <c r="F13" s="359">
        <f t="array" ref="F13">IFERROR(INDEX(df_cond!$E$2:$L$1000, MATCH(1, ($A$2 = df_cond!$A$2:$A$1000) * ($C$9 = df_cond!$B$2:$B$1000) * ($A13 = df_cond!$D$2:$D$1000)  * ($B$10 = df_cond!$C$2:$C$1000), 0), MATCH(F$9, df_cond!$E$1:$L$1,0)),0)</f>
        <v>0</v>
      </c>
      <c r="H13" s="84" t="s">
        <v>356</v>
      </c>
      <c r="I13" s="173"/>
      <c r="J13" s="591" t="str">
        <f t="array" ref="J13">IFERROR(INDEX(df_cond!$E$2:$L$1000, MATCH(1, ($A$2 = df_cond!$A$2:$A$1000) * ($C$9 = df_cond!$B$2:$B$1000) * ($A13 = df_cond!$D$2:$D$1000)  * ($H$10 = df_cond!$C$2:$C$1000), 0), MATCH(J$9, df_cond!$E$1:$L$1,0)),"x")</f>
        <v>x</v>
      </c>
      <c r="K13" s="591" t="str">
        <f t="array" ref="K13">IFERROR(INDEX(df_cond!$E$2:$L$1000, MATCH(1, ($A$2 = df_cond!$A$2:$A$1000) * ($C$9 = df_cond!$B$2:$B$1000) * ($A13 = df_cond!$D$2:$D$1000)  * ($H$10 = df_cond!$C$2:$C$1000), 0), MATCH(K$9, df_cond!$E$1:$L$1,0)),"x")</f>
        <v>x</v>
      </c>
      <c r="L13" s="503" t="str">
        <f t="array" ref="L13">IFERROR(INDEX(df_cond!$E$2:$L$1000, MATCH(1, ($A$2 = df_cond!$A$2:$A$1000) * ($C$9 = df_cond!$B$2:$B$1000) * ($A13 = df_cond!$D$2:$D$1000)  * ($H$10 = df_cond!$C$2:$C$1000), 0), MATCH(L$9, df_cond!$E$1:$L$1,0)),"x")</f>
        <v>x</v>
      </c>
      <c r="N13" s="84" t="s">
        <v>356</v>
      </c>
      <c r="O13" s="173"/>
      <c r="P13" s="591" t="str">
        <f t="array" ref="P13">IFERROR(INDEX(df_cond!$E$2:$L$1000, MATCH(1, ($A$2 = df_cond!$A$2:$A$1000) * ($C$9 = df_cond!$B$2:$B$1000) * ($A13 = df_cond!$D$2:$D$1000)  * ($N$10 = df_cond!$C$2:$C$1000), 0), MATCH(P$9, df_cond!$E$1:$L$1,0)),"x")</f>
        <v>x</v>
      </c>
      <c r="Q13" s="591" t="str">
        <f t="array" ref="Q13">IFERROR(INDEX(df_cond!$E$2:$L$1000, MATCH(1, ($A$2 = df_cond!$A$2:$A$1000) * ($C$9 = df_cond!$B$2:$B$1000) * ($A13 = df_cond!$D$2:$D$1000)  * ($N$10 = df_cond!$C$2:$C$1000), 0), MATCH(Q$9, df_cond!$E$1:$L$1,0)),"x")</f>
        <v>x</v>
      </c>
      <c r="R13" s="503" t="str">
        <f t="array" ref="R13">IFERROR(INDEX(df_cond!$E$2:$L$1000, MATCH(1, ($A$2 = df_cond!$A$2:$A$1000) * ($C$9 = df_cond!$B$2:$B$1000) * ($A13 = df_cond!$D$2:$D$1000)  * ($N$10 = df_cond!$C$2:$C$1000), 0), MATCH(R$9, df_cond!$E$1:$L$1,0)),"x")</f>
        <v>x</v>
      </c>
    </row>
    <row r="14" spans="1:18" ht="20.100000000000001" customHeight="1" x14ac:dyDescent="0.2">
      <c r="A14" s="299">
        <v>7</v>
      </c>
      <c r="B14" s="84" t="s">
        <v>64</v>
      </c>
      <c r="C14" s="173"/>
      <c r="D14" s="84">
        <f t="array" ref="D14">IFERROR(INDEX(df_cond!$E$2:$L$1000, MATCH(1, ($A$2 = df_cond!$A$2:$A$1000) * ($C$9 = df_cond!$B$2:$B$1000) * ($A14 = df_cond!$D$2:$D$1000)  * ($B$10 = df_cond!$C$2:$C$1000), 0), MATCH(D$9, df_cond!$E$1:$L$1,0)),0)</f>
        <v>0</v>
      </c>
      <c r="E14" s="1">
        <f t="array" ref="E14">IFERROR(INDEX(df_cond!$E$2:$L$1000, MATCH(1, ($A$2 = df_cond!$A$2:$A$1000) * ($C$9 = df_cond!$B$2:$B$1000) * ($A14 = df_cond!$D$2:$D$1000)  * ($B$10 = df_cond!$C$2:$C$1000), 0), MATCH(E$9, df_cond!$E$1:$L$1,0)),0)</f>
        <v>0</v>
      </c>
      <c r="F14" s="359">
        <f t="array" ref="F14">IFERROR(INDEX(df_cond!$E$2:$L$1000, MATCH(1, ($A$2 = df_cond!$A$2:$A$1000) * ($C$9 = df_cond!$B$2:$B$1000) * ($A14 = df_cond!$D$2:$D$1000)  * ($B$10 = df_cond!$C$2:$C$1000), 0), MATCH(F$9, df_cond!$E$1:$L$1,0)),0)</f>
        <v>0</v>
      </c>
      <c r="H14" s="84" t="s">
        <v>64</v>
      </c>
      <c r="I14" s="173"/>
      <c r="J14" s="591" t="str">
        <f t="array" ref="J14">IFERROR(INDEX(df_cond!$E$2:$L$1000, MATCH(1, ($A$2 = df_cond!$A$2:$A$1000) * ($C$9 = df_cond!$B$2:$B$1000) * ($A14 = df_cond!$D$2:$D$1000)  * ($H$10 = df_cond!$C$2:$C$1000), 0), MATCH(J$9, df_cond!$E$1:$L$1,0)),"x")</f>
        <v>x</v>
      </c>
      <c r="K14" s="591" t="str">
        <f t="array" ref="K14">IFERROR(INDEX(df_cond!$E$2:$L$1000, MATCH(1, ($A$2 = df_cond!$A$2:$A$1000) * ($C$9 = df_cond!$B$2:$B$1000) * ($A14 = df_cond!$D$2:$D$1000)  * ($H$10 = df_cond!$C$2:$C$1000), 0), MATCH(K$9, df_cond!$E$1:$L$1,0)),"x")</f>
        <v>x</v>
      </c>
      <c r="L14" s="503" t="str">
        <f t="array" ref="L14">IFERROR(INDEX(df_cond!$E$2:$L$1000, MATCH(1, ($A$2 = df_cond!$A$2:$A$1000) * ($C$9 = df_cond!$B$2:$B$1000) * ($A14 = df_cond!$D$2:$D$1000)  * ($H$10 = df_cond!$C$2:$C$1000), 0), MATCH(L$9, df_cond!$E$1:$L$1,0)),"x")</f>
        <v>x</v>
      </c>
      <c r="N14" s="84" t="s">
        <v>64</v>
      </c>
      <c r="O14" s="173"/>
      <c r="P14" s="591" t="str">
        <f t="array" ref="P14">IFERROR(INDEX(df_cond!$E$2:$L$1000, MATCH(1, ($A$2 = df_cond!$A$2:$A$1000) * ($C$9 = df_cond!$B$2:$B$1000) * ($A14 = df_cond!$D$2:$D$1000)  * ($N$10 = df_cond!$C$2:$C$1000), 0), MATCH(P$9, df_cond!$E$1:$L$1,0)),"x")</f>
        <v>x</v>
      </c>
      <c r="Q14" s="591" t="str">
        <f t="array" ref="Q14">IFERROR(INDEX(df_cond!$E$2:$L$1000, MATCH(1, ($A$2 = df_cond!$A$2:$A$1000) * ($C$9 = df_cond!$B$2:$B$1000) * ($A14 = df_cond!$D$2:$D$1000)  * ($N$10 = df_cond!$C$2:$C$1000), 0), MATCH(Q$9, df_cond!$E$1:$L$1,0)),"x")</f>
        <v>x</v>
      </c>
      <c r="R14" s="503" t="str">
        <f t="array" ref="R14">IFERROR(INDEX(df_cond!$E$2:$L$1000, MATCH(1, ($A$2 = df_cond!$A$2:$A$1000) * ($C$9 = df_cond!$B$2:$B$1000) * ($A14 = df_cond!$D$2:$D$1000)  * ($N$10 = df_cond!$C$2:$C$1000), 0), MATCH(R$9, df_cond!$E$1:$L$1,0)),"x")</f>
        <v>x</v>
      </c>
    </row>
    <row r="15" spans="1:18" ht="20.100000000000001" customHeight="1" x14ac:dyDescent="0.2">
      <c r="A15" s="299">
        <v>8</v>
      </c>
      <c r="B15" s="84" t="s">
        <v>357</v>
      </c>
      <c r="C15" s="173"/>
      <c r="D15" s="84">
        <f t="array" ref="D15">IFERROR(INDEX(df_cond!$E$2:$L$1000, MATCH(1, ($A$2 = df_cond!$A$2:$A$1000) * ($C$9 = df_cond!$B$2:$B$1000) * ($A15 = df_cond!$D$2:$D$1000)  * ($B$10 = df_cond!$C$2:$C$1000), 0), MATCH(D$9, df_cond!$E$1:$L$1,0)),0)</f>
        <v>0</v>
      </c>
      <c r="E15" s="1">
        <f t="array" ref="E15">IFERROR(INDEX(df_cond!$E$2:$L$1000, MATCH(1, ($A$2 = df_cond!$A$2:$A$1000) * ($C$9 = df_cond!$B$2:$B$1000) * ($A15 = df_cond!$D$2:$D$1000)  * ($B$10 = df_cond!$C$2:$C$1000), 0), MATCH(E$9, df_cond!$E$1:$L$1,0)),0)</f>
        <v>0</v>
      </c>
      <c r="F15" s="359">
        <f t="array" ref="F15">IFERROR(INDEX(df_cond!$E$2:$L$1000, MATCH(1, ($A$2 = df_cond!$A$2:$A$1000) * ($C$9 = df_cond!$B$2:$B$1000) * ($A15 = df_cond!$D$2:$D$1000)  * ($B$10 = df_cond!$C$2:$C$1000), 0), MATCH(F$9, df_cond!$E$1:$L$1,0)),0)</f>
        <v>0</v>
      </c>
      <c r="H15" s="84" t="s">
        <v>357</v>
      </c>
      <c r="I15" s="173"/>
      <c r="J15" s="591" t="str">
        <f t="array" ref="J15">IFERROR(INDEX(df_cond!$E$2:$L$1000, MATCH(1, ($A$2 = df_cond!$A$2:$A$1000) * ($C$9 = df_cond!$B$2:$B$1000) * ($A15 = df_cond!$D$2:$D$1000)  * ($H$10 = df_cond!$C$2:$C$1000), 0), MATCH(J$9, df_cond!$E$1:$L$1,0)),"x")</f>
        <v>x</v>
      </c>
      <c r="K15" s="591" t="str">
        <f t="array" ref="K15">IFERROR(INDEX(df_cond!$E$2:$L$1000, MATCH(1, ($A$2 = df_cond!$A$2:$A$1000) * ($C$9 = df_cond!$B$2:$B$1000) * ($A15 = df_cond!$D$2:$D$1000)  * ($H$10 = df_cond!$C$2:$C$1000), 0), MATCH(K$9, df_cond!$E$1:$L$1,0)),"x")</f>
        <v>x</v>
      </c>
      <c r="L15" s="503" t="str">
        <f t="array" ref="L15">IFERROR(INDEX(df_cond!$E$2:$L$1000, MATCH(1, ($A$2 = df_cond!$A$2:$A$1000) * ($C$9 = df_cond!$B$2:$B$1000) * ($A15 = df_cond!$D$2:$D$1000)  * ($H$10 = df_cond!$C$2:$C$1000), 0), MATCH(L$9, df_cond!$E$1:$L$1,0)),"x")</f>
        <v>x</v>
      </c>
      <c r="N15" s="84" t="s">
        <v>357</v>
      </c>
      <c r="O15" s="173"/>
      <c r="P15" s="591" t="str">
        <f t="array" ref="P15">IFERROR(INDEX(df_cond!$E$2:$L$1000, MATCH(1, ($A$2 = df_cond!$A$2:$A$1000) * ($C$9 = df_cond!$B$2:$B$1000) * ($A15 = df_cond!$D$2:$D$1000)  * ($N$10 = df_cond!$C$2:$C$1000), 0), MATCH(P$9, df_cond!$E$1:$L$1,0)),"x")</f>
        <v>x</v>
      </c>
      <c r="Q15" s="591" t="str">
        <f t="array" ref="Q15">IFERROR(INDEX(df_cond!$E$2:$L$1000, MATCH(1, ($A$2 = df_cond!$A$2:$A$1000) * ($C$9 = df_cond!$B$2:$B$1000) * ($A15 = df_cond!$D$2:$D$1000)  * ($N$10 = df_cond!$C$2:$C$1000), 0), MATCH(Q$9, df_cond!$E$1:$L$1,0)),"x")</f>
        <v>x</v>
      </c>
      <c r="R15" s="503" t="str">
        <f t="array" ref="R15">IFERROR(INDEX(df_cond!$E$2:$L$1000, MATCH(1, ($A$2 = df_cond!$A$2:$A$1000) * ($C$9 = df_cond!$B$2:$B$1000) * ($A15 = df_cond!$D$2:$D$1000)  * ($N$10 = df_cond!$C$2:$C$1000), 0), MATCH(R$9, df_cond!$E$1:$L$1,0)),"x")</f>
        <v>x</v>
      </c>
    </row>
    <row r="16" spans="1:18" ht="20.100000000000001" customHeight="1" x14ac:dyDescent="0.2">
      <c r="A16" s="299">
        <v>11</v>
      </c>
      <c r="B16" s="84" t="s">
        <v>358</v>
      </c>
      <c r="C16" s="173"/>
      <c r="D16" s="84">
        <f t="array" ref="D16">IFERROR(INDEX(df_cond!$E$2:$L$1000, MATCH(1, ($A$2 = df_cond!$A$2:$A$1000) * ($C$9 = df_cond!$B$2:$B$1000) * ($A16 = df_cond!$D$2:$D$1000)  * ($B$10 = df_cond!$C$2:$C$1000), 0), MATCH(D$9, df_cond!$E$1:$L$1,0)),0)</f>
        <v>0</v>
      </c>
      <c r="E16" s="1">
        <f t="array" ref="E16">IFERROR(INDEX(df_cond!$E$2:$L$1000, MATCH(1, ($A$2 = df_cond!$A$2:$A$1000) * ($C$9 = df_cond!$B$2:$B$1000) * ($A16 = df_cond!$D$2:$D$1000)  * ($B$10 = df_cond!$C$2:$C$1000), 0), MATCH(E$9, df_cond!$E$1:$L$1,0)),0)</f>
        <v>0</v>
      </c>
      <c r="F16" s="359">
        <f t="array" ref="F16">IFERROR(INDEX(df_cond!$E$2:$L$1000, MATCH(1, ($A$2 = df_cond!$A$2:$A$1000) * ($C$9 = df_cond!$B$2:$B$1000) * ($A16 = df_cond!$D$2:$D$1000)  * ($B$10 = df_cond!$C$2:$C$1000), 0), MATCH(F$9, df_cond!$E$1:$L$1,0)),0)</f>
        <v>0</v>
      </c>
      <c r="H16" s="84" t="s">
        <v>358</v>
      </c>
      <c r="I16" s="173"/>
      <c r="J16" s="591" t="str">
        <f t="array" ref="J16">IFERROR(INDEX(df_cond!$E$2:$L$1000, MATCH(1, ($A$2 = df_cond!$A$2:$A$1000) * ($C$9 = df_cond!$B$2:$B$1000) * ($A16 = df_cond!$D$2:$D$1000)  * ($H$10 = df_cond!$C$2:$C$1000), 0), MATCH(J$9, df_cond!$E$1:$L$1,0)),"x")</f>
        <v>x</v>
      </c>
      <c r="K16" s="591" t="str">
        <f t="array" ref="K16">IFERROR(INDEX(df_cond!$E$2:$L$1000, MATCH(1, ($A$2 = df_cond!$A$2:$A$1000) * ($C$9 = df_cond!$B$2:$B$1000) * ($A16 = df_cond!$D$2:$D$1000)  * ($H$10 = df_cond!$C$2:$C$1000), 0), MATCH(K$9, df_cond!$E$1:$L$1,0)),"x")</f>
        <v>x</v>
      </c>
      <c r="L16" s="503" t="str">
        <f t="array" ref="L16">IFERROR(INDEX(df_cond!$E$2:$L$1000, MATCH(1, ($A$2 = df_cond!$A$2:$A$1000) * ($C$9 = df_cond!$B$2:$B$1000) * ($A16 = df_cond!$D$2:$D$1000)  * ($H$10 = df_cond!$C$2:$C$1000), 0), MATCH(L$9, df_cond!$E$1:$L$1,0)),"x")</f>
        <v>x</v>
      </c>
      <c r="N16" s="84" t="s">
        <v>358</v>
      </c>
      <c r="O16" s="173"/>
      <c r="P16" s="591" t="str">
        <f t="array" ref="P16">IFERROR(INDEX(df_cond!$E$2:$L$1000, MATCH(1, ($A$2 = df_cond!$A$2:$A$1000) * ($C$9 = df_cond!$B$2:$B$1000) * ($A16 = df_cond!$D$2:$D$1000)  * ($N$10 = df_cond!$C$2:$C$1000), 0), MATCH(P$9, df_cond!$E$1:$L$1,0)),"x")</f>
        <v>x</v>
      </c>
      <c r="Q16" s="591" t="str">
        <f t="array" ref="Q16">IFERROR(INDEX(df_cond!$E$2:$L$1000, MATCH(1, ($A$2 = df_cond!$A$2:$A$1000) * ($C$9 = df_cond!$B$2:$B$1000) * ($A16 = df_cond!$D$2:$D$1000)  * ($N$10 = df_cond!$C$2:$C$1000), 0), MATCH(Q$9, df_cond!$E$1:$L$1,0)),"x")</f>
        <v>x</v>
      </c>
      <c r="R16" s="503" t="str">
        <f t="array" ref="R16">IFERROR(INDEX(df_cond!$E$2:$L$1000, MATCH(1, ($A$2 = df_cond!$A$2:$A$1000) * ($C$9 = df_cond!$B$2:$B$1000) * ($A16 = df_cond!$D$2:$D$1000)  * ($N$10 = df_cond!$C$2:$C$1000), 0), MATCH(R$9, df_cond!$E$1:$L$1,0)),"x")</f>
        <v>x</v>
      </c>
    </row>
    <row r="17" spans="1:18" ht="20.100000000000001" customHeight="1" x14ac:dyDescent="0.2">
      <c r="A17" s="299">
        <v>12</v>
      </c>
      <c r="B17" s="84" t="s">
        <v>359</v>
      </c>
      <c r="C17" s="173"/>
      <c r="D17" s="84">
        <f t="array" ref="D17">IFERROR(INDEX(df_cond!$E$2:$L$1000, MATCH(1, ($A$2 = df_cond!$A$2:$A$1000) * ($C$9 = df_cond!$B$2:$B$1000) * ($A17 = df_cond!$D$2:$D$1000)  * ($B$10 = df_cond!$C$2:$C$1000), 0), MATCH(D$9, df_cond!$E$1:$L$1,0)),0)</f>
        <v>0</v>
      </c>
      <c r="E17" s="1">
        <f t="array" ref="E17">IFERROR(INDEX(df_cond!$E$2:$L$1000, MATCH(1, ($A$2 = df_cond!$A$2:$A$1000) * ($C$9 = df_cond!$B$2:$B$1000) * ($A17 = df_cond!$D$2:$D$1000)  * ($B$10 = df_cond!$C$2:$C$1000), 0), MATCH(E$9, df_cond!$E$1:$L$1,0)),0)</f>
        <v>0</v>
      </c>
      <c r="F17" s="359">
        <f t="array" ref="F17">IFERROR(INDEX(df_cond!$E$2:$L$1000, MATCH(1, ($A$2 = df_cond!$A$2:$A$1000) * ($C$9 = df_cond!$B$2:$B$1000) * ($A17 = df_cond!$D$2:$D$1000)  * ($B$10 = df_cond!$C$2:$C$1000), 0), MATCH(F$9, df_cond!$E$1:$L$1,0)),0)</f>
        <v>0</v>
      </c>
      <c r="H17" s="84" t="s">
        <v>359</v>
      </c>
      <c r="I17" s="173"/>
      <c r="J17" s="591" t="str">
        <f t="array" ref="J17">IFERROR(INDEX(df_cond!$E$2:$L$1000, MATCH(1, ($A$2 = df_cond!$A$2:$A$1000) * ($C$9 = df_cond!$B$2:$B$1000) * ($A17 = df_cond!$D$2:$D$1000)  * ($H$10 = df_cond!$C$2:$C$1000), 0), MATCH(J$9, df_cond!$E$1:$L$1,0)),"x")</f>
        <v>x</v>
      </c>
      <c r="K17" s="591" t="str">
        <f t="array" ref="K17">IFERROR(INDEX(df_cond!$E$2:$L$1000, MATCH(1, ($A$2 = df_cond!$A$2:$A$1000) * ($C$9 = df_cond!$B$2:$B$1000) * ($A17 = df_cond!$D$2:$D$1000)  * ($H$10 = df_cond!$C$2:$C$1000), 0), MATCH(K$9, df_cond!$E$1:$L$1,0)),"x")</f>
        <v>x</v>
      </c>
      <c r="L17" s="503" t="str">
        <f t="array" ref="L17">IFERROR(INDEX(df_cond!$E$2:$L$1000, MATCH(1, ($A$2 = df_cond!$A$2:$A$1000) * ($C$9 = df_cond!$B$2:$B$1000) * ($A17 = df_cond!$D$2:$D$1000)  * ($H$10 = df_cond!$C$2:$C$1000), 0), MATCH(L$9, df_cond!$E$1:$L$1,0)),"x")</f>
        <v>x</v>
      </c>
      <c r="N17" s="84" t="s">
        <v>359</v>
      </c>
      <c r="O17" s="173"/>
      <c r="P17" s="591" t="str">
        <f t="array" ref="P17">IFERROR(INDEX(df_cond!$E$2:$L$1000, MATCH(1, ($A$2 = df_cond!$A$2:$A$1000) * ($C$9 = df_cond!$B$2:$B$1000) * ($A17 = df_cond!$D$2:$D$1000)  * ($N$10 = df_cond!$C$2:$C$1000), 0), MATCH(P$9, df_cond!$E$1:$L$1,0)),"x")</f>
        <v>x</v>
      </c>
      <c r="Q17" s="591" t="str">
        <f t="array" ref="Q17">IFERROR(INDEX(df_cond!$E$2:$L$1000, MATCH(1, ($A$2 = df_cond!$A$2:$A$1000) * ($C$9 = df_cond!$B$2:$B$1000) * ($A17 = df_cond!$D$2:$D$1000)  * ($N$10 = df_cond!$C$2:$C$1000), 0), MATCH(Q$9, df_cond!$E$1:$L$1,0)),"x")</f>
        <v>x</v>
      </c>
      <c r="R17" s="503" t="str">
        <f t="array" ref="R17">IFERROR(INDEX(df_cond!$E$2:$L$1000, MATCH(1, ($A$2 = df_cond!$A$2:$A$1000) * ($C$9 = df_cond!$B$2:$B$1000) * ($A17 = df_cond!$D$2:$D$1000)  * ($N$10 = df_cond!$C$2:$C$1000), 0), MATCH(R$9, df_cond!$E$1:$L$1,0)),"x")</f>
        <v>x</v>
      </c>
    </row>
    <row r="18" spans="1:18" ht="20.100000000000001" customHeight="1" x14ac:dyDescent="0.2">
      <c r="A18" s="299">
        <v>13</v>
      </c>
      <c r="B18" s="84" t="s">
        <v>360</v>
      </c>
      <c r="C18" s="173"/>
      <c r="D18" s="84">
        <f t="array" ref="D18">IFERROR(INDEX(df_cond!$E$2:$L$1000, MATCH(1, ($A$2 = df_cond!$A$2:$A$1000) * ($C$9 = df_cond!$B$2:$B$1000) * ($A18 = df_cond!$D$2:$D$1000)  * ($B$10 = df_cond!$C$2:$C$1000), 0), MATCH(D$9, df_cond!$E$1:$L$1,0)),0)</f>
        <v>0</v>
      </c>
      <c r="E18" s="1">
        <f t="array" ref="E18">IFERROR(INDEX(df_cond!$E$2:$L$1000, MATCH(1, ($A$2 = df_cond!$A$2:$A$1000) * ($C$9 = df_cond!$B$2:$B$1000) * ($A18 = df_cond!$D$2:$D$1000)  * ($B$10 = df_cond!$C$2:$C$1000), 0), MATCH(E$9, df_cond!$E$1:$L$1,0)),0)</f>
        <v>0</v>
      </c>
      <c r="F18" s="359">
        <f t="array" ref="F18">IFERROR(INDEX(df_cond!$E$2:$L$1000, MATCH(1, ($A$2 = df_cond!$A$2:$A$1000) * ($C$9 = df_cond!$B$2:$B$1000) * ($A18 = df_cond!$D$2:$D$1000)  * ($B$10 = df_cond!$C$2:$C$1000), 0), MATCH(F$9, df_cond!$E$1:$L$1,0)),0)</f>
        <v>0</v>
      </c>
      <c r="H18" s="84" t="s">
        <v>360</v>
      </c>
      <c r="I18" s="173"/>
      <c r="J18" s="591" t="str">
        <f t="array" ref="J18">IFERROR(INDEX(df_cond!$E$2:$L$1000, MATCH(1, ($A$2 = df_cond!$A$2:$A$1000) * ($C$9 = df_cond!$B$2:$B$1000) * ($A18 = df_cond!$D$2:$D$1000)  * ($H$10 = df_cond!$C$2:$C$1000), 0), MATCH(J$9, df_cond!$E$1:$L$1,0)),"x")</f>
        <v>x</v>
      </c>
      <c r="K18" s="591" t="str">
        <f t="array" ref="K18">IFERROR(INDEX(df_cond!$E$2:$L$1000, MATCH(1, ($A$2 = df_cond!$A$2:$A$1000) * ($C$9 = df_cond!$B$2:$B$1000) * ($A18 = df_cond!$D$2:$D$1000)  * ($H$10 = df_cond!$C$2:$C$1000), 0), MATCH(K$9, df_cond!$E$1:$L$1,0)),"x")</f>
        <v>x</v>
      </c>
      <c r="L18" s="503" t="str">
        <f t="array" ref="L18">IFERROR(INDEX(df_cond!$E$2:$L$1000, MATCH(1, ($A$2 = df_cond!$A$2:$A$1000) * ($C$9 = df_cond!$B$2:$B$1000) * ($A18 = df_cond!$D$2:$D$1000)  * ($H$10 = df_cond!$C$2:$C$1000), 0), MATCH(L$9, df_cond!$E$1:$L$1,0)),"x")</f>
        <v>x</v>
      </c>
      <c r="N18" s="84" t="s">
        <v>360</v>
      </c>
      <c r="O18" s="173"/>
      <c r="P18" s="591" t="str">
        <f t="array" ref="P18">IFERROR(INDEX(df_cond!$E$2:$L$1000, MATCH(1, ($A$2 = df_cond!$A$2:$A$1000) * ($C$9 = df_cond!$B$2:$B$1000) * ($A18 = df_cond!$D$2:$D$1000)  * ($N$10 = df_cond!$C$2:$C$1000), 0), MATCH(P$9, df_cond!$E$1:$L$1,0)),"x")</f>
        <v>x</v>
      </c>
      <c r="Q18" s="591" t="str">
        <f t="array" ref="Q18">IFERROR(INDEX(df_cond!$E$2:$L$1000, MATCH(1, ($A$2 = df_cond!$A$2:$A$1000) * ($C$9 = df_cond!$B$2:$B$1000) * ($A18 = df_cond!$D$2:$D$1000)  * ($N$10 = df_cond!$C$2:$C$1000), 0), MATCH(Q$9, df_cond!$E$1:$L$1,0)),"x")</f>
        <v>x</v>
      </c>
      <c r="R18" s="503" t="str">
        <f t="array" ref="R18">IFERROR(INDEX(df_cond!$E$2:$L$1000, MATCH(1, ($A$2 = df_cond!$A$2:$A$1000) * ($C$9 = df_cond!$B$2:$B$1000) * ($A18 = df_cond!$D$2:$D$1000)  * ($N$10 = df_cond!$C$2:$C$1000), 0), MATCH(R$9, df_cond!$E$1:$L$1,0)),"x")</f>
        <v>x</v>
      </c>
    </row>
    <row r="19" spans="1:18" ht="20.100000000000001" customHeight="1" x14ac:dyDescent="0.2">
      <c r="A19" s="299">
        <v>14</v>
      </c>
      <c r="B19" s="84" t="s">
        <v>194</v>
      </c>
      <c r="C19" s="173"/>
      <c r="D19" s="84">
        <f t="array" ref="D19">IFERROR(INDEX(df_cond!$E$2:$L$1000, MATCH(1, ($A$2 = df_cond!$A$2:$A$1000) * ($C$9 = df_cond!$B$2:$B$1000) * ($A19 = df_cond!$D$2:$D$1000)  * ($B$10 = df_cond!$C$2:$C$1000), 0), MATCH(D$9, df_cond!$E$1:$L$1,0)),0)</f>
        <v>0</v>
      </c>
      <c r="E19" s="1">
        <f t="array" ref="E19">IFERROR(INDEX(df_cond!$E$2:$L$1000, MATCH(1, ($A$2 = df_cond!$A$2:$A$1000) * ($C$9 = df_cond!$B$2:$B$1000) * ($A19 = df_cond!$D$2:$D$1000)  * ($B$10 = df_cond!$C$2:$C$1000), 0), MATCH(E$9, df_cond!$E$1:$L$1,0)),0)</f>
        <v>0</v>
      </c>
      <c r="F19" s="359">
        <f t="array" ref="F19">IFERROR(INDEX(df_cond!$E$2:$L$1000, MATCH(1, ($A$2 = df_cond!$A$2:$A$1000) * ($C$9 = df_cond!$B$2:$B$1000) * ($A19 = df_cond!$D$2:$D$1000)  * ($B$10 = df_cond!$C$2:$C$1000), 0), MATCH(F$9, df_cond!$E$1:$L$1,0)),0)</f>
        <v>0</v>
      </c>
      <c r="H19" s="84" t="s">
        <v>194</v>
      </c>
      <c r="I19" s="173"/>
      <c r="J19" s="591" t="str">
        <f t="array" ref="J19">IFERROR(INDEX(df_cond!$E$2:$L$1000, MATCH(1, ($A$2 = df_cond!$A$2:$A$1000) * ($C$9 = df_cond!$B$2:$B$1000) * ($A19 = df_cond!$D$2:$D$1000)  * ($H$10 = df_cond!$C$2:$C$1000), 0), MATCH(J$9, df_cond!$E$1:$L$1,0)),"x")</f>
        <v>x</v>
      </c>
      <c r="K19" s="591" t="str">
        <f t="array" ref="K19">IFERROR(INDEX(df_cond!$E$2:$L$1000, MATCH(1, ($A$2 = df_cond!$A$2:$A$1000) * ($C$9 = df_cond!$B$2:$B$1000) * ($A19 = df_cond!$D$2:$D$1000)  * ($H$10 = df_cond!$C$2:$C$1000), 0), MATCH(K$9, df_cond!$E$1:$L$1,0)),"x")</f>
        <v>x</v>
      </c>
      <c r="L19" s="503" t="str">
        <f t="array" ref="L19">IFERROR(INDEX(df_cond!$E$2:$L$1000, MATCH(1, ($A$2 = df_cond!$A$2:$A$1000) * ($C$9 = df_cond!$B$2:$B$1000) * ($A19 = df_cond!$D$2:$D$1000)  * ($H$10 = df_cond!$C$2:$C$1000), 0), MATCH(L$9, df_cond!$E$1:$L$1,0)),"x")</f>
        <v>x</v>
      </c>
      <c r="N19" s="84" t="s">
        <v>194</v>
      </c>
      <c r="O19" s="173"/>
      <c r="P19" s="591" t="str">
        <f t="array" ref="P19">IFERROR(INDEX(df_cond!$E$2:$L$1000, MATCH(1, ($A$2 = df_cond!$A$2:$A$1000) * ($C$9 = df_cond!$B$2:$B$1000) * ($A19 = df_cond!$D$2:$D$1000)  * ($N$10 = df_cond!$C$2:$C$1000), 0), MATCH(P$9, df_cond!$E$1:$L$1,0)),"x")</f>
        <v>x</v>
      </c>
      <c r="Q19" s="591" t="str">
        <f t="array" ref="Q19">IFERROR(INDEX(df_cond!$E$2:$L$1000, MATCH(1, ($A$2 = df_cond!$A$2:$A$1000) * ($C$9 = df_cond!$B$2:$B$1000) * ($A19 = df_cond!$D$2:$D$1000)  * ($N$10 = df_cond!$C$2:$C$1000), 0), MATCH(Q$9, df_cond!$E$1:$L$1,0)),"x")</f>
        <v>x</v>
      </c>
      <c r="R19" s="503" t="str">
        <f t="array" ref="R19">IFERROR(INDEX(df_cond!$E$2:$L$1000, MATCH(1, ($A$2 = df_cond!$A$2:$A$1000) * ($C$9 = df_cond!$B$2:$B$1000) * ($A19 = df_cond!$D$2:$D$1000)  * ($N$10 = df_cond!$C$2:$C$1000), 0), MATCH(R$9, df_cond!$E$1:$L$1,0)),"x")</f>
        <v>x</v>
      </c>
    </row>
    <row r="20" spans="1:18" ht="20.100000000000001" customHeight="1" x14ac:dyDescent="0.2">
      <c r="A20" s="299">
        <v>16</v>
      </c>
      <c r="B20" s="84" t="s">
        <v>352</v>
      </c>
      <c r="C20" s="173"/>
      <c r="D20" s="84">
        <f t="array" ref="D20">IFERROR(INDEX(df_cond!$E$2:$L$1000, MATCH(1, ($A$2 = df_cond!$A$2:$A$1000) * ($C$9 = df_cond!$B$2:$B$1000) * ($A20 = df_cond!$D$2:$D$1000)  * ($B$10 = df_cond!$C$2:$C$1000), 0), MATCH(D$9, df_cond!$E$1:$L$1,0)),0)</f>
        <v>0</v>
      </c>
      <c r="E20" s="1">
        <f t="array" ref="E20">IFERROR(INDEX(df_cond!$E$2:$L$1000, MATCH(1, ($A$2 = df_cond!$A$2:$A$1000) * ($C$9 = df_cond!$B$2:$B$1000) * ($A20 = df_cond!$D$2:$D$1000)  * ($B$10 = df_cond!$C$2:$C$1000), 0), MATCH(E$9, df_cond!$E$1:$L$1,0)),0)</f>
        <v>0</v>
      </c>
      <c r="F20" s="359">
        <f t="array" ref="F20">IFERROR(INDEX(df_cond!$E$2:$L$1000, MATCH(1, ($A$2 = df_cond!$A$2:$A$1000) * ($C$9 = df_cond!$B$2:$B$1000) * ($A20 = df_cond!$D$2:$D$1000)  * ($B$10 = df_cond!$C$2:$C$1000), 0), MATCH(F$9, df_cond!$E$1:$L$1,0)),0)</f>
        <v>0</v>
      </c>
      <c r="H20" s="84" t="s">
        <v>352</v>
      </c>
      <c r="I20" s="173"/>
      <c r="J20" s="591" t="str">
        <f t="array" ref="J20">IFERROR(INDEX(df_cond!$E$2:$L$1000, MATCH(1, ($A$2 = df_cond!$A$2:$A$1000) * ($C$9 = df_cond!$B$2:$B$1000) * ($A20 = df_cond!$D$2:$D$1000)  * ($H$10 = df_cond!$C$2:$C$1000), 0), MATCH(J$9, df_cond!$E$1:$L$1,0)),"x")</f>
        <v>x</v>
      </c>
      <c r="K20" s="591" t="str">
        <f t="array" ref="K20">IFERROR(INDEX(df_cond!$E$2:$L$1000, MATCH(1, ($A$2 = df_cond!$A$2:$A$1000) * ($C$9 = df_cond!$B$2:$B$1000) * ($A20 = df_cond!$D$2:$D$1000)  * ($H$10 = df_cond!$C$2:$C$1000), 0), MATCH(K$9, df_cond!$E$1:$L$1,0)),"x")</f>
        <v>x</v>
      </c>
      <c r="L20" s="503" t="str">
        <f t="array" ref="L20">IFERROR(INDEX(df_cond!$E$2:$L$1000, MATCH(1, ($A$2 = df_cond!$A$2:$A$1000) * ($C$9 = df_cond!$B$2:$B$1000) * ($A20 = df_cond!$D$2:$D$1000)  * ($H$10 = df_cond!$C$2:$C$1000), 0), MATCH(L$9, df_cond!$E$1:$L$1,0)),"x")</f>
        <v>x</v>
      </c>
      <c r="N20" s="84" t="s">
        <v>352</v>
      </c>
      <c r="O20" s="173"/>
      <c r="P20" s="591" t="str">
        <f t="array" ref="P20">IFERROR(INDEX(df_cond!$E$2:$L$1000, MATCH(1, ($A$2 = df_cond!$A$2:$A$1000) * ($C$9 = df_cond!$B$2:$B$1000) * ($A20 = df_cond!$D$2:$D$1000)  * ($N$10 = df_cond!$C$2:$C$1000), 0), MATCH(P$9, df_cond!$E$1:$L$1,0)),"x")</f>
        <v>x</v>
      </c>
      <c r="Q20" s="591" t="str">
        <f t="array" ref="Q20">IFERROR(INDEX(df_cond!$E$2:$L$1000, MATCH(1, ($A$2 = df_cond!$A$2:$A$1000) * ($C$9 = df_cond!$B$2:$B$1000) * ($A20 = df_cond!$D$2:$D$1000)  * ($N$10 = df_cond!$C$2:$C$1000), 0), MATCH(Q$9, df_cond!$E$1:$L$1,0)),"x")</f>
        <v>x</v>
      </c>
      <c r="R20" s="503" t="str">
        <f t="array" ref="R20">IFERROR(INDEX(df_cond!$E$2:$L$1000, MATCH(1, ($A$2 = df_cond!$A$2:$A$1000) * ($C$9 = df_cond!$B$2:$B$1000) * ($A20 = df_cond!$D$2:$D$1000)  * ($N$10 = df_cond!$C$2:$C$1000), 0), MATCH(R$9, df_cond!$E$1:$L$1,0)),"x")</f>
        <v>x</v>
      </c>
    </row>
    <row r="21" spans="1:18" ht="20.100000000000001" customHeight="1" x14ac:dyDescent="0.2">
      <c r="A21" s="299">
        <v>31</v>
      </c>
      <c r="B21" s="84" t="s">
        <v>351</v>
      </c>
      <c r="C21" s="173"/>
      <c r="D21" s="84">
        <f t="array" ref="D21">IFERROR(INDEX(df_cond!$E$2:$L$1000, MATCH(1, ($A$2 = df_cond!$A$2:$A$1000) * ($C$9 = df_cond!$B$2:$B$1000) * ($A21 = df_cond!$D$2:$D$1000)  * ($B$10 = df_cond!$C$2:$C$1000), 0), MATCH(D$9, df_cond!$E$1:$L$1,0)),0)</f>
        <v>0</v>
      </c>
      <c r="E21" s="1">
        <f t="array" ref="E21">IFERROR(INDEX(df_cond!$E$2:$L$1000, MATCH(1, ($A$2 = df_cond!$A$2:$A$1000) * ($C$9 = df_cond!$B$2:$B$1000) * ($A21 = df_cond!$D$2:$D$1000)  * ($B$10 = df_cond!$C$2:$C$1000), 0), MATCH(E$9, df_cond!$E$1:$L$1,0)),0)</f>
        <v>0</v>
      </c>
      <c r="F21" s="359">
        <f t="array" ref="F21">IFERROR(INDEX(df_cond!$E$2:$L$1000, MATCH(1, ($A$2 = df_cond!$A$2:$A$1000) * ($C$9 = df_cond!$B$2:$B$1000) * ($A21 = df_cond!$D$2:$D$1000)  * ($B$10 = df_cond!$C$2:$C$1000), 0), MATCH(F$9, df_cond!$E$1:$L$1,0)),0)</f>
        <v>0</v>
      </c>
      <c r="H21" s="84" t="s">
        <v>351</v>
      </c>
      <c r="I21" s="173"/>
      <c r="J21" s="591" t="str">
        <f t="array" ref="J21">IFERROR(INDEX(df_cond!$E$2:$L$1000, MATCH(1, ($A$2 = df_cond!$A$2:$A$1000) * ($C$9 = df_cond!$B$2:$B$1000) * ($A21 = df_cond!$D$2:$D$1000)  * ($H$10 = df_cond!$C$2:$C$1000), 0), MATCH(J$9, df_cond!$E$1:$L$1,0)),"x")</f>
        <v>x</v>
      </c>
      <c r="K21" s="591" t="str">
        <f t="array" ref="K21">IFERROR(INDEX(df_cond!$E$2:$L$1000, MATCH(1, ($A$2 = df_cond!$A$2:$A$1000) * ($C$9 = df_cond!$B$2:$B$1000) * ($A21 = df_cond!$D$2:$D$1000)  * ($H$10 = df_cond!$C$2:$C$1000), 0), MATCH(K$9, df_cond!$E$1:$L$1,0)),"x")</f>
        <v>x</v>
      </c>
      <c r="L21" s="503" t="str">
        <f t="array" ref="L21">IFERROR(INDEX(df_cond!$E$2:$L$1000, MATCH(1, ($A$2 = df_cond!$A$2:$A$1000) * ($C$9 = df_cond!$B$2:$B$1000) * ($A21 = df_cond!$D$2:$D$1000)  * ($H$10 = df_cond!$C$2:$C$1000), 0), MATCH(L$9, df_cond!$E$1:$L$1,0)),"x")</f>
        <v>x</v>
      </c>
      <c r="N21" s="84" t="s">
        <v>351</v>
      </c>
      <c r="O21" s="173"/>
      <c r="P21" s="591" t="str">
        <f t="array" ref="P21">IFERROR(INDEX(df_cond!$E$2:$L$1000, MATCH(1, ($A$2 = df_cond!$A$2:$A$1000) * ($C$9 = df_cond!$B$2:$B$1000) * ($A21 = df_cond!$D$2:$D$1000)  * ($N$10 = df_cond!$C$2:$C$1000), 0), MATCH(P$9, df_cond!$E$1:$L$1,0)),"x")</f>
        <v>x</v>
      </c>
      <c r="Q21" s="591" t="str">
        <f t="array" ref="Q21">IFERROR(INDEX(df_cond!$E$2:$L$1000, MATCH(1, ($A$2 = df_cond!$A$2:$A$1000) * ($C$9 = df_cond!$B$2:$B$1000) * ($A21 = df_cond!$D$2:$D$1000)  * ($N$10 = df_cond!$C$2:$C$1000), 0), MATCH(Q$9, df_cond!$E$1:$L$1,0)),"x")</f>
        <v>x</v>
      </c>
      <c r="R21" s="503" t="str">
        <f t="array" ref="R21">IFERROR(INDEX(df_cond!$E$2:$L$1000, MATCH(1, ($A$2 = df_cond!$A$2:$A$1000) * ($C$9 = df_cond!$B$2:$B$1000) * ($A21 = df_cond!$D$2:$D$1000)  * ($N$10 = df_cond!$C$2:$C$1000), 0), MATCH(R$9, df_cond!$E$1:$L$1,0)),"x")</f>
        <v>x</v>
      </c>
    </row>
    <row r="22" spans="1:18" ht="20.100000000000001" customHeight="1" x14ac:dyDescent="0.2">
      <c r="A22" s="299">
        <v>41</v>
      </c>
      <c r="B22" s="84" t="s">
        <v>361</v>
      </c>
      <c r="C22" s="173"/>
      <c r="D22" s="84">
        <f t="array" ref="D22">IFERROR(INDEX(df_cond!$E$2:$L$1000, MATCH(1, ($A$2 = df_cond!$A$2:$A$1000) * ($C$9 = df_cond!$B$2:$B$1000) * ($A22 = df_cond!$D$2:$D$1000)  * ($B$10 = df_cond!$C$2:$C$1000), 0), MATCH(D$9, df_cond!$E$1:$L$1,0)),0)</f>
        <v>0</v>
      </c>
      <c r="E22" s="1">
        <f t="array" ref="E22">IFERROR(INDEX(df_cond!$E$2:$L$1000, MATCH(1, ($A$2 = df_cond!$A$2:$A$1000) * ($C$9 = df_cond!$B$2:$B$1000) * ($A22 = df_cond!$D$2:$D$1000)  * ($B$10 = df_cond!$C$2:$C$1000), 0), MATCH(E$9, df_cond!$E$1:$L$1,0)),0)</f>
        <v>0</v>
      </c>
      <c r="F22" s="359">
        <f t="array" ref="F22">IFERROR(INDEX(df_cond!$E$2:$L$1000, MATCH(1, ($A$2 = df_cond!$A$2:$A$1000) * ($C$9 = df_cond!$B$2:$B$1000) * ($A22 = df_cond!$D$2:$D$1000)  * ($B$10 = df_cond!$C$2:$C$1000), 0), MATCH(F$9, df_cond!$E$1:$L$1,0)),0)</f>
        <v>0</v>
      </c>
      <c r="H22" s="84" t="s">
        <v>361</v>
      </c>
      <c r="I22" s="173"/>
      <c r="J22" s="591" t="str">
        <f t="array" ref="J22">IFERROR(INDEX(df_cond!$E$2:$L$1000, MATCH(1, ($A$2 = df_cond!$A$2:$A$1000) * ($C$9 = df_cond!$B$2:$B$1000) * ($A22 = df_cond!$D$2:$D$1000)  * ($H$10 = df_cond!$C$2:$C$1000), 0), MATCH(J$9, df_cond!$E$1:$L$1,0)),"x")</f>
        <v>x</v>
      </c>
      <c r="K22" s="591" t="str">
        <f t="array" ref="K22">IFERROR(INDEX(df_cond!$E$2:$L$1000, MATCH(1, ($A$2 = df_cond!$A$2:$A$1000) * ($C$9 = df_cond!$B$2:$B$1000) * ($A22 = df_cond!$D$2:$D$1000)  * ($H$10 = df_cond!$C$2:$C$1000), 0), MATCH(K$9, df_cond!$E$1:$L$1,0)),"x")</f>
        <v>x</v>
      </c>
      <c r="L22" s="503" t="str">
        <f t="array" ref="L22">IFERROR(INDEX(df_cond!$E$2:$L$1000, MATCH(1, ($A$2 = df_cond!$A$2:$A$1000) * ($C$9 = df_cond!$B$2:$B$1000) * ($A22 = df_cond!$D$2:$D$1000)  * ($H$10 = df_cond!$C$2:$C$1000), 0), MATCH(L$9, df_cond!$E$1:$L$1,0)),"x")</f>
        <v>x</v>
      </c>
      <c r="N22" s="84" t="s">
        <v>361</v>
      </c>
      <c r="O22" s="173"/>
      <c r="P22" s="591" t="str">
        <f t="array" ref="P22">IFERROR(INDEX(df_cond!$E$2:$L$1000, MATCH(1, ($A$2 = df_cond!$A$2:$A$1000) * ($C$9 = df_cond!$B$2:$B$1000) * ($A22 = df_cond!$D$2:$D$1000)  * ($N$10 = df_cond!$C$2:$C$1000), 0), MATCH(P$9, df_cond!$E$1:$L$1,0)),"x")</f>
        <v>x</v>
      </c>
      <c r="Q22" s="591" t="str">
        <f t="array" ref="Q22">IFERROR(INDEX(df_cond!$E$2:$L$1000, MATCH(1, ($A$2 = df_cond!$A$2:$A$1000) * ($C$9 = df_cond!$B$2:$B$1000) * ($A22 = df_cond!$D$2:$D$1000)  * ($N$10 = df_cond!$C$2:$C$1000), 0), MATCH(Q$9, df_cond!$E$1:$L$1,0)),"x")</f>
        <v>x</v>
      </c>
      <c r="R22" s="503" t="str">
        <f t="array" ref="R22">IFERROR(INDEX(df_cond!$E$2:$L$1000, MATCH(1, ($A$2 = df_cond!$A$2:$A$1000) * ($C$9 = df_cond!$B$2:$B$1000) * ($A22 = df_cond!$D$2:$D$1000)  * ($N$10 = df_cond!$C$2:$C$1000), 0), MATCH(R$9, df_cond!$E$1:$L$1,0)),"x")</f>
        <v>x</v>
      </c>
    </row>
    <row r="23" spans="1:18" ht="20.100000000000001" customHeight="1" x14ac:dyDescent="0.2">
      <c r="A23" s="299">
        <v>43</v>
      </c>
      <c r="B23" s="84" t="s">
        <v>195</v>
      </c>
      <c r="C23" s="173"/>
      <c r="D23" s="84">
        <f t="array" ref="D23">IFERROR(INDEX(df_cond!$E$2:$L$1000, MATCH(1, ($A$2 = df_cond!$A$2:$A$1000) * ($C$9 = df_cond!$B$2:$B$1000) * ($A23 = df_cond!$D$2:$D$1000)  * ($B$10 = df_cond!$C$2:$C$1000), 0), MATCH(D$9, df_cond!$E$1:$L$1,0)),0)</f>
        <v>0</v>
      </c>
      <c r="E23" s="1">
        <f t="array" ref="E23">IFERROR(INDEX(df_cond!$E$2:$L$1000, MATCH(1, ($A$2 = df_cond!$A$2:$A$1000) * ($C$9 = df_cond!$B$2:$B$1000) * ($A23 = df_cond!$D$2:$D$1000)  * ($B$10 = df_cond!$C$2:$C$1000), 0), MATCH(E$9, df_cond!$E$1:$L$1,0)),0)</f>
        <v>0</v>
      </c>
      <c r="F23" s="359">
        <f t="array" ref="F23">IFERROR(INDEX(df_cond!$E$2:$L$1000, MATCH(1, ($A$2 = df_cond!$A$2:$A$1000) * ($C$9 = df_cond!$B$2:$B$1000) * ($A23 = df_cond!$D$2:$D$1000)  * ($B$10 = df_cond!$C$2:$C$1000), 0), MATCH(F$9, df_cond!$E$1:$L$1,0)),0)</f>
        <v>0</v>
      </c>
      <c r="H23" s="84" t="s">
        <v>195</v>
      </c>
      <c r="I23" s="173"/>
      <c r="J23" s="591" t="str">
        <f t="array" ref="J23">IFERROR(INDEX(df_cond!$E$2:$L$1000, MATCH(1, ($A$2 = df_cond!$A$2:$A$1000) * ($C$9 = df_cond!$B$2:$B$1000) * ($A23 = df_cond!$D$2:$D$1000)  * ($H$10 = df_cond!$C$2:$C$1000), 0), MATCH(J$9, df_cond!$E$1:$L$1,0)),"x")</f>
        <v>x</v>
      </c>
      <c r="K23" s="591" t="str">
        <f t="array" ref="K23">IFERROR(INDEX(df_cond!$E$2:$L$1000, MATCH(1, ($A$2 = df_cond!$A$2:$A$1000) * ($C$9 = df_cond!$B$2:$B$1000) * ($A23 = df_cond!$D$2:$D$1000)  * ($H$10 = df_cond!$C$2:$C$1000), 0), MATCH(K$9, df_cond!$E$1:$L$1,0)),"x")</f>
        <v>x</v>
      </c>
      <c r="L23" s="503" t="str">
        <f t="array" ref="L23">IFERROR(INDEX(df_cond!$E$2:$L$1000, MATCH(1, ($A$2 = df_cond!$A$2:$A$1000) * ($C$9 = df_cond!$B$2:$B$1000) * ($A23 = df_cond!$D$2:$D$1000)  * ($H$10 = df_cond!$C$2:$C$1000), 0), MATCH(L$9, df_cond!$E$1:$L$1,0)),"x")</f>
        <v>x</v>
      </c>
      <c r="N23" s="84" t="s">
        <v>195</v>
      </c>
      <c r="O23" s="173"/>
      <c r="P23" s="591" t="str">
        <f t="array" ref="P23">IFERROR(INDEX(df_cond!$E$2:$L$1000, MATCH(1, ($A$2 = df_cond!$A$2:$A$1000) * ($C$9 = df_cond!$B$2:$B$1000) * ($A23 = df_cond!$D$2:$D$1000)  * ($N$10 = df_cond!$C$2:$C$1000), 0), MATCH(P$9, df_cond!$E$1:$L$1,0)),"x")</f>
        <v>x</v>
      </c>
      <c r="Q23" s="591" t="str">
        <f t="array" ref="Q23">IFERROR(INDEX(df_cond!$E$2:$L$1000, MATCH(1, ($A$2 = df_cond!$A$2:$A$1000) * ($C$9 = df_cond!$B$2:$B$1000) * ($A23 = df_cond!$D$2:$D$1000)  * ($N$10 = df_cond!$C$2:$C$1000), 0), MATCH(Q$9, df_cond!$E$1:$L$1,0)),"x")</f>
        <v>x</v>
      </c>
      <c r="R23" s="503" t="str">
        <f t="array" ref="R23">IFERROR(INDEX(df_cond!$E$2:$L$1000, MATCH(1, ($A$2 = df_cond!$A$2:$A$1000) * ($C$9 = df_cond!$B$2:$B$1000) * ($A23 = df_cond!$D$2:$D$1000)  * ($N$10 = df_cond!$C$2:$C$1000), 0), MATCH(R$9, df_cond!$E$1:$L$1,0)),"x")</f>
        <v>x</v>
      </c>
    </row>
    <row r="24" spans="1:18" ht="20.100000000000001" customHeight="1" x14ac:dyDescent="0.2">
      <c r="A24" s="299">
        <v>46</v>
      </c>
      <c r="B24" s="569" t="s">
        <v>362</v>
      </c>
      <c r="C24" s="494"/>
      <c r="D24" s="569">
        <f t="array" ref="D24">IFERROR(INDEX(df_cond!$E$2:$L$1000, MATCH(1, ($A$2 = df_cond!$A$2:$A$1000) * ($C$9 = df_cond!$B$2:$B$1000) * ($A24 = df_cond!$D$2:$D$1000)  * ($B$10 = df_cond!$C$2:$C$1000), 0), MATCH(D$9, df_cond!$E$1:$L$1,0)),0)</f>
        <v>0</v>
      </c>
      <c r="E24" s="498">
        <f t="array" ref="E24">IFERROR(INDEX(df_cond!$E$2:$L$1000, MATCH(1, ($A$2 = df_cond!$A$2:$A$1000) * ($C$9 = df_cond!$B$2:$B$1000) * ($A24 = df_cond!$D$2:$D$1000)  * ($B$10 = df_cond!$C$2:$C$1000), 0), MATCH(E$9, df_cond!$E$1:$L$1,0)),0)</f>
        <v>0</v>
      </c>
      <c r="F24" s="499">
        <f t="array" ref="F24">IFERROR(INDEX(df_cond!$E$2:$L$1000, MATCH(1, ($A$2 = df_cond!$A$2:$A$1000) * ($C$9 = df_cond!$B$2:$B$1000) * ($A24 = df_cond!$D$2:$D$1000)  * ($B$10 = df_cond!$C$2:$C$1000), 0), MATCH(F$9, df_cond!$E$1:$L$1,0)),0)</f>
        <v>0</v>
      </c>
      <c r="H24" s="569" t="s">
        <v>362</v>
      </c>
      <c r="I24" s="494"/>
      <c r="J24" s="593" t="str">
        <f t="array" ref="J24">IFERROR(INDEX(df_cond!$E$2:$L$1000, MATCH(1, ($A$2 = df_cond!$A$2:$A$1000) * ($C$9 = df_cond!$B$2:$B$1000) * ($A24 = df_cond!$D$2:$D$1000)  * ($H$10 = df_cond!$C$2:$C$1000), 0), MATCH(J$9, df_cond!$E$1:$L$1,0)),"x")</f>
        <v>x</v>
      </c>
      <c r="K24" s="593" t="str">
        <f t="array" ref="K24">IFERROR(INDEX(df_cond!$E$2:$L$1000, MATCH(1, ($A$2 = df_cond!$A$2:$A$1000) * ($C$9 = df_cond!$B$2:$B$1000) * ($A24 = df_cond!$D$2:$D$1000)  * ($H$10 = df_cond!$C$2:$C$1000), 0), MATCH(K$9, df_cond!$E$1:$L$1,0)),"x")</f>
        <v>x</v>
      </c>
      <c r="L24" s="504" t="str">
        <f t="array" ref="L24">IFERROR(INDEX(df_cond!$E$2:$L$1000, MATCH(1, ($A$2 = df_cond!$A$2:$A$1000) * ($C$9 = df_cond!$B$2:$B$1000) * ($A24 = df_cond!$D$2:$D$1000)  * ($H$10 = df_cond!$C$2:$C$1000), 0), MATCH(L$9, df_cond!$E$1:$L$1,0)),"x")</f>
        <v>x</v>
      </c>
      <c r="N24" s="569" t="s">
        <v>362</v>
      </c>
      <c r="O24" s="494"/>
      <c r="P24" s="593" t="str">
        <f t="array" ref="P24">IFERROR(INDEX(df_cond!$E$2:$L$1000, MATCH(1, ($A$2 = df_cond!$A$2:$A$1000) * ($C$9 = df_cond!$B$2:$B$1000) * ($A24 = df_cond!$D$2:$D$1000)  * ($N$10 = df_cond!$C$2:$C$1000), 0), MATCH(P$9, df_cond!$E$1:$L$1,0)),"x")</f>
        <v>x</v>
      </c>
      <c r="Q24" s="593" t="str">
        <f t="array" ref="Q24">IFERROR(INDEX(df_cond!$E$2:$L$1000, MATCH(1, ($A$2 = df_cond!$A$2:$A$1000) * ($C$9 = df_cond!$B$2:$B$1000) * ($A24 = df_cond!$D$2:$D$1000)  * ($N$10 = df_cond!$C$2:$C$1000), 0), MATCH(Q$9, df_cond!$E$1:$L$1,0)),"x")</f>
        <v>x</v>
      </c>
      <c r="R24" s="504" t="str">
        <f t="array" ref="R24">IFERROR(INDEX(df_cond!$E$2:$L$1000, MATCH(1, ($A$2 = df_cond!$A$2:$A$1000) * ($C$9 = df_cond!$B$2:$B$1000) * ($A24 = df_cond!$D$2:$D$1000)  * ($N$10 = df_cond!$C$2:$C$1000), 0), MATCH(R$9, df_cond!$E$1:$L$1,0)),"x")</f>
        <v>x</v>
      </c>
    </row>
    <row r="25" spans="1:18" ht="20.100000000000001" customHeight="1" x14ac:dyDescent="0.2">
      <c r="A25" s="299"/>
      <c r="B25" s="1"/>
      <c r="D25" s="239"/>
      <c r="E25" s="239"/>
      <c r="F25" s="239"/>
      <c r="H25" s="1"/>
      <c r="J25" s="262"/>
      <c r="K25" s="262"/>
      <c r="L25" s="262"/>
      <c r="N25" s="1"/>
      <c r="P25" s="262"/>
      <c r="Q25" s="262"/>
      <c r="R25" s="262"/>
    </row>
    <row r="26" spans="1:18" ht="20.100000000000001" customHeight="1" x14ac:dyDescent="0.2">
      <c r="B26" s="1240" t="s">
        <v>404</v>
      </c>
      <c r="C26" s="1240"/>
      <c r="D26" s="1240"/>
      <c r="E26" s="1240"/>
      <c r="F26" s="1240"/>
      <c r="H26" s="1240" t="s">
        <v>363</v>
      </c>
      <c r="I26" s="1240"/>
      <c r="J26" s="1240"/>
      <c r="K26" s="1240"/>
      <c r="L26" s="1240"/>
      <c r="N26" s="1240" t="s">
        <v>405</v>
      </c>
      <c r="O26" s="1240"/>
      <c r="P26" s="1240"/>
      <c r="Q26" s="1240"/>
      <c r="R26" s="1240"/>
    </row>
    <row r="27" spans="1:18" ht="20.100000000000001" customHeight="1" x14ac:dyDescent="0.2">
      <c r="B27" s="1024" t="s">
        <v>1215</v>
      </c>
      <c r="C27" s="1024" t="s">
        <v>354</v>
      </c>
      <c r="D27" s="476" t="s">
        <v>6</v>
      </c>
      <c r="E27" s="476" t="s">
        <v>136</v>
      </c>
      <c r="F27" s="476" t="s">
        <v>353</v>
      </c>
      <c r="H27" s="1024" t="s">
        <v>1215</v>
      </c>
      <c r="I27" s="1024" t="s">
        <v>354</v>
      </c>
      <c r="J27" s="476" t="s">
        <v>6</v>
      </c>
      <c r="K27" s="476" t="s">
        <v>136</v>
      </c>
      <c r="L27" s="476" t="s">
        <v>353</v>
      </c>
      <c r="N27" s="1024" t="s">
        <v>1215</v>
      </c>
      <c r="O27" s="1024" t="s">
        <v>354</v>
      </c>
      <c r="P27" s="476" t="s">
        <v>6</v>
      </c>
      <c r="Q27" s="476" t="s">
        <v>136</v>
      </c>
      <c r="R27" s="476" t="s">
        <v>353</v>
      </c>
    </row>
    <row r="28" spans="1:18" ht="20.100000000000001" customHeight="1" x14ac:dyDescent="0.2">
      <c r="B28" s="206" t="s">
        <v>364</v>
      </c>
      <c r="C28" s="72"/>
      <c r="D28" s="128" t="s">
        <v>6</v>
      </c>
      <c r="E28" s="117" t="s">
        <v>95</v>
      </c>
      <c r="F28" s="302" t="s">
        <v>96</v>
      </c>
      <c r="H28" s="206" t="s">
        <v>363</v>
      </c>
      <c r="I28" s="72"/>
      <c r="J28" s="128" t="s">
        <v>6</v>
      </c>
      <c r="K28" s="117" t="s">
        <v>95</v>
      </c>
      <c r="L28" s="302" t="s">
        <v>96</v>
      </c>
      <c r="N28" s="206" t="s">
        <v>365</v>
      </c>
      <c r="O28" s="72"/>
      <c r="P28" s="128" t="s">
        <v>6</v>
      </c>
      <c r="Q28" s="117" t="s">
        <v>95</v>
      </c>
      <c r="R28" s="302" t="s">
        <v>96</v>
      </c>
    </row>
    <row r="29" spans="1:18" ht="20.100000000000001" customHeight="1" x14ac:dyDescent="0.2">
      <c r="A29" s="299">
        <v>1</v>
      </c>
      <c r="B29" s="84" t="s">
        <v>6</v>
      </c>
      <c r="C29" s="173"/>
      <c r="D29" s="570">
        <f t="array" ref="D29">IFERROR(INDEX(df_stir!$E$2:$K$1000, MATCH(1, ($A$2 = df_stir!$A$2:$A$1000) * ($C$9 = df_stir!$B$2:$B$1000) * ($A29 = df_stir!$D$2:$D$1000)  * ($B$28 = df_stir!$C$2:$C$1000), 0), MATCH(D$9, df_stir!$E$1:$K$1,0)),0)</f>
        <v>0</v>
      </c>
      <c r="E29" s="567">
        <f t="array" ref="E29">IFERROR(INDEX(df_stir!$E$2:$K$1000, MATCH(1, ($A$2 = df_stir!$A$2:$A$1000) * ($C$9 = df_stir!$B$2:$B$1000) * ($A29 = df_stir!$D$2:$D$1000)  * ($B$28 = df_stir!$C$2:$C$1000), 0), MATCH(E$9, df_stir!$E$1:$K$1,0)),0)</f>
        <v>0</v>
      </c>
      <c r="F29" s="561">
        <f t="array" ref="F29">IFERROR(INDEX(df_stir!$E$2:$K$1000, MATCH(1, ($A$2 = df_stir!$A$2:$A$1000) * ($C$9 = df_stir!$B$2:$B$1000) * ($A29 = df_stir!$D$2:$D$1000)  * ($B$28 = df_stir!$C$2:$C$1000), 0), MATCH(F$9, df_stir!$E$1:$K$1,0)),0)</f>
        <v>0</v>
      </c>
      <c r="H29" s="84" t="s">
        <v>6</v>
      </c>
      <c r="I29" s="173"/>
      <c r="J29" s="591" t="str">
        <f t="array" ref="J29">IFERROR(INDEX(df_stir!$E$2:$K$1000, MATCH(1, ($A$2 = df_stir!$A$2:$A$1000) * ($C$9 = df_stir!$B$2:$B$1000) * ($A29 = df_stir!$D$2:$D$1000)  * ($H$28 = df_stir!$C$2:$C$1000), 0), MATCH(J$9, df_stir!$E$1:$K$1,0)),"x")</f>
        <v>x</v>
      </c>
      <c r="K29" s="591" t="str">
        <f t="array" ref="K29">IFERROR(INDEX(df_stir!$E$2:$K$1000, MATCH(1, ($A$2 = df_stir!$A$2:$A$1000) * ($C$9 = df_stir!$B$2:$B$1000) * ($A29 = df_stir!$D$2:$D$1000)  * ($H$28 = df_stir!$C$2:$C$1000), 0), MATCH(K$9, df_stir!$E$1:$K$1,0)),"x")</f>
        <v>x</v>
      </c>
      <c r="L29" s="503" t="str">
        <f t="array" ref="L29">IFERROR(INDEX(df_stir!$E$2:$K$1000, MATCH(1, ($A$2 = df_stir!$A$2:$A$1000) * ($C$9 = df_stir!$B$2:$B$1000) * ($A29 = df_stir!$D$2:$D$1000)  * ($H$28 = df_stir!$C$2:$C$1000), 0), MATCH(L$9, df_stir!$E$1:$K$1,0)),"x")</f>
        <v>x</v>
      </c>
      <c r="N29" s="84" t="s">
        <v>6</v>
      </c>
      <c r="O29" s="173"/>
      <c r="P29" s="591" t="str">
        <f t="array" ref="P29">IFERROR(INDEX(df_stir!$E$2:$K$1000, MATCH(1, ($A$2 = df_stir!$A$2:$A$1000) * ($C$9 = df_stir!$B$2:$B$1000) * ($A29 = df_stir!$D$2:$D$1000)  * ($N$28 = df_stir!$C$2:$C$1000), 0), MATCH(P$9, df_stir!$E$1:$K$1,0)),"x")</f>
        <v>x</v>
      </c>
      <c r="Q29" s="591" t="str">
        <f t="array" ref="Q29">IFERROR(INDEX(df_stir!$E$2:$K$1000, MATCH(1, ($A$2 = df_stir!$A$2:$A$1000) * ($C$9 = df_stir!$B$2:$B$1000) * ($A29 = df_stir!$D$2:$D$1000)  * ($N$28 = df_stir!$C$2:$C$1000), 0), MATCH(Q$9, df_stir!$E$1:$K$1,0)),"x")</f>
        <v>x</v>
      </c>
      <c r="R29" s="503" t="str">
        <f t="array" ref="R29">IFERROR(INDEX(df_stir!$E$2:$K$1000, MATCH(1, ($A$2 = df_stir!$A$2:$A$1000) * ($C$9 = df_stir!$B$2:$B$1000) * ($A29 = df_stir!$D$2:$D$1000)  * ($N$28 = df_stir!$C$2:$C$1000), 0), MATCH(R$9, df_stir!$E$1:$K$1,0)),"x")</f>
        <v>x</v>
      </c>
    </row>
    <row r="30" spans="1:18" ht="20.100000000000001" customHeight="1" x14ac:dyDescent="0.2">
      <c r="A30" s="299">
        <v>5</v>
      </c>
      <c r="B30" s="84" t="s">
        <v>355</v>
      </c>
      <c r="C30" s="173"/>
      <c r="D30" s="84">
        <f t="array" ref="D30">IFERROR(INDEX(df_stir!$E$2:$K$1000, MATCH(1, ($A$2 = df_stir!$A$2:$A$1000) * ($C$9 = df_stir!$B$2:$B$1000) * ($A30 = df_stir!$D$2:$D$1000)  * ($B$28 = df_stir!$C$2:$C$1000), 0), MATCH(D$9, df_stir!$E$1:$K$1,0)),0)</f>
        <v>0</v>
      </c>
      <c r="E30" s="1">
        <f t="array" ref="E30">IFERROR(INDEX(df_stir!$E$2:$K$1000, MATCH(1, ($A$2 = df_stir!$A$2:$A$1000) * ($C$9 = df_stir!$B$2:$B$1000) * ($A30 = df_stir!$D$2:$D$1000)  * ($B$28 = df_stir!$C$2:$C$1000), 0), MATCH(E$9, df_stir!$E$1:$K$1,0)),0)</f>
        <v>0</v>
      </c>
      <c r="F30" s="359">
        <f t="array" ref="F30">IFERROR(INDEX(df_stir!$E$2:$K$1000, MATCH(1, ($A$2 = df_stir!$A$2:$A$1000) * ($C$9 = df_stir!$B$2:$B$1000) * ($A30 = df_stir!$D$2:$D$1000)  * ($B$28 = df_stir!$C$2:$C$1000), 0), MATCH(F$9, df_stir!$E$1:$K$1,0)),0)</f>
        <v>0</v>
      </c>
      <c r="H30" s="84" t="s">
        <v>355</v>
      </c>
      <c r="I30" s="173"/>
      <c r="J30" s="591" t="str">
        <f t="array" ref="J30">IFERROR(INDEX(df_stir!$E$2:$K$1000, MATCH(1, ($A$2 = df_stir!$A$2:$A$1000) * ($C$9 = df_stir!$B$2:$B$1000) * ($A30 = df_stir!$D$2:$D$1000)  * ($H$28 = df_stir!$C$2:$C$1000), 0), MATCH(J$9, df_stir!$E$1:$K$1,0)),"x")</f>
        <v>x</v>
      </c>
      <c r="K30" s="591" t="str">
        <f t="array" ref="K30">IFERROR(INDEX(df_stir!$E$2:$K$1000, MATCH(1, ($A$2 = df_stir!$A$2:$A$1000) * ($C$9 = df_stir!$B$2:$B$1000) * ($A30 = df_stir!$D$2:$D$1000)  * ($H$28 = df_stir!$C$2:$C$1000), 0), MATCH(K$9, df_stir!$E$1:$K$1,0)),"x")</f>
        <v>x</v>
      </c>
      <c r="L30" s="503" t="str">
        <f t="array" ref="L30">IFERROR(INDEX(df_stir!$E$2:$K$1000, MATCH(1, ($A$2 = df_stir!$A$2:$A$1000) * ($C$9 = df_stir!$B$2:$B$1000) * ($A30 = df_stir!$D$2:$D$1000)  * ($H$28 = df_stir!$C$2:$C$1000), 0), MATCH(L$9, df_stir!$E$1:$K$1,0)),"x")</f>
        <v>x</v>
      </c>
      <c r="N30" s="84" t="s">
        <v>355</v>
      </c>
      <c r="O30" s="173"/>
      <c r="P30" s="591" t="str">
        <f t="array" ref="P30">IFERROR(INDEX(df_stir!$E$2:$K$1000, MATCH(1, ($A$2 = df_stir!$A$2:$A$1000) * ($C$9 = df_stir!$B$2:$B$1000) * ($A30 = df_stir!$D$2:$D$1000)  * ($N$28 = df_stir!$C$2:$C$1000), 0), MATCH(P$9, df_stir!$E$1:$K$1,0)),"x")</f>
        <v>x</v>
      </c>
      <c r="Q30" s="591" t="str">
        <f t="array" ref="Q30">IFERROR(INDEX(df_stir!$E$2:$K$1000, MATCH(1, ($A$2 = df_stir!$A$2:$A$1000) * ($C$9 = df_stir!$B$2:$B$1000) * ($A30 = df_stir!$D$2:$D$1000)  * ($N$28 = df_stir!$C$2:$C$1000), 0), MATCH(Q$9, df_stir!$E$1:$K$1,0)),"x")</f>
        <v>x</v>
      </c>
      <c r="R30" s="503" t="str">
        <f t="array" ref="R30">IFERROR(INDEX(df_stir!$E$2:$K$1000, MATCH(1, ($A$2 = df_stir!$A$2:$A$1000) * ($C$9 = df_stir!$B$2:$B$1000) * ($A30 = df_stir!$D$2:$D$1000)  * ($N$28 = df_stir!$C$2:$C$1000), 0), MATCH(R$9, df_stir!$E$1:$K$1,0)),"x")</f>
        <v>x</v>
      </c>
    </row>
    <row r="31" spans="1:18" ht="20.100000000000001" customHeight="1" x14ac:dyDescent="0.2">
      <c r="A31" s="299">
        <v>6</v>
      </c>
      <c r="B31" s="84" t="s">
        <v>356</v>
      </c>
      <c r="C31" s="173"/>
      <c r="D31" s="84">
        <f t="array" ref="D31">IFERROR(INDEX(df_stir!$E$2:$K$1000, MATCH(1, ($A$2 = df_stir!$A$2:$A$1000) * ($C$9 = df_stir!$B$2:$B$1000) * ($A31 = df_stir!$D$2:$D$1000)  * ($B$28 = df_stir!$C$2:$C$1000), 0), MATCH(D$9, df_stir!$E$1:$K$1,0)),0)</f>
        <v>0</v>
      </c>
      <c r="E31" s="1">
        <f t="array" ref="E31">IFERROR(INDEX(df_stir!$E$2:$K$1000, MATCH(1, ($A$2 = df_stir!$A$2:$A$1000) * ($C$9 = df_stir!$B$2:$B$1000) * ($A31 = df_stir!$D$2:$D$1000)  * ($B$28 = df_stir!$C$2:$C$1000), 0), MATCH(E$9, df_stir!$E$1:$K$1,0)),0)</f>
        <v>0</v>
      </c>
      <c r="F31" s="359">
        <f t="array" ref="F31">IFERROR(INDEX(df_stir!$E$2:$K$1000, MATCH(1, ($A$2 = df_stir!$A$2:$A$1000) * ($C$9 = df_stir!$B$2:$B$1000) * ($A31 = df_stir!$D$2:$D$1000)  * ($B$28 = df_stir!$C$2:$C$1000), 0), MATCH(F$9, df_stir!$E$1:$K$1,0)),0)</f>
        <v>0</v>
      </c>
      <c r="H31" s="84" t="s">
        <v>356</v>
      </c>
      <c r="I31" s="173"/>
      <c r="J31" s="591" t="str">
        <f t="array" ref="J31">IFERROR(INDEX(df_stir!$E$2:$K$1000, MATCH(1, ($A$2 = df_stir!$A$2:$A$1000) * ($C$9 = df_stir!$B$2:$B$1000) * ($A31 = df_stir!$D$2:$D$1000)  * ($H$28 = df_stir!$C$2:$C$1000), 0), MATCH(J$9, df_stir!$E$1:$K$1,0)),"x")</f>
        <v>x</v>
      </c>
      <c r="K31" s="591" t="str">
        <f t="array" ref="K31">IFERROR(INDEX(df_stir!$E$2:$K$1000, MATCH(1, ($A$2 = df_stir!$A$2:$A$1000) * ($C$9 = df_stir!$B$2:$B$1000) * ($A31 = df_stir!$D$2:$D$1000)  * ($H$28 = df_stir!$C$2:$C$1000), 0), MATCH(K$9, df_stir!$E$1:$K$1,0)),"x")</f>
        <v>x</v>
      </c>
      <c r="L31" s="503" t="str">
        <f t="array" ref="L31">IFERROR(INDEX(df_stir!$E$2:$K$1000, MATCH(1, ($A$2 = df_stir!$A$2:$A$1000) * ($C$9 = df_stir!$B$2:$B$1000) * ($A31 = df_stir!$D$2:$D$1000)  * ($H$28 = df_stir!$C$2:$C$1000), 0), MATCH(L$9, df_stir!$E$1:$K$1,0)),"x")</f>
        <v>x</v>
      </c>
      <c r="N31" s="84" t="s">
        <v>356</v>
      </c>
      <c r="O31" s="173"/>
      <c r="P31" s="591" t="str">
        <f t="array" ref="P31">IFERROR(INDEX(df_stir!$E$2:$K$1000, MATCH(1, ($A$2 = df_stir!$A$2:$A$1000) * ($C$9 = df_stir!$B$2:$B$1000) * ($A31 = df_stir!$D$2:$D$1000)  * ($N$28 = df_stir!$C$2:$C$1000), 0), MATCH(P$9, df_stir!$E$1:$K$1,0)),"x")</f>
        <v>x</v>
      </c>
      <c r="Q31" s="591" t="str">
        <f t="array" ref="Q31">IFERROR(INDEX(df_stir!$E$2:$K$1000, MATCH(1, ($A$2 = df_stir!$A$2:$A$1000) * ($C$9 = df_stir!$B$2:$B$1000) * ($A31 = df_stir!$D$2:$D$1000)  * ($N$28 = df_stir!$C$2:$C$1000), 0), MATCH(Q$9, df_stir!$E$1:$K$1,0)),"x")</f>
        <v>x</v>
      </c>
      <c r="R31" s="503" t="str">
        <f t="array" ref="R31">IFERROR(INDEX(df_stir!$E$2:$K$1000, MATCH(1, ($A$2 = df_stir!$A$2:$A$1000) * ($C$9 = df_stir!$B$2:$B$1000) * ($A31 = df_stir!$D$2:$D$1000)  * ($N$28 = df_stir!$C$2:$C$1000), 0), MATCH(R$9, df_stir!$E$1:$K$1,0)),"x")</f>
        <v>x</v>
      </c>
    </row>
    <row r="32" spans="1:18" ht="20.100000000000001" customHeight="1" x14ac:dyDescent="0.2">
      <c r="A32" s="299">
        <v>7</v>
      </c>
      <c r="B32" s="84" t="s">
        <v>64</v>
      </c>
      <c r="C32" s="173"/>
      <c r="D32" s="84">
        <f t="array" ref="D32">IFERROR(INDEX(df_stir!$E$2:$K$1000, MATCH(1, ($A$2 = df_stir!$A$2:$A$1000) * ($C$9 = df_stir!$B$2:$B$1000) * ($A32 = df_stir!$D$2:$D$1000)  * ($B$28 = df_stir!$C$2:$C$1000), 0), MATCH(D$9, df_stir!$E$1:$K$1,0)),0)</f>
        <v>0</v>
      </c>
      <c r="E32" s="1">
        <f t="array" ref="E32">IFERROR(INDEX(df_stir!$E$2:$K$1000, MATCH(1, ($A$2 = df_stir!$A$2:$A$1000) * ($C$9 = df_stir!$B$2:$B$1000) * ($A32 = df_stir!$D$2:$D$1000)  * ($B$28 = df_stir!$C$2:$C$1000), 0), MATCH(E$9, df_stir!$E$1:$K$1,0)),0)</f>
        <v>0</v>
      </c>
      <c r="F32" s="359">
        <f t="array" ref="F32">IFERROR(INDEX(df_stir!$E$2:$K$1000, MATCH(1, ($A$2 = df_stir!$A$2:$A$1000) * ($C$9 = df_stir!$B$2:$B$1000) * ($A32 = df_stir!$D$2:$D$1000)  * ($B$28 = df_stir!$C$2:$C$1000), 0), MATCH(F$9, df_stir!$E$1:$K$1,0)),0)</f>
        <v>0</v>
      </c>
      <c r="H32" s="84" t="s">
        <v>64</v>
      </c>
      <c r="I32" s="173"/>
      <c r="J32" s="591" t="str">
        <f t="array" ref="J32">IFERROR(INDEX(df_stir!$E$2:$K$1000, MATCH(1, ($A$2 = df_stir!$A$2:$A$1000) * ($C$9 = df_stir!$B$2:$B$1000) * ($A32 = df_stir!$D$2:$D$1000)  * ($H$28 = df_stir!$C$2:$C$1000), 0), MATCH(J$9, df_stir!$E$1:$K$1,0)),"x")</f>
        <v>x</v>
      </c>
      <c r="K32" s="591" t="str">
        <f t="array" ref="K32">IFERROR(INDEX(df_stir!$E$2:$K$1000, MATCH(1, ($A$2 = df_stir!$A$2:$A$1000) * ($C$9 = df_stir!$B$2:$B$1000) * ($A32 = df_stir!$D$2:$D$1000)  * ($H$28 = df_stir!$C$2:$C$1000), 0), MATCH(K$9, df_stir!$E$1:$K$1,0)),"x")</f>
        <v>x</v>
      </c>
      <c r="L32" s="503" t="str">
        <f t="array" ref="L32">IFERROR(INDEX(df_stir!$E$2:$K$1000, MATCH(1, ($A$2 = df_stir!$A$2:$A$1000) * ($C$9 = df_stir!$B$2:$B$1000) * ($A32 = df_stir!$D$2:$D$1000)  * ($H$28 = df_stir!$C$2:$C$1000), 0), MATCH(L$9, df_stir!$E$1:$K$1,0)),"x")</f>
        <v>x</v>
      </c>
      <c r="N32" s="84" t="s">
        <v>64</v>
      </c>
      <c r="O32" s="173"/>
      <c r="P32" s="591" t="str">
        <f t="array" ref="P32">IFERROR(INDEX(df_stir!$E$2:$K$1000, MATCH(1, ($A$2 = df_stir!$A$2:$A$1000) * ($C$9 = df_stir!$B$2:$B$1000) * ($A32 = df_stir!$D$2:$D$1000)  * ($N$28 = df_stir!$C$2:$C$1000), 0), MATCH(P$9, df_stir!$E$1:$K$1,0)),"x")</f>
        <v>x</v>
      </c>
      <c r="Q32" s="591" t="str">
        <f t="array" ref="Q32">IFERROR(INDEX(df_stir!$E$2:$K$1000, MATCH(1, ($A$2 = df_stir!$A$2:$A$1000) * ($C$9 = df_stir!$B$2:$B$1000) * ($A32 = df_stir!$D$2:$D$1000)  * ($N$28 = df_stir!$C$2:$C$1000), 0), MATCH(Q$9, df_stir!$E$1:$K$1,0)),"x")</f>
        <v>x</v>
      </c>
      <c r="R32" s="503" t="str">
        <f t="array" ref="R32">IFERROR(INDEX(df_stir!$E$2:$K$1000, MATCH(1, ($A$2 = df_stir!$A$2:$A$1000) * ($C$9 = df_stir!$B$2:$B$1000) * ($A32 = df_stir!$D$2:$D$1000)  * ($N$28 = df_stir!$C$2:$C$1000), 0), MATCH(R$9, df_stir!$E$1:$K$1,0)),"x")</f>
        <v>x</v>
      </c>
    </row>
    <row r="33" spans="1:18" ht="20.100000000000001" customHeight="1" x14ac:dyDescent="0.2">
      <c r="A33" s="299">
        <v>8</v>
      </c>
      <c r="B33" s="84" t="s">
        <v>357</v>
      </c>
      <c r="C33" s="173"/>
      <c r="D33" s="84">
        <f t="array" ref="D33">IFERROR(INDEX(df_stir!$E$2:$K$1000, MATCH(1, ($A$2 = df_stir!$A$2:$A$1000) * ($C$9 = df_stir!$B$2:$B$1000) * ($A33 = df_stir!$D$2:$D$1000)  * ($B$28 = df_stir!$C$2:$C$1000), 0), MATCH(D$9, df_stir!$E$1:$K$1,0)),0)</f>
        <v>0</v>
      </c>
      <c r="E33" s="1">
        <f t="array" ref="E33">IFERROR(INDEX(df_stir!$E$2:$K$1000, MATCH(1, ($A$2 = df_stir!$A$2:$A$1000) * ($C$9 = df_stir!$B$2:$B$1000) * ($A33 = df_stir!$D$2:$D$1000)  * ($B$28 = df_stir!$C$2:$C$1000), 0), MATCH(E$9, df_stir!$E$1:$K$1,0)),0)</f>
        <v>0</v>
      </c>
      <c r="F33" s="359">
        <f t="array" ref="F33">IFERROR(INDEX(df_stir!$E$2:$K$1000, MATCH(1, ($A$2 = df_stir!$A$2:$A$1000) * ($C$9 = df_stir!$B$2:$B$1000) * ($A33 = df_stir!$D$2:$D$1000)  * ($B$28 = df_stir!$C$2:$C$1000), 0), MATCH(F$9, df_stir!$E$1:$K$1,0)),0)</f>
        <v>0</v>
      </c>
      <c r="H33" s="84" t="s">
        <v>357</v>
      </c>
      <c r="I33" s="173"/>
      <c r="J33" s="591" t="str">
        <f t="array" ref="J33">IFERROR(INDEX(df_stir!$E$2:$K$1000, MATCH(1, ($A$2 = df_stir!$A$2:$A$1000) * ($C$9 = df_stir!$B$2:$B$1000) * ($A33 = df_stir!$D$2:$D$1000)  * ($H$28 = df_stir!$C$2:$C$1000), 0), MATCH(J$9, df_stir!$E$1:$K$1,0)),"x")</f>
        <v>x</v>
      </c>
      <c r="K33" s="591" t="str">
        <f t="array" ref="K33">IFERROR(INDEX(df_stir!$E$2:$K$1000, MATCH(1, ($A$2 = df_stir!$A$2:$A$1000) * ($C$9 = df_stir!$B$2:$B$1000) * ($A33 = df_stir!$D$2:$D$1000)  * ($H$28 = df_stir!$C$2:$C$1000), 0), MATCH(K$9, df_stir!$E$1:$K$1,0)),"x")</f>
        <v>x</v>
      </c>
      <c r="L33" s="503" t="str">
        <f t="array" ref="L33">IFERROR(INDEX(df_stir!$E$2:$K$1000, MATCH(1, ($A$2 = df_stir!$A$2:$A$1000) * ($C$9 = df_stir!$B$2:$B$1000) * ($A33 = df_stir!$D$2:$D$1000)  * ($H$28 = df_stir!$C$2:$C$1000), 0), MATCH(L$9, df_stir!$E$1:$K$1,0)),"x")</f>
        <v>x</v>
      </c>
      <c r="N33" s="84" t="s">
        <v>357</v>
      </c>
      <c r="O33" s="173"/>
      <c r="P33" s="591" t="str">
        <f t="array" ref="P33">IFERROR(INDEX(df_stir!$E$2:$K$1000, MATCH(1, ($A$2 = df_stir!$A$2:$A$1000) * ($C$9 = df_stir!$B$2:$B$1000) * ($A33 = df_stir!$D$2:$D$1000)  * ($N$28 = df_stir!$C$2:$C$1000), 0), MATCH(P$9, df_stir!$E$1:$K$1,0)),"x")</f>
        <v>x</v>
      </c>
      <c r="Q33" s="591" t="str">
        <f t="array" ref="Q33">IFERROR(INDEX(df_stir!$E$2:$K$1000, MATCH(1, ($A$2 = df_stir!$A$2:$A$1000) * ($C$9 = df_stir!$B$2:$B$1000) * ($A33 = df_stir!$D$2:$D$1000)  * ($N$28 = df_stir!$C$2:$C$1000), 0), MATCH(Q$9, df_stir!$E$1:$K$1,0)),"x")</f>
        <v>x</v>
      </c>
      <c r="R33" s="503" t="str">
        <f t="array" ref="R33">IFERROR(INDEX(df_stir!$E$2:$K$1000, MATCH(1, ($A$2 = df_stir!$A$2:$A$1000) * ($C$9 = df_stir!$B$2:$B$1000) * ($A33 = df_stir!$D$2:$D$1000)  * ($N$28 = df_stir!$C$2:$C$1000), 0), MATCH(R$9, df_stir!$E$1:$K$1,0)),"x")</f>
        <v>x</v>
      </c>
    </row>
    <row r="34" spans="1:18" ht="20.100000000000001" customHeight="1" x14ac:dyDescent="0.2">
      <c r="A34" s="299">
        <v>11</v>
      </c>
      <c r="B34" s="84" t="s">
        <v>358</v>
      </c>
      <c r="C34" s="173"/>
      <c r="D34" s="84">
        <f t="array" ref="D34">IFERROR(INDEX(df_stir!$E$2:$K$1000, MATCH(1, ($A$2 = df_stir!$A$2:$A$1000) * ($C$9 = df_stir!$B$2:$B$1000) * ($A34 = df_stir!$D$2:$D$1000)  * ($B$28 = df_stir!$C$2:$C$1000), 0), MATCH(D$9, df_stir!$E$1:$K$1,0)),0)</f>
        <v>0</v>
      </c>
      <c r="E34" s="1">
        <f t="array" ref="E34">IFERROR(INDEX(df_stir!$E$2:$K$1000, MATCH(1, ($A$2 = df_stir!$A$2:$A$1000) * ($C$9 = df_stir!$B$2:$B$1000) * ($A34 = df_stir!$D$2:$D$1000)  * ($B$28 = df_stir!$C$2:$C$1000), 0), MATCH(E$9, df_stir!$E$1:$K$1,0)),0)</f>
        <v>0</v>
      </c>
      <c r="F34" s="359">
        <f t="array" ref="F34">IFERROR(INDEX(df_stir!$E$2:$K$1000, MATCH(1, ($A$2 = df_stir!$A$2:$A$1000) * ($C$9 = df_stir!$B$2:$B$1000) * ($A34 = df_stir!$D$2:$D$1000)  * ($B$28 = df_stir!$C$2:$C$1000), 0), MATCH(F$9, df_stir!$E$1:$K$1,0)),0)</f>
        <v>0</v>
      </c>
      <c r="H34" s="84" t="s">
        <v>358</v>
      </c>
      <c r="I34" s="173"/>
      <c r="J34" s="591" t="str">
        <f t="array" ref="J34">IFERROR(INDEX(df_stir!$E$2:$K$1000, MATCH(1, ($A$2 = df_stir!$A$2:$A$1000) * ($C$9 = df_stir!$B$2:$B$1000) * ($A34 = df_stir!$D$2:$D$1000)  * ($H$28 = df_stir!$C$2:$C$1000), 0), MATCH(J$9, df_stir!$E$1:$K$1,0)),"x")</f>
        <v>x</v>
      </c>
      <c r="K34" s="591" t="str">
        <f t="array" ref="K34">IFERROR(INDEX(df_stir!$E$2:$K$1000, MATCH(1, ($A$2 = df_stir!$A$2:$A$1000) * ($C$9 = df_stir!$B$2:$B$1000) * ($A34 = df_stir!$D$2:$D$1000)  * ($H$28 = df_stir!$C$2:$C$1000), 0), MATCH(K$9, df_stir!$E$1:$K$1,0)),"x")</f>
        <v>x</v>
      </c>
      <c r="L34" s="503" t="str">
        <f t="array" ref="L34">IFERROR(INDEX(df_stir!$E$2:$K$1000, MATCH(1, ($A$2 = df_stir!$A$2:$A$1000) * ($C$9 = df_stir!$B$2:$B$1000) * ($A34 = df_stir!$D$2:$D$1000)  * ($H$28 = df_stir!$C$2:$C$1000), 0), MATCH(L$9, df_stir!$E$1:$K$1,0)),"x")</f>
        <v>x</v>
      </c>
      <c r="N34" s="84" t="s">
        <v>358</v>
      </c>
      <c r="O34" s="173"/>
      <c r="P34" s="591" t="str">
        <f t="array" ref="P34">IFERROR(INDEX(df_stir!$E$2:$K$1000, MATCH(1, ($A$2 = df_stir!$A$2:$A$1000) * ($C$9 = df_stir!$B$2:$B$1000) * ($A34 = df_stir!$D$2:$D$1000)  * ($N$28 = df_stir!$C$2:$C$1000), 0), MATCH(P$9, df_stir!$E$1:$K$1,0)),"x")</f>
        <v>x</v>
      </c>
      <c r="Q34" s="591" t="str">
        <f t="array" ref="Q34">IFERROR(INDEX(df_stir!$E$2:$K$1000, MATCH(1, ($A$2 = df_stir!$A$2:$A$1000) * ($C$9 = df_stir!$B$2:$B$1000) * ($A34 = df_stir!$D$2:$D$1000)  * ($N$28 = df_stir!$C$2:$C$1000), 0), MATCH(Q$9, df_stir!$E$1:$K$1,0)),"x")</f>
        <v>x</v>
      </c>
      <c r="R34" s="503" t="str">
        <f t="array" ref="R34">IFERROR(INDEX(df_stir!$E$2:$K$1000, MATCH(1, ($A$2 = df_stir!$A$2:$A$1000) * ($C$9 = df_stir!$B$2:$B$1000) * ($A34 = df_stir!$D$2:$D$1000)  * ($N$28 = df_stir!$C$2:$C$1000), 0), MATCH(R$9, df_stir!$E$1:$K$1,0)),"x")</f>
        <v>x</v>
      </c>
    </row>
    <row r="35" spans="1:18" ht="20.100000000000001" customHeight="1" x14ac:dyDescent="0.2">
      <c r="A35" s="299">
        <v>12</v>
      </c>
      <c r="B35" s="84" t="s">
        <v>359</v>
      </c>
      <c r="C35" s="173"/>
      <c r="D35" s="84">
        <f t="array" ref="D35">IFERROR(INDEX(df_stir!$E$2:$K$1000, MATCH(1, ($A$2 = df_stir!$A$2:$A$1000) * ($C$9 = df_stir!$B$2:$B$1000) * ($A35 = df_stir!$D$2:$D$1000)  * ($B$28 = df_stir!$C$2:$C$1000), 0), MATCH(D$9, df_stir!$E$1:$K$1,0)),0)</f>
        <v>0</v>
      </c>
      <c r="E35" s="1">
        <f t="array" ref="E35">IFERROR(INDEX(df_stir!$E$2:$K$1000, MATCH(1, ($A$2 = df_stir!$A$2:$A$1000) * ($C$9 = df_stir!$B$2:$B$1000) * ($A35 = df_stir!$D$2:$D$1000)  * ($B$28 = df_stir!$C$2:$C$1000), 0), MATCH(E$9, df_stir!$E$1:$K$1,0)),0)</f>
        <v>0</v>
      </c>
      <c r="F35" s="359">
        <f t="array" ref="F35">IFERROR(INDEX(df_stir!$E$2:$K$1000, MATCH(1, ($A$2 = df_stir!$A$2:$A$1000) * ($C$9 = df_stir!$B$2:$B$1000) * ($A35 = df_stir!$D$2:$D$1000)  * ($B$28 = df_stir!$C$2:$C$1000), 0), MATCH(F$9, df_stir!$E$1:$K$1,0)),0)</f>
        <v>0</v>
      </c>
      <c r="H35" s="84" t="s">
        <v>359</v>
      </c>
      <c r="I35" s="173"/>
      <c r="J35" s="591" t="str">
        <f t="array" ref="J35">IFERROR(INDEX(df_stir!$E$2:$K$1000, MATCH(1, ($A$2 = df_stir!$A$2:$A$1000) * ($C$9 = df_stir!$B$2:$B$1000) * ($A35 = df_stir!$D$2:$D$1000)  * ($H$28 = df_stir!$C$2:$C$1000), 0), MATCH(J$9, df_stir!$E$1:$K$1,0)),"x")</f>
        <v>x</v>
      </c>
      <c r="K35" s="591" t="str">
        <f t="array" ref="K35">IFERROR(INDEX(df_stir!$E$2:$K$1000, MATCH(1, ($A$2 = df_stir!$A$2:$A$1000) * ($C$9 = df_stir!$B$2:$B$1000) * ($A35 = df_stir!$D$2:$D$1000)  * ($H$28 = df_stir!$C$2:$C$1000), 0), MATCH(K$9, df_stir!$E$1:$K$1,0)),"x")</f>
        <v>x</v>
      </c>
      <c r="L35" s="503" t="str">
        <f t="array" ref="L35">IFERROR(INDEX(df_stir!$E$2:$K$1000, MATCH(1, ($A$2 = df_stir!$A$2:$A$1000) * ($C$9 = df_stir!$B$2:$B$1000) * ($A35 = df_stir!$D$2:$D$1000)  * ($H$28 = df_stir!$C$2:$C$1000), 0), MATCH(L$9, df_stir!$E$1:$K$1,0)),"x")</f>
        <v>x</v>
      </c>
      <c r="N35" s="84" t="s">
        <v>359</v>
      </c>
      <c r="O35" s="173"/>
      <c r="P35" s="591" t="str">
        <f t="array" ref="P35">IFERROR(INDEX(df_stir!$E$2:$K$1000, MATCH(1, ($A$2 = df_stir!$A$2:$A$1000) * ($C$9 = df_stir!$B$2:$B$1000) * ($A35 = df_stir!$D$2:$D$1000)  * ($N$28 = df_stir!$C$2:$C$1000), 0), MATCH(P$9, df_stir!$E$1:$K$1,0)),"x")</f>
        <v>x</v>
      </c>
      <c r="Q35" s="591" t="str">
        <f t="array" ref="Q35">IFERROR(INDEX(df_stir!$E$2:$K$1000, MATCH(1, ($A$2 = df_stir!$A$2:$A$1000) * ($C$9 = df_stir!$B$2:$B$1000) * ($A35 = df_stir!$D$2:$D$1000)  * ($N$28 = df_stir!$C$2:$C$1000), 0), MATCH(Q$9, df_stir!$E$1:$K$1,0)),"x")</f>
        <v>x</v>
      </c>
      <c r="R35" s="503" t="str">
        <f t="array" ref="R35">IFERROR(INDEX(df_stir!$E$2:$K$1000, MATCH(1, ($A$2 = df_stir!$A$2:$A$1000) * ($C$9 = df_stir!$B$2:$B$1000) * ($A35 = df_stir!$D$2:$D$1000)  * ($N$28 = df_stir!$C$2:$C$1000), 0), MATCH(R$9, df_stir!$E$1:$K$1,0)),"x")</f>
        <v>x</v>
      </c>
    </row>
    <row r="36" spans="1:18" ht="20.100000000000001" customHeight="1" x14ac:dyDescent="0.2">
      <c r="A36" s="299">
        <v>13</v>
      </c>
      <c r="B36" s="84" t="s">
        <v>360</v>
      </c>
      <c r="C36" s="173"/>
      <c r="D36" s="84">
        <f t="array" ref="D36">IFERROR(INDEX(df_stir!$E$2:$K$1000, MATCH(1, ($A$2 = df_stir!$A$2:$A$1000) * ($C$9 = df_stir!$B$2:$B$1000) * ($A36 = df_stir!$D$2:$D$1000)  * ($B$28 = df_stir!$C$2:$C$1000), 0), MATCH(D$9, df_stir!$E$1:$K$1,0)),0)</f>
        <v>0</v>
      </c>
      <c r="E36" s="1">
        <f t="array" ref="E36">IFERROR(INDEX(df_stir!$E$2:$K$1000, MATCH(1, ($A$2 = df_stir!$A$2:$A$1000) * ($C$9 = df_stir!$B$2:$B$1000) * ($A36 = df_stir!$D$2:$D$1000)  * ($B$28 = df_stir!$C$2:$C$1000), 0), MATCH(E$9, df_stir!$E$1:$K$1,0)),0)</f>
        <v>0</v>
      </c>
      <c r="F36" s="359">
        <f t="array" ref="F36">IFERROR(INDEX(df_stir!$E$2:$K$1000, MATCH(1, ($A$2 = df_stir!$A$2:$A$1000) * ($C$9 = df_stir!$B$2:$B$1000) * ($A36 = df_stir!$D$2:$D$1000)  * ($B$28 = df_stir!$C$2:$C$1000), 0), MATCH(F$9, df_stir!$E$1:$K$1,0)),0)</f>
        <v>0</v>
      </c>
      <c r="H36" s="84" t="s">
        <v>360</v>
      </c>
      <c r="I36" s="173"/>
      <c r="J36" s="591" t="str">
        <f t="array" ref="J36">IFERROR(INDEX(df_stir!$E$2:$K$1000, MATCH(1, ($A$2 = df_stir!$A$2:$A$1000) * ($C$9 = df_stir!$B$2:$B$1000) * ($A36 = df_stir!$D$2:$D$1000)  * ($H$28 = df_stir!$C$2:$C$1000), 0), MATCH(J$9, df_stir!$E$1:$K$1,0)),"x")</f>
        <v>x</v>
      </c>
      <c r="K36" s="591" t="str">
        <f t="array" ref="K36">IFERROR(INDEX(df_stir!$E$2:$K$1000, MATCH(1, ($A$2 = df_stir!$A$2:$A$1000) * ($C$9 = df_stir!$B$2:$B$1000) * ($A36 = df_stir!$D$2:$D$1000)  * ($H$28 = df_stir!$C$2:$C$1000), 0), MATCH(K$9, df_stir!$E$1:$K$1,0)),"x")</f>
        <v>x</v>
      </c>
      <c r="L36" s="503" t="str">
        <f t="array" ref="L36">IFERROR(INDEX(df_stir!$E$2:$K$1000, MATCH(1, ($A$2 = df_stir!$A$2:$A$1000) * ($C$9 = df_stir!$B$2:$B$1000) * ($A36 = df_stir!$D$2:$D$1000)  * ($H$28 = df_stir!$C$2:$C$1000), 0), MATCH(L$9, df_stir!$E$1:$K$1,0)),"x")</f>
        <v>x</v>
      </c>
      <c r="N36" s="84" t="s">
        <v>360</v>
      </c>
      <c r="O36" s="173"/>
      <c r="P36" s="591" t="str">
        <f t="array" ref="P36">IFERROR(INDEX(df_stir!$E$2:$K$1000, MATCH(1, ($A$2 = df_stir!$A$2:$A$1000) * ($C$9 = df_stir!$B$2:$B$1000) * ($A36 = df_stir!$D$2:$D$1000)  * ($N$28 = df_stir!$C$2:$C$1000), 0), MATCH(P$9, df_stir!$E$1:$K$1,0)),"x")</f>
        <v>x</v>
      </c>
      <c r="Q36" s="591" t="str">
        <f t="array" ref="Q36">IFERROR(INDEX(df_stir!$E$2:$K$1000, MATCH(1, ($A$2 = df_stir!$A$2:$A$1000) * ($C$9 = df_stir!$B$2:$B$1000) * ($A36 = df_stir!$D$2:$D$1000)  * ($N$28 = df_stir!$C$2:$C$1000), 0), MATCH(Q$9, df_stir!$E$1:$K$1,0)),"x")</f>
        <v>x</v>
      </c>
      <c r="R36" s="503" t="str">
        <f t="array" ref="R36">IFERROR(INDEX(df_stir!$E$2:$K$1000, MATCH(1, ($A$2 = df_stir!$A$2:$A$1000) * ($C$9 = df_stir!$B$2:$B$1000) * ($A36 = df_stir!$D$2:$D$1000)  * ($N$28 = df_stir!$C$2:$C$1000), 0), MATCH(R$9, df_stir!$E$1:$K$1,0)),"x")</f>
        <v>x</v>
      </c>
    </row>
    <row r="37" spans="1:18" ht="20.100000000000001" customHeight="1" x14ac:dyDescent="0.2">
      <c r="A37" s="299">
        <v>14</v>
      </c>
      <c r="B37" s="84" t="s">
        <v>194</v>
      </c>
      <c r="C37" s="173"/>
      <c r="D37" s="84">
        <f t="array" ref="D37">IFERROR(INDEX(df_stir!$E$2:$K$1000, MATCH(1, ($A$2 = df_stir!$A$2:$A$1000) * ($C$9 = df_stir!$B$2:$B$1000) * ($A37 = df_stir!$D$2:$D$1000)  * ($B$28 = df_stir!$C$2:$C$1000), 0), MATCH(D$9, df_stir!$E$1:$K$1,0)),0)</f>
        <v>0</v>
      </c>
      <c r="E37" s="1">
        <f t="array" ref="E37">IFERROR(INDEX(df_stir!$E$2:$K$1000, MATCH(1, ($A$2 = df_stir!$A$2:$A$1000) * ($C$9 = df_stir!$B$2:$B$1000) * ($A37 = df_stir!$D$2:$D$1000)  * ($B$28 = df_stir!$C$2:$C$1000), 0), MATCH(E$9, df_stir!$E$1:$K$1,0)),0)</f>
        <v>0</v>
      </c>
      <c r="F37" s="359">
        <f t="array" ref="F37">IFERROR(INDEX(df_stir!$E$2:$K$1000, MATCH(1, ($A$2 = df_stir!$A$2:$A$1000) * ($C$9 = df_stir!$B$2:$B$1000) * ($A37 = df_stir!$D$2:$D$1000)  * ($B$28 = df_stir!$C$2:$C$1000), 0), MATCH(F$9, df_stir!$E$1:$K$1,0)),0)</f>
        <v>0</v>
      </c>
      <c r="H37" s="84" t="s">
        <v>194</v>
      </c>
      <c r="I37" s="173"/>
      <c r="J37" s="591" t="str">
        <f t="array" ref="J37">IFERROR(INDEX(df_stir!$E$2:$K$1000, MATCH(1, ($A$2 = df_stir!$A$2:$A$1000) * ($C$9 = df_stir!$B$2:$B$1000) * ($A37 = df_stir!$D$2:$D$1000)  * ($H$28 = df_stir!$C$2:$C$1000), 0), MATCH(J$9, df_stir!$E$1:$K$1,0)),"x")</f>
        <v>x</v>
      </c>
      <c r="K37" s="591" t="str">
        <f t="array" ref="K37">IFERROR(INDEX(df_stir!$E$2:$K$1000, MATCH(1, ($A$2 = df_stir!$A$2:$A$1000) * ($C$9 = df_stir!$B$2:$B$1000) * ($A37 = df_stir!$D$2:$D$1000)  * ($H$28 = df_stir!$C$2:$C$1000), 0), MATCH(K$9, df_stir!$E$1:$K$1,0)),"x")</f>
        <v>x</v>
      </c>
      <c r="L37" s="503" t="str">
        <f t="array" ref="L37">IFERROR(INDEX(df_stir!$E$2:$K$1000, MATCH(1, ($A$2 = df_stir!$A$2:$A$1000) * ($C$9 = df_stir!$B$2:$B$1000) * ($A37 = df_stir!$D$2:$D$1000)  * ($H$28 = df_stir!$C$2:$C$1000), 0), MATCH(L$9, df_stir!$E$1:$K$1,0)),"x")</f>
        <v>x</v>
      </c>
      <c r="N37" s="84" t="s">
        <v>194</v>
      </c>
      <c r="O37" s="173"/>
      <c r="P37" s="591" t="str">
        <f t="array" ref="P37">IFERROR(INDEX(df_stir!$E$2:$K$1000, MATCH(1, ($A$2 = df_stir!$A$2:$A$1000) * ($C$9 = df_stir!$B$2:$B$1000) * ($A37 = df_stir!$D$2:$D$1000)  * ($N$28 = df_stir!$C$2:$C$1000), 0), MATCH(P$9, df_stir!$E$1:$K$1,0)),"x")</f>
        <v>x</v>
      </c>
      <c r="Q37" s="591" t="str">
        <f t="array" ref="Q37">IFERROR(INDEX(df_stir!$E$2:$K$1000, MATCH(1, ($A$2 = df_stir!$A$2:$A$1000) * ($C$9 = df_stir!$B$2:$B$1000) * ($A37 = df_stir!$D$2:$D$1000)  * ($N$28 = df_stir!$C$2:$C$1000), 0), MATCH(Q$9, df_stir!$E$1:$K$1,0)),"x")</f>
        <v>x</v>
      </c>
      <c r="R37" s="503" t="str">
        <f t="array" ref="R37">IFERROR(INDEX(df_stir!$E$2:$K$1000, MATCH(1, ($A$2 = df_stir!$A$2:$A$1000) * ($C$9 = df_stir!$B$2:$B$1000) * ($A37 = df_stir!$D$2:$D$1000)  * ($N$28 = df_stir!$C$2:$C$1000), 0), MATCH(R$9, df_stir!$E$1:$K$1,0)),"x")</f>
        <v>x</v>
      </c>
    </row>
    <row r="38" spans="1:18" ht="20.100000000000001" customHeight="1" x14ac:dyDescent="0.2">
      <c r="A38" s="299">
        <v>16</v>
      </c>
      <c r="B38" s="84" t="s">
        <v>352</v>
      </c>
      <c r="C38" s="173"/>
      <c r="D38" s="84">
        <f t="array" ref="D38">IFERROR(INDEX(df_stir!$E$2:$K$1000, MATCH(1, ($A$2 = df_stir!$A$2:$A$1000) * ($C$9 = df_stir!$B$2:$B$1000) * ($A38 = df_stir!$D$2:$D$1000)  * ($B$28 = df_stir!$C$2:$C$1000), 0), MATCH(D$9, df_stir!$E$1:$K$1,0)),0)</f>
        <v>0</v>
      </c>
      <c r="E38" s="1">
        <f t="array" ref="E38">IFERROR(INDEX(df_stir!$E$2:$K$1000, MATCH(1, ($A$2 = df_stir!$A$2:$A$1000) * ($C$9 = df_stir!$B$2:$B$1000) * ($A38 = df_stir!$D$2:$D$1000)  * ($B$28 = df_stir!$C$2:$C$1000), 0), MATCH(E$9, df_stir!$E$1:$K$1,0)),0)</f>
        <v>0</v>
      </c>
      <c r="F38" s="359">
        <f t="array" ref="F38">IFERROR(INDEX(df_stir!$E$2:$K$1000, MATCH(1, ($A$2 = df_stir!$A$2:$A$1000) * ($C$9 = df_stir!$B$2:$B$1000) * ($A38 = df_stir!$D$2:$D$1000)  * ($B$28 = df_stir!$C$2:$C$1000), 0), MATCH(F$9, df_stir!$E$1:$K$1,0)),0)</f>
        <v>0</v>
      </c>
      <c r="H38" s="84" t="s">
        <v>352</v>
      </c>
      <c r="I38" s="173"/>
      <c r="J38" s="591" t="str">
        <f t="array" ref="J38">IFERROR(INDEX(df_stir!$E$2:$K$1000, MATCH(1, ($A$2 = df_stir!$A$2:$A$1000) * ($C$9 = df_stir!$B$2:$B$1000) * ($A38 = df_stir!$D$2:$D$1000)  * ($H$28 = df_stir!$C$2:$C$1000), 0), MATCH(J$9, df_stir!$E$1:$K$1,0)),"x")</f>
        <v>x</v>
      </c>
      <c r="K38" s="591" t="str">
        <f t="array" ref="K38">IFERROR(INDEX(df_stir!$E$2:$K$1000, MATCH(1, ($A$2 = df_stir!$A$2:$A$1000) * ($C$9 = df_stir!$B$2:$B$1000) * ($A38 = df_stir!$D$2:$D$1000)  * ($H$28 = df_stir!$C$2:$C$1000), 0), MATCH(K$9, df_stir!$E$1:$K$1,0)),"x")</f>
        <v>x</v>
      </c>
      <c r="L38" s="503" t="str">
        <f t="array" ref="L38">IFERROR(INDEX(df_stir!$E$2:$K$1000, MATCH(1, ($A$2 = df_stir!$A$2:$A$1000) * ($C$9 = df_stir!$B$2:$B$1000) * ($A38 = df_stir!$D$2:$D$1000)  * ($H$28 = df_stir!$C$2:$C$1000), 0), MATCH(L$9, df_stir!$E$1:$K$1,0)),"x")</f>
        <v>x</v>
      </c>
      <c r="N38" s="84" t="s">
        <v>352</v>
      </c>
      <c r="O38" s="173"/>
      <c r="P38" s="591" t="str">
        <f t="array" ref="P38">IFERROR(INDEX(df_stir!$E$2:$K$1000, MATCH(1, ($A$2 = df_stir!$A$2:$A$1000) * ($C$9 = df_stir!$B$2:$B$1000) * ($A38 = df_stir!$D$2:$D$1000)  * ($N$28 = df_stir!$C$2:$C$1000), 0), MATCH(P$9, df_stir!$E$1:$K$1,0)),"x")</f>
        <v>x</v>
      </c>
      <c r="Q38" s="591" t="str">
        <f t="array" ref="Q38">IFERROR(INDEX(df_stir!$E$2:$K$1000, MATCH(1, ($A$2 = df_stir!$A$2:$A$1000) * ($C$9 = df_stir!$B$2:$B$1000) * ($A38 = df_stir!$D$2:$D$1000)  * ($N$28 = df_stir!$C$2:$C$1000), 0), MATCH(Q$9, df_stir!$E$1:$K$1,0)),"x")</f>
        <v>x</v>
      </c>
      <c r="R38" s="503" t="str">
        <f t="array" ref="R38">IFERROR(INDEX(df_stir!$E$2:$K$1000, MATCH(1, ($A$2 = df_stir!$A$2:$A$1000) * ($C$9 = df_stir!$B$2:$B$1000) * ($A38 = df_stir!$D$2:$D$1000)  * ($N$28 = df_stir!$C$2:$C$1000), 0), MATCH(R$9, df_stir!$E$1:$K$1,0)),"x")</f>
        <v>x</v>
      </c>
    </row>
    <row r="39" spans="1:18" ht="20.100000000000001" customHeight="1" x14ac:dyDescent="0.2">
      <c r="A39" s="299">
        <v>31</v>
      </c>
      <c r="B39" s="84" t="s">
        <v>351</v>
      </c>
      <c r="C39" s="173"/>
      <c r="D39" s="84">
        <f t="array" ref="D39">IFERROR(INDEX(df_stir!$E$2:$K$1000, MATCH(1, ($A$2 = df_stir!$A$2:$A$1000) * ($C$9 = df_stir!$B$2:$B$1000) * ($A39 = df_stir!$D$2:$D$1000)  * ($B$28 = df_stir!$C$2:$C$1000), 0), MATCH(D$9, df_stir!$E$1:$K$1,0)),0)</f>
        <v>0</v>
      </c>
      <c r="E39" s="1">
        <f t="array" ref="E39">IFERROR(INDEX(df_stir!$E$2:$K$1000, MATCH(1, ($A$2 = df_stir!$A$2:$A$1000) * ($C$9 = df_stir!$B$2:$B$1000) * ($A39 = df_stir!$D$2:$D$1000)  * ($B$28 = df_stir!$C$2:$C$1000), 0), MATCH(E$9, df_stir!$E$1:$K$1,0)),0)</f>
        <v>0</v>
      </c>
      <c r="F39" s="359">
        <f t="array" ref="F39">IFERROR(INDEX(df_stir!$E$2:$K$1000, MATCH(1, ($A$2 = df_stir!$A$2:$A$1000) * ($C$9 = df_stir!$B$2:$B$1000) * ($A39 = df_stir!$D$2:$D$1000)  * ($B$28 = df_stir!$C$2:$C$1000), 0), MATCH(F$9, df_stir!$E$1:$K$1,0)),0)</f>
        <v>0</v>
      </c>
      <c r="H39" s="84" t="s">
        <v>351</v>
      </c>
      <c r="I39" s="173"/>
      <c r="J39" s="591" t="str">
        <f t="array" ref="J39">IFERROR(INDEX(df_stir!$E$2:$K$1000, MATCH(1, ($A$2 = df_stir!$A$2:$A$1000) * ($C$9 = df_stir!$B$2:$B$1000) * ($A39 = df_stir!$D$2:$D$1000)  * ($H$28 = df_stir!$C$2:$C$1000), 0), MATCH(J$9, df_stir!$E$1:$K$1,0)),"x")</f>
        <v>x</v>
      </c>
      <c r="K39" s="591" t="str">
        <f t="array" ref="K39">IFERROR(INDEX(df_stir!$E$2:$K$1000, MATCH(1, ($A$2 = df_stir!$A$2:$A$1000) * ($C$9 = df_stir!$B$2:$B$1000) * ($A39 = df_stir!$D$2:$D$1000)  * ($H$28 = df_stir!$C$2:$C$1000), 0), MATCH(K$9, df_stir!$E$1:$K$1,0)),"x")</f>
        <v>x</v>
      </c>
      <c r="L39" s="503" t="str">
        <f t="array" ref="L39">IFERROR(INDEX(df_stir!$E$2:$K$1000, MATCH(1, ($A$2 = df_stir!$A$2:$A$1000) * ($C$9 = df_stir!$B$2:$B$1000) * ($A39 = df_stir!$D$2:$D$1000)  * ($H$28 = df_stir!$C$2:$C$1000), 0), MATCH(L$9, df_stir!$E$1:$K$1,0)),"x")</f>
        <v>x</v>
      </c>
      <c r="N39" s="84" t="s">
        <v>351</v>
      </c>
      <c r="O39" s="173"/>
      <c r="P39" s="591" t="str">
        <f t="array" ref="P39">IFERROR(INDEX(df_stir!$E$2:$K$1000, MATCH(1, ($A$2 = df_stir!$A$2:$A$1000) * ($C$9 = df_stir!$B$2:$B$1000) * ($A39 = df_stir!$D$2:$D$1000)  * ($N$28 = df_stir!$C$2:$C$1000), 0), MATCH(P$9, df_stir!$E$1:$K$1,0)),"x")</f>
        <v>x</v>
      </c>
      <c r="Q39" s="591" t="str">
        <f t="array" ref="Q39">IFERROR(INDEX(df_stir!$E$2:$K$1000, MATCH(1, ($A$2 = df_stir!$A$2:$A$1000) * ($C$9 = df_stir!$B$2:$B$1000) * ($A39 = df_stir!$D$2:$D$1000)  * ($N$28 = df_stir!$C$2:$C$1000), 0), MATCH(Q$9, df_stir!$E$1:$K$1,0)),"x")</f>
        <v>x</v>
      </c>
      <c r="R39" s="503" t="str">
        <f t="array" ref="R39">IFERROR(INDEX(df_stir!$E$2:$K$1000, MATCH(1, ($A$2 = df_stir!$A$2:$A$1000) * ($C$9 = df_stir!$B$2:$B$1000) * ($A39 = df_stir!$D$2:$D$1000)  * ($N$28 = df_stir!$C$2:$C$1000), 0), MATCH(R$9, df_stir!$E$1:$K$1,0)),"x")</f>
        <v>x</v>
      </c>
    </row>
    <row r="40" spans="1:18" ht="20.100000000000001" customHeight="1" x14ac:dyDescent="0.2">
      <c r="A40" s="299">
        <v>41</v>
      </c>
      <c r="B40" s="84" t="s">
        <v>361</v>
      </c>
      <c r="C40" s="173"/>
      <c r="D40" s="84">
        <f t="array" ref="D40">IFERROR(INDEX(df_stir!$E$2:$K$1000, MATCH(1, ($A$2 = df_stir!$A$2:$A$1000) * ($C$9 = df_stir!$B$2:$B$1000) * ($A40 = df_stir!$D$2:$D$1000)  * ($B$28 = df_stir!$C$2:$C$1000), 0), MATCH(D$9, df_stir!$E$1:$K$1,0)),0)</f>
        <v>0</v>
      </c>
      <c r="E40" s="1">
        <f t="array" ref="E40">IFERROR(INDEX(df_stir!$E$2:$K$1000, MATCH(1, ($A$2 = df_stir!$A$2:$A$1000) * ($C$9 = df_stir!$B$2:$B$1000) * ($A40 = df_stir!$D$2:$D$1000)  * ($B$28 = df_stir!$C$2:$C$1000), 0), MATCH(E$9, df_stir!$E$1:$K$1,0)),0)</f>
        <v>0</v>
      </c>
      <c r="F40" s="359">
        <f t="array" ref="F40">IFERROR(INDEX(df_stir!$E$2:$K$1000, MATCH(1, ($A$2 = df_stir!$A$2:$A$1000) * ($C$9 = df_stir!$B$2:$B$1000) * ($A40 = df_stir!$D$2:$D$1000)  * ($B$28 = df_stir!$C$2:$C$1000), 0), MATCH(F$9, df_stir!$E$1:$K$1,0)),0)</f>
        <v>0</v>
      </c>
      <c r="H40" s="84" t="s">
        <v>361</v>
      </c>
      <c r="I40" s="173"/>
      <c r="J40" s="591" t="str">
        <f t="array" ref="J40">IFERROR(INDEX(df_stir!$E$2:$K$1000, MATCH(1, ($A$2 = df_stir!$A$2:$A$1000) * ($C$9 = df_stir!$B$2:$B$1000) * ($A40 = df_stir!$D$2:$D$1000)  * ($H$28 = df_stir!$C$2:$C$1000), 0), MATCH(J$9, df_stir!$E$1:$K$1,0)),"x")</f>
        <v>x</v>
      </c>
      <c r="K40" s="591" t="str">
        <f t="array" ref="K40">IFERROR(INDEX(df_stir!$E$2:$K$1000, MATCH(1, ($A$2 = df_stir!$A$2:$A$1000) * ($C$9 = df_stir!$B$2:$B$1000) * ($A40 = df_stir!$D$2:$D$1000)  * ($H$28 = df_stir!$C$2:$C$1000), 0), MATCH(K$9, df_stir!$E$1:$K$1,0)),"x")</f>
        <v>x</v>
      </c>
      <c r="L40" s="503" t="str">
        <f t="array" ref="L40">IFERROR(INDEX(df_stir!$E$2:$K$1000, MATCH(1, ($A$2 = df_stir!$A$2:$A$1000) * ($C$9 = df_stir!$B$2:$B$1000) * ($A40 = df_stir!$D$2:$D$1000)  * ($H$28 = df_stir!$C$2:$C$1000), 0), MATCH(L$9, df_stir!$E$1:$K$1,0)),"x")</f>
        <v>x</v>
      </c>
      <c r="N40" s="84" t="s">
        <v>361</v>
      </c>
      <c r="O40" s="173"/>
      <c r="P40" s="591" t="str">
        <f t="array" ref="P40">IFERROR(INDEX(df_stir!$E$2:$K$1000, MATCH(1, ($A$2 = df_stir!$A$2:$A$1000) * ($C$9 = df_stir!$B$2:$B$1000) * ($A40 = df_stir!$D$2:$D$1000)  * ($N$28 = df_stir!$C$2:$C$1000), 0), MATCH(P$9, df_stir!$E$1:$K$1,0)),"x")</f>
        <v>x</v>
      </c>
      <c r="Q40" s="591" t="str">
        <f t="array" ref="Q40">IFERROR(INDEX(df_stir!$E$2:$K$1000, MATCH(1, ($A$2 = df_stir!$A$2:$A$1000) * ($C$9 = df_stir!$B$2:$B$1000) * ($A40 = df_stir!$D$2:$D$1000)  * ($N$28 = df_stir!$C$2:$C$1000), 0), MATCH(Q$9, df_stir!$E$1:$K$1,0)),"x")</f>
        <v>x</v>
      </c>
      <c r="R40" s="503" t="str">
        <f t="array" ref="R40">IFERROR(INDEX(df_stir!$E$2:$K$1000, MATCH(1, ($A$2 = df_stir!$A$2:$A$1000) * ($C$9 = df_stir!$B$2:$B$1000) * ($A40 = df_stir!$D$2:$D$1000)  * ($N$28 = df_stir!$C$2:$C$1000), 0), MATCH(R$9, df_stir!$E$1:$K$1,0)),"x")</f>
        <v>x</v>
      </c>
    </row>
    <row r="41" spans="1:18" ht="20.100000000000001" customHeight="1" x14ac:dyDescent="0.2">
      <c r="A41" s="299">
        <v>43</v>
      </c>
      <c r="B41" s="84" t="s">
        <v>195</v>
      </c>
      <c r="C41" s="173"/>
      <c r="D41" s="84">
        <f t="array" ref="D41">IFERROR(INDEX(df_stir!$E$2:$K$1000, MATCH(1, ($A$2 = df_stir!$A$2:$A$1000) * ($C$9 = df_stir!$B$2:$B$1000) * ($A41 = df_stir!$D$2:$D$1000)  * ($B$28 = df_stir!$C$2:$C$1000), 0), MATCH(D$9, df_stir!$E$1:$K$1,0)),0)</f>
        <v>0</v>
      </c>
      <c r="E41" s="1">
        <f t="array" ref="E41">IFERROR(INDEX(df_stir!$E$2:$K$1000, MATCH(1, ($A$2 = df_stir!$A$2:$A$1000) * ($C$9 = df_stir!$B$2:$B$1000) * ($A41 = df_stir!$D$2:$D$1000)  * ($B$28 = df_stir!$C$2:$C$1000), 0), MATCH(E$9, df_stir!$E$1:$K$1,0)),0)</f>
        <v>0</v>
      </c>
      <c r="F41" s="359">
        <f t="array" ref="F41">IFERROR(INDEX(df_stir!$E$2:$K$1000, MATCH(1, ($A$2 = df_stir!$A$2:$A$1000) * ($C$9 = df_stir!$B$2:$B$1000) * ($A41 = df_stir!$D$2:$D$1000)  * ($B$28 = df_stir!$C$2:$C$1000), 0), MATCH(F$9, df_stir!$E$1:$K$1,0)),0)</f>
        <v>0</v>
      </c>
      <c r="H41" s="84" t="s">
        <v>195</v>
      </c>
      <c r="I41" s="173"/>
      <c r="J41" s="591" t="str">
        <f t="array" ref="J41">IFERROR(INDEX(df_stir!$E$2:$K$1000, MATCH(1, ($A$2 = df_stir!$A$2:$A$1000) * ($C$9 = df_stir!$B$2:$B$1000) * ($A41 = df_stir!$D$2:$D$1000)  * ($H$28 = df_stir!$C$2:$C$1000), 0), MATCH(J$9, df_stir!$E$1:$K$1,0)),"x")</f>
        <v>x</v>
      </c>
      <c r="K41" s="591" t="str">
        <f t="array" ref="K41">IFERROR(INDEX(df_stir!$E$2:$K$1000, MATCH(1, ($A$2 = df_stir!$A$2:$A$1000) * ($C$9 = df_stir!$B$2:$B$1000) * ($A41 = df_stir!$D$2:$D$1000)  * ($H$28 = df_stir!$C$2:$C$1000), 0), MATCH(K$9, df_stir!$E$1:$K$1,0)),"x")</f>
        <v>x</v>
      </c>
      <c r="L41" s="503" t="str">
        <f t="array" ref="L41">IFERROR(INDEX(df_stir!$E$2:$K$1000, MATCH(1, ($A$2 = df_stir!$A$2:$A$1000) * ($C$9 = df_stir!$B$2:$B$1000) * ($A41 = df_stir!$D$2:$D$1000)  * ($H$28 = df_stir!$C$2:$C$1000), 0), MATCH(L$9, df_stir!$E$1:$K$1,0)),"x")</f>
        <v>x</v>
      </c>
      <c r="N41" s="84" t="s">
        <v>195</v>
      </c>
      <c r="O41" s="173"/>
      <c r="P41" s="591" t="str">
        <f t="array" ref="P41">IFERROR(INDEX(df_stir!$E$2:$K$1000, MATCH(1, ($A$2 = df_stir!$A$2:$A$1000) * ($C$9 = df_stir!$B$2:$B$1000) * ($A41 = df_stir!$D$2:$D$1000)  * ($N$28 = df_stir!$C$2:$C$1000), 0), MATCH(P$9, df_stir!$E$1:$K$1,0)),"x")</f>
        <v>x</v>
      </c>
      <c r="Q41" s="591" t="str">
        <f t="array" ref="Q41">IFERROR(INDEX(df_stir!$E$2:$K$1000, MATCH(1, ($A$2 = df_stir!$A$2:$A$1000) * ($C$9 = df_stir!$B$2:$B$1000) * ($A41 = df_stir!$D$2:$D$1000)  * ($N$28 = df_stir!$C$2:$C$1000), 0), MATCH(Q$9, df_stir!$E$1:$K$1,0)),"x")</f>
        <v>x</v>
      </c>
      <c r="R41" s="503" t="str">
        <f t="array" ref="R41">IFERROR(INDEX(df_stir!$E$2:$K$1000, MATCH(1, ($A$2 = df_stir!$A$2:$A$1000) * ($C$9 = df_stir!$B$2:$B$1000) * ($A41 = df_stir!$D$2:$D$1000)  * ($N$28 = df_stir!$C$2:$C$1000), 0), MATCH(R$9, df_stir!$E$1:$K$1,0)),"x")</f>
        <v>x</v>
      </c>
    </row>
    <row r="42" spans="1:18" ht="20.100000000000001" customHeight="1" x14ac:dyDescent="0.2">
      <c r="A42" s="299">
        <v>46</v>
      </c>
      <c r="B42" s="569" t="s">
        <v>362</v>
      </c>
      <c r="C42" s="494"/>
      <c r="D42" s="569">
        <f t="array" ref="D42">IFERROR(INDEX(df_stir!$E$2:$K$1000, MATCH(1, ($A$2 = df_stir!$A$2:$A$1000) * ($C$9 = df_stir!$B$2:$B$1000) * ($A42 = df_stir!$D$2:$D$1000)  * ($B$28 = df_stir!$C$2:$C$1000), 0), MATCH(D$9, df_stir!$E$1:$K$1,0)),0)</f>
        <v>0</v>
      </c>
      <c r="E42" s="498">
        <f t="array" ref="E42">IFERROR(INDEX(df_stir!$E$2:$K$1000, MATCH(1, ($A$2 = df_stir!$A$2:$A$1000) * ($C$9 = df_stir!$B$2:$B$1000) * ($A42 = df_stir!$D$2:$D$1000)  * ($B$28 = df_stir!$C$2:$C$1000), 0), MATCH(E$9, df_stir!$E$1:$K$1,0)),0)</f>
        <v>0</v>
      </c>
      <c r="F42" s="499">
        <f t="array" ref="F42">IFERROR(INDEX(df_stir!$E$2:$K$1000, MATCH(1, ($A$2 = df_stir!$A$2:$A$1000) * ($C$9 = df_stir!$B$2:$B$1000) * ($A42 = df_stir!$D$2:$D$1000)  * ($B$28 = df_stir!$C$2:$C$1000), 0), MATCH(F$9, df_stir!$E$1:$K$1,0)),0)</f>
        <v>0</v>
      </c>
      <c r="H42" s="569" t="s">
        <v>362</v>
      </c>
      <c r="I42" s="494"/>
      <c r="J42" s="593" t="str">
        <f t="array" ref="J42">IFERROR(INDEX(df_stir!$E$2:$K$1000, MATCH(1, ($A$2 = df_stir!$A$2:$A$1000) * ($C$9 = df_stir!$B$2:$B$1000) * ($A42 = df_stir!$D$2:$D$1000)  * ($H$28 = df_stir!$C$2:$C$1000), 0), MATCH(J$9, df_stir!$E$1:$K$1,0)),"x")</f>
        <v>x</v>
      </c>
      <c r="K42" s="593" t="str">
        <f t="array" ref="K42">IFERROR(INDEX(df_stir!$E$2:$K$1000, MATCH(1, ($A$2 = df_stir!$A$2:$A$1000) * ($C$9 = df_stir!$B$2:$B$1000) * ($A42 = df_stir!$D$2:$D$1000)  * ($H$28 = df_stir!$C$2:$C$1000), 0), MATCH(K$9, df_stir!$E$1:$K$1,0)),"x")</f>
        <v>x</v>
      </c>
      <c r="L42" s="504" t="str">
        <f t="array" ref="L42">IFERROR(INDEX(df_stir!$E$2:$K$1000, MATCH(1, ($A$2 = df_stir!$A$2:$A$1000) * ($C$9 = df_stir!$B$2:$B$1000) * ($A42 = df_stir!$D$2:$D$1000)  * ($H$28 = df_stir!$C$2:$C$1000), 0), MATCH(L$9, df_stir!$E$1:$K$1,0)),"x")</f>
        <v>x</v>
      </c>
      <c r="N42" s="569" t="s">
        <v>362</v>
      </c>
      <c r="O42" s="494"/>
      <c r="P42" s="593" t="str">
        <f t="array" ref="P42">IFERROR(INDEX(df_stir!$E$2:$K$1000, MATCH(1, ($A$2 = df_stir!$A$2:$A$1000) * ($C$9 = df_stir!$B$2:$B$1000) * ($A42 = df_stir!$D$2:$D$1000)  * ($N$28 = df_stir!$C$2:$C$1000), 0), MATCH(P$9, df_stir!$E$1:$K$1,0)),"x")</f>
        <v>x</v>
      </c>
      <c r="Q42" s="593" t="str">
        <f t="array" ref="Q42">IFERROR(INDEX(df_stir!$E$2:$K$1000, MATCH(1, ($A$2 = df_stir!$A$2:$A$1000) * ($C$9 = df_stir!$B$2:$B$1000) * ($A42 = df_stir!$D$2:$D$1000)  * ($N$28 = df_stir!$C$2:$C$1000), 0), MATCH(Q$9, df_stir!$E$1:$K$1,0)),"x")</f>
        <v>x</v>
      </c>
      <c r="R42" s="504" t="str">
        <f t="array" ref="R42">IFERROR(INDEX(df_stir!$E$2:$K$1000, MATCH(1, ($A$2 = df_stir!$A$2:$A$1000) * ($C$9 = df_stir!$B$2:$B$1000) * ($A42 = df_stir!$D$2:$D$1000)  * ($N$28 = df_stir!$C$2:$C$1000), 0), MATCH(R$9, df_stir!$E$1:$K$1,0)),"x")</f>
        <v>x</v>
      </c>
    </row>
    <row r="44" spans="1:18" ht="20.100000000000001" customHeight="1" x14ac:dyDescent="0.2">
      <c r="B44" s="1240" t="s">
        <v>408</v>
      </c>
      <c r="C44" s="1240"/>
      <c r="D44" s="1240"/>
      <c r="E44" s="1240"/>
      <c r="F44" s="1240"/>
    </row>
    <row r="45" spans="1:18" ht="20.100000000000001" customHeight="1" x14ac:dyDescent="0.2">
      <c r="C45" s="1"/>
      <c r="D45" s="476" t="s">
        <v>6</v>
      </c>
      <c r="E45" s="476" t="s">
        <v>136</v>
      </c>
      <c r="F45" s="476" t="s">
        <v>353</v>
      </c>
    </row>
    <row r="46" spans="1:18" ht="20.100000000000001" customHeight="1" x14ac:dyDescent="0.2">
      <c r="B46" s="206" t="s">
        <v>1219</v>
      </c>
      <c r="C46" s="72"/>
      <c r="D46" s="128" t="s">
        <v>6</v>
      </c>
      <c r="E46" s="117" t="s">
        <v>95</v>
      </c>
      <c r="F46" s="302" t="s">
        <v>96</v>
      </c>
    </row>
    <row r="47" spans="1:18" ht="20.100000000000001" customHeight="1" x14ac:dyDescent="0.2">
      <c r="A47" s="299"/>
      <c r="B47" s="84" t="s">
        <v>6</v>
      </c>
      <c r="C47" s="173"/>
      <c r="D47" s="557">
        <f t="array" ref="D47">IFERROR(INDEX(df_echn!$F$2:$M$100, MATCH(1, ($A$2 = df_echn!$C$2:$C$100) * (df_echn!$E$2:$E$100 = $B47) * (df_echn!$D$2:$D$100 = "Total"), 0), MATCH(D$45, df_echn!$F$1:$M$1,0)),0)</f>
        <v>0</v>
      </c>
      <c r="E47" s="555">
        <f t="array" ref="E47">IFERROR(INDEX(df_echn!$F$2:$M$100, MATCH(1, ($A$2 = df_echn!$C$2:$C$100) * (df_echn!$E$2:$E$100 = $B47) * (df_echn!$D$2:$D$100 = "Total"), 0), MATCH(E$45, df_echn!$F$1:$M$1,0)),0)</f>
        <v>0</v>
      </c>
      <c r="F47" s="556">
        <f t="array" ref="F47">IFERROR(INDEX(df_echn!$F$2:$M$100, MATCH(1, ($A$2 = df_echn!$C$2:$C$100) * (df_echn!$E$2:$E$100 = $B47) * (df_echn!$D$2:$D$100 = "Total"), 0), MATCH(F$45, df_echn!$F$1:$M$1,0)),0)</f>
        <v>0</v>
      </c>
    </row>
    <row r="48" spans="1:18" ht="20.100000000000001" customHeight="1" x14ac:dyDescent="0.2">
      <c r="A48" s="299"/>
      <c r="B48" s="731" t="s">
        <v>6</v>
      </c>
      <c r="C48" s="173"/>
      <c r="D48" s="558">
        <f t="array" ref="D48">IFERROR(INDEX(df_echn!$F$2:$M$100, MATCH(1, ($A$2 = df_echn!$C$2:$C$100) * (df_echn!$E$2:$E$100 = $B48) * (df_echn!$D$2:$D$100 = "50% or more"), 0), MATCH(D$45, df_echn!$F$1:$M$1,0)),0)</f>
        <v>0</v>
      </c>
      <c r="E48" s="239">
        <f t="array" ref="E48">IFERROR(INDEX(df_echn!$F$2:$M$100, MATCH(1, ($A$2 = df_echn!$C$2:$C$100) * (df_echn!$E$2:$E$100 = $B48) * (df_echn!$D$2:$D$100 = "50% or more"), 0), MATCH(E$45, df_echn!$F$1:$M$1,0)),0)</f>
        <v>0</v>
      </c>
      <c r="F48" s="552">
        <f t="array" ref="F48">IFERROR(INDEX(df_echn!$F$2:$M$100, MATCH(1, ($A$2 = df_echn!$C$2:$C$100) * (df_echn!$E$2:$E$100 = $B48) * (df_echn!$D$2:$D$100 = "50% or more"), 0), MATCH(F$45, df_echn!$F$1:$M$1,0)),0)</f>
        <v>0</v>
      </c>
    </row>
    <row r="49" spans="1:18" ht="20.100000000000001" customHeight="1" x14ac:dyDescent="0.2">
      <c r="A49" s="299"/>
      <c r="B49" s="84" t="s">
        <v>407</v>
      </c>
      <c r="C49" s="173"/>
      <c r="D49" s="558">
        <f t="array" ref="D49">IFERROR(INDEX(df_echn!$F$2:$M$100, MATCH(1, ($A$2 = df_echn!$C$2:$C$100) * (df_echn!$E$2:$E$100 = $B49) * (df_echn!$D$2:$D$100 = "Total"), 0), MATCH(D$45, df_echn!$F$1:$M$1,0)),0)</f>
        <v>0</v>
      </c>
      <c r="E49" s="239">
        <f t="array" ref="E49">IFERROR(INDEX(df_echn!$F$2:$M$100, MATCH(1, ($A$2 = df_echn!$C$2:$C$100) * (df_echn!$E$2:$E$100 = $B49) * (df_echn!$D$2:$D$100 = "Total"), 0), MATCH(E$45, df_echn!$F$1:$M$1,0)),0)</f>
        <v>0</v>
      </c>
      <c r="F49" s="552">
        <f t="array" ref="F49">IFERROR(INDEX(df_echn!$F$2:$M$100, MATCH(1, ($A$2 = df_echn!$C$2:$C$100) * (df_echn!$E$2:$E$100 = $B49) * (df_echn!$D$2:$D$100 = "Total"), 0), MATCH(F$45, df_echn!$F$1:$M$1,0)),0)</f>
        <v>0</v>
      </c>
    </row>
    <row r="50" spans="1:18" ht="20.100000000000001" customHeight="1" x14ac:dyDescent="0.2">
      <c r="A50" s="299"/>
      <c r="B50" s="1025" t="s">
        <v>385</v>
      </c>
      <c r="C50" s="494"/>
      <c r="D50" s="559">
        <f t="array" ref="D50">IFERROR(INDEX(df_echn!$F$2:$M$100, MATCH(1, ($A$2 = df_echn!$C$2:$C$100) * (df_echn!$E$2:$E$100 = $B50) * (df_echn!$D$2:$D$100 = "50% or more"), 0), MATCH(D$45, df_echn!$F$1:$M$1,0)),0)</f>
        <v>0</v>
      </c>
      <c r="E50" s="553">
        <f t="array" ref="E50">IFERROR(INDEX(df_echn!$F$2:$M$100, MATCH(1, ($A$2 = df_echn!$C$2:$C$100) * (df_echn!$E$2:$E$100 = $B50) * (df_echn!$D$2:$D$100 = "50% or more"), 0), MATCH(E$45, df_echn!$F$1:$M$1,0)),0)</f>
        <v>0</v>
      </c>
      <c r="F50" s="554">
        <f t="array" ref="F50">IFERROR(INDEX(df_echn!$F$2:$M$100, MATCH(1, ($A$2 = df_echn!$C$2:$C$100) * (df_echn!$E$2:$E$100 = $B50) * (df_echn!$D$2:$D$100 = "50% or more"), 0), MATCH(F$45, df_echn!$F$1:$M$1,0)),0)</f>
        <v>0</v>
      </c>
    </row>
    <row r="52" spans="1:18" ht="30" customHeight="1" x14ac:dyDescent="0.2">
      <c r="B52" s="175" t="s">
        <v>1224</v>
      </c>
      <c r="C52" s="310"/>
      <c r="D52" s="310"/>
      <c r="E52" s="310"/>
      <c r="F52" s="310"/>
      <c r="G52" s="310"/>
      <c r="H52" s="310"/>
      <c r="I52" s="310"/>
      <c r="J52" s="310"/>
      <c r="K52" s="310"/>
      <c r="L52" s="310"/>
      <c r="M52" s="310"/>
      <c r="N52" s="310"/>
      <c r="O52" s="310"/>
      <c r="P52" s="310"/>
      <c r="Q52" s="310"/>
      <c r="R52" s="310"/>
    </row>
    <row r="54" spans="1:18" ht="20.100000000000001" customHeight="1" x14ac:dyDescent="0.2">
      <c r="B54" s="1240" t="s">
        <v>403</v>
      </c>
      <c r="C54" s="1240"/>
      <c r="D54" s="1240"/>
      <c r="E54" s="1240"/>
      <c r="F54" s="1240"/>
      <c r="H54" s="1240" t="s">
        <v>366</v>
      </c>
      <c r="I54" s="1240"/>
      <c r="J54" s="1240"/>
      <c r="K54" s="1240"/>
      <c r="L54" s="1240"/>
      <c r="N54" s="1240" t="s">
        <v>367</v>
      </c>
      <c r="O54" s="1240"/>
      <c r="P54" s="1240"/>
      <c r="Q54" s="1240"/>
      <c r="R54" s="1240"/>
    </row>
    <row r="55" spans="1:18" ht="20.100000000000001" customHeight="1" x14ac:dyDescent="0.2">
      <c r="B55" s="1024" t="s">
        <v>1215</v>
      </c>
      <c r="C55" s="1024" t="s">
        <v>354</v>
      </c>
      <c r="D55" s="476" t="s">
        <v>6</v>
      </c>
      <c r="E55" s="476" t="s">
        <v>6</v>
      </c>
      <c r="F55" s="476" t="s">
        <v>6</v>
      </c>
      <c r="H55" s="1024" t="s">
        <v>1215</v>
      </c>
      <c r="I55" s="1024" t="str">
        <f>C55</f>
        <v>T</v>
      </c>
      <c r="J55" s="476" t="s">
        <v>6</v>
      </c>
      <c r="K55" s="476" t="s">
        <v>6</v>
      </c>
      <c r="L55" s="476" t="s">
        <v>6</v>
      </c>
      <c r="N55" s="1024" t="s">
        <v>1215</v>
      </c>
      <c r="O55" s="1024" t="str">
        <f>I55</f>
        <v>T</v>
      </c>
      <c r="P55" s="476" t="s">
        <v>6</v>
      </c>
      <c r="Q55" s="476" t="s">
        <v>6</v>
      </c>
      <c r="R55" s="476" t="s">
        <v>6</v>
      </c>
    </row>
    <row r="56" spans="1:18" ht="20.100000000000001" customHeight="1" x14ac:dyDescent="0.2">
      <c r="B56" s="206" t="s">
        <v>6</v>
      </c>
      <c r="C56" s="72"/>
      <c r="D56" s="128" t="s">
        <v>181</v>
      </c>
      <c r="E56" s="117" t="s">
        <v>182</v>
      </c>
      <c r="F56" s="302" t="s">
        <v>183</v>
      </c>
      <c r="H56" s="206" t="s">
        <v>366</v>
      </c>
      <c r="I56" s="72"/>
      <c r="J56" s="128" t="s">
        <v>181</v>
      </c>
      <c r="K56" s="117" t="s">
        <v>182</v>
      </c>
      <c r="L56" s="302" t="s">
        <v>183</v>
      </c>
      <c r="N56" s="206" t="s">
        <v>367</v>
      </c>
      <c r="O56" s="72"/>
      <c r="P56" s="128" t="s">
        <v>181</v>
      </c>
      <c r="Q56" s="117" t="s">
        <v>182</v>
      </c>
      <c r="R56" s="302" t="s">
        <v>183</v>
      </c>
    </row>
    <row r="57" spans="1:18" ht="20.100000000000001" customHeight="1" x14ac:dyDescent="0.2">
      <c r="A57" s="299">
        <v>1</v>
      </c>
      <c r="B57" s="84" t="s">
        <v>6</v>
      </c>
      <c r="C57" s="173"/>
      <c r="D57" s="557">
        <f t="array" ref="D57">IFERROR(INDEX(df_cond!$E$2:$L$1000, MATCH(1, (A$2 = df_cond!$A$2:$A$1000) * ($C$55 = df_cond!$B$2:$B$1000) * ($A57 = df_cond!$D$2:$D$1000)  * ($B$56 = df_cond!$C$2:$C$1000), 0), MATCH(D$55, df_cond!$E$1:$L$1,0)),0)</f>
        <v>0</v>
      </c>
      <c r="E57" s="555">
        <f t="array" ref="E57">IFERROR(INDEX(df_cond!$E$2:$L$1000, MATCH(1, (B$2 = df_cond!$A$2:$A$1000) * ($C$55 = df_cond!$B$2:$B$1000) * ($A57 = df_cond!$D$2:$D$1000)  * ($B$56 = df_cond!$C$2:$C$1000), 0), MATCH(E$55, df_cond!$E$1:$L$1,0)),0)</f>
        <v>0</v>
      </c>
      <c r="F57" s="556">
        <f t="array" ref="F57">IFERROR(INDEX(df_cond!$E$2:$L$1000, MATCH(1, (C$2 = df_cond!$A$2:$A$1000) * ($C$55 = df_cond!$B$2:$B$1000) * ($A57 = df_cond!$D$2:$D$1000)  * ($B$56 = df_cond!$C$2:$C$1000), 0), MATCH(F$55, df_cond!$E$1:$L$1,0)),0)</f>
        <v>0</v>
      </c>
      <c r="H57" s="84" t="s">
        <v>6</v>
      </c>
      <c r="I57" s="173"/>
      <c r="J57" s="591" t="str">
        <f t="array" ref="J57">IFERROR(INDEX(df_cond!$E$2:$L$1000, MATCH(1, (A$2 = df_cond!$A$2:$A$1000) * ($C$55 = df_cond!$B$2:$B$1000) * ($A57 = df_cond!$D$2:$D$1000)  * ($H$56 = df_cond!$C$2:$C$1000), 0), MATCH(J$55, df_cond!$E$1:$L$1,0)),"x")</f>
        <v>x</v>
      </c>
      <c r="K57" s="591" t="str">
        <f t="array" ref="K57">IFERROR(INDEX(df_cond!$E$2:$L$1000, MATCH(1, (B$2 = df_cond!$A$2:$A$1000) * ($C$55 = df_cond!$B$2:$B$1000) * ($A57 = df_cond!$D$2:$D$1000)  * ($H$56 = df_cond!$C$2:$C$1000), 0), MATCH(K$55, df_cond!$E$1:$L$1,0)),"x")</f>
        <v>x</v>
      </c>
      <c r="L57" s="503" t="str">
        <f t="array" ref="L57">IFERROR(INDEX(df_cond!$E$2:$L$1000, MATCH(1, (C$2 = df_cond!$A$2:$A$1000) * ($C$55 = df_cond!$B$2:$B$1000) * ($A57 = df_cond!$D$2:$D$1000)  * ($H$56 = df_cond!$C$2:$C$1000), 0), MATCH(L$55, df_cond!$E$1:$L$1,0)),"x")</f>
        <v>x</v>
      </c>
      <c r="N57" s="84" t="s">
        <v>6</v>
      </c>
      <c r="O57" s="173"/>
      <c r="P57" s="591" t="str">
        <f t="array" ref="P57">IFERROR(INDEX(df_cond!$E$2:$L$1000, MATCH(1, (A$2 = df_cond!$A$2:$A$1000) * ($C$55 = df_cond!$B$2:$B$1000) * ($A57 = df_cond!$D$2:$D$1000)  * ($N$56 = df_cond!$C$2:$C$1000), 0), MATCH(P$55, df_cond!$E$1:$L$1,0)),"x")</f>
        <v>x</v>
      </c>
      <c r="Q57" s="591" t="str">
        <f t="array" ref="Q57">IFERROR(INDEX(df_cond!$E$2:$L$1000, MATCH(1, (B$2 = df_cond!$A$2:$A$1000) * ($C$55 = df_cond!$B$2:$B$1000) * ($A57 = df_cond!$D$2:$D$1000)  * ($N$56 = df_cond!$C$2:$C$1000), 0), MATCH(Q$55, df_cond!$E$1:$L$1,0)),"x")</f>
        <v>x</v>
      </c>
      <c r="R57" s="503" t="str">
        <f t="array" ref="R57">IFERROR(INDEX(df_cond!$E$2:$L$1000, MATCH(1, (C$2 = df_cond!$A$2:$A$1000) * ($C$55 = df_cond!$B$2:$B$1000) * ($A57 = df_cond!$D$2:$D$1000)  * ($N$56 = df_cond!$C$2:$C$1000), 0), MATCH(R$55, df_cond!$E$1:$L$1,0)),"x")</f>
        <v>x</v>
      </c>
    </row>
    <row r="58" spans="1:18" ht="20.100000000000001" customHeight="1" x14ac:dyDescent="0.2">
      <c r="A58" s="299">
        <v>5</v>
      </c>
      <c r="B58" s="84" t="s">
        <v>355</v>
      </c>
      <c r="C58" s="173"/>
      <c r="D58" s="558">
        <f t="array" ref="D58">IFERROR(INDEX(df_cond!$E$2:$L$1000, MATCH(1, (A$2 = df_cond!$A$2:$A$1000) * ($C$55 = df_cond!$B$2:$B$1000) * ($A58 = df_cond!$D$2:$D$1000)  * ($B$56 = df_cond!$C$2:$C$1000), 0), MATCH(D$55, df_cond!$E$1:$L$1,0)),0)</f>
        <v>0</v>
      </c>
      <c r="E58" s="239">
        <f t="array" ref="E58">IFERROR(INDEX(df_cond!$E$2:$L$1000, MATCH(1, (B$2 = df_cond!$A$2:$A$1000) * ($C$55 = df_cond!$B$2:$B$1000) * ($A58 = df_cond!$D$2:$D$1000)  * ($B$56 = df_cond!$C$2:$C$1000), 0), MATCH(E$55, df_cond!$E$1:$L$1,0)),0)</f>
        <v>0</v>
      </c>
      <c r="F58" s="552">
        <f t="array" ref="F58">IFERROR(INDEX(df_cond!$E$2:$L$1000, MATCH(1, (C$2 = df_cond!$A$2:$A$1000) * ($C$55 = df_cond!$B$2:$B$1000) * ($A58 = df_cond!$D$2:$D$1000)  * ($B$56 = df_cond!$C$2:$C$1000), 0), MATCH(F$55, df_cond!$E$1:$L$1,0)),0)</f>
        <v>0</v>
      </c>
      <c r="H58" s="84" t="s">
        <v>355</v>
      </c>
      <c r="I58" s="173"/>
      <c r="J58" s="591" t="str">
        <f t="array" ref="J58">IFERROR(INDEX(df_cond!$E$2:$L$1000, MATCH(1, (A$2 = df_cond!$A$2:$A$1000) * ($C$55 = df_cond!$B$2:$B$1000) * ($A58 = df_cond!$D$2:$D$1000)  * ($H$56 = df_cond!$C$2:$C$1000), 0), MATCH(J$55, df_cond!$E$1:$L$1,0)),"x")</f>
        <v>x</v>
      </c>
      <c r="K58" s="591" t="str">
        <f t="array" ref="K58">IFERROR(INDEX(df_cond!$E$2:$L$1000, MATCH(1, (B$2 = df_cond!$A$2:$A$1000) * ($C$55 = df_cond!$B$2:$B$1000) * ($A58 = df_cond!$D$2:$D$1000)  * ($H$56 = df_cond!$C$2:$C$1000), 0), MATCH(K$55, df_cond!$E$1:$L$1,0)),"x")</f>
        <v>x</v>
      </c>
      <c r="L58" s="503" t="str">
        <f t="array" ref="L58">IFERROR(INDEX(df_cond!$E$2:$L$1000, MATCH(1, (C$2 = df_cond!$A$2:$A$1000) * ($C$55 = df_cond!$B$2:$B$1000) * ($A58 = df_cond!$D$2:$D$1000)  * ($H$56 = df_cond!$C$2:$C$1000), 0), MATCH(L$55, df_cond!$E$1:$L$1,0)),"x")</f>
        <v>x</v>
      </c>
      <c r="N58" s="84" t="s">
        <v>355</v>
      </c>
      <c r="O58" s="173"/>
      <c r="P58" s="591" t="str">
        <f t="array" ref="P58">IFERROR(INDEX(df_cond!$E$2:$L$1000, MATCH(1, (A$2 = df_cond!$A$2:$A$1000) * ($C$55 = df_cond!$B$2:$B$1000) * ($A58 = df_cond!$D$2:$D$1000)  * ($N$56 = df_cond!$C$2:$C$1000), 0), MATCH(P$55, df_cond!$E$1:$L$1,0)),"x")</f>
        <v>x</v>
      </c>
      <c r="Q58" s="591" t="str">
        <f t="array" ref="Q58">IFERROR(INDEX(df_cond!$E$2:$L$1000, MATCH(1, (B$2 = df_cond!$A$2:$A$1000) * ($C$55 = df_cond!$B$2:$B$1000) * ($A58 = df_cond!$D$2:$D$1000)  * ($N$56 = df_cond!$C$2:$C$1000), 0), MATCH(Q$55, df_cond!$E$1:$L$1,0)),"x")</f>
        <v>x</v>
      </c>
      <c r="R58" s="503" t="str">
        <f t="array" ref="R58">IFERROR(INDEX(df_cond!$E$2:$L$1000, MATCH(1, (C$2 = df_cond!$A$2:$A$1000) * ($C$55 = df_cond!$B$2:$B$1000) * ($A58 = df_cond!$D$2:$D$1000)  * ($N$56 = df_cond!$C$2:$C$1000), 0), MATCH(R$55, df_cond!$E$1:$L$1,0)),"x")</f>
        <v>x</v>
      </c>
    </row>
    <row r="59" spans="1:18" ht="20.100000000000001" customHeight="1" x14ac:dyDescent="0.2">
      <c r="A59" s="299">
        <v>6</v>
      </c>
      <c r="B59" s="84" t="s">
        <v>356</v>
      </c>
      <c r="C59" s="173"/>
      <c r="D59" s="558">
        <f t="array" ref="D59">IFERROR(INDEX(df_cond!$E$2:$L$1000, MATCH(1, (A$2 = df_cond!$A$2:$A$1000) * ($C$55 = df_cond!$B$2:$B$1000) * ($A59 = df_cond!$D$2:$D$1000)  * ($B$56 = df_cond!$C$2:$C$1000), 0), MATCH(D$55, df_cond!$E$1:$L$1,0)),0)</f>
        <v>0</v>
      </c>
      <c r="E59" s="239">
        <f t="array" ref="E59">IFERROR(INDEX(df_cond!$E$2:$L$1000, MATCH(1, (B$2 = df_cond!$A$2:$A$1000) * ($C$55 = df_cond!$B$2:$B$1000) * ($A59 = df_cond!$D$2:$D$1000)  * ($B$56 = df_cond!$C$2:$C$1000), 0), MATCH(E$55, df_cond!$E$1:$L$1,0)),0)</f>
        <v>0</v>
      </c>
      <c r="F59" s="552">
        <f t="array" ref="F59">IFERROR(INDEX(df_cond!$E$2:$L$1000, MATCH(1, (C$2 = df_cond!$A$2:$A$1000) * ($C$55 = df_cond!$B$2:$B$1000) * ($A59 = df_cond!$D$2:$D$1000)  * ($B$56 = df_cond!$C$2:$C$1000), 0), MATCH(F$55, df_cond!$E$1:$L$1,0)),0)</f>
        <v>0</v>
      </c>
      <c r="H59" s="84" t="s">
        <v>356</v>
      </c>
      <c r="I59" s="173"/>
      <c r="J59" s="591" t="str">
        <f t="array" ref="J59">IFERROR(INDEX(df_cond!$E$2:$L$1000, MATCH(1, (A$2 = df_cond!$A$2:$A$1000) * ($C$55 = df_cond!$B$2:$B$1000) * ($A59 = df_cond!$D$2:$D$1000)  * ($H$56 = df_cond!$C$2:$C$1000), 0), MATCH(J$55, df_cond!$E$1:$L$1,0)),"x")</f>
        <v>x</v>
      </c>
      <c r="K59" s="591" t="str">
        <f t="array" ref="K59">IFERROR(INDEX(df_cond!$E$2:$L$1000, MATCH(1, (B$2 = df_cond!$A$2:$A$1000) * ($C$55 = df_cond!$B$2:$B$1000) * ($A59 = df_cond!$D$2:$D$1000)  * ($H$56 = df_cond!$C$2:$C$1000), 0), MATCH(K$55, df_cond!$E$1:$L$1,0)),"x")</f>
        <v>x</v>
      </c>
      <c r="L59" s="503" t="str">
        <f t="array" ref="L59">IFERROR(INDEX(df_cond!$E$2:$L$1000, MATCH(1, (C$2 = df_cond!$A$2:$A$1000) * ($C$55 = df_cond!$B$2:$B$1000) * ($A59 = df_cond!$D$2:$D$1000)  * ($H$56 = df_cond!$C$2:$C$1000), 0), MATCH(L$55, df_cond!$E$1:$L$1,0)),"x")</f>
        <v>x</v>
      </c>
      <c r="N59" s="84" t="s">
        <v>356</v>
      </c>
      <c r="O59" s="173"/>
      <c r="P59" s="591" t="str">
        <f t="array" ref="P59">IFERROR(INDEX(df_cond!$E$2:$L$1000, MATCH(1, (A$2 = df_cond!$A$2:$A$1000) * ($C$55 = df_cond!$B$2:$B$1000) * ($A59 = df_cond!$D$2:$D$1000)  * ($N$56 = df_cond!$C$2:$C$1000), 0), MATCH(P$55, df_cond!$E$1:$L$1,0)),"x")</f>
        <v>x</v>
      </c>
      <c r="Q59" s="591" t="str">
        <f t="array" ref="Q59">IFERROR(INDEX(df_cond!$E$2:$L$1000, MATCH(1, (B$2 = df_cond!$A$2:$A$1000) * ($C$55 = df_cond!$B$2:$B$1000) * ($A59 = df_cond!$D$2:$D$1000)  * ($N$56 = df_cond!$C$2:$C$1000), 0), MATCH(Q$55, df_cond!$E$1:$L$1,0)),"x")</f>
        <v>x</v>
      </c>
      <c r="R59" s="503" t="str">
        <f t="array" ref="R59">IFERROR(INDEX(df_cond!$E$2:$L$1000, MATCH(1, (C$2 = df_cond!$A$2:$A$1000) * ($C$55 = df_cond!$B$2:$B$1000) * ($A59 = df_cond!$D$2:$D$1000)  * ($N$56 = df_cond!$C$2:$C$1000), 0), MATCH(R$55, df_cond!$E$1:$L$1,0)),"x")</f>
        <v>x</v>
      </c>
    </row>
    <row r="60" spans="1:18" ht="20.100000000000001" customHeight="1" x14ac:dyDescent="0.2">
      <c r="A60" s="299">
        <v>7</v>
      </c>
      <c r="B60" s="84" t="s">
        <v>64</v>
      </c>
      <c r="C60" s="173"/>
      <c r="D60" s="558">
        <f t="array" ref="D60">IFERROR(INDEX(df_cond!$E$2:$L$1000, MATCH(1, (A$2 = df_cond!$A$2:$A$1000) * ($C$55 = df_cond!$B$2:$B$1000) * ($A60 = df_cond!$D$2:$D$1000)  * ($B$56 = df_cond!$C$2:$C$1000), 0), MATCH(D$55, df_cond!$E$1:$L$1,0)),0)</f>
        <v>0</v>
      </c>
      <c r="E60" s="239">
        <f t="array" ref="E60">IFERROR(INDEX(df_cond!$E$2:$L$1000, MATCH(1, (B$2 = df_cond!$A$2:$A$1000) * ($C$55 = df_cond!$B$2:$B$1000) * ($A60 = df_cond!$D$2:$D$1000)  * ($B$56 = df_cond!$C$2:$C$1000), 0), MATCH(E$55, df_cond!$E$1:$L$1,0)),0)</f>
        <v>0</v>
      </c>
      <c r="F60" s="552">
        <f t="array" ref="F60">IFERROR(INDEX(df_cond!$E$2:$L$1000, MATCH(1, (C$2 = df_cond!$A$2:$A$1000) * ($C$55 = df_cond!$B$2:$B$1000) * ($A60 = df_cond!$D$2:$D$1000)  * ($B$56 = df_cond!$C$2:$C$1000), 0), MATCH(F$55, df_cond!$E$1:$L$1,0)),0)</f>
        <v>0</v>
      </c>
      <c r="H60" s="84" t="s">
        <v>64</v>
      </c>
      <c r="I60" s="173"/>
      <c r="J60" s="591" t="str">
        <f t="array" ref="J60">IFERROR(INDEX(df_cond!$E$2:$L$1000, MATCH(1, (A$2 = df_cond!$A$2:$A$1000) * ($C$55 = df_cond!$B$2:$B$1000) * ($A60 = df_cond!$D$2:$D$1000)  * ($H$56 = df_cond!$C$2:$C$1000), 0), MATCH(J$55, df_cond!$E$1:$L$1,0)),"x")</f>
        <v>x</v>
      </c>
      <c r="K60" s="591" t="str">
        <f t="array" ref="K60">IFERROR(INDEX(df_cond!$E$2:$L$1000, MATCH(1, (B$2 = df_cond!$A$2:$A$1000) * ($C$55 = df_cond!$B$2:$B$1000) * ($A60 = df_cond!$D$2:$D$1000)  * ($H$56 = df_cond!$C$2:$C$1000), 0), MATCH(K$55, df_cond!$E$1:$L$1,0)),"x")</f>
        <v>x</v>
      </c>
      <c r="L60" s="503" t="str">
        <f t="array" ref="L60">IFERROR(INDEX(df_cond!$E$2:$L$1000, MATCH(1, (C$2 = df_cond!$A$2:$A$1000) * ($C$55 = df_cond!$B$2:$B$1000) * ($A60 = df_cond!$D$2:$D$1000)  * ($H$56 = df_cond!$C$2:$C$1000), 0), MATCH(L$55, df_cond!$E$1:$L$1,0)),"x")</f>
        <v>x</v>
      </c>
      <c r="N60" s="84" t="s">
        <v>64</v>
      </c>
      <c r="O60" s="173"/>
      <c r="P60" s="591" t="str">
        <f t="array" ref="P60">IFERROR(INDEX(df_cond!$E$2:$L$1000, MATCH(1, (A$2 = df_cond!$A$2:$A$1000) * ($C$55 = df_cond!$B$2:$B$1000) * ($A60 = df_cond!$D$2:$D$1000)  * ($N$56 = df_cond!$C$2:$C$1000), 0), MATCH(P$55, df_cond!$E$1:$L$1,0)),"x")</f>
        <v>x</v>
      </c>
      <c r="Q60" s="591" t="str">
        <f t="array" ref="Q60">IFERROR(INDEX(df_cond!$E$2:$L$1000, MATCH(1, (B$2 = df_cond!$A$2:$A$1000) * ($C$55 = df_cond!$B$2:$B$1000) * ($A60 = df_cond!$D$2:$D$1000)  * ($N$56 = df_cond!$C$2:$C$1000), 0), MATCH(Q$55, df_cond!$E$1:$L$1,0)),"x")</f>
        <v>x</v>
      </c>
      <c r="R60" s="503" t="str">
        <f t="array" ref="R60">IFERROR(INDEX(df_cond!$E$2:$L$1000, MATCH(1, (C$2 = df_cond!$A$2:$A$1000) * ($C$55 = df_cond!$B$2:$B$1000) * ($A60 = df_cond!$D$2:$D$1000)  * ($N$56 = df_cond!$C$2:$C$1000), 0), MATCH(R$55, df_cond!$E$1:$L$1,0)),"x")</f>
        <v>x</v>
      </c>
    </row>
    <row r="61" spans="1:18" ht="20.100000000000001" customHeight="1" x14ac:dyDescent="0.2">
      <c r="A61" s="299">
        <v>8</v>
      </c>
      <c r="B61" s="84" t="s">
        <v>357</v>
      </c>
      <c r="C61" s="173"/>
      <c r="D61" s="558">
        <f t="array" ref="D61">IFERROR(INDEX(df_cond!$E$2:$L$1000, MATCH(1, (A$2 = df_cond!$A$2:$A$1000) * ($C$55 = df_cond!$B$2:$B$1000) * ($A61 = df_cond!$D$2:$D$1000)  * ($B$56 = df_cond!$C$2:$C$1000), 0), MATCH(D$55, df_cond!$E$1:$L$1,0)),0)</f>
        <v>0</v>
      </c>
      <c r="E61" s="239">
        <f t="array" ref="E61">IFERROR(INDEX(df_cond!$E$2:$L$1000, MATCH(1, (B$2 = df_cond!$A$2:$A$1000) * ($C$55 = df_cond!$B$2:$B$1000) * ($A61 = df_cond!$D$2:$D$1000)  * ($B$56 = df_cond!$C$2:$C$1000), 0), MATCH(E$55, df_cond!$E$1:$L$1,0)),0)</f>
        <v>0</v>
      </c>
      <c r="F61" s="552">
        <f t="array" ref="F61">IFERROR(INDEX(df_cond!$E$2:$L$1000, MATCH(1, (C$2 = df_cond!$A$2:$A$1000) * ($C$55 = df_cond!$B$2:$B$1000) * ($A61 = df_cond!$D$2:$D$1000)  * ($B$56 = df_cond!$C$2:$C$1000), 0), MATCH(F$55, df_cond!$E$1:$L$1,0)),0)</f>
        <v>0</v>
      </c>
      <c r="H61" s="84" t="s">
        <v>357</v>
      </c>
      <c r="I61" s="173"/>
      <c r="J61" s="591" t="str">
        <f t="array" ref="J61">IFERROR(INDEX(df_cond!$E$2:$L$1000, MATCH(1, (A$2 = df_cond!$A$2:$A$1000) * ($C$55 = df_cond!$B$2:$B$1000) * ($A61 = df_cond!$D$2:$D$1000)  * ($H$56 = df_cond!$C$2:$C$1000), 0), MATCH(J$55, df_cond!$E$1:$L$1,0)),"x")</f>
        <v>x</v>
      </c>
      <c r="K61" s="591" t="str">
        <f t="array" ref="K61">IFERROR(INDEX(df_cond!$E$2:$L$1000, MATCH(1, (B$2 = df_cond!$A$2:$A$1000) * ($C$55 = df_cond!$B$2:$B$1000) * ($A61 = df_cond!$D$2:$D$1000)  * ($H$56 = df_cond!$C$2:$C$1000), 0), MATCH(K$55, df_cond!$E$1:$L$1,0)),"x")</f>
        <v>x</v>
      </c>
      <c r="L61" s="503" t="str">
        <f t="array" ref="L61">IFERROR(INDEX(df_cond!$E$2:$L$1000, MATCH(1, (C$2 = df_cond!$A$2:$A$1000) * ($C$55 = df_cond!$B$2:$B$1000) * ($A61 = df_cond!$D$2:$D$1000)  * ($H$56 = df_cond!$C$2:$C$1000), 0), MATCH(L$55, df_cond!$E$1:$L$1,0)),"x")</f>
        <v>x</v>
      </c>
      <c r="N61" s="84" t="s">
        <v>357</v>
      </c>
      <c r="O61" s="173"/>
      <c r="P61" s="591" t="str">
        <f t="array" ref="P61">IFERROR(INDEX(df_cond!$E$2:$L$1000, MATCH(1, (A$2 = df_cond!$A$2:$A$1000) * ($C$55 = df_cond!$B$2:$B$1000) * ($A61 = df_cond!$D$2:$D$1000)  * ($N$56 = df_cond!$C$2:$C$1000), 0), MATCH(P$55, df_cond!$E$1:$L$1,0)),"x")</f>
        <v>x</v>
      </c>
      <c r="Q61" s="591" t="str">
        <f t="array" ref="Q61">IFERROR(INDEX(df_cond!$E$2:$L$1000, MATCH(1, (B$2 = df_cond!$A$2:$A$1000) * ($C$55 = df_cond!$B$2:$B$1000) * ($A61 = df_cond!$D$2:$D$1000)  * ($N$56 = df_cond!$C$2:$C$1000), 0), MATCH(Q$55, df_cond!$E$1:$L$1,0)),"x")</f>
        <v>x</v>
      </c>
      <c r="R61" s="503" t="str">
        <f t="array" ref="R61">IFERROR(INDEX(df_cond!$E$2:$L$1000, MATCH(1, (C$2 = df_cond!$A$2:$A$1000) * ($C$55 = df_cond!$B$2:$B$1000) * ($A61 = df_cond!$D$2:$D$1000)  * ($N$56 = df_cond!$C$2:$C$1000), 0), MATCH(R$55, df_cond!$E$1:$L$1,0)),"x")</f>
        <v>x</v>
      </c>
    </row>
    <row r="62" spans="1:18" ht="20.100000000000001" customHeight="1" x14ac:dyDescent="0.2">
      <c r="A62" s="299">
        <v>11</v>
      </c>
      <c r="B62" s="84" t="s">
        <v>358</v>
      </c>
      <c r="C62" s="173"/>
      <c r="D62" s="558">
        <f t="array" ref="D62">IFERROR(INDEX(df_cond!$E$2:$L$1000, MATCH(1, (A$2 = df_cond!$A$2:$A$1000) * ($C$55 = df_cond!$B$2:$B$1000) * ($A62 = df_cond!$D$2:$D$1000)  * ($B$56 = df_cond!$C$2:$C$1000), 0), MATCH(D$55, df_cond!$E$1:$L$1,0)),0)</f>
        <v>0</v>
      </c>
      <c r="E62" s="239">
        <f t="array" ref="E62">IFERROR(INDEX(df_cond!$E$2:$L$1000, MATCH(1, (B$2 = df_cond!$A$2:$A$1000) * ($C$55 = df_cond!$B$2:$B$1000) * ($A62 = df_cond!$D$2:$D$1000)  * ($B$56 = df_cond!$C$2:$C$1000), 0), MATCH(E$55, df_cond!$E$1:$L$1,0)),0)</f>
        <v>0</v>
      </c>
      <c r="F62" s="552">
        <f t="array" ref="F62">IFERROR(INDEX(df_cond!$E$2:$L$1000, MATCH(1, (C$2 = df_cond!$A$2:$A$1000) * ($C$55 = df_cond!$B$2:$B$1000) * ($A62 = df_cond!$D$2:$D$1000)  * ($B$56 = df_cond!$C$2:$C$1000), 0), MATCH(F$55, df_cond!$E$1:$L$1,0)),0)</f>
        <v>0</v>
      </c>
      <c r="H62" s="84" t="s">
        <v>358</v>
      </c>
      <c r="I62" s="173"/>
      <c r="J62" s="591" t="str">
        <f t="array" ref="J62">IFERROR(INDEX(df_cond!$E$2:$L$1000, MATCH(1, (A$2 = df_cond!$A$2:$A$1000) * ($C$55 = df_cond!$B$2:$B$1000) * ($A62 = df_cond!$D$2:$D$1000)  * ($H$56 = df_cond!$C$2:$C$1000), 0), MATCH(J$55, df_cond!$E$1:$L$1,0)),"x")</f>
        <v>x</v>
      </c>
      <c r="K62" s="591" t="str">
        <f t="array" ref="K62">IFERROR(INDEX(df_cond!$E$2:$L$1000, MATCH(1, (B$2 = df_cond!$A$2:$A$1000) * ($C$55 = df_cond!$B$2:$B$1000) * ($A62 = df_cond!$D$2:$D$1000)  * ($H$56 = df_cond!$C$2:$C$1000), 0), MATCH(K$55, df_cond!$E$1:$L$1,0)),"x")</f>
        <v>x</v>
      </c>
      <c r="L62" s="503" t="str">
        <f t="array" ref="L62">IFERROR(INDEX(df_cond!$E$2:$L$1000, MATCH(1, (C$2 = df_cond!$A$2:$A$1000) * ($C$55 = df_cond!$B$2:$B$1000) * ($A62 = df_cond!$D$2:$D$1000)  * ($H$56 = df_cond!$C$2:$C$1000), 0), MATCH(L$55, df_cond!$E$1:$L$1,0)),"x")</f>
        <v>x</v>
      </c>
      <c r="N62" s="84" t="s">
        <v>358</v>
      </c>
      <c r="O62" s="173"/>
      <c r="P62" s="591" t="str">
        <f t="array" ref="P62">IFERROR(INDEX(df_cond!$E$2:$L$1000, MATCH(1, (A$2 = df_cond!$A$2:$A$1000) * ($C$55 = df_cond!$B$2:$B$1000) * ($A62 = df_cond!$D$2:$D$1000)  * ($N$56 = df_cond!$C$2:$C$1000), 0), MATCH(P$55, df_cond!$E$1:$L$1,0)),"x")</f>
        <v>x</v>
      </c>
      <c r="Q62" s="591" t="str">
        <f t="array" ref="Q62">IFERROR(INDEX(df_cond!$E$2:$L$1000, MATCH(1, (B$2 = df_cond!$A$2:$A$1000) * ($C$55 = df_cond!$B$2:$B$1000) * ($A62 = df_cond!$D$2:$D$1000)  * ($N$56 = df_cond!$C$2:$C$1000), 0), MATCH(Q$55, df_cond!$E$1:$L$1,0)),"x")</f>
        <v>x</v>
      </c>
      <c r="R62" s="503" t="str">
        <f t="array" ref="R62">IFERROR(INDEX(df_cond!$E$2:$L$1000, MATCH(1, (C$2 = df_cond!$A$2:$A$1000) * ($C$55 = df_cond!$B$2:$B$1000) * ($A62 = df_cond!$D$2:$D$1000)  * ($N$56 = df_cond!$C$2:$C$1000), 0), MATCH(R$55, df_cond!$E$1:$L$1,0)),"x")</f>
        <v>x</v>
      </c>
    </row>
    <row r="63" spans="1:18" ht="20.100000000000001" customHeight="1" x14ac:dyDescent="0.2">
      <c r="A63" s="299">
        <v>12</v>
      </c>
      <c r="B63" s="84" t="s">
        <v>359</v>
      </c>
      <c r="C63" s="173"/>
      <c r="D63" s="558">
        <f t="array" ref="D63">IFERROR(INDEX(df_cond!$E$2:$L$1000, MATCH(1, (A$2 = df_cond!$A$2:$A$1000) * ($C$55 = df_cond!$B$2:$B$1000) * ($A63 = df_cond!$D$2:$D$1000)  * ($B$56 = df_cond!$C$2:$C$1000), 0), MATCH(D$55, df_cond!$E$1:$L$1,0)),0)</f>
        <v>0</v>
      </c>
      <c r="E63" s="239">
        <f t="array" ref="E63">IFERROR(INDEX(df_cond!$E$2:$L$1000, MATCH(1, (B$2 = df_cond!$A$2:$A$1000) * ($C$55 = df_cond!$B$2:$B$1000) * ($A63 = df_cond!$D$2:$D$1000)  * ($B$56 = df_cond!$C$2:$C$1000), 0), MATCH(E$55, df_cond!$E$1:$L$1,0)),0)</f>
        <v>0</v>
      </c>
      <c r="F63" s="552">
        <f t="array" ref="F63">IFERROR(INDEX(df_cond!$E$2:$L$1000, MATCH(1, (C$2 = df_cond!$A$2:$A$1000) * ($C$55 = df_cond!$B$2:$B$1000) * ($A63 = df_cond!$D$2:$D$1000)  * ($B$56 = df_cond!$C$2:$C$1000), 0), MATCH(F$55, df_cond!$E$1:$L$1,0)),0)</f>
        <v>0</v>
      </c>
      <c r="H63" s="84" t="s">
        <v>359</v>
      </c>
      <c r="I63" s="173"/>
      <c r="J63" s="591" t="str">
        <f t="array" ref="J63">IFERROR(INDEX(df_cond!$E$2:$L$1000, MATCH(1, (A$2 = df_cond!$A$2:$A$1000) * ($C$55 = df_cond!$B$2:$B$1000) * ($A63 = df_cond!$D$2:$D$1000)  * ($H$56 = df_cond!$C$2:$C$1000), 0), MATCH(J$55, df_cond!$E$1:$L$1,0)),"x")</f>
        <v>x</v>
      </c>
      <c r="K63" s="591" t="str">
        <f t="array" ref="K63">IFERROR(INDEX(df_cond!$E$2:$L$1000, MATCH(1, (B$2 = df_cond!$A$2:$A$1000) * ($C$55 = df_cond!$B$2:$B$1000) * ($A63 = df_cond!$D$2:$D$1000)  * ($H$56 = df_cond!$C$2:$C$1000), 0), MATCH(K$55, df_cond!$E$1:$L$1,0)),"x")</f>
        <v>x</v>
      </c>
      <c r="L63" s="503" t="str">
        <f t="array" ref="L63">IFERROR(INDEX(df_cond!$E$2:$L$1000, MATCH(1, (C$2 = df_cond!$A$2:$A$1000) * ($C$55 = df_cond!$B$2:$B$1000) * ($A63 = df_cond!$D$2:$D$1000)  * ($H$56 = df_cond!$C$2:$C$1000), 0), MATCH(L$55, df_cond!$E$1:$L$1,0)),"x")</f>
        <v>x</v>
      </c>
      <c r="N63" s="84" t="s">
        <v>359</v>
      </c>
      <c r="O63" s="173"/>
      <c r="P63" s="591" t="str">
        <f t="array" ref="P63">IFERROR(INDEX(df_cond!$E$2:$L$1000, MATCH(1, (A$2 = df_cond!$A$2:$A$1000) * ($C$55 = df_cond!$B$2:$B$1000) * ($A63 = df_cond!$D$2:$D$1000)  * ($N$56 = df_cond!$C$2:$C$1000), 0), MATCH(P$55, df_cond!$E$1:$L$1,0)),"x")</f>
        <v>x</v>
      </c>
      <c r="Q63" s="591" t="str">
        <f t="array" ref="Q63">IFERROR(INDEX(df_cond!$E$2:$L$1000, MATCH(1, (B$2 = df_cond!$A$2:$A$1000) * ($C$55 = df_cond!$B$2:$B$1000) * ($A63 = df_cond!$D$2:$D$1000)  * ($N$56 = df_cond!$C$2:$C$1000), 0), MATCH(Q$55, df_cond!$E$1:$L$1,0)),"x")</f>
        <v>x</v>
      </c>
      <c r="R63" s="503" t="str">
        <f t="array" ref="R63">IFERROR(INDEX(df_cond!$E$2:$L$1000, MATCH(1, (C$2 = df_cond!$A$2:$A$1000) * ($C$55 = df_cond!$B$2:$B$1000) * ($A63 = df_cond!$D$2:$D$1000)  * ($N$56 = df_cond!$C$2:$C$1000), 0), MATCH(R$55, df_cond!$E$1:$L$1,0)),"x")</f>
        <v>x</v>
      </c>
    </row>
    <row r="64" spans="1:18" ht="20.100000000000001" customHeight="1" x14ac:dyDescent="0.2">
      <c r="A64" s="299">
        <v>13</v>
      </c>
      <c r="B64" s="84" t="s">
        <v>360</v>
      </c>
      <c r="C64" s="173"/>
      <c r="D64" s="558">
        <f t="array" ref="D64">IFERROR(INDEX(df_cond!$E$2:$L$1000, MATCH(1, (A$2 = df_cond!$A$2:$A$1000) * ($C$55 = df_cond!$B$2:$B$1000) * ($A64 = df_cond!$D$2:$D$1000)  * ($B$56 = df_cond!$C$2:$C$1000), 0), MATCH(D$55, df_cond!$E$1:$L$1,0)),0)</f>
        <v>0</v>
      </c>
      <c r="E64" s="239">
        <f t="array" ref="E64">IFERROR(INDEX(df_cond!$E$2:$L$1000, MATCH(1, (B$2 = df_cond!$A$2:$A$1000) * ($C$55 = df_cond!$B$2:$B$1000) * ($A64 = df_cond!$D$2:$D$1000)  * ($B$56 = df_cond!$C$2:$C$1000), 0), MATCH(E$55, df_cond!$E$1:$L$1,0)),0)</f>
        <v>0</v>
      </c>
      <c r="F64" s="552">
        <f t="array" ref="F64">IFERROR(INDEX(df_cond!$E$2:$L$1000, MATCH(1, (C$2 = df_cond!$A$2:$A$1000) * ($C$55 = df_cond!$B$2:$B$1000) * ($A64 = df_cond!$D$2:$D$1000)  * ($B$56 = df_cond!$C$2:$C$1000), 0), MATCH(F$55, df_cond!$E$1:$L$1,0)),0)</f>
        <v>0</v>
      </c>
      <c r="H64" s="84" t="s">
        <v>360</v>
      </c>
      <c r="I64" s="173"/>
      <c r="J64" s="591" t="str">
        <f t="array" ref="J64">IFERROR(INDEX(df_cond!$E$2:$L$1000, MATCH(1, (A$2 = df_cond!$A$2:$A$1000) * ($C$55 = df_cond!$B$2:$B$1000) * ($A64 = df_cond!$D$2:$D$1000)  * ($H$56 = df_cond!$C$2:$C$1000), 0), MATCH(J$55, df_cond!$E$1:$L$1,0)),"x")</f>
        <v>x</v>
      </c>
      <c r="K64" s="591" t="str">
        <f t="array" ref="K64">IFERROR(INDEX(df_cond!$E$2:$L$1000, MATCH(1, (B$2 = df_cond!$A$2:$A$1000) * ($C$55 = df_cond!$B$2:$B$1000) * ($A64 = df_cond!$D$2:$D$1000)  * ($H$56 = df_cond!$C$2:$C$1000), 0), MATCH(K$55, df_cond!$E$1:$L$1,0)),"x")</f>
        <v>x</v>
      </c>
      <c r="L64" s="503" t="str">
        <f t="array" ref="L64">IFERROR(INDEX(df_cond!$E$2:$L$1000, MATCH(1, (C$2 = df_cond!$A$2:$A$1000) * ($C$55 = df_cond!$B$2:$B$1000) * ($A64 = df_cond!$D$2:$D$1000)  * ($H$56 = df_cond!$C$2:$C$1000), 0), MATCH(L$55, df_cond!$E$1:$L$1,0)),"x")</f>
        <v>x</v>
      </c>
      <c r="N64" s="84" t="s">
        <v>360</v>
      </c>
      <c r="O64" s="173"/>
      <c r="P64" s="591" t="str">
        <f t="array" ref="P64">IFERROR(INDEX(df_cond!$E$2:$L$1000, MATCH(1, (A$2 = df_cond!$A$2:$A$1000) * ($C$55 = df_cond!$B$2:$B$1000) * ($A64 = df_cond!$D$2:$D$1000)  * ($N$56 = df_cond!$C$2:$C$1000), 0), MATCH(P$55, df_cond!$E$1:$L$1,0)),"x")</f>
        <v>x</v>
      </c>
      <c r="Q64" s="591" t="str">
        <f t="array" ref="Q64">IFERROR(INDEX(df_cond!$E$2:$L$1000, MATCH(1, (B$2 = df_cond!$A$2:$A$1000) * ($C$55 = df_cond!$B$2:$B$1000) * ($A64 = df_cond!$D$2:$D$1000)  * ($N$56 = df_cond!$C$2:$C$1000), 0), MATCH(Q$55, df_cond!$E$1:$L$1,0)),"x")</f>
        <v>x</v>
      </c>
      <c r="R64" s="503" t="str">
        <f t="array" ref="R64">IFERROR(INDEX(df_cond!$E$2:$L$1000, MATCH(1, (C$2 = df_cond!$A$2:$A$1000) * ($C$55 = df_cond!$B$2:$B$1000) * ($A64 = df_cond!$D$2:$D$1000)  * ($N$56 = df_cond!$C$2:$C$1000), 0), MATCH(R$55, df_cond!$E$1:$L$1,0)),"x")</f>
        <v>x</v>
      </c>
    </row>
    <row r="65" spans="1:18" ht="20.100000000000001" customHeight="1" x14ac:dyDescent="0.2">
      <c r="A65" s="299">
        <v>14</v>
      </c>
      <c r="B65" s="84" t="s">
        <v>194</v>
      </c>
      <c r="C65" s="173"/>
      <c r="D65" s="558">
        <f t="array" ref="D65">IFERROR(INDEX(df_cond!$E$2:$L$1000, MATCH(1, (A$2 = df_cond!$A$2:$A$1000) * ($C$55 = df_cond!$B$2:$B$1000) * ($A65 = df_cond!$D$2:$D$1000)  * ($B$56 = df_cond!$C$2:$C$1000), 0), MATCH(D$55, df_cond!$E$1:$L$1,0)),0)</f>
        <v>0</v>
      </c>
      <c r="E65" s="239">
        <f t="array" ref="E65">IFERROR(INDEX(df_cond!$E$2:$L$1000, MATCH(1, (B$2 = df_cond!$A$2:$A$1000) * ($C$55 = df_cond!$B$2:$B$1000) * ($A65 = df_cond!$D$2:$D$1000)  * ($B$56 = df_cond!$C$2:$C$1000), 0), MATCH(E$55, df_cond!$E$1:$L$1,0)),0)</f>
        <v>0</v>
      </c>
      <c r="F65" s="552">
        <f t="array" ref="F65">IFERROR(INDEX(df_cond!$E$2:$L$1000, MATCH(1, (C$2 = df_cond!$A$2:$A$1000) * ($C$55 = df_cond!$B$2:$B$1000) * ($A65 = df_cond!$D$2:$D$1000)  * ($B$56 = df_cond!$C$2:$C$1000), 0), MATCH(F$55, df_cond!$E$1:$L$1,0)),0)</f>
        <v>0</v>
      </c>
      <c r="H65" s="84" t="s">
        <v>194</v>
      </c>
      <c r="I65" s="173"/>
      <c r="J65" s="591" t="str">
        <f t="array" ref="J65">IFERROR(INDEX(df_cond!$E$2:$L$1000, MATCH(1, (A$2 = df_cond!$A$2:$A$1000) * ($C$55 = df_cond!$B$2:$B$1000) * ($A65 = df_cond!$D$2:$D$1000)  * ($H$56 = df_cond!$C$2:$C$1000), 0), MATCH(J$55, df_cond!$E$1:$L$1,0)),"x")</f>
        <v>x</v>
      </c>
      <c r="K65" s="591" t="str">
        <f t="array" ref="K65">IFERROR(INDEX(df_cond!$E$2:$L$1000, MATCH(1, (B$2 = df_cond!$A$2:$A$1000) * ($C$55 = df_cond!$B$2:$B$1000) * ($A65 = df_cond!$D$2:$D$1000)  * ($H$56 = df_cond!$C$2:$C$1000), 0), MATCH(K$55, df_cond!$E$1:$L$1,0)),"x")</f>
        <v>x</v>
      </c>
      <c r="L65" s="503" t="str">
        <f t="array" ref="L65">IFERROR(INDEX(df_cond!$E$2:$L$1000, MATCH(1, (C$2 = df_cond!$A$2:$A$1000) * ($C$55 = df_cond!$B$2:$B$1000) * ($A65 = df_cond!$D$2:$D$1000)  * ($H$56 = df_cond!$C$2:$C$1000), 0), MATCH(L$55, df_cond!$E$1:$L$1,0)),"x")</f>
        <v>x</v>
      </c>
      <c r="N65" s="84" t="s">
        <v>194</v>
      </c>
      <c r="O65" s="173"/>
      <c r="P65" s="591" t="str">
        <f t="array" ref="P65">IFERROR(INDEX(df_cond!$E$2:$L$1000, MATCH(1, (A$2 = df_cond!$A$2:$A$1000) * ($C$55 = df_cond!$B$2:$B$1000) * ($A65 = df_cond!$D$2:$D$1000)  * ($N$56 = df_cond!$C$2:$C$1000), 0), MATCH(P$55, df_cond!$E$1:$L$1,0)),"x")</f>
        <v>x</v>
      </c>
      <c r="Q65" s="591" t="str">
        <f t="array" ref="Q65">IFERROR(INDEX(df_cond!$E$2:$L$1000, MATCH(1, (B$2 = df_cond!$A$2:$A$1000) * ($C$55 = df_cond!$B$2:$B$1000) * ($A65 = df_cond!$D$2:$D$1000)  * ($N$56 = df_cond!$C$2:$C$1000), 0), MATCH(Q$55, df_cond!$E$1:$L$1,0)),"x")</f>
        <v>x</v>
      </c>
      <c r="R65" s="503" t="str">
        <f t="array" ref="R65">IFERROR(INDEX(df_cond!$E$2:$L$1000, MATCH(1, (C$2 = df_cond!$A$2:$A$1000) * ($C$55 = df_cond!$B$2:$B$1000) * ($A65 = df_cond!$D$2:$D$1000)  * ($N$56 = df_cond!$C$2:$C$1000), 0), MATCH(R$55, df_cond!$E$1:$L$1,0)),"x")</f>
        <v>x</v>
      </c>
    </row>
    <row r="66" spans="1:18" ht="20.100000000000001" customHeight="1" x14ac:dyDescent="0.2">
      <c r="A66" s="299">
        <v>16</v>
      </c>
      <c r="B66" s="84" t="s">
        <v>352</v>
      </c>
      <c r="C66" s="173"/>
      <c r="D66" s="558">
        <f t="array" ref="D66">IFERROR(INDEX(df_cond!$E$2:$L$1000, MATCH(1, (A$2 = df_cond!$A$2:$A$1000) * ($C$55 = df_cond!$B$2:$B$1000) * ($A66 = df_cond!$D$2:$D$1000)  * ($B$56 = df_cond!$C$2:$C$1000), 0), MATCH(D$55, df_cond!$E$1:$L$1,0)),0)</f>
        <v>0</v>
      </c>
      <c r="E66" s="239">
        <f t="array" ref="E66">IFERROR(INDEX(df_cond!$E$2:$L$1000, MATCH(1, (B$2 = df_cond!$A$2:$A$1000) * ($C$55 = df_cond!$B$2:$B$1000) * ($A66 = df_cond!$D$2:$D$1000)  * ($B$56 = df_cond!$C$2:$C$1000), 0), MATCH(E$55, df_cond!$E$1:$L$1,0)),0)</f>
        <v>0</v>
      </c>
      <c r="F66" s="552">
        <f t="array" ref="F66">IFERROR(INDEX(df_cond!$E$2:$L$1000, MATCH(1, (C$2 = df_cond!$A$2:$A$1000) * ($C$55 = df_cond!$B$2:$B$1000) * ($A66 = df_cond!$D$2:$D$1000)  * ($B$56 = df_cond!$C$2:$C$1000), 0), MATCH(F$55, df_cond!$E$1:$L$1,0)),0)</f>
        <v>0</v>
      </c>
      <c r="H66" s="84" t="s">
        <v>352</v>
      </c>
      <c r="I66" s="173"/>
      <c r="J66" s="591" t="str">
        <f t="array" ref="J66">IFERROR(INDEX(df_cond!$E$2:$L$1000, MATCH(1, (A$2 = df_cond!$A$2:$A$1000) * ($C$55 = df_cond!$B$2:$B$1000) * ($A66 = df_cond!$D$2:$D$1000)  * ($H$56 = df_cond!$C$2:$C$1000), 0), MATCH(J$55, df_cond!$E$1:$L$1,0)),"x")</f>
        <v>x</v>
      </c>
      <c r="K66" s="591" t="str">
        <f t="array" ref="K66">IFERROR(INDEX(df_cond!$E$2:$L$1000, MATCH(1, (B$2 = df_cond!$A$2:$A$1000) * ($C$55 = df_cond!$B$2:$B$1000) * ($A66 = df_cond!$D$2:$D$1000)  * ($H$56 = df_cond!$C$2:$C$1000), 0), MATCH(K$55, df_cond!$E$1:$L$1,0)),"x")</f>
        <v>x</v>
      </c>
      <c r="L66" s="503" t="str">
        <f t="array" ref="L66">IFERROR(INDEX(df_cond!$E$2:$L$1000, MATCH(1, (C$2 = df_cond!$A$2:$A$1000) * ($C$55 = df_cond!$B$2:$B$1000) * ($A66 = df_cond!$D$2:$D$1000)  * ($H$56 = df_cond!$C$2:$C$1000), 0), MATCH(L$55, df_cond!$E$1:$L$1,0)),"x")</f>
        <v>x</v>
      </c>
      <c r="N66" s="84" t="s">
        <v>352</v>
      </c>
      <c r="O66" s="173"/>
      <c r="P66" s="591" t="str">
        <f t="array" ref="P66">IFERROR(INDEX(df_cond!$E$2:$L$1000, MATCH(1, (A$2 = df_cond!$A$2:$A$1000) * ($C$55 = df_cond!$B$2:$B$1000) * ($A66 = df_cond!$D$2:$D$1000)  * ($N$56 = df_cond!$C$2:$C$1000), 0), MATCH(P$55, df_cond!$E$1:$L$1,0)),"x")</f>
        <v>x</v>
      </c>
      <c r="Q66" s="591" t="str">
        <f t="array" ref="Q66">IFERROR(INDEX(df_cond!$E$2:$L$1000, MATCH(1, (B$2 = df_cond!$A$2:$A$1000) * ($C$55 = df_cond!$B$2:$B$1000) * ($A66 = df_cond!$D$2:$D$1000)  * ($N$56 = df_cond!$C$2:$C$1000), 0), MATCH(Q$55, df_cond!$E$1:$L$1,0)),"x")</f>
        <v>x</v>
      </c>
      <c r="R66" s="503" t="str">
        <f t="array" ref="R66">IFERROR(INDEX(df_cond!$E$2:$L$1000, MATCH(1, (C$2 = df_cond!$A$2:$A$1000) * ($C$55 = df_cond!$B$2:$B$1000) * ($A66 = df_cond!$D$2:$D$1000)  * ($N$56 = df_cond!$C$2:$C$1000), 0), MATCH(R$55, df_cond!$E$1:$L$1,0)),"x")</f>
        <v>x</v>
      </c>
    </row>
    <row r="67" spans="1:18" ht="20.100000000000001" customHeight="1" x14ac:dyDescent="0.2">
      <c r="A67" s="299">
        <v>31</v>
      </c>
      <c r="B67" s="84" t="s">
        <v>351</v>
      </c>
      <c r="C67" s="173"/>
      <c r="D67" s="558">
        <f t="array" ref="D67">IFERROR(INDEX(df_cond!$E$2:$L$1000, MATCH(1, (A$2 = df_cond!$A$2:$A$1000) * ($C$55 = df_cond!$B$2:$B$1000) * ($A67 = df_cond!$D$2:$D$1000)  * ($B$56 = df_cond!$C$2:$C$1000), 0), MATCH(D$55, df_cond!$E$1:$L$1,0)),0)</f>
        <v>0</v>
      </c>
      <c r="E67" s="239">
        <f t="array" ref="E67">IFERROR(INDEX(df_cond!$E$2:$L$1000, MATCH(1, (B$2 = df_cond!$A$2:$A$1000) * ($C$55 = df_cond!$B$2:$B$1000) * ($A67 = df_cond!$D$2:$D$1000)  * ($B$56 = df_cond!$C$2:$C$1000), 0), MATCH(E$55, df_cond!$E$1:$L$1,0)),0)</f>
        <v>0</v>
      </c>
      <c r="F67" s="552">
        <f t="array" ref="F67">IFERROR(INDEX(df_cond!$E$2:$L$1000, MATCH(1, (C$2 = df_cond!$A$2:$A$1000) * ($C$55 = df_cond!$B$2:$B$1000) * ($A67 = df_cond!$D$2:$D$1000)  * ($B$56 = df_cond!$C$2:$C$1000), 0), MATCH(F$55, df_cond!$E$1:$L$1,0)),0)</f>
        <v>0</v>
      </c>
      <c r="H67" s="84" t="s">
        <v>351</v>
      </c>
      <c r="I67" s="173"/>
      <c r="J67" s="591" t="str">
        <f t="array" ref="J67">IFERROR(INDEX(df_cond!$E$2:$L$1000, MATCH(1, (A$2 = df_cond!$A$2:$A$1000) * ($C$55 = df_cond!$B$2:$B$1000) * ($A67 = df_cond!$D$2:$D$1000)  * ($H$56 = df_cond!$C$2:$C$1000), 0), MATCH(J$55, df_cond!$E$1:$L$1,0)),"x")</f>
        <v>x</v>
      </c>
      <c r="K67" s="591" t="str">
        <f t="array" ref="K67">IFERROR(INDEX(df_cond!$E$2:$L$1000, MATCH(1, (B$2 = df_cond!$A$2:$A$1000) * ($C$55 = df_cond!$B$2:$B$1000) * ($A67 = df_cond!$D$2:$D$1000)  * ($H$56 = df_cond!$C$2:$C$1000), 0), MATCH(K$55, df_cond!$E$1:$L$1,0)),"x")</f>
        <v>x</v>
      </c>
      <c r="L67" s="503" t="str">
        <f t="array" ref="L67">IFERROR(INDEX(df_cond!$E$2:$L$1000, MATCH(1, (C$2 = df_cond!$A$2:$A$1000) * ($C$55 = df_cond!$B$2:$B$1000) * ($A67 = df_cond!$D$2:$D$1000)  * ($H$56 = df_cond!$C$2:$C$1000), 0), MATCH(L$55, df_cond!$E$1:$L$1,0)),"x")</f>
        <v>x</v>
      </c>
      <c r="N67" s="84" t="s">
        <v>351</v>
      </c>
      <c r="O67" s="173"/>
      <c r="P67" s="591" t="str">
        <f t="array" ref="P67">IFERROR(INDEX(df_cond!$E$2:$L$1000, MATCH(1, (A$2 = df_cond!$A$2:$A$1000) * ($C$55 = df_cond!$B$2:$B$1000) * ($A67 = df_cond!$D$2:$D$1000)  * ($N$56 = df_cond!$C$2:$C$1000), 0), MATCH(P$55, df_cond!$E$1:$L$1,0)),"x")</f>
        <v>x</v>
      </c>
      <c r="Q67" s="591" t="str">
        <f t="array" ref="Q67">IFERROR(INDEX(df_cond!$E$2:$L$1000, MATCH(1, (B$2 = df_cond!$A$2:$A$1000) * ($C$55 = df_cond!$B$2:$B$1000) * ($A67 = df_cond!$D$2:$D$1000)  * ($N$56 = df_cond!$C$2:$C$1000), 0), MATCH(Q$55, df_cond!$E$1:$L$1,0)),"x")</f>
        <v>x</v>
      </c>
      <c r="R67" s="503" t="str">
        <f t="array" ref="R67">IFERROR(INDEX(df_cond!$E$2:$L$1000, MATCH(1, (C$2 = df_cond!$A$2:$A$1000) * ($C$55 = df_cond!$B$2:$B$1000) * ($A67 = df_cond!$D$2:$D$1000)  * ($N$56 = df_cond!$C$2:$C$1000), 0), MATCH(R$55, df_cond!$E$1:$L$1,0)),"x")</f>
        <v>x</v>
      </c>
    </row>
    <row r="68" spans="1:18" ht="20.100000000000001" customHeight="1" x14ac:dyDescent="0.2">
      <c r="A68" s="299">
        <v>41</v>
      </c>
      <c r="B68" s="84" t="s">
        <v>361</v>
      </c>
      <c r="C68" s="173"/>
      <c r="D68" s="558">
        <f t="array" ref="D68">IFERROR(INDEX(df_cond!$E$2:$L$1000, MATCH(1, (A$2 = df_cond!$A$2:$A$1000) * ($C$55 = df_cond!$B$2:$B$1000) * ($A68 = df_cond!$D$2:$D$1000)  * ($B$56 = df_cond!$C$2:$C$1000), 0), MATCH(D$55, df_cond!$E$1:$L$1,0)),0)</f>
        <v>0</v>
      </c>
      <c r="E68" s="239">
        <f t="array" ref="E68">IFERROR(INDEX(df_cond!$E$2:$L$1000, MATCH(1, (B$2 = df_cond!$A$2:$A$1000) * ($C$55 = df_cond!$B$2:$B$1000) * ($A68 = df_cond!$D$2:$D$1000)  * ($B$56 = df_cond!$C$2:$C$1000), 0), MATCH(E$55, df_cond!$E$1:$L$1,0)),0)</f>
        <v>0</v>
      </c>
      <c r="F68" s="552">
        <f t="array" ref="F68">IFERROR(INDEX(df_cond!$E$2:$L$1000, MATCH(1, (C$2 = df_cond!$A$2:$A$1000) * ($C$55 = df_cond!$B$2:$B$1000) * ($A68 = df_cond!$D$2:$D$1000)  * ($B$56 = df_cond!$C$2:$C$1000), 0), MATCH(F$55, df_cond!$E$1:$L$1,0)),0)</f>
        <v>0</v>
      </c>
      <c r="H68" s="84" t="s">
        <v>361</v>
      </c>
      <c r="I68" s="173"/>
      <c r="J68" s="591" t="str">
        <f t="array" ref="J68">IFERROR(INDEX(df_cond!$E$2:$L$1000, MATCH(1, (A$2 = df_cond!$A$2:$A$1000) * ($C$55 = df_cond!$B$2:$B$1000) * ($A68 = df_cond!$D$2:$D$1000)  * ($H$56 = df_cond!$C$2:$C$1000), 0), MATCH(J$55, df_cond!$E$1:$L$1,0)),"x")</f>
        <v>x</v>
      </c>
      <c r="K68" s="591" t="str">
        <f t="array" ref="K68">IFERROR(INDEX(df_cond!$E$2:$L$1000, MATCH(1, (B$2 = df_cond!$A$2:$A$1000) * ($C$55 = df_cond!$B$2:$B$1000) * ($A68 = df_cond!$D$2:$D$1000)  * ($H$56 = df_cond!$C$2:$C$1000), 0), MATCH(K$55, df_cond!$E$1:$L$1,0)),"x")</f>
        <v>x</v>
      </c>
      <c r="L68" s="503" t="str">
        <f t="array" ref="L68">IFERROR(INDEX(df_cond!$E$2:$L$1000, MATCH(1, (C$2 = df_cond!$A$2:$A$1000) * ($C$55 = df_cond!$B$2:$B$1000) * ($A68 = df_cond!$D$2:$D$1000)  * ($H$56 = df_cond!$C$2:$C$1000), 0), MATCH(L$55, df_cond!$E$1:$L$1,0)),"x")</f>
        <v>x</v>
      </c>
      <c r="N68" s="84" t="s">
        <v>361</v>
      </c>
      <c r="O68" s="173"/>
      <c r="P68" s="591" t="str">
        <f t="array" ref="P68">IFERROR(INDEX(df_cond!$E$2:$L$1000, MATCH(1, (A$2 = df_cond!$A$2:$A$1000) * ($C$55 = df_cond!$B$2:$B$1000) * ($A68 = df_cond!$D$2:$D$1000)  * ($N$56 = df_cond!$C$2:$C$1000), 0), MATCH(P$55, df_cond!$E$1:$L$1,0)),"x")</f>
        <v>x</v>
      </c>
      <c r="Q68" s="591" t="str">
        <f t="array" ref="Q68">IFERROR(INDEX(df_cond!$E$2:$L$1000, MATCH(1, (B$2 = df_cond!$A$2:$A$1000) * ($C$55 = df_cond!$B$2:$B$1000) * ($A68 = df_cond!$D$2:$D$1000)  * ($N$56 = df_cond!$C$2:$C$1000), 0), MATCH(Q$55, df_cond!$E$1:$L$1,0)),"x")</f>
        <v>x</v>
      </c>
      <c r="R68" s="503" t="str">
        <f t="array" ref="R68">IFERROR(INDEX(df_cond!$E$2:$L$1000, MATCH(1, (C$2 = df_cond!$A$2:$A$1000) * ($C$55 = df_cond!$B$2:$B$1000) * ($A68 = df_cond!$D$2:$D$1000)  * ($N$56 = df_cond!$C$2:$C$1000), 0), MATCH(R$55, df_cond!$E$1:$L$1,0)),"x")</f>
        <v>x</v>
      </c>
    </row>
    <row r="69" spans="1:18" ht="20.100000000000001" customHeight="1" x14ac:dyDescent="0.2">
      <c r="A69" s="299">
        <v>43</v>
      </c>
      <c r="B69" s="84" t="s">
        <v>195</v>
      </c>
      <c r="C69" s="173"/>
      <c r="D69" s="558">
        <f t="array" ref="D69">IFERROR(INDEX(df_cond!$E$2:$L$1000, MATCH(1, (A$2 = df_cond!$A$2:$A$1000) * ($C$55 = df_cond!$B$2:$B$1000) * ($A69 = df_cond!$D$2:$D$1000)  * ($B$56 = df_cond!$C$2:$C$1000), 0), MATCH(D$55, df_cond!$E$1:$L$1,0)),0)</f>
        <v>0</v>
      </c>
      <c r="E69" s="239">
        <f t="array" ref="E69">IFERROR(INDEX(df_cond!$E$2:$L$1000, MATCH(1, (B$2 = df_cond!$A$2:$A$1000) * ($C$55 = df_cond!$B$2:$B$1000) * ($A69 = df_cond!$D$2:$D$1000)  * ($B$56 = df_cond!$C$2:$C$1000), 0), MATCH(E$55, df_cond!$E$1:$L$1,0)),0)</f>
        <v>0</v>
      </c>
      <c r="F69" s="552">
        <f t="array" ref="F69">IFERROR(INDEX(df_cond!$E$2:$L$1000, MATCH(1, (C$2 = df_cond!$A$2:$A$1000) * ($C$55 = df_cond!$B$2:$B$1000) * ($A69 = df_cond!$D$2:$D$1000)  * ($B$56 = df_cond!$C$2:$C$1000), 0), MATCH(F$55, df_cond!$E$1:$L$1,0)),0)</f>
        <v>0</v>
      </c>
      <c r="H69" s="84" t="s">
        <v>195</v>
      </c>
      <c r="I69" s="173"/>
      <c r="J69" s="591" t="str">
        <f t="array" ref="J69">IFERROR(INDEX(df_cond!$E$2:$L$1000, MATCH(1, (A$2 = df_cond!$A$2:$A$1000) * ($C$55 = df_cond!$B$2:$B$1000) * ($A69 = df_cond!$D$2:$D$1000)  * ($H$56 = df_cond!$C$2:$C$1000), 0), MATCH(J$55, df_cond!$E$1:$L$1,0)),"x")</f>
        <v>x</v>
      </c>
      <c r="K69" s="591" t="str">
        <f t="array" ref="K69">IFERROR(INDEX(df_cond!$E$2:$L$1000, MATCH(1, (B$2 = df_cond!$A$2:$A$1000) * ($C$55 = df_cond!$B$2:$B$1000) * ($A69 = df_cond!$D$2:$D$1000)  * ($H$56 = df_cond!$C$2:$C$1000), 0), MATCH(K$55, df_cond!$E$1:$L$1,0)),"x")</f>
        <v>x</v>
      </c>
      <c r="L69" s="503" t="str">
        <f t="array" ref="L69">IFERROR(INDEX(df_cond!$E$2:$L$1000, MATCH(1, (C$2 = df_cond!$A$2:$A$1000) * ($C$55 = df_cond!$B$2:$B$1000) * ($A69 = df_cond!$D$2:$D$1000)  * ($H$56 = df_cond!$C$2:$C$1000), 0), MATCH(L$55, df_cond!$E$1:$L$1,0)),"x")</f>
        <v>x</v>
      </c>
      <c r="N69" s="84" t="s">
        <v>195</v>
      </c>
      <c r="O69" s="173"/>
      <c r="P69" s="591" t="str">
        <f t="array" ref="P69">IFERROR(INDEX(df_cond!$E$2:$L$1000, MATCH(1, (A$2 = df_cond!$A$2:$A$1000) * ($C$55 = df_cond!$B$2:$B$1000) * ($A69 = df_cond!$D$2:$D$1000)  * ($N$56 = df_cond!$C$2:$C$1000), 0), MATCH(P$55, df_cond!$E$1:$L$1,0)),"x")</f>
        <v>x</v>
      </c>
      <c r="Q69" s="591" t="str">
        <f t="array" ref="Q69">IFERROR(INDEX(df_cond!$E$2:$L$1000, MATCH(1, (B$2 = df_cond!$A$2:$A$1000) * ($C$55 = df_cond!$B$2:$B$1000) * ($A69 = df_cond!$D$2:$D$1000)  * ($N$56 = df_cond!$C$2:$C$1000), 0), MATCH(Q$55, df_cond!$E$1:$L$1,0)),"x")</f>
        <v>x</v>
      </c>
      <c r="R69" s="503" t="str">
        <f t="array" ref="R69">IFERROR(INDEX(df_cond!$E$2:$L$1000, MATCH(1, (C$2 = df_cond!$A$2:$A$1000) * ($C$55 = df_cond!$B$2:$B$1000) * ($A69 = df_cond!$D$2:$D$1000)  * ($N$56 = df_cond!$C$2:$C$1000), 0), MATCH(R$55, df_cond!$E$1:$L$1,0)),"x")</f>
        <v>x</v>
      </c>
    </row>
    <row r="70" spans="1:18" ht="20.100000000000001" customHeight="1" x14ac:dyDescent="0.2">
      <c r="A70" s="299">
        <v>46</v>
      </c>
      <c r="B70" s="569" t="s">
        <v>362</v>
      </c>
      <c r="C70" s="494"/>
      <c r="D70" s="559">
        <f t="array" ref="D70">IFERROR(INDEX(df_cond!$E$2:$L$1000, MATCH(1, (A$2 = df_cond!$A$2:$A$1000) * ($C$55 = df_cond!$B$2:$B$1000) * ($A70 = df_cond!$D$2:$D$1000)  * ($B$56 = df_cond!$C$2:$C$1000), 0), MATCH(D$55, df_cond!$E$1:$L$1,0)),0)</f>
        <v>0</v>
      </c>
      <c r="E70" s="553">
        <f t="array" ref="E70">IFERROR(INDEX(df_cond!$E$2:$L$1000, MATCH(1, (B$2 = df_cond!$A$2:$A$1000) * ($C$55 = df_cond!$B$2:$B$1000) * ($A70 = df_cond!$D$2:$D$1000)  * ($B$56 = df_cond!$C$2:$C$1000), 0), MATCH(E$55, df_cond!$E$1:$L$1,0)),0)</f>
        <v>0</v>
      </c>
      <c r="F70" s="554">
        <f t="array" ref="F70">IFERROR(INDEX(df_cond!$E$2:$L$1000, MATCH(1, (C$2 = df_cond!$A$2:$A$1000) * ($C$55 = df_cond!$B$2:$B$1000) * ($A70 = df_cond!$D$2:$D$1000)  * ($B$56 = df_cond!$C$2:$C$1000), 0), MATCH(F$55, df_cond!$E$1:$L$1,0)),0)</f>
        <v>0</v>
      </c>
      <c r="H70" s="569" t="s">
        <v>362</v>
      </c>
      <c r="I70" s="494"/>
      <c r="J70" s="593" t="str">
        <f t="array" ref="J70">IFERROR(INDEX(df_cond!$E$2:$L$1000, MATCH(1, (A$2 = df_cond!$A$2:$A$1000) * ($C$55 = df_cond!$B$2:$B$1000) * ($A70 = df_cond!$D$2:$D$1000)  * ($H$56 = df_cond!$C$2:$C$1000), 0), MATCH(J$55, df_cond!$E$1:$L$1,0)),"x")</f>
        <v>x</v>
      </c>
      <c r="K70" s="593" t="str">
        <f t="array" ref="K70">IFERROR(INDEX(df_cond!$E$2:$L$1000, MATCH(1, (B$2 = df_cond!$A$2:$A$1000) * ($C$55 = df_cond!$B$2:$B$1000) * ($A70 = df_cond!$D$2:$D$1000)  * ($H$56 = df_cond!$C$2:$C$1000), 0), MATCH(K$55, df_cond!$E$1:$L$1,0)),"x")</f>
        <v>x</v>
      </c>
      <c r="L70" s="504" t="str">
        <f t="array" ref="L70">IFERROR(INDEX(df_cond!$E$2:$L$1000, MATCH(1, (C$2 = df_cond!$A$2:$A$1000) * ($C$55 = df_cond!$B$2:$B$1000) * ($A70 = df_cond!$D$2:$D$1000)  * ($H$56 = df_cond!$C$2:$C$1000), 0), MATCH(L$55, df_cond!$E$1:$L$1,0)),"x")</f>
        <v>x</v>
      </c>
      <c r="N70" s="569" t="s">
        <v>362</v>
      </c>
      <c r="O70" s="494"/>
      <c r="P70" s="593" t="str">
        <f t="array" ref="P70">IFERROR(INDEX(df_cond!$E$2:$L$1000, MATCH(1, (A$2 = df_cond!$A$2:$A$1000) * ($C$55 = df_cond!$B$2:$B$1000) * ($A70 = df_cond!$D$2:$D$1000)  * ($N$56 = df_cond!$C$2:$C$1000), 0), MATCH(P$55, df_cond!$E$1:$L$1,0)),"x")</f>
        <v>x</v>
      </c>
      <c r="Q70" s="593" t="str">
        <f t="array" ref="Q70">IFERROR(INDEX(df_cond!$E$2:$L$1000, MATCH(1, (B$2 = df_cond!$A$2:$A$1000) * ($C$55 = df_cond!$B$2:$B$1000) * ($A70 = df_cond!$D$2:$D$1000)  * ($N$56 = df_cond!$C$2:$C$1000), 0), MATCH(Q$55, df_cond!$E$1:$L$1,0)),"x")</f>
        <v>x</v>
      </c>
      <c r="R70" s="504" t="str">
        <f t="array" ref="R70">IFERROR(INDEX(df_cond!$E$2:$L$1000, MATCH(1, (C$2 = df_cond!$A$2:$A$1000) * ($C$55 = df_cond!$B$2:$B$1000) * ($A70 = df_cond!$D$2:$D$1000)  * ($N$56 = df_cond!$C$2:$C$1000), 0), MATCH(R$55, df_cond!$E$1:$L$1,0)),"x")</f>
        <v>x</v>
      </c>
    </row>
    <row r="71" spans="1:18" ht="20.100000000000001" customHeight="1" x14ac:dyDescent="0.2">
      <c r="A71" s="299"/>
      <c r="B71" s="1"/>
      <c r="D71" s="239"/>
      <c r="E71" s="239"/>
      <c r="F71" s="239"/>
      <c r="H71" s="1"/>
      <c r="J71" s="262"/>
      <c r="K71" s="262"/>
      <c r="L71" s="262"/>
      <c r="N71" s="1"/>
      <c r="P71" s="262"/>
      <c r="Q71" s="262"/>
      <c r="R71" s="262"/>
    </row>
    <row r="72" spans="1:18" ht="20.100000000000001" customHeight="1" x14ac:dyDescent="0.2">
      <c r="B72" s="1240" t="s">
        <v>404</v>
      </c>
      <c r="C72" s="1240"/>
      <c r="D72" s="1240"/>
      <c r="E72" s="1240"/>
      <c r="F72" s="1240"/>
      <c r="H72" s="1240" t="s">
        <v>363</v>
      </c>
      <c r="I72" s="1240"/>
      <c r="J72" s="1240"/>
      <c r="K72" s="1240"/>
      <c r="L72" s="1240"/>
      <c r="N72" s="1240" t="s">
        <v>405</v>
      </c>
      <c r="O72" s="1240"/>
      <c r="P72" s="1240"/>
      <c r="Q72" s="1240"/>
      <c r="R72" s="1240"/>
    </row>
    <row r="73" spans="1:18" ht="20.100000000000001" customHeight="1" x14ac:dyDescent="0.2">
      <c r="B73" s="1024" t="s">
        <v>1215</v>
      </c>
      <c r="C73" s="1024" t="s">
        <v>354</v>
      </c>
      <c r="D73" s="476" t="s">
        <v>6</v>
      </c>
      <c r="E73" s="476" t="s">
        <v>6</v>
      </c>
      <c r="F73" s="476" t="s">
        <v>6</v>
      </c>
      <c r="H73" s="1024" t="s">
        <v>1215</v>
      </c>
      <c r="I73" s="1024" t="s">
        <v>354</v>
      </c>
      <c r="J73" s="476" t="s">
        <v>6</v>
      </c>
      <c r="K73" s="476" t="s">
        <v>6</v>
      </c>
      <c r="L73" s="476" t="s">
        <v>6</v>
      </c>
      <c r="N73" s="1024" t="s">
        <v>1215</v>
      </c>
      <c r="O73" s="1024" t="s">
        <v>354</v>
      </c>
      <c r="P73" s="476" t="s">
        <v>6</v>
      </c>
      <c r="Q73" s="476" t="s">
        <v>6</v>
      </c>
      <c r="R73" s="476" t="s">
        <v>6</v>
      </c>
    </row>
    <row r="74" spans="1:18" ht="20.100000000000001" customHeight="1" x14ac:dyDescent="0.2">
      <c r="B74" s="206" t="s">
        <v>364</v>
      </c>
      <c r="C74" s="72"/>
      <c r="D74" s="128" t="s">
        <v>181</v>
      </c>
      <c r="E74" s="117" t="s">
        <v>182</v>
      </c>
      <c r="F74" s="302" t="s">
        <v>183</v>
      </c>
      <c r="H74" s="206" t="s">
        <v>363</v>
      </c>
      <c r="I74" s="72"/>
      <c r="J74" s="128" t="s">
        <v>181</v>
      </c>
      <c r="K74" s="117" t="s">
        <v>182</v>
      </c>
      <c r="L74" s="302" t="s">
        <v>183</v>
      </c>
      <c r="N74" s="206" t="s">
        <v>365</v>
      </c>
      <c r="O74" s="72"/>
      <c r="P74" s="128" t="s">
        <v>181</v>
      </c>
      <c r="Q74" s="117" t="s">
        <v>182</v>
      </c>
      <c r="R74" s="302" t="s">
        <v>183</v>
      </c>
    </row>
    <row r="75" spans="1:18" ht="20.100000000000001" customHeight="1" x14ac:dyDescent="0.2">
      <c r="A75" s="299">
        <v>1</v>
      </c>
      <c r="B75" s="84" t="s">
        <v>6</v>
      </c>
      <c r="C75" s="173"/>
      <c r="D75" s="557">
        <f t="array" ref="D75">IFERROR(INDEX(df_stir!$E$2:$K$1000, MATCH(1, (A$2 = df_stir!$A$2:$A$1000) * ($C$55 = df_stir!$B$2:$B$1000) * ($A75 = df_stir!$D$2:$D$1000)  * ($B$74 = df_stir!$C$2:$C$1000), 0), MATCH(D$55, df_stir!$E$1:$K$1,0)),0)</f>
        <v>0</v>
      </c>
      <c r="E75" s="555">
        <f t="array" ref="E75">IFERROR(INDEX(df_stir!$E$2:$K$1000, MATCH(1, (B$2 = df_stir!$A$2:$A$1000) * ($C$55 = df_stir!$B$2:$B$1000) * ($A75 = df_stir!$D$2:$D$1000)  * ($B$74 = df_stir!$C$2:$C$1000), 0), MATCH(E$55, df_stir!$E$1:$K$1,0)),0)</f>
        <v>0</v>
      </c>
      <c r="F75" s="556">
        <f t="array" ref="F75">IFERROR(INDEX(df_stir!$E$2:$K$1000, MATCH(1, (C$2 = df_stir!$A$2:$A$1000) * ($C$55 = df_stir!$B$2:$B$1000) * ($A75 = df_stir!$D$2:$D$1000)  * ($B$74 = df_stir!$C$2:$C$1000), 0), MATCH(F$55, df_stir!$E$1:$K$1,0)),0)</f>
        <v>0</v>
      </c>
      <c r="H75" s="84" t="s">
        <v>6</v>
      </c>
      <c r="I75" s="173"/>
      <c r="J75" s="591" t="str">
        <f t="array" ref="J75">IFERROR(INDEX(df_stir!$E$2:$K$1000, MATCH(1, (A$2 = df_stir!$A$2:$A$1000) * ($C$55 = df_stir!$B$2:$B$1000) * ($A75 = df_stir!$D$2:$D$1000)  * ($H$74 = df_stir!$C$2:$C$1000), 0), MATCH(J$55, df_stir!$E$1:$K$1,0)),"x")</f>
        <v>x</v>
      </c>
      <c r="K75" s="591" t="str">
        <f t="array" ref="K75">IFERROR(INDEX(df_stir!$E$2:$K$1000, MATCH(1, (B$2 = df_stir!$A$2:$A$1000) * ($C$55 = df_stir!$B$2:$B$1000) * ($A75 = df_stir!$D$2:$D$1000)  * ($H$74 = df_stir!$C$2:$C$1000), 0), MATCH(K$55, df_stir!$E$1:$K$1,0)),"x")</f>
        <v>x</v>
      </c>
      <c r="L75" s="503" t="str">
        <f t="array" ref="L75">IFERROR(INDEX(df_stir!$E$2:$K$1000, MATCH(1, (C$2 = df_stir!$A$2:$A$1000) * ($C$55 = df_stir!$B$2:$B$1000) * ($A75 = df_stir!$D$2:$D$1000)  * ($H$74 = df_stir!$C$2:$C$1000), 0), MATCH(L$55, df_stir!$E$1:$K$1,0)),"x")</f>
        <v>x</v>
      </c>
      <c r="N75" s="84" t="s">
        <v>6</v>
      </c>
      <c r="O75" s="173"/>
      <c r="P75" s="591" t="str">
        <f t="array" ref="P75">IFERROR(INDEX(df_stir!$E$2:$K$1000, MATCH(1, (A$2 = df_stir!$A$2:$A$1000) * ($C$55 = df_stir!$B$2:$B$1000) * ($A75 = df_stir!$D$2:$D$1000)  * ($N$74 = df_stir!$C$2:$C$1000), 0), MATCH(P$55, df_stir!$E$1:$K$1,0)),"x")</f>
        <v>x</v>
      </c>
      <c r="Q75" s="591" t="str">
        <f t="array" ref="Q75">IFERROR(INDEX(df_stir!$E$2:$K$1000, MATCH(1, (B$2 = df_stir!$A$2:$A$1000) * ($C$55 = df_stir!$B$2:$B$1000) * ($A75 = df_stir!$D$2:$D$1000)  * ($N$74 = df_stir!$C$2:$C$1000), 0), MATCH(Q$55, df_stir!$E$1:$K$1,0)),"x")</f>
        <v>x</v>
      </c>
      <c r="R75" s="503" t="str">
        <f t="array" ref="R75">IFERROR(INDEX(df_stir!$E$2:$K$1000, MATCH(1, (C$2 = df_stir!$A$2:$A$1000) * ($C$55 = df_stir!$B$2:$B$1000) * ($A75 = df_stir!$D$2:$D$1000)  * ($N$74 = df_stir!$C$2:$C$1000), 0), MATCH(R$55, df_stir!$E$1:$K$1,0)),"x")</f>
        <v>x</v>
      </c>
    </row>
    <row r="76" spans="1:18" ht="20.100000000000001" customHeight="1" x14ac:dyDescent="0.2">
      <c r="A76" s="299">
        <v>5</v>
      </c>
      <c r="B76" s="84" t="s">
        <v>355</v>
      </c>
      <c r="C76" s="173"/>
      <c r="D76" s="558">
        <f t="array" ref="D76">IFERROR(INDEX(df_stir!$E$2:$K$1000, MATCH(1, (A$2 = df_stir!$A$2:$A$1000) * ($C$55 = df_stir!$B$2:$B$1000) * ($A76 = df_stir!$D$2:$D$1000)  * ($B$74 = df_stir!$C$2:$C$1000), 0), MATCH(D$55, df_stir!$E$1:$K$1,0)),0)</f>
        <v>0</v>
      </c>
      <c r="E76" s="239">
        <f t="array" ref="E76">IFERROR(INDEX(df_stir!$E$2:$K$1000, MATCH(1, (B$2 = df_stir!$A$2:$A$1000) * ($C$55 = df_stir!$B$2:$B$1000) * ($A76 = df_stir!$D$2:$D$1000)  * ($B$74 = df_stir!$C$2:$C$1000), 0), MATCH(E$55, df_stir!$E$1:$K$1,0)),0)</f>
        <v>0</v>
      </c>
      <c r="F76" s="552">
        <f t="array" ref="F76">IFERROR(INDEX(df_stir!$E$2:$K$1000, MATCH(1, (C$2 = df_stir!$A$2:$A$1000) * ($C$55 = df_stir!$B$2:$B$1000) * ($A76 = df_stir!$D$2:$D$1000)  * ($B$74 = df_stir!$C$2:$C$1000), 0), MATCH(F$55, df_stir!$E$1:$K$1,0)),0)</f>
        <v>0</v>
      </c>
      <c r="H76" s="84" t="s">
        <v>355</v>
      </c>
      <c r="I76" s="173"/>
      <c r="J76" s="591" t="str">
        <f t="array" ref="J76">IFERROR(INDEX(df_stir!$E$2:$K$1000, MATCH(1, (A$2 = df_stir!$A$2:$A$1000) * ($C$55 = df_stir!$B$2:$B$1000) * ($A76 = df_stir!$D$2:$D$1000)  * ($H$74 = df_stir!$C$2:$C$1000), 0), MATCH(J$55, df_stir!$E$1:$K$1,0)),"x")</f>
        <v>x</v>
      </c>
      <c r="K76" s="591" t="str">
        <f t="array" ref="K76">IFERROR(INDEX(df_stir!$E$2:$K$1000, MATCH(1, (B$2 = df_stir!$A$2:$A$1000) * ($C$55 = df_stir!$B$2:$B$1000) * ($A76 = df_stir!$D$2:$D$1000)  * ($H$74 = df_stir!$C$2:$C$1000), 0), MATCH(K$55, df_stir!$E$1:$K$1,0)),"x")</f>
        <v>x</v>
      </c>
      <c r="L76" s="503" t="str">
        <f t="array" ref="L76">IFERROR(INDEX(df_stir!$E$2:$K$1000, MATCH(1, (C$2 = df_stir!$A$2:$A$1000) * ($C$55 = df_stir!$B$2:$B$1000) * ($A76 = df_stir!$D$2:$D$1000)  * ($H$74 = df_stir!$C$2:$C$1000), 0), MATCH(L$55, df_stir!$E$1:$K$1,0)),"x")</f>
        <v>x</v>
      </c>
      <c r="N76" s="84" t="s">
        <v>355</v>
      </c>
      <c r="O76" s="173"/>
      <c r="P76" s="591" t="str">
        <f t="array" ref="P76">IFERROR(INDEX(df_stir!$E$2:$K$1000, MATCH(1, (A$2 = df_stir!$A$2:$A$1000) * ($C$55 = df_stir!$B$2:$B$1000) * ($A76 = df_stir!$D$2:$D$1000)  * ($N$74 = df_stir!$C$2:$C$1000), 0), MATCH(P$55, df_stir!$E$1:$K$1,0)),"x")</f>
        <v>x</v>
      </c>
      <c r="Q76" s="591" t="str">
        <f t="array" ref="Q76">IFERROR(INDEX(df_stir!$E$2:$K$1000, MATCH(1, (B$2 = df_stir!$A$2:$A$1000) * ($C$55 = df_stir!$B$2:$B$1000) * ($A76 = df_stir!$D$2:$D$1000)  * ($N$74 = df_stir!$C$2:$C$1000), 0), MATCH(Q$55, df_stir!$E$1:$K$1,0)),"x")</f>
        <v>x</v>
      </c>
      <c r="R76" s="503" t="str">
        <f t="array" ref="R76">IFERROR(INDEX(df_stir!$E$2:$K$1000, MATCH(1, (C$2 = df_stir!$A$2:$A$1000) * ($C$55 = df_stir!$B$2:$B$1000) * ($A76 = df_stir!$D$2:$D$1000)  * ($N$74 = df_stir!$C$2:$C$1000), 0), MATCH(R$55, df_stir!$E$1:$K$1,0)),"x")</f>
        <v>x</v>
      </c>
    </row>
    <row r="77" spans="1:18" ht="20.100000000000001" customHeight="1" x14ac:dyDescent="0.2">
      <c r="A77" s="299">
        <v>6</v>
      </c>
      <c r="B77" s="84" t="s">
        <v>356</v>
      </c>
      <c r="C77" s="173"/>
      <c r="D77" s="558">
        <f t="array" ref="D77">IFERROR(INDEX(df_stir!$E$2:$K$1000, MATCH(1, (A$2 = df_stir!$A$2:$A$1000) * ($C$55 = df_stir!$B$2:$B$1000) * ($A77 = df_stir!$D$2:$D$1000)  * ($B$74 = df_stir!$C$2:$C$1000), 0), MATCH(D$55, df_stir!$E$1:$K$1,0)),0)</f>
        <v>0</v>
      </c>
      <c r="E77" s="239">
        <f t="array" ref="E77">IFERROR(INDEX(df_stir!$E$2:$K$1000, MATCH(1, (B$2 = df_stir!$A$2:$A$1000) * ($C$55 = df_stir!$B$2:$B$1000) * ($A77 = df_stir!$D$2:$D$1000)  * ($B$74 = df_stir!$C$2:$C$1000), 0), MATCH(E$55, df_stir!$E$1:$K$1,0)),0)</f>
        <v>0</v>
      </c>
      <c r="F77" s="552">
        <f t="array" ref="F77">IFERROR(INDEX(df_stir!$E$2:$K$1000, MATCH(1, (C$2 = df_stir!$A$2:$A$1000) * ($C$55 = df_stir!$B$2:$B$1000) * ($A77 = df_stir!$D$2:$D$1000)  * ($B$74 = df_stir!$C$2:$C$1000), 0), MATCH(F$55, df_stir!$E$1:$K$1,0)),0)</f>
        <v>0</v>
      </c>
      <c r="H77" s="84" t="s">
        <v>356</v>
      </c>
      <c r="I77" s="173"/>
      <c r="J77" s="591" t="str">
        <f t="array" ref="J77">IFERROR(INDEX(df_stir!$E$2:$K$1000, MATCH(1, (A$2 = df_stir!$A$2:$A$1000) * ($C$55 = df_stir!$B$2:$B$1000) * ($A77 = df_stir!$D$2:$D$1000)  * ($H$74 = df_stir!$C$2:$C$1000), 0), MATCH(J$55, df_stir!$E$1:$K$1,0)),"x")</f>
        <v>x</v>
      </c>
      <c r="K77" s="591" t="str">
        <f t="array" ref="K77">IFERROR(INDEX(df_stir!$E$2:$K$1000, MATCH(1, (B$2 = df_stir!$A$2:$A$1000) * ($C$55 = df_stir!$B$2:$B$1000) * ($A77 = df_stir!$D$2:$D$1000)  * ($H$74 = df_stir!$C$2:$C$1000), 0), MATCH(K$55, df_stir!$E$1:$K$1,0)),"x")</f>
        <v>x</v>
      </c>
      <c r="L77" s="503" t="str">
        <f t="array" ref="L77">IFERROR(INDEX(df_stir!$E$2:$K$1000, MATCH(1, (C$2 = df_stir!$A$2:$A$1000) * ($C$55 = df_stir!$B$2:$B$1000) * ($A77 = df_stir!$D$2:$D$1000)  * ($H$74 = df_stir!$C$2:$C$1000), 0), MATCH(L$55, df_stir!$E$1:$K$1,0)),"x")</f>
        <v>x</v>
      </c>
      <c r="N77" s="84" t="s">
        <v>356</v>
      </c>
      <c r="O77" s="173"/>
      <c r="P77" s="591" t="str">
        <f t="array" ref="P77">IFERROR(INDEX(df_stir!$E$2:$K$1000, MATCH(1, (A$2 = df_stir!$A$2:$A$1000) * ($C$55 = df_stir!$B$2:$B$1000) * ($A77 = df_stir!$D$2:$D$1000)  * ($N$74 = df_stir!$C$2:$C$1000), 0), MATCH(P$55, df_stir!$E$1:$K$1,0)),"x")</f>
        <v>x</v>
      </c>
      <c r="Q77" s="591" t="str">
        <f t="array" ref="Q77">IFERROR(INDEX(df_stir!$E$2:$K$1000, MATCH(1, (B$2 = df_stir!$A$2:$A$1000) * ($C$55 = df_stir!$B$2:$B$1000) * ($A77 = df_stir!$D$2:$D$1000)  * ($N$74 = df_stir!$C$2:$C$1000), 0), MATCH(Q$55, df_stir!$E$1:$K$1,0)),"x")</f>
        <v>x</v>
      </c>
      <c r="R77" s="503" t="str">
        <f t="array" ref="R77">IFERROR(INDEX(df_stir!$E$2:$K$1000, MATCH(1, (C$2 = df_stir!$A$2:$A$1000) * ($C$55 = df_stir!$B$2:$B$1000) * ($A77 = df_stir!$D$2:$D$1000)  * ($N$74 = df_stir!$C$2:$C$1000), 0), MATCH(R$55, df_stir!$E$1:$K$1,0)),"x")</f>
        <v>x</v>
      </c>
    </row>
    <row r="78" spans="1:18" ht="20.100000000000001" customHeight="1" x14ac:dyDescent="0.2">
      <c r="A78" s="299">
        <v>7</v>
      </c>
      <c r="B78" s="84" t="s">
        <v>64</v>
      </c>
      <c r="C78" s="173"/>
      <c r="D78" s="558">
        <f t="array" ref="D78">IFERROR(INDEX(df_stir!$E$2:$K$1000, MATCH(1, (A$2 = df_stir!$A$2:$A$1000) * ($C$55 = df_stir!$B$2:$B$1000) * ($A78 = df_stir!$D$2:$D$1000)  * ($B$74 = df_stir!$C$2:$C$1000), 0), MATCH(D$55, df_stir!$E$1:$K$1,0)),0)</f>
        <v>0</v>
      </c>
      <c r="E78" s="239">
        <f t="array" ref="E78">IFERROR(INDEX(df_stir!$E$2:$K$1000, MATCH(1, (B$2 = df_stir!$A$2:$A$1000) * ($C$55 = df_stir!$B$2:$B$1000) * ($A78 = df_stir!$D$2:$D$1000)  * ($B$74 = df_stir!$C$2:$C$1000), 0), MATCH(E$55, df_stir!$E$1:$K$1,0)),0)</f>
        <v>0</v>
      </c>
      <c r="F78" s="552">
        <f t="array" ref="F78">IFERROR(INDEX(df_stir!$E$2:$K$1000, MATCH(1, (C$2 = df_stir!$A$2:$A$1000) * ($C$55 = df_stir!$B$2:$B$1000) * ($A78 = df_stir!$D$2:$D$1000)  * ($B$74 = df_stir!$C$2:$C$1000), 0), MATCH(F$55, df_stir!$E$1:$K$1,0)),0)</f>
        <v>0</v>
      </c>
      <c r="H78" s="84" t="s">
        <v>64</v>
      </c>
      <c r="I78" s="173"/>
      <c r="J78" s="591" t="str">
        <f t="array" ref="J78">IFERROR(INDEX(df_stir!$E$2:$K$1000, MATCH(1, (A$2 = df_stir!$A$2:$A$1000) * ($C$55 = df_stir!$B$2:$B$1000) * ($A78 = df_stir!$D$2:$D$1000)  * ($H$74 = df_stir!$C$2:$C$1000), 0), MATCH(J$55, df_stir!$E$1:$K$1,0)),"x")</f>
        <v>x</v>
      </c>
      <c r="K78" s="591" t="str">
        <f t="array" ref="K78">IFERROR(INDEX(df_stir!$E$2:$K$1000, MATCH(1, (B$2 = df_stir!$A$2:$A$1000) * ($C$55 = df_stir!$B$2:$B$1000) * ($A78 = df_stir!$D$2:$D$1000)  * ($H$74 = df_stir!$C$2:$C$1000), 0), MATCH(K$55, df_stir!$E$1:$K$1,0)),"x")</f>
        <v>x</v>
      </c>
      <c r="L78" s="503" t="str">
        <f t="array" ref="L78">IFERROR(INDEX(df_stir!$E$2:$K$1000, MATCH(1, (C$2 = df_stir!$A$2:$A$1000) * ($C$55 = df_stir!$B$2:$B$1000) * ($A78 = df_stir!$D$2:$D$1000)  * ($H$74 = df_stir!$C$2:$C$1000), 0), MATCH(L$55, df_stir!$E$1:$K$1,0)),"x")</f>
        <v>x</v>
      </c>
      <c r="N78" s="84" t="s">
        <v>64</v>
      </c>
      <c r="O78" s="173"/>
      <c r="P78" s="591" t="str">
        <f t="array" ref="P78">IFERROR(INDEX(df_stir!$E$2:$K$1000, MATCH(1, (A$2 = df_stir!$A$2:$A$1000) * ($C$55 = df_stir!$B$2:$B$1000) * ($A78 = df_stir!$D$2:$D$1000)  * ($N$74 = df_stir!$C$2:$C$1000), 0), MATCH(P$55, df_stir!$E$1:$K$1,0)),"x")</f>
        <v>x</v>
      </c>
      <c r="Q78" s="591" t="str">
        <f t="array" ref="Q78">IFERROR(INDEX(df_stir!$E$2:$K$1000, MATCH(1, (B$2 = df_stir!$A$2:$A$1000) * ($C$55 = df_stir!$B$2:$B$1000) * ($A78 = df_stir!$D$2:$D$1000)  * ($N$74 = df_stir!$C$2:$C$1000), 0), MATCH(Q$55, df_stir!$E$1:$K$1,0)),"x")</f>
        <v>x</v>
      </c>
      <c r="R78" s="503" t="str">
        <f t="array" ref="R78">IFERROR(INDEX(df_stir!$E$2:$K$1000, MATCH(1, (C$2 = df_stir!$A$2:$A$1000) * ($C$55 = df_stir!$B$2:$B$1000) * ($A78 = df_stir!$D$2:$D$1000)  * ($N$74 = df_stir!$C$2:$C$1000), 0), MATCH(R$55, df_stir!$E$1:$K$1,0)),"x")</f>
        <v>x</v>
      </c>
    </row>
    <row r="79" spans="1:18" ht="20.100000000000001" customHeight="1" x14ac:dyDescent="0.2">
      <c r="A79" s="299">
        <v>8</v>
      </c>
      <c r="B79" s="84" t="s">
        <v>357</v>
      </c>
      <c r="C79" s="173"/>
      <c r="D79" s="558">
        <f t="array" ref="D79">IFERROR(INDEX(df_stir!$E$2:$K$1000, MATCH(1, (A$2 = df_stir!$A$2:$A$1000) * ($C$55 = df_stir!$B$2:$B$1000) * ($A79 = df_stir!$D$2:$D$1000)  * ($B$74 = df_stir!$C$2:$C$1000), 0), MATCH(D$55, df_stir!$E$1:$K$1,0)),0)</f>
        <v>0</v>
      </c>
      <c r="E79" s="239">
        <f t="array" ref="E79">IFERROR(INDEX(df_stir!$E$2:$K$1000, MATCH(1, (B$2 = df_stir!$A$2:$A$1000) * ($C$55 = df_stir!$B$2:$B$1000) * ($A79 = df_stir!$D$2:$D$1000)  * ($B$74 = df_stir!$C$2:$C$1000), 0), MATCH(E$55, df_stir!$E$1:$K$1,0)),0)</f>
        <v>0</v>
      </c>
      <c r="F79" s="552">
        <f t="array" ref="F79">IFERROR(INDEX(df_stir!$E$2:$K$1000, MATCH(1, (C$2 = df_stir!$A$2:$A$1000) * ($C$55 = df_stir!$B$2:$B$1000) * ($A79 = df_stir!$D$2:$D$1000)  * ($B$74 = df_stir!$C$2:$C$1000), 0), MATCH(F$55, df_stir!$E$1:$K$1,0)),0)</f>
        <v>0</v>
      </c>
      <c r="H79" s="84" t="s">
        <v>357</v>
      </c>
      <c r="I79" s="173"/>
      <c r="J79" s="591" t="str">
        <f t="array" ref="J79">IFERROR(INDEX(df_stir!$E$2:$K$1000, MATCH(1, (A$2 = df_stir!$A$2:$A$1000) * ($C$55 = df_stir!$B$2:$B$1000) * ($A79 = df_stir!$D$2:$D$1000)  * ($H$74 = df_stir!$C$2:$C$1000), 0), MATCH(J$55, df_stir!$E$1:$K$1,0)),"x")</f>
        <v>x</v>
      </c>
      <c r="K79" s="591" t="str">
        <f t="array" ref="K79">IFERROR(INDEX(df_stir!$E$2:$K$1000, MATCH(1, (B$2 = df_stir!$A$2:$A$1000) * ($C$55 = df_stir!$B$2:$B$1000) * ($A79 = df_stir!$D$2:$D$1000)  * ($H$74 = df_stir!$C$2:$C$1000), 0), MATCH(K$55, df_stir!$E$1:$K$1,0)),"x")</f>
        <v>x</v>
      </c>
      <c r="L79" s="503" t="str">
        <f t="array" ref="L79">IFERROR(INDEX(df_stir!$E$2:$K$1000, MATCH(1, (C$2 = df_stir!$A$2:$A$1000) * ($C$55 = df_stir!$B$2:$B$1000) * ($A79 = df_stir!$D$2:$D$1000)  * ($H$74 = df_stir!$C$2:$C$1000), 0), MATCH(L$55, df_stir!$E$1:$K$1,0)),"x")</f>
        <v>x</v>
      </c>
      <c r="N79" s="84" t="s">
        <v>357</v>
      </c>
      <c r="O79" s="173"/>
      <c r="P79" s="591" t="str">
        <f t="array" ref="P79">IFERROR(INDEX(df_stir!$E$2:$K$1000, MATCH(1, (A$2 = df_stir!$A$2:$A$1000) * ($C$55 = df_stir!$B$2:$B$1000) * ($A79 = df_stir!$D$2:$D$1000)  * ($N$74 = df_stir!$C$2:$C$1000), 0), MATCH(P$55, df_stir!$E$1:$K$1,0)),"x")</f>
        <v>x</v>
      </c>
      <c r="Q79" s="591" t="str">
        <f t="array" ref="Q79">IFERROR(INDEX(df_stir!$E$2:$K$1000, MATCH(1, (B$2 = df_stir!$A$2:$A$1000) * ($C$55 = df_stir!$B$2:$B$1000) * ($A79 = df_stir!$D$2:$D$1000)  * ($N$74 = df_stir!$C$2:$C$1000), 0), MATCH(Q$55, df_stir!$E$1:$K$1,0)),"x")</f>
        <v>x</v>
      </c>
      <c r="R79" s="503" t="str">
        <f t="array" ref="R79">IFERROR(INDEX(df_stir!$E$2:$K$1000, MATCH(1, (C$2 = df_stir!$A$2:$A$1000) * ($C$55 = df_stir!$B$2:$B$1000) * ($A79 = df_stir!$D$2:$D$1000)  * ($N$74 = df_stir!$C$2:$C$1000), 0), MATCH(R$55, df_stir!$E$1:$K$1,0)),"x")</f>
        <v>x</v>
      </c>
    </row>
    <row r="80" spans="1:18" ht="20.100000000000001" customHeight="1" x14ac:dyDescent="0.2">
      <c r="A80" s="299">
        <v>11</v>
      </c>
      <c r="B80" s="84" t="s">
        <v>358</v>
      </c>
      <c r="C80" s="173"/>
      <c r="D80" s="558">
        <f t="array" ref="D80">IFERROR(INDEX(df_stir!$E$2:$K$1000, MATCH(1, (A$2 = df_stir!$A$2:$A$1000) * ($C$55 = df_stir!$B$2:$B$1000) * ($A80 = df_stir!$D$2:$D$1000)  * ($B$74 = df_stir!$C$2:$C$1000), 0), MATCH(D$55, df_stir!$E$1:$K$1,0)),0)</f>
        <v>0</v>
      </c>
      <c r="E80" s="239">
        <f t="array" ref="E80">IFERROR(INDEX(df_stir!$E$2:$K$1000, MATCH(1, (B$2 = df_stir!$A$2:$A$1000) * ($C$55 = df_stir!$B$2:$B$1000) * ($A80 = df_stir!$D$2:$D$1000)  * ($B$74 = df_stir!$C$2:$C$1000), 0), MATCH(E$55, df_stir!$E$1:$K$1,0)),0)</f>
        <v>0</v>
      </c>
      <c r="F80" s="552">
        <f t="array" ref="F80">IFERROR(INDEX(df_stir!$E$2:$K$1000, MATCH(1, (C$2 = df_stir!$A$2:$A$1000) * ($C$55 = df_stir!$B$2:$B$1000) * ($A80 = df_stir!$D$2:$D$1000)  * ($B$74 = df_stir!$C$2:$C$1000), 0), MATCH(F$55, df_stir!$E$1:$K$1,0)),0)</f>
        <v>0</v>
      </c>
      <c r="H80" s="84" t="s">
        <v>358</v>
      </c>
      <c r="I80" s="173"/>
      <c r="J80" s="591" t="str">
        <f t="array" ref="J80">IFERROR(INDEX(df_stir!$E$2:$K$1000, MATCH(1, (A$2 = df_stir!$A$2:$A$1000) * ($C$55 = df_stir!$B$2:$B$1000) * ($A80 = df_stir!$D$2:$D$1000)  * ($H$74 = df_stir!$C$2:$C$1000), 0), MATCH(J$55, df_stir!$E$1:$K$1,0)),"x")</f>
        <v>x</v>
      </c>
      <c r="K80" s="591" t="str">
        <f t="array" ref="K80">IFERROR(INDEX(df_stir!$E$2:$K$1000, MATCH(1, (B$2 = df_stir!$A$2:$A$1000) * ($C$55 = df_stir!$B$2:$B$1000) * ($A80 = df_stir!$D$2:$D$1000)  * ($H$74 = df_stir!$C$2:$C$1000), 0), MATCH(K$55, df_stir!$E$1:$K$1,0)),"x")</f>
        <v>x</v>
      </c>
      <c r="L80" s="503" t="str">
        <f t="array" ref="L80">IFERROR(INDEX(df_stir!$E$2:$K$1000, MATCH(1, (C$2 = df_stir!$A$2:$A$1000) * ($C$55 = df_stir!$B$2:$B$1000) * ($A80 = df_stir!$D$2:$D$1000)  * ($H$74 = df_stir!$C$2:$C$1000), 0), MATCH(L$55, df_stir!$E$1:$K$1,0)),"x")</f>
        <v>x</v>
      </c>
      <c r="N80" s="84" t="s">
        <v>358</v>
      </c>
      <c r="O80" s="173"/>
      <c r="P80" s="591" t="str">
        <f t="array" ref="P80">IFERROR(INDEX(df_stir!$E$2:$K$1000, MATCH(1, (A$2 = df_stir!$A$2:$A$1000) * ($C$55 = df_stir!$B$2:$B$1000) * ($A80 = df_stir!$D$2:$D$1000)  * ($N$74 = df_stir!$C$2:$C$1000), 0), MATCH(P$55, df_stir!$E$1:$K$1,0)),"x")</f>
        <v>x</v>
      </c>
      <c r="Q80" s="591" t="str">
        <f t="array" ref="Q80">IFERROR(INDEX(df_stir!$E$2:$K$1000, MATCH(1, (B$2 = df_stir!$A$2:$A$1000) * ($C$55 = df_stir!$B$2:$B$1000) * ($A80 = df_stir!$D$2:$D$1000)  * ($N$74 = df_stir!$C$2:$C$1000), 0), MATCH(Q$55, df_stir!$E$1:$K$1,0)),"x")</f>
        <v>x</v>
      </c>
      <c r="R80" s="503" t="str">
        <f t="array" ref="R80">IFERROR(INDEX(df_stir!$E$2:$K$1000, MATCH(1, (C$2 = df_stir!$A$2:$A$1000) * ($C$55 = df_stir!$B$2:$B$1000) * ($A80 = df_stir!$D$2:$D$1000)  * ($N$74 = df_stir!$C$2:$C$1000), 0), MATCH(R$55, df_stir!$E$1:$K$1,0)),"x")</f>
        <v>x</v>
      </c>
    </row>
    <row r="81" spans="1:18" ht="20.100000000000001" customHeight="1" x14ac:dyDescent="0.2">
      <c r="A81" s="299">
        <v>12</v>
      </c>
      <c r="B81" s="84" t="s">
        <v>359</v>
      </c>
      <c r="C81" s="173"/>
      <c r="D81" s="558">
        <f t="array" ref="D81">IFERROR(INDEX(df_stir!$E$2:$K$1000, MATCH(1, (A$2 = df_stir!$A$2:$A$1000) * ($C$55 = df_stir!$B$2:$B$1000) * ($A81 = df_stir!$D$2:$D$1000)  * ($B$74 = df_stir!$C$2:$C$1000), 0), MATCH(D$55, df_stir!$E$1:$K$1,0)),0)</f>
        <v>0</v>
      </c>
      <c r="E81" s="239">
        <f t="array" ref="E81">IFERROR(INDEX(df_stir!$E$2:$K$1000, MATCH(1, (B$2 = df_stir!$A$2:$A$1000) * ($C$55 = df_stir!$B$2:$B$1000) * ($A81 = df_stir!$D$2:$D$1000)  * ($B$74 = df_stir!$C$2:$C$1000), 0), MATCH(E$55, df_stir!$E$1:$K$1,0)),0)</f>
        <v>0</v>
      </c>
      <c r="F81" s="552">
        <f t="array" ref="F81">IFERROR(INDEX(df_stir!$E$2:$K$1000, MATCH(1, (C$2 = df_stir!$A$2:$A$1000) * ($C$55 = df_stir!$B$2:$B$1000) * ($A81 = df_stir!$D$2:$D$1000)  * ($B$74 = df_stir!$C$2:$C$1000), 0), MATCH(F$55, df_stir!$E$1:$K$1,0)),0)</f>
        <v>0</v>
      </c>
      <c r="H81" s="84" t="s">
        <v>359</v>
      </c>
      <c r="I81" s="173"/>
      <c r="J81" s="591" t="str">
        <f t="array" ref="J81">IFERROR(INDEX(df_stir!$E$2:$K$1000, MATCH(1, (A$2 = df_stir!$A$2:$A$1000) * ($C$55 = df_stir!$B$2:$B$1000) * ($A81 = df_stir!$D$2:$D$1000)  * ($H$74 = df_stir!$C$2:$C$1000), 0), MATCH(J$55, df_stir!$E$1:$K$1,0)),"x")</f>
        <v>x</v>
      </c>
      <c r="K81" s="591" t="str">
        <f t="array" ref="K81">IFERROR(INDEX(df_stir!$E$2:$K$1000, MATCH(1, (B$2 = df_stir!$A$2:$A$1000) * ($C$55 = df_stir!$B$2:$B$1000) * ($A81 = df_stir!$D$2:$D$1000)  * ($H$74 = df_stir!$C$2:$C$1000), 0), MATCH(K$55, df_stir!$E$1:$K$1,0)),"x")</f>
        <v>x</v>
      </c>
      <c r="L81" s="503" t="str">
        <f t="array" ref="L81">IFERROR(INDEX(df_stir!$E$2:$K$1000, MATCH(1, (C$2 = df_stir!$A$2:$A$1000) * ($C$55 = df_stir!$B$2:$B$1000) * ($A81 = df_stir!$D$2:$D$1000)  * ($H$74 = df_stir!$C$2:$C$1000), 0), MATCH(L$55, df_stir!$E$1:$K$1,0)),"x")</f>
        <v>x</v>
      </c>
      <c r="N81" s="84" t="s">
        <v>359</v>
      </c>
      <c r="O81" s="173"/>
      <c r="P81" s="591" t="str">
        <f t="array" ref="P81">IFERROR(INDEX(df_stir!$E$2:$K$1000, MATCH(1, (A$2 = df_stir!$A$2:$A$1000) * ($C$55 = df_stir!$B$2:$B$1000) * ($A81 = df_stir!$D$2:$D$1000)  * ($N$74 = df_stir!$C$2:$C$1000), 0), MATCH(P$55, df_stir!$E$1:$K$1,0)),"x")</f>
        <v>x</v>
      </c>
      <c r="Q81" s="591" t="str">
        <f t="array" ref="Q81">IFERROR(INDEX(df_stir!$E$2:$K$1000, MATCH(1, (B$2 = df_stir!$A$2:$A$1000) * ($C$55 = df_stir!$B$2:$B$1000) * ($A81 = df_stir!$D$2:$D$1000)  * ($N$74 = df_stir!$C$2:$C$1000), 0), MATCH(Q$55, df_stir!$E$1:$K$1,0)),"x")</f>
        <v>x</v>
      </c>
      <c r="R81" s="503" t="str">
        <f t="array" ref="R81">IFERROR(INDEX(df_stir!$E$2:$K$1000, MATCH(1, (C$2 = df_stir!$A$2:$A$1000) * ($C$55 = df_stir!$B$2:$B$1000) * ($A81 = df_stir!$D$2:$D$1000)  * ($N$74 = df_stir!$C$2:$C$1000), 0), MATCH(R$55, df_stir!$E$1:$K$1,0)),"x")</f>
        <v>x</v>
      </c>
    </row>
    <row r="82" spans="1:18" ht="20.100000000000001" customHeight="1" x14ac:dyDescent="0.2">
      <c r="A82" s="299">
        <v>13</v>
      </c>
      <c r="B82" s="84" t="s">
        <v>360</v>
      </c>
      <c r="C82" s="173"/>
      <c r="D82" s="558">
        <f t="array" ref="D82">IFERROR(INDEX(df_stir!$E$2:$K$1000, MATCH(1, (A$2 = df_stir!$A$2:$A$1000) * ($C$55 = df_stir!$B$2:$B$1000) * ($A82 = df_stir!$D$2:$D$1000)  * ($B$74 = df_stir!$C$2:$C$1000), 0), MATCH(D$55, df_stir!$E$1:$K$1,0)),0)</f>
        <v>0</v>
      </c>
      <c r="E82" s="239">
        <f t="array" ref="E82">IFERROR(INDEX(df_stir!$E$2:$K$1000, MATCH(1, (B$2 = df_stir!$A$2:$A$1000) * ($C$55 = df_stir!$B$2:$B$1000) * ($A82 = df_stir!$D$2:$D$1000)  * ($B$74 = df_stir!$C$2:$C$1000), 0), MATCH(E$55, df_stir!$E$1:$K$1,0)),0)</f>
        <v>0</v>
      </c>
      <c r="F82" s="552">
        <f t="array" ref="F82">IFERROR(INDEX(df_stir!$E$2:$K$1000, MATCH(1, (C$2 = df_stir!$A$2:$A$1000) * ($C$55 = df_stir!$B$2:$B$1000) * ($A82 = df_stir!$D$2:$D$1000)  * ($B$74 = df_stir!$C$2:$C$1000), 0), MATCH(F$55, df_stir!$E$1:$K$1,0)),0)</f>
        <v>0</v>
      </c>
      <c r="H82" s="84" t="s">
        <v>360</v>
      </c>
      <c r="I82" s="173"/>
      <c r="J82" s="591" t="str">
        <f t="array" ref="J82">IFERROR(INDEX(df_stir!$E$2:$K$1000, MATCH(1, (A$2 = df_stir!$A$2:$A$1000) * ($C$55 = df_stir!$B$2:$B$1000) * ($A82 = df_stir!$D$2:$D$1000)  * ($H$74 = df_stir!$C$2:$C$1000), 0), MATCH(J$55, df_stir!$E$1:$K$1,0)),"x")</f>
        <v>x</v>
      </c>
      <c r="K82" s="591" t="str">
        <f t="array" ref="K82">IFERROR(INDEX(df_stir!$E$2:$K$1000, MATCH(1, (B$2 = df_stir!$A$2:$A$1000) * ($C$55 = df_stir!$B$2:$B$1000) * ($A82 = df_stir!$D$2:$D$1000)  * ($H$74 = df_stir!$C$2:$C$1000), 0), MATCH(K$55, df_stir!$E$1:$K$1,0)),"x")</f>
        <v>x</v>
      </c>
      <c r="L82" s="503" t="str">
        <f t="array" ref="L82">IFERROR(INDEX(df_stir!$E$2:$K$1000, MATCH(1, (C$2 = df_stir!$A$2:$A$1000) * ($C$55 = df_stir!$B$2:$B$1000) * ($A82 = df_stir!$D$2:$D$1000)  * ($H$74 = df_stir!$C$2:$C$1000), 0), MATCH(L$55, df_stir!$E$1:$K$1,0)),"x")</f>
        <v>x</v>
      </c>
      <c r="N82" s="84" t="s">
        <v>360</v>
      </c>
      <c r="O82" s="173"/>
      <c r="P82" s="591" t="str">
        <f t="array" ref="P82">IFERROR(INDEX(df_stir!$E$2:$K$1000, MATCH(1, (A$2 = df_stir!$A$2:$A$1000) * ($C$55 = df_stir!$B$2:$B$1000) * ($A82 = df_stir!$D$2:$D$1000)  * ($N$74 = df_stir!$C$2:$C$1000), 0), MATCH(P$55, df_stir!$E$1:$K$1,0)),"x")</f>
        <v>x</v>
      </c>
      <c r="Q82" s="591" t="str">
        <f t="array" ref="Q82">IFERROR(INDEX(df_stir!$E$2:$K$1000, MATCH(1, (B$2 = df_stir!$A$2:$A$1000) * ($C$55 = df_stir!$B$2:$B$1000) * ($A82 = df_stir!$D$2:$D$1000)  * ($N$74 = df_stir!$C$2:$C$1000), 0), MATCH(Q$55, df_stir!$E$1:$K$1,0)),"x")</f>
        <v>x</v>
      </c>
      <c r="R82" s="503" t="str">
        <f t="array" ref="R82">IFERROR(INDEX(df_stir!$E$2:$K$1000, MATCH(1, (C$2 = df_stir!$A$2:$A$1000) * ($C$55 = df_stir!$B$2:$B$1000) * ($A82 = df_stir!$D$2:$D$1000)  * ($N$74 = df_stir!$C$2:$C$1000), 0), MATCH(R$55, df_stir!$E$1:$K$1,0)),"x")</f>
        <v>x</v>
      </c>
    </row>
    <row r="83" spans="1:18" ht="20.100000000000001" customHeight="1" x14ac:dyDescent="0.2">
      <c r="A83" s="299">
        <v>14</v>
      </c>
      <c r="B83" s="84" t="s">
        <v>194</v>
      </c>
      <c r="C83" s="173"/>
      <c r="D83" s="558">
        <f t="array" ref="D83">IFERROR(INDEX(df_stir!$E$2:$K$1000, MATCH(1, (A$2 = df_stir!$A$2:$A$1000) * ($C$55 = df_stir!$B$2:$B$1000) * ($A83 = df_stir!$D$2:$D$1000)  * ($B$74 = df_stir!$C$2:$C$1000), 0), MATCH(D$55, df_stir!$E$1:$K$1,0)),0)</f>
        <v>0</v>
      </c>
      <c r="E83" s="239">
        <f t="array" ref="E83">IFERROR(INDEX(df_stir!$E$2:$K$1000, MATCH(1, (B$2 = df_stir!$A$2:$A$1000) * ($C$55 = df_stir!$B$2:$B$1000) * ($A83 = df_stir!$D$2:$D$1000)  * ($B$74 = df_stir!$C$2:$C$1000), 0), MATCH(E$55, df_stir!$E$1:$K$1,0)),0)</f>
        <v>0</v>
      </c>
      <c r="F83" s="552">
        <f t="array" ref="F83">IFERROR(INDEX(df_stir!$E$2:$K$1000, MATCH(1, (C$2 = df_stir!$A$2:$A$1000) * ($C$55 = df_stir!$B$2:$B$1000) * ($A83 = df_stir!$D$2:$D$1000)  * ($B$74 = df_stir!$C$2:$C$1000), 0), MATCH(F$55, df_stir!$E$1:$K$1,0)),0)</f>
        <v>0</v>
      </c>
      <c r="H83" s="84" t="s">
        <v>194</v>
      </c>
      <c r="I83" s="173"/>
      <c r="J83" s="591" t="str">
        <f t="array" ref="J83">IFERROR(INDEX(df_stir!$E$2:$K$1000, MATCH(1, (A$2 = df_stir!$A$2:$A$1000) * ($C$55 = df_stir!$B$2:$B$1000) * ($A83 = df_stir!$D$2:$D$1000)  * ($H$74 = df_stir!$C$2:$C$1000), 0), MATCH(J$55, df_stir!$E$1:$K$1,0)),"x")</f>
        <v>x</v>
      </c>
      <c r="K83" s="591" t="str">
        <f t="array" ref="K83">IFERROR(INDEX(df_stir!$E$2:$K$1000, MATCH(1, (B$2 = df_stir!$A$2:$A$1000) * ($C$55 = df_stir!$B$2:$B$1000) * ($A83 = df_stir!$D$2:$D$1000)  * ($H$74 = df_stir!$C$2:$C$1000), 0), MATCH(K$55, df_stir!$E$1:$K$1,0)),"x")</f>
        <v>x</v>
      </c>
      <c r="L83" s="503" t="str">
        <f t="array" ref="L83">IFERROR(INDEX(df_stir!$E$2:$K$1000, MATCH(1, (C$2 = df_stir!$A$2:$A$1000) * ($C$55 = df_stir!$B$2:$B$1000) * ($A83 = df_stir!$D$2:$D$1000)  * ($H$74 = df_stir!$C$2:$C$1000), 0), MATCH(L$55, df_stir!$E$1:$K$1,0)),"x")</f>
        <v>x</v>
      </c>
      <c r="N83" s="84" t="s">
        <v>194</v>
      </c>
      <c r="O83" s="173"/>
      <c r="P83" s="591" t="str">
        <f t="array" ref="P83">IFERROR(INDEX(df_stir!$E$2:$K$1000, MATCH(1, (A$2 = df_stir!$A$2:$A$1000) * ($C$55 = df_stir!$B$2:$B$1000) * ($A83 = df_stir!$D$2:$D$1000)  * ($N$74 = df_stir!$C$2:$C$1000), 0), MATCH(P$55, df_stir!$E$1:$K$1,0)),"x")</f>
        <v>x</v>
      </c>
      <c r="Q83" s="591" t="str">
        <f t="array" ref="Q83">IFERROR(INDEX(df_stir!$E$2:$K$1000, MATCH(1, (B$2 = df_stir!$A$2:$A$1000) * ($C$55 = df_stir!$B$2:$B$1000) * ($A83 = df_stir!$D$2:$D$1000)  * ($N$74 = df_stir!$C$2:$C$1000), 0), MATCH(Q$55, df_stir!$E$1:$K$1,0)),"x")</f>
        <v>x</v>
      </c>
      <c r="R83" s="503" t="str">
        <f t="array" ref="R83">IFERROR(INDEX(df_stir!$E$2:$K$1000, MATCH(1, (C$2 = df_stir!$A$2:$A$1000) * ($C$55 = df_stir!$B$2:$B$1000) * ($A83 = df_stir!$D$2:$D$1000)  * ($N$74 = df_stir!$C$2:$C$1000), 0), MATCH(R$55, df_stir!$E$1:$K$1,0)),"x")</f>
        <v>x</v>
      </c>
    </row>
    <row r="84" spans="1:18" ht="20.100000000000001" customHeight="1" x14ac:dyDescent="0.2">
      <c r="A84" s="299">
        <v>16</v>
      </c>
      <c r="B84" s="84" t="s">
        <v>352</v>
      </c>
      <c r="C84" s="173"/>
      <c r="D84" s="558">
        <f t="array" ref="D84">IFERROR(INDEX(df_stir!$E$2:$K$1000, MATCH(1, (A$2 = df_stir!$A$2:$A$1000) * ($C$55 = df_stir!$B$2:$B$1000) * ($A84 = df_stir!$D$2:$D$1000)  * ($B$74 = df_stir!$C$2:$C$1000), 0), MATCH(D$55, df_stir!$E$1:$K$1,0)),0)</f>
        <v>0</v>
      </c>
      <c r="E84" s="239">
        <f t="array" ref="E84">IFERROR(INDEX(df_stir!$E$2:$K$1000, MATCH(1, (B$2 = df_stir!$A$2:$A$1000) * ($C$55 = df_stir!$B$2:$B$1000) * ($A84 = df_stir!$D$2:$D$1000)  * ($B$74 = df_stir!$C$2:$C$1000), 0), MATCH(E$55, df_stir!$E$1:$K$1,0)),0)</f>
        <v>0</v>
      </c>
      <c r="F84" s="552">
        <f t="array" ref="F84">IFERROR(INDEX(df_stir!$E$2:$K$1000, MATCH(1, (C$2 = df_stir!$A$2:$A$1000) * ($C$55 = df_stir!$B$2:$B$1000) * ($A84 = df_stir!$D$2:$D$1000)  * ($B$74 = df_stir!$C$2:$C$1000), 0), MATCH(F$55, df_stir!$E$1:$K$1,0)),0)</f>
        <v>0</v>
      </c>
      <c r="H84" s="84" t="s">
        <v>352</v>
      </c>
      <c r="I84" s="173"/>
      <c r="J84" s="591" t="str">
        <f t="array" ref="J84">IFERROR(INDEX(df_stir!$E$2:$K$1000, MATCH(1, (A$2 = df_stir!$A$2:$A$1000) * ($C$55 = df_stir!$B$2:$B$1000) * ($A84 = df_stir!$D$2:$D$1000)  * ($H$74 = df_stir!$C$2:$C$1000), 0), MATCH(J$55, df_stir!$E$1:$K$1,0)),"x")</f>
        <v>x</v>
      </c>
      <c r="K84" s="591" t="str">
        <f t="array" ref="K84">IFERROR(INDEX(df_stir!$E$2:$K$1000, MATCH(1, (B$2 = df_stir!$A$2:$A$1000) * ($C$55 = df_stir!$B$2:$B$1000) * ($A84 = df_stir!$D$2:$D$1000)  * ($H$74 = df_stir!$C$2:$C$1000), 0), MATCH(K$55, df_stir!$E$1:$K$1,0)),"x")</f>
        <v>x</v>
      </c>
      <c r="L84" s="503" t="str">
        <f t="array" ref="L84">IFERROR(INDEX(df_stir!$E$2:$K$1000, MATCH(1, (C$2 = df_stir!$A$2:$A$1000) * ($C$55 = df_stir!$B$2:$B$1000) * ($A84 = df_stir!$D$2:$D$1000)  * ($H$74 = df_stir!$C$2:$C$1000), 0), MATCH(L$55, df_stir!$E$1:$K$1,0)),"x")</f>
        <v>x</v>
      </c>
      <c r="N84" s="84" t="s">
        <v>352</v>
      </c>
      <c r="O84" s="173"/>
      <c r="P84" s="591" t="str">
        <f t="array" ref="P84">IFERROR(INDEX(df_stir!$E$2:$K$1000, MATCH(1, (A$2 = df_stir!$A$2:$A$1000) * ($C$55 = df_stir!$B$2:$B$1000) * ($A84 = df_stir!$D$2:$D$1000)  * ($N$74 = df_stir!$C$2:$C$1000), 0), MATCH(P$55, df_stir!$E$1:$K$1,0)),"x")</f>
        <v>x</v>
      </c>
      <c r="Q84" s="591" t="str">
        <f t="array" ref="Q84">IFERROR(INDEX(df_stir!$E$2:$K$1000, MATCH(1, (B$2 = df_stir!$A$2:$A$1000) * ($C$55 = df_stir!$B$2:$B$1000) * ($A84 = df_stir!$D$2:$D$1000)  * ($N$74 = df_stir!$C$2:$C$1000), 0), MATCH(Q$55, df_stir!$E$1:$K$1,0)),"x")</f>
        <v>x</v>
      </c>
      <c r="R84" s="503" t="str">
        <f t="array" ref="R84">IFERROR(INDEX(df_stir!$E$2:$K$1000, MATCH(1, (C$2 = df_stir!$A$2:$A$1000) * ($C$55 = df_stir!$B$2:$B$1000) * ($A84 = df_stir!$D$2:$D$1000)  * ($N$74 = df_stir!$C$2:$C$1000), 0), MATCH(R$55, df_stir!$E$1:$K$1,0)),"x")</f>
        <v>x</v>
      </c>
    </row>
    <row r="85" spans="1:18" ht="20.100000000000001" customHeight="1" x14ac:dyDescent="0.2">
      <c r="A85" s="299">
        <v>31</v>
      </c>
      <c r="B85" s="84" t="s">
        <v>351</v>
      </c>
      <c r="C85" s="173"/>
      <c r="D85" s="558">
        <f t="array" ref="D85">IFERROR(INDEX(df_stir!$E$2:$K$1000, MATCH(1, (A$2 = df_stir!$A$2:$A$1000) * ($C$55 = df_stir!$B$2:$B$1000) * ($A85 = df_stir!$D$2:$D$1000)  * ($B$74 = df_stir!$C$2:$C$1000), 0), MATCH(D$55, df_stir!$E$1:$K$1,0)),0)</f>
        <v>0</v>
      </c>
      <c r="E85" s="239">
        <f t="array" ref="E85">IFERROR(INDEX(df_stir!$E$2:$K$1000, MATCH(1, (B$2 = df_stir!$A$2:$A$1000) * ($C$55 = df_stir!$B$2:$B$1000) * ($A85 = df_stir!$D$2:$D$1000)  * ($B$74 = df_stir!$C$2:$C$1000), 0), MATCH(E$55, df_stir!$E$1:$K$1,0)),0)</f>
        <v>0</v>
      </c>
      <c r="F85" s="552">
        <f t="array" ref="F85">IFERROR(INDEX(df_stir!$E$2:$K$1000, MATCH(1, (C$2 = df_stir!$A$2:$A$1000) * ($C$55 = df_stir!$B$2:$B$1000) * ($A85 = df_stir!$D$2:$D$1000)  * ($B$74 = df_stir!$C$2:$C$1000), 0), MATCH(F$55, df_stir!$E$1:$K$1,0)),0)</f>
        <v>0</v>
      </c>
      <c r="H85" s="84" t="s">
        <v>351</v>
      </c>
      <c r="I85" s="173"/>
      <c r="J85" s="591" t="str">
        <f t="array" ref="J85">IFERROR(INDEX(df_stir!$E$2:$K$1000, MATCH(1, (A$2 = df_stir!$A$2:$A$1000) * ($C$55 = df_stir!$B$2:$B$1000) * ($A85 = df_stir!$D$2:$D$1000)  * ($H$74 = df_stir!$C$2:$C$1000), 0), MATCH(J$55, df_stir!$E$1:$K$1,0)),"x")</f>
        <v>x</v>
      </c>
      <c r="K85" s="591" t="str">
        <f t="array" ref="K85">IFERROR(INDEX(df_stir!$E$2:$K$1000, MATCH(1, (B$2 = df_stir!$A$2:$A$1000) * ($C$55 = df_stir!$B$2:$B$1000) * ($A85 = df_stir!$D$2:$D$1000)  * ($H$74 = df_stir!$C$2:$C$1000), 0), MATCH(K$55, df_stir!$E$1:$K$1,0)),"x")</f>
        <v>x</v>
      </c>
      <c r="L85" s="503" t="str">
        <f t="array" ref="L85">IFERROR(INDEX(df_stir!$E$2:$K$1000, MATCH(1, (C$2 = df_stir!$A$2:$A$1000) * ($C$55 = df_stir!$B$2:$B$1000) * ($A85 = df_stir!$D$2:$D$1000)  * ($H$74 = df_stir!$C$2:$C$1000), 0), MATCH(L$55, df_stir!$E$1:$K$1,0)),"x")</f>
        <v>x</v>
      </c>
      <c r="N85" s="84" t="s">
        <v>351</v>
      </c>
      <c r="O85" s="173"/>
      <c r="P85" s="591" t="str">
        <f t="array" ref="P85">IFERROR(INDEX(df_stir!$E$2:$K$1000, MATCH(1, (A$2 = df_stir!$A$2:$A$1000) * ($C$55 = df_stir!$B$2:$B$1000) * ($A85 = df_stir!$D$2:$D$1000)  * ($N$74 = df_stir!$C$2:$C$1000), 0), MATCH(P$55, df_stir!$E$1:$K$1,0)),"x")</f>
        <v>x</v>
      </c>
      <c r="Q85" s="591" t="str">
        <f t="array" ref="Q85">IFERROR(INDEX(df_stir!$E$2:$K$1000, MATCH(1, (B$2 = df_stir!$A$2:$A$1000) * ($C$55 = df_stir!$B$2:$B$1000) * ($A85 = df_stir!$D$2:$D$1000)  * ($N$74 = df_stir!$C$2:$C$1000), 0), MATCH(Q$55, df_stir!$E$1:$K$1,0)),"x")</f>
        <v>x</v>
      </c>
      <c r="R85" s="503" t="str">
        <f t="array" ref="R85">IFERROR(INDEX(df_stir!$E$2:$K$1000, MATCH(1, (C$2 = df_stir!$A$2:$A$1000) * ($C$55 = df_stir!$B$2:$B$1000) * ($A85 = df_stir!$D$2:$D$1000)  * ($N$74 = df_stir!$C$2:$C$1000), 0), MATCH(R$55, df_stir!$E$1:$K$1,0)),"x")</f>
        <v>x</v>
      </c>
    </row>
    <row r="86" spans="1:18" ht="20.100000000000001" customHeight="1" x14ac:dyDescent="0.2">
      <c r="A86" s="299">
        <v>41</v>
      </c>
      <c r="B86" s="84" t="s">
        <v>361</v>
      </c>
      <c r="C86" s="173"/>
      <c r="D86" s="558">
        <f t="array" ref="D86">IFERROR(INDEX(df_stir!$E$2:$K$1000, MATCH(1, (A$2 = df_stir!$A$2:$A$1000) * ($C$55 = df_stir!$B$2:$B$1000) * ($A86 = df_stir!$D$2:$D$1000)  * ($B$74 = df_stir!$C$2:$C$1000), 0), MATCH(D$55, df_stir!$E$1:$K$1,0)),0)</f>
        <v>0</v>
      </c>
      <c r="E86" s="239">
        <f t="array" ref="E86">IFERROR(INDEX(df_stir!$E$2:$K$1000, MATCH(1, (B$2 = df_stir!$A$2:$A$1000) * ($C$55 = df_stir!$B$2:$B$1000) * ($A86 = df_stir!$D$2:$D$1000)  * ($B$74 = df_stir!$C$2:$C$1000), 0), MATCH(E$55, df_stir!$E$1:$K$1,0)),0)</f>
        <v>0</v>
      </c>
      <c r="F86" s="552">
        <f t="array" ref="F86">IFERROR(INDEX(df_stir!$E$2:$K$1000, MATCH(1, (C$2 = df_stir!$A$2:$A$1000) * ($C$55 = df_stir!$B$2:$B$1000) * ($A86 = df_stir!$D$2:$D$1000)  * ($B$74 = df_stir!$C$2:$C$1000), 0), MATCH(F$55, df_stir!$E$1:$K$1,0)),0)</f>
        <v>0</v>
      </c>
      <c r="H86" s="84" t="s">
        <v>361</v>
      </c>
      <c r="I86" s="173"/>
      <c r="J86" s="591" t="str">
        <f t="array" ref="J86">IFERROR(INDEX(df_stir!$E$2:$K$1000, MATCH(1, (A$2 = df_stir!$A$2:$A$1000) * ($C$55 = df_stir!$B$2:$B$1000) * ($A86 = df_stir!$D$2:$D$1000)  * ($H$74 = df_stir!$C$2:$C$1000), 0), MATCH(J$55, df_stir!$E$1:$K$1,0)),"x")</f>
        <v>x</v>
      </c>
      <c r="K86" s="591" t="str">
        <f t="array" ref="K86">IFERROR(INDEX(df_stir!$E$2:$K$1000, MATCH(1, (B$2 = df_stir!$A$2:$A$1000) * ($C$55 = df_stir!$B$2:$B$1000) * ($A86 = df_stir!$D$2:$D$1000)  * ($H$74 = df_stir!$C$2:$C$1000), 0), MATCH(K$55, df_stir!$E$1:$K$1,0)),"x")</f>
        <v>x</v>
      </c>
      <c r="L86" s="503" t="str">
        <f t="array" ref="L86">IFERROR(INDEX(df_stir!$E$2:$K$1000, MATCH(1, (C$2 = df_stir!$A$2:$A$1000) * ($C$55 = df_stir!$B$2:$B$1000) * ($A86 = df_stir!$D$2:$D$1000)  * ($H$74 = df_stir!$C$2:$C$1000), 0), MATCH(L$55, df_stir!$E$1:$K$1,0)),"x")</f>
        <v>x</v>
      </c>
      <c r="N86" s="84" t="s">
        <v>361</v>
      </c>
      <c r="O86" s="173"/>
      <c r="P86" s="591" t="str">
        <f t="array" ref="P86">IFERROR(INDEX(df_stir!$E$2:$K$1000, MATCH(1, (A$2 = df_stir!$A$2:$A$1000) * ($C$55 = df_stir!$B$2:$B$1000) * ($A86 = df_stir!$D$2:$D$1000)  * ($N$74 = df_stir!$C$2:$C$1000), 0), MATCH(P$55, df_stir!$E$1:$K$1,0)),"x")</f>
        <v>x</v>
      </c>
      <c r="Q86" s="591" t="str">
        <f t="array" ref="Q86">IFERROR(INDEX(df_stir!$E$2:$K$1000, MATCH(1, (B$2 = df_stir!$A$2:$A$1000) * ($C$55 = df_stir!$B$2:$B$1000) * ($A86 = df_stir!$D$2:$D$1000)  * ($N$74 = df_stir!$C$2:$C$1000), 0), MATCH(Q$55, df_stir!$E$1:$K$1,0)),"x")</f>
        <v>x</v>
      </c>
      <c r="R86" s="503" t="str">
        <f t="array" ref="R86">IFERROR(INDEX(df_stir!$E$2:$K$1000, MATCH(1, (C$2 = df_stir!$A$2:$A$1000) * ($C$55 = df_stir!$B$2:$B$1000) * ($A86 = df_stir!$D$2:$D$1000)  * ($N$74 = df_stir!$C$2:$C$1000), 0), MATCH(R$55, df_stir!$E$1:$K$1,0)),"x")</f>
        <v>x</v>
      </c>
    </row>
    <row r="87" spans="1:18" ht="20.100000000000001" customHeight="1" x14ac:dyDescent="0.2">
      <c r="A87" s="299">
        <v>43</v>
      </c>
      <c r="B87" s="84" t="s">
        <v>195</v>
      </c>
      <c r="C87" s="173"/>
      <c r="D87" s="558">
        <f t="array" ref="D87">IFERROR(INDEX(df_stir!$E$2:$K$1000, MATCH(1, (A$2 = df_stir!$A$2:$A$1000) * ($C$55 = df_stir!$B$2:$B$1000) * ($A87 = df_stir!$D$2:$D$1000)  * ($B$74 = df_stir!$C$2:$C$1000), 0), MATCH(D$55, df_stir!$E$1:$K$1,0)),0)</f>
        <v>0</v>
      </c>
      <c r="E87" s="239">
        <f t="array" ref="E87">IFERROR(INDEX(df_stir!$E$2:$K$1000, MATCH(1, (B$2 = df_stir!$A$2:$A$1000) * ($C$55 = df_stir!$B$2:$B$1000) * ($A87 = df_stir!$D$2:$D$1000)  * ($B$74 = df_stir!$C$2:$C$1000), 0), MATCH(E$55, df_stir!$E$1:$K$1,0)),0)</f>
        <v>0</v>
      </c>
      <c r="F87" s="552">
        <f t="array" ref="F87">IFERROR(INDEX(df_stir!$E$2:$K$1000, MATCH(1, (C$2 = df_stir!$A$2:$A$1000) * ($C$55 = df_stir!$B$2:$B$1000) * ($A87 = df_stir!$D$2:$D$1000)  * ($B$74 = df_stir!$C$2:$C$1000), 0), MATCH(F$55, df_stir!$E$1:$K$1,0)),0)</f>
        <v>0</v>
      </c>
      <c r="H87" s="84" t="s">
        <v>195</v>
      </c>
      <c r="I87" s="173"/>
      <c r="J87" s="591" t="str">
        <f t="array" ref="J87">IFERROR(INDEX(df_stir!$E$2:$K$1000, MATCH(1, (A$2 = df_stir!$A$2:$A$1000) * ($C$55 = df_stir!$B$2:$B$1000) * ($A87 = df_stir!$D$2:$D$1000)  * ($H$74 = df_stir!$C$2:$C$1000), 0), MATCH(J$55, df_stir!$E$1:$K$1,0)),"x")</f>
        <v>x</v>
      </c>
      <c r="K87" s="591" t="str">
        <f t="array" ref="K87">IFERROR(INDEX(df_stir!$E$2:$K$1000, MATCH(1, (B$2 = df_stir!$A$2:$A$1000) * ($C$55 = df_stir!$B$2:$B$1000) * ($A87 = df_stir!$D$2:$D$1000)  * ($H$74 = df_stir!$C$2:$C$1000), 0), MATCH(K$55, df_stir!$E$1:$K$1,0)),"x")</f>
        <v>x</v>
      </c>
      <c r="L87" s="503" t="str">
        <f t="array" ref="L87">IFERROR(INDEX(df_stir!$E$2:$K$1000, MATCH(1, (C$2 = df_stir!$A$2:$A$1000) * ($C$55 = df_stir!$B$2:$B$1000) * ($A87 = df_stir!$D$2:$D$1000)  * ($H$74 = df_stir!$C$2:$C$1000), 0), MATCH(L$55, df_stir!$E$1:$K$1,0)),"x")</f>
        <v>x</v>
      </c>
      <c r="N87" s="84" t="s">
        <v>195</v>
      </c>
      <c r="O87" s="173"/>
      <c r="P87" s="591" t="str">
        <f t="array" ref="P87">IFERROR(INDEX(df_stir!$E$2:$K$1000, MATCH(1, (A$2 = df_stir!$A$2:$A$1000) * ($C$55 = df_stir!$B$2:$B$1000) * ($A87 = df_stir!$D$2:$D$1000)  * ($N$74 = df_stir!$C$2:$C$1000), 0), MATCH(P$55, df_stir!$E$1:$K$1,0)),"x")</f>
        <v>x</v>
      </c>
      <c r="Q87" s="591" t="str">
        <f t="array" ref="Q87">IFERROR(INDEX(df_stir!$E$2:$K$1000, MATCH(1, (B$2 = df_stir!$A$2:$A$1000) * ($C$55 = df_stir!$B$2:$B$1000) * ($A87 = df_stir!$D$2:$D$1000)  * ($N$74 = df_stir!$C$2:$C$1000), 0), MATCH(Q$55, df_stir!$E$1:$K$1,0)),"x")</f>
        <v>x</v>
      </c>
      <c r="R87" s="503" t="str">
        <f t="array" ref="R87">IFERROR(INDEX(df_stir!$E$2:$K$1000, MATCH(1, (C$2 = df_stir!$A$2:$A$1000) * ($C$55 = df_stir!$B$2:$B$1000) * ($A87 = df_stir!$D$2:$D$1000)  * ($N$74 = df_stir!$C$2:$C$1000), 0), MATCH(R$55, df_stir!$E$1:$K$1,0)),"x")</f>
        <v>x</v>
      </c>
    </row>
    <row r="88" spans="1:18" ht="20.100000000000001" customHeight="1" x14ac:dyDescent="0.2">
      <c r="A88" s="299">
        <v>46</v>
      </c>
      <c r="B88" s="569" t="s">
        <v>362</v>
      </c>
      <c r="C88" s="494"/>
      <c r="D88" s="559">
        <f t="array" ref="D88">IFERROR(INDEX(df_stir!$E$2:$K$1000, MATCH(1, (A$2 = df_stir!$A$2:$A$1000) * ($C$55 = df_stir!$B$2:$B$1000) * ($A88 = df_stir!$D$2:$D$1000)  * ($B$74 = df_stir!$C$2:$C$1000), 0), MATCH(D$55, df_stir!$E$1:$K$1,0)),0)</f>
        <v>0</v>
      </c>
      <c r="E88" s="553">
        <f t="array" ref="E88">IFERROR(INDEX(df_stir!$E$2:$K$1000, MATCH(1, (B$2 = df_stir!$A$2:$A$1000) * ($C$55 = df_stir!$B$2:$B$1000) * ($A88 = df_stir!$D$2:$D$1000)  * ($B$74 = df_stir!$C$2:$C$1000), 0), MATCH(E$55, df_stir!$E$1:$K$1,0)),0)</f>
        <v>0</v>
      </c>
      <c r="F88" s="554">
        <f t="array" ref="F88">IFERROR(INDEX(df_stir!$E$2:$K$1000, MATCH(1, (C$2 = df_stir!$A$2:$A$1000) * ($C$55 = df_stir!$B$2:$B$1000) * ($A88 = df_stir!$D$2:$D$1000)  * ($B$74 = df_stir!$C$2:$C$1000), 0), MATCH(F$55, df_stir!$E$1:$K$1,0)),0)</f>
        <v>0</v>
      </c>
      <c r="H88" s="569" t="s">
        <v>362</v>
      </c>
      <c r="I88" s="494"/>
      <c r="J88" s="593" t="str">
        <f t="array" ref="J88">IFERROR(INDEX(df_stir!$E$2:$K$1000, MATCH(1, (A$2 = df_stir!$A$2:$A$1000) * ($C$55 = df_stir!$B$2:$B$1000) * ($A88 = df_stir!$D$2:$D$1000)  * ($H$74 = df_stir!$C$2:$C$1000), 0), MATCH(J$55, df_stir!$E$1:$K$1,0)),"x")</f>
        <v>x</v>
      </c>
      <c r="K88" s="593" t="str">
        <f t="array" ref="K88">IFERROR(INDEX(df_stir!$E$2:$K$1000, MATCH(1, (B$2 = df_stir!$A$2:$A$1000) * ($C$55 = df_stir!$B$2:$B$1000) * ($A88 = df_stir!$D$2:$D$1000)  * ($H$74 = df_stir!$C$2:$C$1000), 0), MATCH(K$55, df_stir!$E$1:$K$1,0)),"x")</f>
        <v>x</v>
      </c>
      <c r="L88" s="504" t="str">
        <f t="array" ref="L88">IFERROR(INDEX(df_stir!$E$2:$K$1000, MATCH(1, (C$2 = df_stir!$A$2:$A$1000) * ($C$55 = df_stir!$B$2:$B$1000) * ($A88 = df_stir!$D$2:$D$1000)  * ($H$74 = df_stir!$C$2:$C$1000), 0), MATCH(L$55, df_stir!$E$1:$K$1,0)),"x")</f>
        <v>x</v>
      </c>
      <c r="N88" s="569" t="s">
        <v>362</v>
      </c>
      <c r="O88" s="494"/>
      <c r="P88" s="593" t="str">
        <f t="array" ref="P88">IFERROR(INDEX(df_stir!$E$2:$K$1000, MATCH(1, (A$2 = df_stir!$A$2:$A$1000) * ($C$55 = df_stir!$B$2:$B$1000) * ($A88 = df_stir!$D$2:$D$1000)  * ($N$74 = df_stir!$C$2:$C$1000), 0), MATCH(P$55, df_stir!$E$1:$K$1,0)),"x")</f>
        <v>x</v>
      </c>
      <c r="Q88" s="593" t="str">
        <f t="array" ref="Q88">IFERROR(INDEX(df_stir!$E$2:$K$1000, MATCH(1, (B$2 = df_stir!$A$2:$A$1000) * ($C$55 = df_stir!$B$2:$B$1000) * ($A88 = df_stir!$D$2:$D$1000)  * ($N$74 = df_stir!$C$2:$C$1000), 0), MATCH(Q$55, df_stir!$E$1:$K$1,0)),"x")</f>
        <v>x</v>
      </c>
      <c r="R88" s="504" t="str">
        <f t="array" ref="R88">IFERROR(INDEX(df_stir!$E$2:$K$1000, MATCH(1, (C$2 = df_stir!$A$2:$A$1000) * ($C$55 = df_stir!$B$2:$B$1000) * ($A88 = df_stir!$D$2:$D$1000)  * ($N$74 = df_stir!$C$2:$C$1000), 0), MATCH(R$55, df_stir!$E$1:$K$1,0)),"x")</f>
        <v>x</v>
      </c>
    </row>
    <row r="90" spans="1:18" ht="20.100000000000001" customHeight="1" x14ac:dyDescent="0.2">
      <c r="B90" s="1240" t="s">
        <v>408</v>
      </c>
      <c r="C90" s="1240"/>
      <c r="D90" s="1240"/>
      <c r="E90" s="1240"/>
      <c r="F90" s="1240"/>
    </row>
    <row r="91" spans="1:18" ht="20.100000000000001" customHeight="1" x14ac:dyDescent="0.2">
      <c r="C91" s="1"/>
      <c r="D91" s="476" t="s">
        <v>6</v>
      </c>
      <c r="E91" s="476" t="s">
        <v>6</v>
      </c>
      <c r="F91" s="476" t="s">
        <v>6</v>
      </c>
    </row>
    <row r="92" spans="1:18" ht="20.100000000000001" customHeight="1" x14ac:dyDescent="0.2">
      <c r="B92" s="206" t="s">
        <v>478</v>
      </c>
      <c r="C92" s="72"/>
      <c r="D92" s="128" t="s">
        <v>181</v>
      </c>
      <c r="E92" s="117" t="s">
        <v>182</v>
      </c>
      <c r="F92" s="302" t="s">
        <v>183</v>
      </c>
    </row>
    <row r="93" spans="1:18" ht="20.100000000000001" customHeight="1" x14ac:dyDescent="0.2">
      <c r="A93" s="299"/>
      <c r="B93" s="570" t="s">
        <v>6</v>
      </c>
      <c r="C93" s="493"/>
      <c r="D93" s="557">
        <f t="array" ref="D93">IFERROR(INDEX(df_echn!$F$2:$M$100, MATCH(1, (A$2 = df_echn!$C$2:$C$100) * (df_echn!$E$2:$E$100 = $B93) * (df_echn!$D$2:$D$100 = "Total"), 0), MATCH(D$91, df_echn!$F$1:$M$1,0)),0)</f>
        <v>0</v>
      </c>
      <c r="E93" s="555">
        <f t="array" ref="E93">IFERROR(INDEX(df_echn!$F$2:$M$100, MATCH(1, (B$2 = df_echn!$C$2:$C$100) * (df_echn!$E$2:$E$100 = $B93) * (df_echn!$D$2:$D$100 = "Total"), 0), MATCH(E$91, df_echn!$F$1:$M$1,0)),0)</f>
        <v>0</v>
      </c>
      <c r="F93" s="556">
        <f t="array" ref="F93">IFERROR(INDEX(df_echn!$F$2:$M$100, MATCH(1, (C$2 = df_echn!$C$2:$C$100) * (df_echn!$E$2:$E$100 = $B93) * (df_echn!$D$2:$D$100 = "Total"), 0), MATCH(F$91, df_echn!$F$1:$M$1,0)),0)</f>
        <v>0</v>
      </c>
    </row>
    <row r="94" spans="1:18" ht="20.100000000000001" customHeight="1" x14ac:dyDescent="0.2">
      <c r="A94" s="299"/>
      <c r="B94" s="731" t="s">
        <v>6</v>
      </c>
      <c r="C94" s="173"/>
      <c r="D94" s="558">
        <f t="array" ref="D94">IFERROR(INDEX(df_echn!$F$2:$M$100, MATCH(1, (A$2 = df_echn!$C$2:$C$100) * (df_echn!$E$2:$E$100 = $B94) * (df_echn!$D$2:$D$100 = "50% or more"), 0), MATCH(D$91, df_echn!$F$1:$M$1,0)),0)</f>
        <v>0</v>
      </c>
      <c r="E94" s="239">
        <f t="array" ref="E94">IFERROR(INDEX(df_echn!$F$2:$M$100, MATCH(1, (B$2 = df_echn!$C$2:$C$100) * (df_echn!$E$2:$E$100 = $B94) * (df_echn!$D$2:$D$100 = "50% or more"), 0), MATCH(E$91, df_echn!$F$1:$M$1,0)),0)</f>
        <v>0</v>
      </c>
      <c r="F94" s="552">
        <f t="array" ref="F94">IFERROR(INDEX(df_echn!$F$2:$M$100, MATCH(1, (C$2 = df_echn!$C$2:$C$100) * (df_echn!$E$2:$E$100 = $B94) * (df_echn!$D$2:$D$100 = "50% or more"), 0), MATCH(F$91, df_echn!$F$1:$M$1,0)),0)</f>
        <v>0</v>
      </c>
    </row>
    <row r="95" spans="1:18" ht="20.100000000000001" customHeight="1" x14ac:dyDescent="0.2">
      <c r="A95" s="299"/>
      <c r="B95" s="84" t="s">
        <v>407</v>
      </c>
      <c r="C95" s="173"/>
      <c r="D95" s="558">
        <f t="array" ref="D95">IFERROR(INDEX(df_echn!$F$2:$M$100, MATCH(1, (A$2 = df_echn!$C$2:$C$100) * (df_echn!$E$2:$E$100 = $B95) * (df_echn!$D$2:$D$100 = "Total"), 0), MATCH(D$91, df_echn!$F$1:$M$1,0)),0)</f>
        <v>0</v>
      </c>
      <c r="E95" s="239">
        <f t="array" ref="E95">IFERROR(INDEX(df_echn!$F$2:$M$100, MATCH(1, (B$2 = df_echn!$C$2:$C$100) * (df_echn!$E$2:$E$100 = $B95) * (df_echn!$D$2:$D$100 = "Total"), 0), MATCH(E$91, df_echn!$F$1:$M$1,0)),0)</f>
        <v>0</v>
      </c>
      <c r="F95" s="552">
        <f t="array" ref="F95">IFERROR(INDEX(df_echn!$F$2:$M$100, MATCH(1, (C$2 = df_echn!$C$2:$C$100) * (df_echn!$E$2:$E$100 = $B95) * (df_echn!$D$2:$D$100 = "Total"), 0), MATCH(F$91, df_echn!$F$1:$M$1,0)),0)</f>
        <v>0</v>
      </c>
    </row>
    <row r="96" spans="1:18" ht="20.100000000000001" customHeight="1" x14ac:dyDescent="0.2">
      <c r="A96" s="299"/>
      <c r="B96" s="1025" t="s">
        <v>385</v>
      </c>
      <c r="C96" s="494"/>
      <c r="D96" s="559">
        <f t="array" ref="D96">IFERROR(INDEX(df_echn!$F$2:$M$100, MATCH(1, (A$2 = df_echn!$C$2:$C$100) * (df_echn!$E$2:$E$100 = $B96) * (df_echn!$D$2:$D$100 = "50% or more"), 0), MATCH(D$91, df_echn!$F$1:$M$1,0)),0)</f>
        <v>0</v>
      </c>
      <c r="E96" s="553">
        <f t="array" ref="E96">IFERROR(INDEX(df_echn!$F$2:$M$100, MATCH(1, (B$2 = df_echn!$C$2:$C$100) * (df_echn!$E$2:$E$100 = $B96) * (df_echn!$D$2:$D$100 = "50% or more"), 0), MATCH(E$91, df_echn!$F$1:$M$1,0)),0)</f>
        <v>0</v>
      </c>
      <c r="F96" s="554">
        <f t="array" ref="F96">IFERROR(INDEX(df_echn!$F$2:$M$100, MATCH(1, (C$2 = df_echn!$C$2:$C$100) * (df_echn!$E$2:$E$100 = $B96) * (df_echn!$D$2:$D$100 = "50% or more"), 0), MATCH(F$91, df_echn!$F$1:$M$1,0)),0)</f>
        <v>0</v>
      </c>
    </row>
    <row r="97" spans="1:18" ht="20.100000000000001" customHeight="1" x14ac:dyDescent="0.2">
      <c r="A97" s="299"/>
      <c r="B97" s="15" t="s">
        <v>75</v>
      </c>
      <c r="D97" s="239"/>
      <c r="E97" s="239"/>
      <c r="F97" s="239"/>
    </row>
    <row r="98" spans="1:18" ht="20.100000000000001" customHeight="1" x14ac:dyDescent="0.2">
      <c r="A98" s="299"/>
      <c r="B98" s="570" t="s">
        <v>6</v>
      </c>
      <c r="C98" s="493"/>
      <c r="D98" s="557">
        <f t="array" ref="D98">IFERROR(INDEX(df_echn!$F$2:$M$100, MATCH(1, (A$2 = df_echn!$C$2:$C$100) * (df_echn!$E$2:$E$100 = $B98) * (df_echn!$D$2:$D$100 = "Total"), 0), MATCH("r", df_echn!$F$1:$M$1,0)),0)</f>
        <v>0</v>
      </c>
      <c r="E98" s="555">
        <f t="array" ref="E98">IFERROR(INDEX(df_echn!$F$2:$M$100, MATCH(1, (B$2 = df_echn!$C$2:$C$100) * (df_echn!$E$2:$E$100 = $B98) * (df_echn!$D$2:$D$100 = "Total"), 0), MATCH("r", df_echn!$F$1:$M$1,0)),0)</f>
        <v>0</v>
      </c>
      <c r="F98" s="556">
        <f t="array" ref="F98">IFERROR(INDEX(df_echn!$F$2:$M$100, MATCH(1, (C$2 = df_echn!$C$2:$C$100) * (df_echn!$E$2:$E$100 = $B98) * (df_echn!$D$2:$D$100 = "Total"), 0), MATCH("r", df_echn!$F$1:$M$1,0)),0)</f>
        <v>0</v>
      </c>
      <c r="N98" s="1"/>
      <c r="P98" s="262"/>
      <c r="Q98" s="262"/>
      <c r="R98" s="262"/>
    </row>
    <row r="99" spans="1:18" ht="20.100000000000001" customHeight="1" x14ac:dyDescent="0.2">
      <c r="A99" s="299"/>
      <c r="B99" s="1025" t="s">
        <v>6</v>
      </c>
      <c r="C99" s="494"/>
      <c r="D99" s="559">
        <f t="array" ref="D99">IFERROR(INDEX(df_echn!$F$2:$M$100, MATCH(1, (A$2 = df_echn!$C$2:$C$100) * (df_echn!$E$2:$E$100 = $B99) * (df_echn!$D$2:$D$100 = "50% or more"), 0), MATCH("r", df_echn!$F$1:$M$1,0)),0)</f>
        <v>0</v>
      </c>
      <c r="E99" s="553">
        <f t="array" ref="E99">IFERROR(INDEX(df_echn!$F$2:$M$100, MATCH(1, (B$2 = df_echn!$C$2:$C$100) * (df_echn!$E$2:$E$100 = $B99) * (df_echn!$D$2:$D$100 = "50% or more"), 0), MATCH("r", df_echn!$F$1:$M$1,0)),0)</f>
        <v>0</v>
      </c>
      <c r="F99" s="554">
        <f t="array" ref="F99">IFERROR(INDEX(df_echn!$F$2:$M$100, MATCH(1, (C$2 = df_echn!$C$2:$C$100) * (df_echn!$E$2:$E$100 = $B99) * (df_echn!$D$2:$D$100 = "50% or more"), 0), MATCH("r", df_echn!$F$1:$M$1,0)),0)</f>
        <v>0</v>
      </c>
      <c r="N99" s="1"/>
      <c r="P99" s="262"/>
      <c r="Q99" s="262"/>
      <c r="R99" s="262"/>
    </row>
    <row r="100" spans="1:18" ht="20.100000000000001" customHeight="1" x14ac:dyDescent="0.2">
      <c r="A100" s="299"/>
      <c r="B100" s="1023"/>
      <c r="D100" s="239"/>
      <c r="E100" s="239"/>
      <c r="F100" s="239"/>
      <c r="N100" s="1"/>
      <c r="P100" s="262"/>
      <c r="Q100" s="262"/>
      <c r="R100" s="262"/>
    </row>
    <row r="101" spans="1:18" ht="30" customHeight="1" x14ac:dyDescent="0.2">
      <c r="B101" s="175" t="s">
        <v>1217</v>
      </c>
      <c r="C101" s="310"/>
      <c r="D101" s="310"/>
      <c r="E101" s="310"/>
      <c r="F101" s="310"/>
      <c r="G101" s="310"/>
      <c r="H101" s="310"/>
      <c r="I101" s="310"/>
      <c r="J101" s="310"/>
      <c r="K101" s="310"/>
      <c r="L101" s="310"/>
      <c r="M101" s="310"/>
      <c r="N101" s="310"/>
      <c r="O101" s="310"/>
      <c r="P101" s="310"/>
      <c r="Q101" s="310"/>
      <c r="R101" s="310"/>
    </row>
    <row r="102" spans="1:18" ht="20.100000000000001" customHeight="1" x14ac:dyDescent="0.2">
      <c r="A102" s="299"/>
      <c r="B102" s="1"/>
      <c r="D102" s="239"/>
      <c r="E102" s="239"/>
      <c r="F102" s="239"/>
      <c r="N102" s="1"/>
      <c r="P102" s="262"/>
      <c r="Q102" s="262"/>
      <c r="R102" s="262"/>
    </row>
    <row r="103" spans="1:18" ht="20.100000000000001" customHeight="1" x14ac:dyDescent="0.2">
      <c r="A103" s="299"/>
      <c r="B103" s="1243" t="s">
        <v>1218</v>
      </c>
      <c r="C103" s="1243"/>
      <c r="D103" s="1243"/>
      <c r="E103" s="1243"/>
      <c r="F103" s="239"/>
      <c r="G103" s="1243" t="s">
        <v>1218</v>
      </c>
      <c r="H103" s="1243"/>
      <c r="I103" s="1243"/>
      <c r="J103" s="1243"/>
      <c r="L103" s="1033"/>
      <c r="N103" s="1"/>
      <c r="P103" s="262"/>
      <c r="Q103" s="262"/>
      <c r="R103" s="262"/>
    </row>
    <row r="104" spans="1:18" ht="20.100000000000001" customHeight="1" x14ac:dyDescent="0.2">
      <c r="A104" s="299"/>
      <c r="L104" s="1033"/>
      <c r="N104" s="1"/>
      <c r="P104" s="262"/>
      <c r="Q104" s="262"/>
      <c r="R104" s="262"/>
    </row>
    <row r="105" spans="1:18" ht="20.100000000000001" customHeight="1" x14ac:dyDescent="0.2">
      <c r="A105" s="299"/>
      <c r="B105" s="282" t="s">
        <v>415</v>
      </c>
      <c r="C105" s="130" t="s">
        <v>6</v>
      </c>
      <c r="D105" s="246" t="s">
        <v>95</v>
      </c>
      <c r="E105" s="317" t="s">
        <v>96</v>
      </c>
      <c r="G105" s="282" t="s">
        <v>415</v>
      </c>
      <c r="H105" s="130" t="s">
        <v>187</v>
      </c>
      <c r="I105" s="246" t="s">
        <v>188</v>
      </c>
      <c r="J105" s="317" t="s">
        <v>189</v>
      </c>
      <c r="L105" s="1033"/>
      <c r="N105" s="1"/>
      <c r="P105" s="262"/>
      <c r="Q105" s="262"/>
      <c r="R105" s="262"/>
    </row>
    <row r="106" spans="1:18" ht="20.100000000000001" customHeight="1" x14ac:dyDescent="0.2">
      <c r="A106" s="299"/>
      <c r="B106" s="637" t="s">
        <v>409</v>
      </c>
      <c r="C106" s="630" t="str">
        <f t="array" ref="C106:E106">IFERROR(hh!D11:F11,"x")</f>
        <v>x</v>
      </c>
      <c r="D106" s="649" t="str">
        <v>x</v>
      </c>
      <c r="E106" s="631" t="str">
        <v>x</v>
      </c>
      <c r="G106" s="637" t="s">
        <v>409</v>
      </c>
      <c r="H106" s="630" t="str">
        <f t="array" ref="H106:J106">IFERROR(hh!D11:F11,"x")</f>
        <v>x</v>
      </c>
      <c r="I106" s="649" t="str">
        <v>x</v>
      </c>
      <c r="J106" s="631" t="str">
        <v>x</v>
      </c>
      <c r="L106" s="1033"/>
      <c r="N106" s="1"/>
      <c r="P106" s="262"/>
      <c r="Q106" s="262"/>
      <c r="R106" s="262"/>
    </row>
    <row r="107" spans="1:18" ht="20.100000000000001" customHeight="1" x14ac:dyDescent="0.2">
      <c r="A107" s="299"/>
      <c r="B107" s="959" t="s">
        <v>410</v>
      </c>
      <c r="C107" s="1043" t="str">
        <f>IFERROR(IF(J11 = 0, "x", J11), "x")</f>
        <v>x</v>
      </c>
      <c r="D107" s="1044" t="str">
        <f>IFERROR(IF(K11 = 0, "x", K11), "x")</f>
        <v>x</v>
      </c>
      <c r="E107" s="1045" t="str">
        <f>IFERROR(IF(L11 = 0, "x", L11), "x")</f>
        <v>x</v>
      </c>
      <c r="G107" s="959" t="s">
        <v>410</v>
      </c>
      <c r="H107" s="1041" t="str">
        <f>J57</f>
        <v>x</v>
      </c>
      <c r="I107" s="1048" t="str">
        <f>K57</f>
        <v>x</v>
      </c>
      <c r="J107" s="1049" t="str">
        <f>L57</f>
        <v>x</v>
      </c>
      <c r="L107" s="1033"/>
      <c r="N107" s="1"/>
      <c r="P107" s="262"/>
      <c r="Q107" s="262"/>
      <c r="R107" s="262"/>
    </row>
    <row r="108" spans="1:18" ht="20.100000000000001" customHeight="1" x14ac:dyDescent="0.2">
      <c r="A108" s="299"/>
      <c r="B108" s="534" t="s">
        <v>411</v>
      </c>
      <c r="C108" s="1042" t="str">
        <f>IFERROR(IF(P11 = 0, "x", P11), "x")</f>
        <v>x</v>
      </c>
      <c r="D108" s="1046" t="str">
        <f>IFERROR(IF(Q11 = 0, "x", Q11), "x")</f>
        <v>x</v>
      </c>
      <c r="E108" s="1047" t="str">
        <f>IFERROR(IF(R11 = 0, "x", R11), "x")</f>
        <v>x</v>
      </c>
      <c r="G108" s="534" t="s">
        <v>411</v>
      </c>
      <c r="H108" s="543" t="str">
        <f>P57</f>
        <v>x</v>
      </c>
      <c r="I108" s="544" t="str">
        <f>Q57</f>
        <v>x</v>
      </c>
      <c r="J108" s="545" t="str">
        <f>R57</f>
        <v>x</v>
      </c>
      <c r="L108" s="1033"/>
      <c r="N108" s="1"/>
      <c r="P108" s="262"/>
      <c r="Q108" s="262"/>
      <c r="R108" s="262"/>
    </row>
    <row r="109" spans="1:18" ht="20.100000000000001" customHeight="1" x14ac:dyDescent="0.2">
      <c r="A109" s="299"/>
      <c r="B109" s="533" t="s">
        <v>412</v>
      </c>
      <c r="C109" s="1041" t="str">
        <f>IFERROR(IF(J29 = 0, "x", J29), "x")</f>
        <v>x</v>
      </c>
      <c r="D109" s="1048" t="str">
        <f>IFERROR(IF(K29 = 0, "x", K29), "x")</f>
        <v>x</v>
      </c>
      <c r="E109" s="1049" t="str">
        <f>IFERROR(IF(L29 = 0, "x", L29), "x")</f>
        <v>x</v>
      </c>
      <c r="G109" s="533" t="s">
        <v>412</v>
      </c>
      <c r="H109" s="540" t="str">
        <f>J75</f>
        <v>x</v>
      </c>
      <c r="I109" s="541" t="str">
        <f>K75</f>
        <v>x</v>
      </c>
      <c r="J109" s="542" t="str">
        <f>L75</f>
        <v>x</v>
      </c>
      <c r="L109" s="1033"/>
      <c r="N109" s="1"/>
      <c r="P109" s="262"/>
      <c r="Q109" s="262"/>
      <c r="R109" s="262"/>
    </row>
    <row r="110" spans="1:18" ht="20.100000000000001" customHeight="1" x14ac:dyDescent="0.2">
      <c r="A110" s="299"/>
      <c r="B110" s="534" t="s">
        <v>413</v>
      </c>
      <c r="C110" s="543" t="str">
        <f>IFERROR(IF(D48/D47 = 0, "x", D48/D47), "x")</f>
        <v>x</v>
      </c>
      <c r="D110" s="544" t="str">
        <f>IFERROR(IF(E48/E47 = 0, "x", E48/E47), "x")</f>
        <v>x</v>
      </c>
      <c r="E110" s="545" t="str">
        <f>IFERROR(IF(F48/F47 = 0, "x", F48/F47), "x")</f>
        <v>x</v>
      </c>
      <c r="G110" s="534" t="s">
        <v>413</v>
      </c>
      <c r="H110" s="543" t="str">
        <f>IFERROR(D94/D93,"x")</f>
        <v>x</v>
      </c>
      <c r="I110" s="544" t="str">
        <f t="shared" ref="I110:J110" si="0">IFERROR(E94/E93,"x")</f>
        <v>x</v>
      </c>
      <c r="J110" s="545" t="str">
        <f t="shared" si="0"/>
        <v>x</v>
      </c>
      <c r="L110" s="1033"/>
      <c r="N110" s="1"/>
      <c r="P110" s="262"/>
      <c r="Q110" s="262"/>
      <c r="R110" s="262"/>
    </row>
    <row r="111" spans="1:18" ht="20.100000000000001" customHeight="1" x14ac:dyDescent="0.2">
      <c r="A111" s="299"/>
      <c r="B111" s="533" t="s">
        <v>406</v>
      </c>
      <c r="C111" s="1041" t="str">
        <f>IFERROR(IF(P29 = 0, "x", P29), "x")</f>
        <v>x</v>
      </c>
      <c r="D111" s="1048" t="str">
        <f>IFERROR(IF(Q29 = 0, "x", Q29), "x")</f>
        <v>x</v>
      </c>
      <c r="E111" s="1049" t="str">
        <f>IFERROR(IF(R29 = 0, "x", R29), "x")</f>
        <v>x</v>
      </c>
      <c r="G111" s="533" t="s">
        <v>406</v>
      </c>
      <c r="H111" s="540" t="str">
        <f>P75</f>
        <v>x</v>
      </c>
      <c r="I111" s="541" t="str">
        <f>Q75</f>
        <v>x</v>
      </c>
      <c r="J111" s="542" t="str">
        <f>R75</f>
        <v>x</v>
      </c>
      <c r="L111" s="1033"/>
      <c r="N111" s="1"/>
      <c r="P111" s="262"/>
      <c r="Q111" s="262"/>
      <c r="R111" s="262"/>
    </row>
    <row r="112" spans="1:18" ht="20.100000000000001" customHeight="1" x14ac:dyDescent="0.2">
      <c r="A112" s="299"/>
      <c r="B112" s="536" t="s">
        <v>414</v>
      </c>
      <c r="C112" s="549" t="str">
        <f>IFERROR(IF(D50/D49 = 0, "x", D50/D49), "x")</f>
        <v>x</v>
      </c>
      <c r="D112" s="550" t="str">
        <f>IFERROR(IF(E50/E49 = 0, "x", E50/E49), "x")</f>
        <v>x</v>
      </c>
      <c r="E112" s="551" t="str">
        <f>IFERROR(IF(F50/F49 = 0, "x", F50/F49), "x")</f>
        <v>x</v>
      </c>
      <c r="G112" s="536" t="s">
        <v>414</v>
      </c>
      <c r="H112" s="549" t="str">
        <f>IFERROR(D96/D95,"x")</f>
        <v>x</v>
      </c>
      <c r="I112" s="550" t="str">
        <f>IFERROR(E96/E95,"x")</f>
        <v>x</v>
      </c>
      <c r="J112" s="551" t="str">
        <f>IFERROR(F96/F95,"x")</f>
        <v>x</v>
      </c>
      <c r="L112" s="1033"/>
      <c r="N112" s="1"/>
      <c r="P112" s="262"/>
      <c r="Q112" s="262"/>
      <c r="R112" s="262"/>
    </row>
    <row r="113" spans="1:24" ht="20.100000000000001" customHeight="1" x14ac:dyDescent="0.2">
      <c r="A113" s="299"/>
      <c r="B113" s="1"/>
      <c r="D113" s="239"/>
      <c r="E113" s="239"/>
      <c r="F113" s="239"/>
      <c r="H113" s="1"/>
      <c r="J113" s="262"/>
      <c r="K113" s="262"/>
      <c r="L113" s="262"/>
      <c r="N113" s="1"/>
      <c r="P113" s="262"/>
      <c r="Q113" s="262"/>
      <c r="R113" s="262"/>
    </row>
    <row r="114" spans="1:24" ht="20.100000000000001" customHeight="1" x14ac:dyDescent="0.2">
      <c r="A114" s="299"/>
      <c r="B114" s="1"/>
      <c r="D114" s="239"/>
      <c r="E114" s="239"/>
      <c r="F114" s="239"/>
      <c r="H114" s="1"/>
      <c r="J114" s="262"/>
      <c r="K114" s="262"/>
      <c r="L114" s="262"/>
      <c r="N114" s="1"/>
      <c r="P114" s="262"/>
      <c r="Q114" s="262"/>
      <c r="R114" s="262"/>
    </row>
    <row r="115" spans="1:24" ht="50.1" customHeight="1" x14ac:dyDescent="0.2">
      <c r="B115" s="159" t="s">
        <v>1225</v>
      </c>
      <c r="C115" s="59"/>
      <c r="D115" s="59"/>
      <c r="E115" s="59"/>
      <c r="F115" s="59"/>
      <c r="G115" s="59"/>
      <c r="H115" s="59"/>
      <c r="I115" s="59"/>
      <c r="J115" s="59"/>
      <c r="K115" s="59"/>
      <c r="L115" s="59"/>
      <c r="M115" s="59"/>
      <c r="N115" s="59"/>
      <c r="O115" s="59"/>
      <c r="P115" s="59"/>
      <c r="Q115" s="59"/>
      <c r="R115" s="59"/>
      <c r="S115" s="59"/>
      <c r="T115" s="59"/>
      <c r="U115" s="59"/>
      <c r="V115" s="59"/>
      <c r="W115" s="59"/>
      <c r="X115" s="59"/>
    </row>
    <row r="116" spans="1:24" ht="20.100000000000001" customHeight="1" x14ac:dyDescent="0.2">
      <c r="A116" s="299"/>
      <c r="B116" s="1"/>
      <c r="D116" s="239"/>
      <c r="E116" s="239"/>
      <c r="F116" s="239"/>
      <c r="H116" s="1"/>
      <c r="J116" s="262"/>
      <c r="K116" s="262"/>
      <c r="L116" s="262"/>
      <c r="N116" s="1"/>
      <c r="P116" s="262"/>
      <c r="Q116" s="262"/>
      <c r="R116" s="262"/>
    </row>
    <row r="117" spans="1:24" ht="30" customHeight="1" x14ac:dyDescent="0.2">
      <c r="B117" s="175" t="s">
        <v>1223</v>
      </c>
      <c r="C117" s="310"/>
      <c r="D117" s="310"/>
      <c r="E117" s="310"/>
      <c r="F117" s="310"/>
      <c r="G117" s="310"/>
      <c r="H117" s="310"/>
      <c r="I117" s="310"/>
      <c r="J117" s="310"/>
      <c r="K117" s="310"/>
      <c r="L117" s="310"/>
      <c r="M117" s="310"/>
      <c r="N117" s="310"/>
      <c r="O117" s="310"/>
      <c r="P117" s="310"/>
      <c r="Q117" s="310"/>
      <c r="R117" s="310"/>
      <c r="S117" s="310"/>
      <c r="T117" s="310"/>
      <c r="U117" s="310"/>
      <c r="V117" s="310"/>
      <c r="W117" s="310"/>
      <c r="X117" s="310"/>
    </row>
    <row r="118" spans="1:24" ht="20.100000000000001" customHeight="1" x14ac:dyDescent="0.2">
      <c r="A118" s="299"/>
      <c r="B118" s="1"/>
      <c r="D118" s="239"/>
      <c r="E118" s="239"/>
      <c r="F118" s="239"/>
      <c r="H118" s="1"/>
      <c r="J118" s="262"/>
      <c r="K118" s="262"/>
      <c r="L118" s="262"/>
      <c r="N118" s="1"/>
      <c r="P118" s="262"/>
      <c r="Q118" s="262"/>
      <c r="R118" s="262"/>
    </row>
    <row r="119" spans="1:24" ht="20.100000000000001" customHeight="1" x14ac:dyDescent="0.2">
      <c r="A119" s="299"/>
      <c r="B119" s="1240" t="s">
        <v>416</v>
      </c>
      <c r="C119" s="1240"/>
      <c r="D119" s="1240"/>
      <c r="E119" s="1240"/>
      <c r="F119" s="1240"/>
      <c r="H119" s="1240" t="s">
        <v>417</v>
      </c>
      <c r="I119" s="1240"/>
      <c r="J119" s="1240"/>
      <c r="K119" s="1240"/>
      <c r="L119" s="1240"/>
      <c r="N119" s="1240" t="s">
        <v>418</v>
      </c>
      <c r="O119" s="1240"/>
      <c r="P119" s="1240"/>
      <c r="Q119" s="1240"/>
      <c r="R119" s="1240"/>
      <c r="T119" s="1240" t="s">
        <v>434</v>
      </c>
      <c r="U119" s="1240"/>
      <c r="V119" s="1240"/>
      <c r="W119" s="1240"/>
      <c r="X119" s="1240"/>
    </row>
    <row r="120" spans="1:24" ht="20.100000000000001" customHeight="1" x14ac:dyDescent="0.2">
      <c r="A120" s="299"/>
      <c r="B120" s="299"/>
      <c r="C120" s="299"/>
      <c r="D120" s="299"/>
      <c r="E120" s="299"/>
      <c r="F120" s="299"/>
      <c r="G120" s="299"/>
      <c r="H120" s="299"/>
      <c r="I120" s="299"/>
      <c r="J120" s="299"/>
      <c r="K120" s="299"/>
      <c r="L120" s="299"/>
      <c r="M120" s="299"/>
      <c r="N120" s="299"/>
      <c r="O120" s="299"/>
      <c r="P120" s="299"/>
      <c r="Q120" s="299"/>
      <c r="R120" s="299"/>
      <c r="S120" s="299"/>
      <c r="T120" s="299"/>
      <c r="U120" s="299"/>
      <c r="V120" s="299"/>
      <c r="W120" s="299"/>
      <c r="X120" s="299"/>
    </row>
    <row r="121" spans="1:24" ht="20.100000000000001" customHeight="1" x14ac:dyDescent="0.2">
      <c r="A121" s="299"/>
      <c r="B121" s="206" t="s">
        <v>478</v>
      </c>
      <c r="C121" s="72"/>
      <c r="D121" s="128" t="s">
        <v>6</v>
      </c>
      <c r="E121" s="117" t="s">
        <v>95</v>
      </c>
      <c r="F121" s="302" t="s">
        <v>96</v>
      </c>
      <c r="H121" s="206" t="s">
        <v>478</v>
      </c>
      <c r="I121" s="72"/>
      <c r="J121" s="128" t="s">
        <v>6</v>
      </c>
      <c r="K121" s="117" t="s">
        <v>95</v>
      </c>
      <c r="L121" s="302" t="s">
        <v>96</v>
      </c>
      <c r="N121" s="206" t="s">
        <v>478</v>
      </c>
      <c r="O121" s="72"/>
      <c r="P121" s="128" t="s">
        <v>6</v>
      </c>
      <c r="Q121" s="117" t="s">
        <v>95</v>
      </c>
      <c r="R121" s="302" t="s">
        <v>96</v>
      </c>
      <c r="T121" s="206" t="s">
        <v>478</v>
      </c>
      <c r="U121" s="72"/>
      <c r="V121" s="128" t="s">
        <v>6</v>
      </c>
      <c r="W121" s="117" t="s">
        <v>95</v>
      </c>
      <c r="X121" s="302" t="s">
        <v>96</v>
      </c>
    </row>
    <row r="122" spans="1:24" ht="20.100000000000001" customHeight="1" x14ac:dyDescent="0.2">
      <c r="A122" s="299"/>
      <c r="B122" s="570" t="s">
        <v>384</v>
      </c>
      <c r="C122" s="493"/>
      <c r="D122" s="555">
        <f t="array" ref="D122">IFERROR(INDEX(df_chn_hart!$D$2:$H$1000, MATCH(1, ($A$2 = df_chn_hart!$A$2:$A$1000) * (df_chn_hart!$B$2:$B$1000 = $B122) * (df_chn_hart!$C$2:$C$1000 = "Total private households"), 0), MATCH(D$121, df_chn_hart!$D$1:$H$1, 0)),0)</f>
        <v>0</v>
      </c>
      <c r="E122" s="555">
        <f t="array" ref="E122">IFERROR(INDEX(df_chn_hart!$D$2:$H$1000, MATCH(1, ($A$2 = df_chn_hart!$A$2:$A$1000) * (df_chn_hart!$B$2:$B$1000 = $B122) * (df_chn_hart!$C$2:$C$1000 = "Total private households"), 0), MATCH(E$121, df_chn_hart!$D$1:$H$1, 0)),0)</f>
        <v>0</v>
      </c>
      <c r="F122" s="556">
        <f t="array" ref="F122">IFERROR(INDEX(df_chn_hart!$D$2:$H$1000, MATCH(1, ($A$2 = df_chn_hart!$A$2:$A$1000) * (df_chn_hart!$B$2:$B$1000 = $B122) * (df_chn_hart!$C$2:$C$1000 = "Total private households"), 0), MATCH(F$121, df_chn_hart!$D$1:$H$1, 0)),0)</f>
        <v>0</v>
      </c>
      <c r="H122" s="570" t="s">
        <v>384</v>
      </c>
      <c r="I122" s="493"/>
      <c r="J122" s="555">
        <f t="array" ref="J122">IFERROR(INDEX(df_chn_hart!$D$2:$H$1000, MATCH(1, ($A$2 = df_chn_hart!$A$2:$A$1000) * (df_chn_hart!$B$2:$B$1000 = $B122) * (df_chn_hart!$C$2:$C$1000 = "Examined CHN"), 0), MATCH(J$121, df_chn_hart!$D$1:$H$1, 0)),0)</f>
        <v>0</v>
      </c>
      <c r="K122" s="555">
        <f t="array" ref="K122">IFERROR(INDEX(df_chn_hart!$D$2:$H$1000, MATCH(1, ($A$2 = df_chn_hart!$A$2:$A$1000) * (df_chn_hart!$B$2:$B$1000 = $B122) * (df_chn_hart!$C$2:$C$1000 = "Examined CHN"), 0), MATCH(K$121, df_chn_hart!$D$1:$H$1, 0)),0)</f>
        <v>0</v>
      </c>
      <c r="L122" s="556">
        <f t="array" ref="L122">IFERROR(INDEX(df_chn_hart!$D$2:$H$1000, MATCH(1, ($A$2 = df_chn_hart!$A$2:$A$1000) * (df_chn_hart!$B$2:$B$1000 = $B122) * (df_chn_hart!$C$2:$C$1000 = "Examined CHN"), 0), MATCH(L$121, df_chn_hart!$D$1:$H$1, 0)),0)</f>
        <v>0</v>
      </c>
      <c r="N122" s="570" t="s">
        <v>384</v>
      </c>
      <c r="O122" s="493"/>
      <c r="P122" s="555">
        <f t="array" ref="P122">IFERROR(INDEX(df_chn_hart!$D$2:$H$1000, MATCH(1, ($A$2 = df_chn_hart!$A$2:$A$1000) * (df_chn_hart!$B$2:$B$1000 = $B122) * (df_chn_hart!$C$2:$C$1000 = "In CHN"), 0), MATCH(P$121, df_chn_hart!$D$1:$H$1, 0)),0)</f>
        <v>0</v>
      </c>
      <c r="Q122" s="555">
        <f t="array" ref="Q122">IFERROR(INDEX(df_chn_hart!$D$2:$H$1000, MATCH(1, ($A$2 = df_chn_hart!$A$2:$A$1000) * (df_chn_hart!$B$2:$B$1000 = $B122) * (df_chn_hart!$C$2:$C$1000 = "In CHN"), 0), MATCH(Q$121, df_chn_hart!$D$1:$H$1, 0)),0)</f>
        <v>0</v>
      </c>
      <c r="R122" s="556">
        <f t="array" ref="R122">IFERROR(INDEX(df_chn_hart!$D$2:$H$1000, MATCH(1, ($A$2 = df_chn_hart!$A$2:$A$1000) * (df_chn_hart!$B$2:$B$1000 = $B122) * (df_chn_hart!$C$2:$C$1000 = "In CHN"), 0), MATCH(R$121, df_chn_hart!$D$1:$H$1, 0)),0)</f>
        <v>0</v>
      </c>
      <c r="T122" s="570" t="s">
        <v>384</v>
      </c>
      <c r="U122" s="493"/>
      <c r="V122" s="589" t="str">
        <f>IFERROR(IF(P122/J122 = 0, "x",P122/J122), "x")</f>
        <v>x</v>
      </c>
      <c r="W122" s="589" t="str">
        <f t="shared" ref="W122:X122" si="1">IFERROR(IF(Q122/K122 = 0, "x",Q122/K122), "x")</f>
        <v>x</v>
      </c>
      <c r="X122" s="502" t="str">
        <f t="shared" si="1"/>
        <v>x</v>
      </c>
    </row>
    <row r="123" spans="1:24" ht="20.100000000000001" customHeight="1" x14ac:dyDescent="0.2">
      <c r="A123" s="299"/>
      <c r="B123" s="84" t="s">
        <v>386</v>
      </c>
      <c r="C123" s="173"/>
      <c r="D123" s="239">
        <f t="array" ref="D123">IFERROR(INDEX(df_chn_hart!$D$2:$H$1000, MATCH(1, ($A$2 = df_chn_hart!$A$2:$A$1000) * (df_chn_hart!$B$2:$B$1000 = $B123) * (df_chn_hart!$C$2:$C$1000 = "Total private households"), 0), MATCH(D$121, df_chn_hart!$D$1:$H$1, 0)),0)</f>
        <v>0</v>
      </c>
      <c r="E123" s="239">
        <f t="array" ref="E123">IFERROR(INDEX(df_chn_hart!$D$2:$H$1000, MATCH(1, ($A$2 = df_chn_hart!$A$2:$A$1000) * (df_chn_hart!$B$2:$B$1000 = $B123) * (df_chn_hart!$C$2:$C$1000 = "Total private households"), 0), MATCH(E$121, df_chn_hart!$D$1:$H$1, 0)),0)</f>
        <v>0</v>
      </c>
      <c r="F123" s="552">
        <f t="array" ref="F123">IFERROR(INDEX(df_chn_hart!$D$2:$H$1000, MATCH(1, ($A$2 = df_chn_hart!$A$2:$A$1000) * (df_chn_hart!$B$2:$B$1000 = $B123) * (df_chn_hart!$C$2:$C$1000 = "Total private households"), 0), MATCH(F$121, df_chn_hart!$D$1:$H$1, 0)),0)</f>
        <v>0</v>
      </c>
      <c r="H123" s="84" t="s">
        <v>386</v>
      </c>
      <c r="I123" s="173"/>
      <c r="J123" s="239">
        <f t="array" ref="J123">IFERROR(INDEX(df_chn_hart!$D$2:$H$1000, MATCH(1, ($A$2 = df_chn_hart!$A$2:$A$1000) * (df_chn_hart!$B$2:$B$1000 = $B123) * (df_chn_hart!$C$2:$C$1000 = "Examined CHN"), 0), MATCH(J$121, df_chn_hart!$D$1:$H$1, 0)),0)</f>
        <v>0</v>
      </c>
      <c r="K123" s="239">
        <f t="array" ref="K123">IFERROR(INDEX(df_chn_hart!$D$2:$H$1000, MATCH(1, ($A$2 = df_chn_hart!$A$2:$A$1000) * (df_chn_hart!$B$2:$B$1000 = $B123) * (df_chn_hart!$C$2:$C$1000 = "Examined CHN"), 0), MATCH(K$121, df_chn_hart!$D$1:$H$1, 0)),0)</f>
        <v>0</v>
      </c>
      <c r="L123" s="552">
        <f t="array" ref="L123">IFERROR(INDEX(df_chn_hart!$D$2:$H$1000, MATCH(1, ($A$2 = df_chn_hart!$A$2:$A$1000) * (df_chn_hart!$B$2:$B$1000 = $B123) * (df_chn_hart!$C$2:$C$1000 = "Examined CHN"), 0), MATCH(L$121, df_chn_hart!$D$1:$H$1, 0)),0)</f>
        <v>0</v>
      </c>
      <c r="N123" s="84" t="s">
        <v>386</v>
      </c>
      <c r="O123" s="173"/>
      <c r="P123" s="239">
        <f t="array" ref="P123">IFERROR(INDEX(df_chn_hart!$D$2:$H$1000, MATCH(1, ($A$2 = df_chn_hart!$A$2:$A$1000) * (df_chn_hart!$B$2:$B$1000 = $B123) * (df_chn_hart!$C$2:$C$1000 = "In CHN"), 0), MATCH(P$121, df_chn_hart!$D$1:$H$1, 0)),0)</f>
        <v>0</v>
      </c>
      <c r="Q123" s="239">
        <f t="array" ref="Q123">IFERROR(INDEX(df_chn_hart!$D$2:$H$1000, MATCH(1, ($A$2 = df_chn_hart!$A$2:$A$1000) * (df_chn_hart!$B$2:$B$1000 = $B123) * (df_chn_hart!$C$2:$C$1000 = "In CHN"), 0), MATCH(Q$121, df_chn_hart!$D$1:$H$1, 0)),0)</f>
        <v>0</v>
      </c>
      <c r="R123" s="552">
        <f t="array" ref="R123">IFERROR(INDEX(df_chn_hart!$D$2:$H$1000, MATCH(1, ($A$2 = df_chn_hart!$A$2:$A$1000) * (df_chn_hart!$B$2:$B$1000 = $B123) * (df_chn_hart!$C$2:$C$1000 = "In CHN"), 0), MATCH(R$121, df_chn_hart!$D$1:$H$1, 0)),0)</f>
        <v>0</v>
      </c>
      <c r="T123" s="84" t="s">
        <v>386</v>
      </c>
      <c r="U123" s="173"/>
      <c r="V123" s="591" t="str">
        <f t="shared" ref="V123:V139" si="2">IFERROR(IF(P123/J123 = 0, "x",P123/J123), "x")</f>
        <v>x</v>
      </c>
      <c r="W123" s="591" t="str">
        <f t="shared" ref="W123:W139" si="3">IFERROR(IF(Q123/K123 = 0, "x",Q123/K123), "x")</f>
        <v>x</v>
      </c>
      <c r="X123" s="503" t="str">
        <f t="shared" ref="X123:X139" si="4">IFERROR(IF(R123/L123 = 0, "x",R123/L123), "x")</f>
        <v>x</v>
      </c>
    </row>
    <row r="124" spans="1:24" ht="20.100000000000001" customHeight="1" x14ac:dyDescent="0.2">
      <c r="A124" s="299"/>
      <c r="B124" s="84" t="s">
        <v>387</v>
      </c>
      <c r="C124" s="173"/>
      <c r="D124" s="239">
        <f t="array" ref="D124">IFERROR(INDEX(df_chn_hart!$D$2:$H$1000, MATCH(1, ($A$2 = df_chn_hart!$A$2:$A$1000) * (df_chn_hart!$B$2:$B$1000 = $B124) * (df_chn_hart!$C$2:$C$1000 = "Total private households"), 0), MATCH(D$121, df_chn_hart!$D$1:$H$1, 0)),0)</f>
        <v>0</v>
      </c>
      <c r="E124" s="239">
        <f t="array" ref="E124">IFERROR(INDEX(df_chn_hart!$D$2:$H$1000, MATCH(1, ($A$2 = df_chn_hart!$A$2:$A$1000) * (df_chn_hart!$B$2:$B$1000 = $B124) * (df_chn_hart!$C$2:$C$1000 = "Total private households"), 0), MATCH(E$121, df_chn_hart!$D$1:$H$1, 0)),0)</f>
        <v>0</v>
      </c>
      <c r="F124" s="552">
        <f t="array" ref="F124">IFERROR(INDEX(df_chn_hart!$D$2:$H$1000, MATCH(1, ($A$2 = df_chn_hart!$A$2:$A$1000) * (df_chn_hart!$B$2:$B$1000 = $B124) * (df_chn_hart!$C$2:$C$1000 = "Total private households"), 0), MATCH(F$121, df_chn_hart!$D$1:$H$1, 0)),0)</f>
        <v>0</v>
      </c>
      <c r="H124" s="84" t="s">
        <v>387</v>
      </c>
      <c r="I124" s="173"/>
      <c r="J124" s="239">
        <f t="array" ref="J124">IFERROR(INDEX(df_chn_hart!$D$2:$H$1000, MATCH(1, ($A$2 = df_chn_hart!$A$2:$A$1000) * (df_chn_hart!$B$2:$B$1000 = $B124) * (df_chn_hart!$C$2:$C$1000 = "Examined CHN"), 0), MATCH(J$121, df_chn_hart!$D$1:$H$1, 0)),0)</f>
        <v>0</v>
      </c>
      <c r="K124" s="239">
        <f t="array" ref="K124">IFERROR(INDEX(df_chn_hart!$D$2:$H$1000, MATCH(1, ($A$2 = df_chn_hart!$A$2:$A$1000) * (df_chn_hart!$B$2:$B$1000 = $B124) * (df_chn_hart!$C$2:$C$1000 = "Examined CHN"), 0), MATCH(K$121, df_chn_hart!$D$1:$H$1, 0)),0)</f>
        <v>0</v>
      </c>
      <c r="L124" s="552">
        <f t="array" ref="L124">IFERROR(INDEX(df_chn_hart!$D$2:$H$1000, MATCH(1, ($A$2 = df_chn_hart!$A$2:$A$1000) * (df_chn_hart!$B$2:$B$1000 = $B124) * (df_chn_hart!$C$2:$C$1000 = "Examined CHN"), 0), MATCH(L$121, df_chn_hart!$D$1:$H$1, 0)),0)</f>
        <v>0</v>
      </c>
      <c r="N124" s="84" t="s">
        <v>387</v>
      </c>
      <c r="O124" s="173"/>
      <c r="P124" s="239">
        <f t="array" ref="P124">IFERROR(INDEX(df_chn_hart!$D$2:$H$1000, MATCH(1, ($A$2 = df_chn_hart!$A$2:$A$1000) * (df_chn_hart!$B$2:$B$1000 = $B124) * (df_chn_hart!$C$2:$C$1000 = "In CHN"), 0), MATCH(P$121, df_chn_hart!$D$1:$H$1, 0)),0)</f>
        <v>0</v>
      </c>
      <c r="Q124" s="239">
        <f t="array" ref="Q124">IFERROR(INDEX(df_chn_hart!$D$2:$H$1000, MATCH(1, ($A$2 = df_chn_hart!$A$2:$A$1000) * (df_chn_hart!$B$2:$B$1000 = $B124) * (df_chn_hart!$C$2:$C$1000 = "In CHN"), 0), MATCH(Q$121, df_chn_hart!$D$1:$H$1, 0)),0)</f>
        <v>0</v>
      </c>
      <c r="R124" s="552">
        <f t="array" ref="R124">IFERROR(INDEX(df_chn_hart!$D$2:$H$1000, MATCH(1, ($A$2 = df_chn_hart!$A$2:$A$1000) * (df_chn_hart!$B$2:$B$1000 = $B124) * (df_chn_hart!$C$2:$C$1000 = "In CHN"), 0), MATCH(R$121, df_chn_hart!$D$1:$H$1, 0)),0)</f>
        <v>0</v>
      </c>
      <c r="T124" s="84" t="s">
        <v>387</v>
      </c>
      <c r="U124" s="173"/>
      <c r="V124" s="591" t="str">
        <f t="shared" si="2"/>
        <v>x</v>
      </c>
      <c r="W124" s="591" t="str">
        <f t="shared" si="3"/>
        <v>x</v>
      </c>
      <c r="X124" s="503" t="str">
        <f t="shared" si="4"/>
        <v>x</v>
      </c>
    </row>
    <row r="125" spans="1:24" ht="20.100000000000001" customHeight="1" x14ac:dyDescent="0.2">
      <c r="B125" s="84" t="s">
        <v>388</v>
      </c>
      <c r="C125" s="173"/>
      <c r="D125" s="239">
        <f t="array" ref="D125">IFERROR(INDEX(df_chn_hart!$D$2:$H$1000, MATCH(1, ($A$2 = df_chn_hart!$A$2:$A$1000) * (df_chn_hart!$B$2:$B$1000 = $B125) * (df_chn_hart!$C$2:$C$1000 = "Total private households"), 0), MATCH(D$121, df_chn_hart!$D$1:$H$1, 0)),0)</f>
        <v>0</v>
      </c>
      <c r="E125" s="239">
        <f t="array" ref="E125">IFERROR(INDEX(df_chn_hart!$D$2:$H$1000, MATCH(1, ($A$2 = df_chn_hart!$A$2:$A$1000) * (df_chn_hart!$B$2:$B$1000 = $B125) * (df_chn_hart!$C$2:$C$1000 = "Total private households"), 0), MATCH(E$121, df_chn_hart!$D$1:$H$1, 0)),0)</f>
        <v>0</v>
      </c>
      <c r="F125" s="552">
        <f t="array" ref="F125">IFERROR(INDEX(df_chn_hart!$D$2:$H$1000, MATCH(1, ($A$2 = df_chn_hart!$A$2:$A$1000) * (df_chn_hart!$B$2:$B$1000 = $B125) * (df_chn_hart!$C$2:$C$1000 = "Total private households"), 0), MATCH(F$121, df_chn_hart!$D$1:$H$1, 0)),0)</f>
        <v>0</v>
      </c>
      <c r="H125" s="84" t="s">
        <v>388</v>
      </c>
      <c r="I125" s="173"/>
      <c r="J125" s="239">
        <f t="array" ref="J125">IFERROR(INDEX(df_chn_hart!$D$2:$H$1000, MATCH(1, ($A$2 = df_chn_hart!$A$2:$A$1000) * (df_chn_hart!$B$2:$B$1000 = $B125) * (df_chn_hart!$C$2:$C$1000 = "Examined CHN"), 0), MATCH(J$121, df_chn_hart!$D$1:$H$1, 0)),0)</f>
        <v>0</v>
      </c>
      <c r="K125" s="239">
        <f t="array" ref="K125">IFERROR(INDEX(df_chn_hart!$D$2:$H$1000, MATCH(1, ($A$2 = df_chn_hart!$A$2:$A$1000) * (df_chn_hart!$B$2:$B$1000 = $B125) * (df_chn_hart!$C$2:$C$1000 = "Examined CHN"), 0), MATCH(K$121, df_chn_hart!$D$1:$H$1, 0)),0)</f>
        <v>0</v>
      </c>
      <c r="L125" s="552">
        <f t="array" ref="L125">IFERROR(INDEX(df_chn_hart!$D$2:$H$1000, MATCH(1, ($A$2 = df_chn_hart!$A$2:$A$1000) * (df_chn_hart!$B$2:$B$1000 = $B125) * (df_chn_hart!$C$2:$C$1000 = "Examined CHN"), 0), MATCH(L$121, df_chn_hart!$D$1:$H$1, 0)),0)</f>
        <v>0</v>
      </c>
      <c r="N125" s="84" t="s">
        <v>388</v>
      </c>
      <c r="O125" s="173"/>
      <c r="P125" s="239">
        <f t="array" ref="P125">IFERROR(INDEX(df_chn_hart!$D$2:$H$1000, MATCH(1, ($A$2 = df_chn_hart!$A$2:$A$1000) * (df_chn_hart!$B$2:$B$1000 = $B125) * (df_chn_hart!$C$2:$C$1000 = "In CHN"), 0), MATCH(P$121, df_chn_hart!$D$1:$H$1, 0)),0)</f>
        <v>0</v>
      </c>
      <c r="Q125" s="239">
        <f t="array" ref="Q125">IFERROR(INDEX(df_chn_hart!$D$2:$H$1000, MATCH(1, ($A$2 = df_chn_hart!$A$2:$A$1000) * (df_chn_hart!$B$2:$B$1000 = $B125) * (df_chn_hart!$C$2:$C$1000 = "In CHN"), 0), MATCH(Q$121, df_chn_hart!$D$1:$H$1, 0)),0)</f>
        <v>0</v>
      </c>
      <c r="R125" s="552">
        <f t="array" ref="R125">IFERROR(INDEX(df_chn_hart!$D$2:$H$1000, MATCH(1, ($A$2 = df_chn_hart!$A$2:$A$1000) * (df_chn_hart!$B$2:$B$1000 = $B125) * (df_chn_hart!$C$2:$C$1000 = "In CHN"), 0), MATCH(R$121, df_chn_hart!$D$1:$H$1, 0)),0)</f>
        <v>0</v>
      </c>
      <c r="T125" s="84" t="s">
        <v>388</v>
      </c>
      <c r="U125" s="173"/>
      <c r="V125" s="591" t="str">
        <f t="shared" si="2"/>
        <v>x</v>
      </c>
      <c r="W125" s="591" t="str">
        <f t="shared" si="3"/>
        <v>x</v>
      </c>
      <c r="X125" s="503" t="str">
        <f t="shared" si="4"/>
        <v>x</v>
      </c>
    </row>
    <row r="126" spans="1:24" ht="20.100000000000001" customHeight="1" x14ac:dyDescent="0.2">
      <c r="B126" s="84" t="s">
        <v>389</v>
      </c>
      <c r="C126" s="173"/>
      <c r="D126" s="239">
        <f t="array" ref="D126">IFERROR(INDEX(df_chn_hart!$D$2:$H$1000, MATCH(1, ($A$2 = df_chn_hart!$A$2:$A$1000) * (df_chn_hart!$B$2:$B$1000 = $B126) * (df_chn_hart!$C$2:$C$1000 = "Total private households"), 0), MATCH(D$121, df_chn_hart!$D$1:$H$1, 0)),0)</f>
        <v>0</v>
      </c>
      <c r="E126" s="239">
        <f t="array" ref="E126">IFERROR(INDEX(df_chn_hart!$D$2:$H$1000, MATCH(1, ($A$2 = df_chn_hart!$A$2:$A$1000) * (df_chn_hart!$B$2:$B$1000 = $B126) * (df_chn_hart!$C$2:$C$1000 = "Total private households"), 0), MATCH(E$121, df_chn_hart!$D$1:$H$1, 0)),0)</f>
        <v>0</v>
      </c>
      <c r="F126" s="552">
        <f t="array" ref="F126">IFERROR(INDEX(df_chn_hart!$D$2:$H$1000, MATCH(1, ($A$2 = df_chn_hart!$A$2:$A$1000) * (df_chn_hart!$B$2:$B$1000 = $B126) * (df_chn_hart!$C$2:$C$1000 = "Total private households"), 0), MATCH(F$121, df_chn_hart!$D$1:$H$1, 0)),0)</f>
        <v>0</v>
      </c>
      <c r="H126" s="84" t="s">
        <v>389</v>
      </c>
      <c r="I126" s="173"/>
      <c r="J126" s="239">
        <f t="array" ref="J126">IFERROR(INDEX(df_chn_hart!$D$2:$H$1000, MATCH(1, ($A$2 = df_chn_hart!$A$2:$A$1000) * (df_chn_hart!$B$2:$B$1000 = $B126) * (df_chn_hart!$C$2:$C$1000 = "Examined CHN"), 0), MATCH(J$121, df_chn_hart!$D$1:$H$1, 0)),0)</f>
        <v>0</v>
      </c>
      <c r="K126" s="239">
        <f t="array" ref="K126">IFERROR(INDEX(df_chn_hart!$D$2:$H$1000, MATCH(1, ($A$2 = df_chn_hart!$A$2:$A$1000) * (df_chn_hart!$B$2:$B$1000 = $B126) * (df_chn_hart!$C$2:$C$1000 = "Examined CHN"), 0), MATCH(K$121, df_chn_hart!$D$1:$H$1, 0)),0)</f>
        <v>0</v>
      </c>
      <c r="L126" s="552">
        <f t="array" ref="L126">IFERROR(INDEX(df_chn_hart!$D$2:$H$1000, MATCH(1, ($A$2 = df_chn_hart!$A$2:$A$1000) * (df_chn_hart!$B$2:$B$1000 = $B126) * (df_chn_hart!$C$2:$C$1000 = "Examined CHN"), 0), MATCH(L$121, df_chn_hart!$D$1:$H$1, 0)),0)</f>
        <v>0</v>
      </c>
      <c r="N126" s="84" t="s">
        <v>389</v>
      </c>
      <c r="O126" s="173"/>
      <c r="P126" s="239">
        <f t="array" ref="P126">IFERROR(INDEX(df_chn_hart!$D$2:$H$1000, MATCH(1, ($A$2 = df_chn_hart!$A$2:$A$1000) * (df_chn_hart!$B$2:$B$1000 = $B126) * (df_chn_hart!$C$2:$C$1000 = "In CHN"), 0), MATCH(P$121, df_chn_hart!$D$1:$H$1, 0)),0)</f>
        <v>0</v>
      </c>
      <c r="Q126" s="239">
        <f t="array" ref="Q126">IFERROR(INDEX(df_chn_hart!$D$2:$H$1000, MATCH(1, ($A$2 = df_chn_hart!$A$2:$A$1000) * (df_chn_hart!$B$2:$B$1000 = $B126) * (df_chn_hart!$C$2:$C$1000 = "In CHN"), 0), MATCH(Q$121, df_chn_hart!$D$1:$H$1, 0)),0)</f>
        <v>0</v>
      </c>
      <c r="R126" s="552">
        <f t="array" ref="R126">IFERROR(INDEX(df_chn_hart!$D$2:$H$1000, MATCH(1, ($A$2 = df_chn_hart!$A$2:$A$1000) * (df_chn_hart!$B$2:$B$1000 = $B126) * (df_chn_hart!$C$2:$C$1000 = "In CHN"), 0), MATCH(R$121, df_chn_hart!$D$1:$H$1, 0)),0)</f>
        <v>0</v>
      </c>
      <c r="T126" s="84" t="s">
        <v>389</v>
      </c>
      <c r="U126" s="173"/>
      <c r="V126" s="591" t="str">
        <f t="shared" si="2"/>
        <v>x</v>
      </c>
      <c r="W126" s="591" t="str">
        <f t="shared" si="3"/>
        <v>x</v>
      </c>
      <c r="X126" s="503" t="str">
        <f t="shared" si="4"/>
        <v>x</v>
      </c>
    </row>
    <row r="127" spans="1:24" ht="20.100000000000001" customHeight="1" x14ac:dyDescent="0.2">
      <c r="B127" s="84" t="s">
        <v>390</v>
      </c>
      <c r="C127" s="173"/>
      <c r="D127" s="239">
        <f t="array" ref="D127">IFERROR(INDEX(df_chn_hart!$D$2:$H$1000, MATCH(1, ($A$2 = df_chn_hart!$A$2:$A$1000) * (df_chn_hart!$B$2:$B$1000 = $B127) * (df_chn_hart!$C$2:$C$1000 = "Total private households"), 0), MATCH(D$121, df_chn_hart!$D$1:$H$1, 0)),0)</f>
        <v>0</v>
      </c>
      <c r="E127" s="239">
        <f t="array" ref="E127">IFERROR(INDEX(df_chn_hart!$D$2:$H$1000, MATCH(1, ($A$2 = df_chn_hart!$A$2:$A$1000) * (df_chn_hart!$B$2:$B$1000 = $B127) * (df_chn_hart!$C$2:$C$1000 = "Total private households"), 0), MATCH(E$121, df_chn_hart!$D$1:$H$1, 0)),0)</f>
        <v>0</v>
      </c>
      <c r="F127" s="552">
        <f t="array" ref="F127">IFERROR(INDEX(df_chn_hart!$D$2:$H$1000, MATCH(1, ($A$2 = df_chn_hart!$A$2:$A$1000) * (df_chn_hart!$B$2:$B$1000 = $B127) * (df_chn_hart!$C$2:$C$1000 = "Total private households"), 0), MATCH(F$121, df_chn_hart!$D$1:$H$1, 0)),0)</f>
        <v>0</v>
      </c>
      <c r="H127" s="84" t="s">
        <v>390</v>
      </c>
      <c r="I127" s="173"/>
      <c r="J127" s="239">
        <f t="array" ref="J127">IFERROR(INDEX(df_chn_hart!$D$2:$H$1000, MATCH(1, ($A$2 = df_chn_hart!$A$2:$A$1000) * (df_chn_hart!$B$2:$B$1000 = $B127) * (df_chn_hart!$C$2:$C$1000 = "Examined CHN"), 0), MATCH(J$121, df_chn_hart!$D$1:$H$1, 0)),0)</f>
        <v>0</v>
      </c>
      <c r="K127" s="239">
        <f t="array" ref="K127">IFERROR(INDEX(df_chn_hart!$D$2:$H$1000, MATCH(1, ($A$2 = df_chn_hart!$A$2:$A$1000) * (df_chn_hart!$B$2:$B$1000 = $B127) * (df_chn_hart!$C$2:$C$1000 = "Examined CHN"), 0), MATCH(K$121, df_chn_hart!$D$1:$H$1, 0)),0)</f>
        <v>0</v>
      </c>
      <c r="L127" s="552">
        <f t="array" ref="L127">IFERROR(INDEX(df_chn_hart!$D$2:$H$1000, MATCH(1, ($A$2 = df_chn_hart!$A$2:$A$1000) * (df_chn_hart!$B$2:$B$1000 = $B127) * (df_chn_hart!$C$2:$C$1000 = "Examined CHN"), 0), MATCH(L$121, df_chn_hart!$D$1:$H$1, 0)),0)</f>
        <v>0</v>
      </c>
      <c r="N127" s="84" t="s">
        <v>390</v>
      </c>
      <c r="O127" s="173"/>
      <c r="P127" s="239">
        <f t="array" ref="P127">IFERROR(INDEX(df_chn_hart!$D$2:$H$1000, MATCH(1, ($A$2 = df_chn_hart!$A$2:$A$1000) * (df_chn_hart!$B$2:$B$1000 = $B127) * (df_chn_hart!$C$2:$C$1000 = "In CHN"), 0), MATCH(P$121, df_chn_hart!$D$1:$H$1, 0)),0)</f>
        <v>0</v>
      </c>
      <c r="Q127" s="239">
        <f t="array" ref="Q127">IFERROR(INDEX(df_chn_hart!$D$2:$H$1000, MATCH(1, ($A$2 = df_chn_hart!$A$2:$A$1000) * (df_chn_hart!$B$2:$B$1000 = $B127) * (df_chn_hart!$C$2:$C$1000 = "In CHN"), 0), MATCH(Q$121, df_chn_hart!$D$1:$H$1, 0)),0)</f>
        <v>0</v>
      </c>
      <c r="R127" s="552">
        <f t="array" ref="R127">IFERROR(INDEX(df_chn_hart!$D$2:$H$1000, MATCH(1, ($A$2 = df_chn_hart!$A$2:$A$1000) * (df_chn_hart!$B$2:$B$1000 = $B127) * (df_chn_hart!$C$2:$C$1000 = "In CHN"), 0), MATCH(R$121, df_chn_hart!$D$1:$H$1, 0)),0)</f>
        <v>0</v>
      </c>
      <c r="T127" s="84" t="s">
        <v>390</v>
      </c>
      <c r="U127" s="173"/>
      <c r="V127" s="591" t="str">
        <f t="shared" si="2"/>
        <v>x</v>
      </c>
      <c r="W127" s="591" t="str">
        <f t="shared" si="3"/>
        <v>x</v>
      </c>
      <c r="X127" s="503" t="str">
        <f t="shared" si="4"/>
        <v>x</v>
      </c>
    </row>
    <row r="128" spans="1:24" ht="20.100000000000001" customHeight="1" x14ac:dyDescent="0.2">
      <c r="B128" s="84" t="s">
        <v>391</v>
      </c>
      <c r="C128" s="173"/>
      <c r="D128" s="239">
        <f t="array" ref="D128">IFERROR(INDEX(df_chn_hart!$D$2:$H$1000, MATCH(1, ($A$2 = df_chn_hart!$A$2:$A$1000) * (df_chn_hart!$B$2:$B$1000 = $B128) * (df_chn_hart!$C$2:$C$1000 = "Total private households"), 0), MATCH(D$121, df_chn_hart!$D$1:$H$1, 0)),0)</f>
        <v>0</v>
      </c>
      <c r="E128" s="239">
        <f t="array" ref="E128">IFERROR(INDEX(df_chn_hart!$D$2:$H$1000, MATCH(1, ($A$2 = df_chn_hart!$A$2:$A$1000) * (df_chn_hart!$B$2:$B$1000 = $B128) * (df_chn_hart!$C$2:$C$1000 = "Total private households"), 0), MATCH(E$121, df_chn_hart!$D$1:$H$1, 0)),0)</f>
        <v>0</v>
      </c>
      <c r="F128" s="552">
        <f t="array" ref="F128">IFERROR(INDEX(df_chn_hart!$D$2:$H$1000, MATCH(1, ($A$2 = df_chn_hart!$A$2:$A$1000) * (df_chn_hart!$B$2:$B$1000 = $B128) * (df_chn_hart!$C$2:$C$1000 = "Total private households"), 0), MATCH(F$121, df_chn_hart!$D$1:$H$1, 0)),0)</f>
        <v>0</v>
      </c>
      <c r="H128" s="84" t="s">
        <v>391</v>
      </c>
      <c r="I128" s="173"/>
      <c r="J128" s="239">
        <f t="array" ref="J128">IFERROR(INDEX(df_chn_hart!$D$2:$H$1000, MATCH(1, ($A$2 = df_chn_hart!$A$2:$A$1000) * (df_chn_hart!$B$2:$B$1000 = $B128) * (df_chn_hart!$C$2:$C$1000 = "Examined CHN"), 0), MATCH(J$121, df_chn_hart!$D$1:$H$1, 0)),0)</f>
        <v>0</v>
      </c>
      <c r="K128" s="239">
        <f t="array" ref="K128">IFERROR(INDEX(df_chn_hart!$D$2:$H$1000, MATCH(1, ($A$2 = df_chn_hart!$A$2:$A$1000) * (df_chn_hart!$B$2:$B$1000 = $B128) * (df_chn_hart!$C$2:$C$1000 = "Examined CHN"), 0), MATCH(K$121, df_chn_hart!$D$1:$H$1, 0)),0)</f>
        <v>0</v>
      </c>
      <c r="L128" s="552">
        <f t="array" ref="L128">IFERROR(INDEX(df_chn_hart!$D$2:$H$1000, MATCH(1, ($A$2 = df_chn_hart!$A$2:$A$1000) * (df_chn_hart!$B$2:$B$1000 = $B128) * (df_chn_hart!$C$2:$C$1000 = "Examined CHN"), 0), MATCH(L$121, df_chn_hart!$D$1:$H$1, 0)),0)</f>
        <v>0</v>
      </c>
      <c r="N128" s="84" t="s">
        <v>391</v>
      </c>
      <c r="O128" s="173"/>
      <c r="P128" s="239">
        <f t="array" ref="P128">IFERROR(INDEX(df_chn_hart!$D$2:$H$1000, MATCH(1, ($A$2 = df_chn_hart!$A$2:$A$1000) * (df_chn_hart!$B$2:$B$1000 = $B128) * (df_chn_hart!$C$2:$C$1000 = "In CHN"), 0), MATCH(P$121, df_chn_hart!$D$1:$H$1, 0)),0)</f>
        <v>0</v>
      </c>
      <c r="Q128" s="239">
        <f t="array" ref="Q128">IFERROR(INDEX(df_chn_hart!$D$2:$H$1000, MATCH(1, ($A$2 = df_chn_hart!$A$2:$A$1000) * (df_chn_hart!$B$2:$B$1000 = $B128) * (df_chn_hart!$C$2:$C$1000 = "In CHN"), 0), MATCH(Q$121, df_chn_hart!$D$1:$H$1, 0)),0)</f>
        <v>0</v>
      </c>
      <c r="R128" s="552">
        <f t="array" ref="R128">IFERROR(INDEX(df_chn_hart!$D$2:$H$1000, MATCH(1, ($A$2 = df_chn_hart!$A$2:$A$1000) * (df_chn_hart!$B$2:$B$1000 = $B128) * (df_chn_hart!$C$2:$C$1000 = "In CHN"), 0), MATCH(R$121, df_chn_hart!$D$1:$H$1, 0)),0)</f>
        <v>0</v>
      </c>
      <c r="T128" s="84" t="s">
        <v>391</v>
      </c>
      <c r="U128" s="173"/>
      <c r="V128" s="591" t="str">
        <f t="shared" si="2"/>
        <v>x</v>
      </c>
      <c r="W128" s="591" t="str">
        <f t="shared" si="3"/>
        <v>x</v>
      </c>
      <c r="X128" s="503" t="str">
        <f t="shared" si="4"/>
        <v>x</v>
      </c>
    </row>
    <row r="129" spans="1:24" ht="20.100000000000001" customHeight="1" x14ac:dyDescent="0.2">
      <c r="B129" s="84" t="s">
        <v>392</v>
      </c>
      <c r="C129" s="173"/>
      <c r="D129" s="239">
        <f t="array" ref="D129">IFERROR(INDEX(df_chn_hart!$D$2:$H$1000, MATCH(1, ($A$2 = df_chn_hart!$A$2:$A$1000) * (df_chn_hart!$B$2:$B$1000 = $B129) * (df_chn_hart!$C$2:$C$1000 = "Total private households"), 0), MATCH(D$121, df_chn_hart!$D$1:$H$1, 0)),0)</f>
        <v>0</v>
      </c>
      <c r="E129" s="239">
        <f t="array" ref="E129">IFERROR(INDEX(df_chn_hart!$D$2:$H$1000, MATCH(1, ($A$2 = df_chn_hart!$A$2:$A$1000) * (df_chn_hart!$B$2:$B$1000 = $B129) * (df_chn_hart!$C$2:$C$1000 = "Total private households"), 0), MATCH(E$121, df_chn_hart!$D$1:$H$1, 0)),0)</f>
        <v>0</v>
      </c>
      <c r="F129" s="552">
        <f t="array" ref="F129">IFERROR(INDEX(df_chn_hart!$D$2:$H$1000, MATCH(1, ($A$2 = df_chn_hart!$A$2:$A$1000) * (df_chn_hart!$B$2:$B$1000 = $B129) * (df_chn_hart!$C$2:$C$1000 = "Total private households"), 0), MATCH(F$121, df_chn_hart!$D$1:$H$1, 0)),0)</f>
        <v>0</v>
      </c>
      <c r="H129" s="84" t="s">
        <v>392</v>
      </c>
      <c r="I129" s="173"/>
      <c r="J129" s="239">
        <f t="array" ref="J129">IFERROR(INDEX(df_chn_hart!$D$2:$H$1000, MATCH(1, ($A$2 = df_chn_hart!$A$2:$A$1000) * (df_chn_hart!$B$2:$B$1000 = $B129) * (df_chn_hart!$C$2:$C$1000 = "Examined CHN"), 0), MATCH(J$121, df_chn_hart!$D$1:$H$1, 0)),0)</f>
        <v>0</v>
      </c>
      <c r="K129" s="239">
        <f t="array" ref="K129">IFERROR(INDEX(df_chn_hart!$D$2:$H$1000, MATCH(1, ($A$2 = df_chn_hart!$A$2:$A$1000) * (df_chn_hart!$B$2:$B$1000 = $B129) * (df_chn_hart!$C$2:$C$1000 = "Examined CHN"), 0), MATCH(K$121, df_chn_hart!$D$1:$H$1, 0)),0)</f>
        <v>0</v>
      </c>
      <c r="L129" s="552">
        <f t="array" ref="L129">IFERROR(INDEX(df_chn_hart!$D$2:$H$1000, MATCH(1, ($A$2 = df_chn_hart!$A$2:$A$1000) * (df_chn_hart!$B$2:$B$1000 = $B129) * (df_chn_hart!$C$2:$C$1000 = "Examined CHN"), 0), MATCH(L$121, df_chn_hart!$D$1:$H$1, 0)),0)</f>
        <v>0</v>
      </c>
      <c r="N129" s="84" t="s">
        <v>392</v>
      </c>
      <c r="O129" s="173"/>
      <c r="P129" s="239">
        <f t="array" ref="P129">IFERROR(INDEX(df_chn_hart!$D$2:$H$1000, MATCH(1, ($A$2 = df_chn_hart!$A$2:$A$1000) * (df_chn_hart!$B$2:$B$1000 = $B129) * (df_chn_hart!$C$2:$C$1000 = "In CHN"), 0), MATCH(P$121, df_chn_hart!$D$1:$H$1, 0)),0)</f>
        <v>0</v>
      </c>
      <c r="Q129" s="239">
        <f t="array" ref="Q129">IFERROR(INDEX(df_chn_hart!$D$2:$H$1000, MATCH(1, ($A$2 = df_chn_hart!$A$2:$A$1000) * (df_chn_hart!$B$2:$B$1000 = $B129) * (df_chn_hart!$C$2:$C$1000 = "In CHN"), 0), MATCH(Q$121, df_chn_hart!$D$1:$H$1, 0)),0)</f>
        <v>0</v>
      </c>
      <c r="R129" s="552">
        <f t="array" ref="R129">IFERROR(INDEX(df_chn_hart!$D$2:$H$1000, MATCH(1, ($A$2 = df_chn_hart!$A$2:$A$1000) * (df_chn_hart!$B$2:$B$1000 = $B129) * (df_chn_hart!$C$2:$C$1000 = "In CHN"), 0), MATCH(R$121, df_chn_hart!$D$1:$H$1, 0)),0)</f>
        <v>0</v>
      </c>
      <c r="T129" s="84" t="s">
        <v>392</v>
      </c>
      <c r="U129" s="173"/>
      <c r="V129" s="591" t="str">
        <f t="shared" si="2"/>
        <v>x</v>
      </c>
      <c r="W129" s="591" t="str">
        <f t="shared" si="3"/>
        <v>x</v>
      </c>
      <c r="X129" s="503" t="str">
        <f t="shared" si="4"/>
        <v>x</v>
      </c>
    </row>
    <row r="130" spans="1:24" ht="20.100000000000001" customHeight="1" x14ac:dyDescent="0.2">
      <c r="B130" s="84" t="s">
        <v>393</v>
      </c>
      <c r="C130" s="173"/>
      <c r="D130" s="239">
        <f t="array" ref="D130">IFERROR(INDEX(df_chn_hart!$D$2:$H$1000, MATCH(1, ($A$2 = df_chn_hart!$A$2:$A$1000) * (df_chn_hart!$B$2:$B$1000 = $B130) * (df_chn_hart!$C$2:$C$1000 = "Total private households"), 0), MATCH(D$121, df_chn_hart!$D$1:$H$1, 0)),0)</f>
        <v>0</v>
      </c>
      <c r="E130" s="239">
        <f t="array" ref="E130">IFERROR(INDEX(df_chn_hart!$D$2:$H$1000, MATCH(1, ($A$2 = df_chn_hart!$A$2:$A$1000) * (df_chn_hart!$B$2:$B$1000 = $B130) * (df_chn_hart!$C$2:$C$1000 = "Total private households"), 0), MATCH(E$121, df_chn_hart!$D$1:$H$1, 0)),0)</f>
        <v>0</v>
      </c>
      <c r="F130" s="552">
        <f t="array" ref="F130">IFERROR(INDEX(df_chn_hart!$D$2:$H$1000, MATCH(1, ($A$2 = df_chn_hart!$A$2:$A$1000) * (df_chn_hart!$B$2:$B$1000 = $B130) * (df_chn_hart!$C$2:$C$1000 = "Total private households"), 0), MATCH(F$121, df_chn_hart!$D$1:$H$1, 0)),0)</f>
        <v>0</v>
      </c>
      <c r="H130" s="84" t="s">
        <v>393</v>
      </c>
      <c r="I130" s="173"/>
      <c r="J130" s="239">
        <f t="array" ref="J130">IFERROR(INDEX(df_chn_hart!$D$2:$H$1000, MATCH(1, ($A$2 = df_chn_hart!$A$2:$A$1000) * (df_chn_hart!$B$2:$B$1000 = $B130) * (df_chn_hart!$C$2:$C$1000 = "Examined CHN"), 0), MATCH(J$121, df_chn_hart!$D$1:$H$1, 0)),0)</f>
        <v>0</v>
      </c>
      <c r="K130" s="239">
        <f t="array" ref="K130">IFERROR(INDEX(df_chn_hart!$D$2:$H$1000, MATCH(1, ($A$2 = df_chn_hart!$A$2:$A$1000) * (df_chn_hart!$B$2:$B$1000 = $B130) * (df_chn_hart!$C$2:$C$1000 = "Examined CHN"), 0), MATCH(K$121, df_chn_hart!$D$1:$H$1, 0)),0)</f>
        <v>0</v>
      </c>
      <c r="L130" s="552">
        <f t="array" ref="L130">IFERROR(INDEX(df_chn_hart!$D$2:$H$1000, MATCH(1, ($A$2 = df_chn_hart!$A$2:$A$1000) * (df_chn_hart!$B$2:$B$1000 = $B130) * (df_chn_hart!$C$2:$C$1000 = "Examined CHN"), 0), MATCH(L$121, df_chn_hart!$D$1:$H$1, 0)),0)</f>
        <v>0</v>
      </c>
      <c r="N130" s="84" t="s">
        <v>393</v>
      </c>
      <c r="O130" s="173"/>
      <c r="P130" s="239">
        <f t="array" ref="P130">IFERROR(INDEX(df_chn_hart!$D$2:$H$1000, MATCH(1, ($A$2 = df_chn_hart!$A$2:$A$1000) * (df_chn_hart!$B$2:$B$1000 = $B130) * (df_chn_hart!$C$2:$C$1000 = "In CHN"), 0), MATCH(P$121, df_chn_hart!$D$1:$H$1, 0)),0)</f>
        <v>0</v>
      </c>
      <c r="Q130" s="239">
        <f t="array" ref="Q130">IFERROR(INDEX(df_chn_hart!$D$2:$H$1000, MATCH(1, ($A$2 = df_chn_hart!$A$2:$A$1000) * (df_chn_hart!$B$2:$B$1000 = $B130) * (df_chn_hart!$C$2:$C$1000 = "In CHN"), 0), MATCH(Q$121, df_chn_hart!$D$1:$H$1, 0)),0)</f>
        <v>0</v>
      </c>
      <c r="R130" s="552">
        <f t="array" ref="R130">IFERROR(INDEX(df_chn_hart!$D$2:$H$1000, MATCH(1, ($A$2 = df_chn_hart!$A$2:$A$1000) * (df_chn_hart!$B$2:$B$1000 = $B130) * (df_chn_hart!$C$2:$C$1000 = "In CHN"), 0), MATCH(R$121, df_chn_hart!$D$1:$H$1, 0)),0)</f>
        <v>0</v>
      </c>
      <c r="T130" s="84" t="s">
        <v>393</v>
      </c>
      <c r="U130" s="173"/>
      <c r="V130" s="591" t="str">
        <f t="shared" si="2"/>
        <v>x</v>
      </c>
      <c r="W130" s="591" t="str">
        <f t="shared" si="3"/>
        <v>x</v>
      </c>
      <c r="X130" s="503" t="str">
        <f t="shared" si="4"/>
        <v>x</v>
      </c>
    </row>
    <row r="131" spans="1:24" ht="20.100000000000001" customHeight="1" x14ac:dyDescent="0.2">
      <c r="B131" s="84" t="s">
        <v>394</v>
      </c>
      <c r="C131" s="173"/>
      <c r="D131" s="239">
        <f t="array" ref="D131">IFERROR(INDEX(df_chn_hart!$D$2:$H$1000, MATCH(1, ($A$2 = df_chn_hart!$A$2:$A$1000) * (df_chn_hart!$B$2:$B$1000 = $B131) * (df_chn_hart!$C$2:$C$1000 = "Total private households"), 0), MATCH(D$121, df_chn_hart!$D$1:$H$1, 0)),0)</f>
        <v>0</v>
      </c>
      <c r="E131" s="239">
        <f t="array" ref="E131">IFERROR(INDEX(df_chn_hart!$D$2:$H$1000, MATCH(1, ($A$2 = df_chn_hart!$A$2:$A$1000) * (df_chn_hart!$B$2:$B$1000 = $B131) * (df_chn_hart!$C$2:$C$1000 = "Total private households"), 0), MATCH(E$121, df_chn_hart!$D$1:$H$1, 0)),0)</f>
        <v>0</v>
      </c>
      <c r="F131" s="552">
        <f t="array" ref="F131">IFERROR(INDEX(df_chn_hart!$D$2:$H$1000, MATCH(1, ($A$2 = df_chn_hart!$A$2:$A$1000) * (df_chn_hart!$B$2:$B$1000 = $B131) * (df_chn_hart!$C$2:$C$1000 = "Total private households"), 0), MATCH(F$121, df_chn_hart!$D$1:$H$1, 0)),0)</f>
        <v>0</v>
      </c>
      <c r="H131" s="84" t="s">
        <v>394</v>
      </c>
      <c r="I131" s="173"/>
      <c r="J131" s="239">
        <f t="array" ref="J131">IFERROR(INDEX(df_chn_hart!$D$2:$H$1000, MATCH(1, ($A$2 = df_chn_hart!$A$2:$A$1000) * (df_chn_hart!$B$2:$B$1000 = $B131) * (df_chn_hart!$C$2:$C$1000 = "Examined CHN"), 0), MATCH(J$121, df_chn_hart!$D$1:$H$1, 0)),0)</f>
        <v>0</v>
      </c>
      <c r="K131" s="239">
        <f t="array" ref="K131">IFERROR(INDEX(df_chn_hart!$D$2:$H$1000, MATCH(1, ($A$2 = df_chn_hart!$A$2:$A$1000) * (df_chn_hart!$B$2:$B$1000 = $B131) * (df_chn_hart!$C$2:$C$1000 = "Examined CHN"), 0), MATCH(K$121, df_chn_hart!$D$1:$H$1, 0)),0)</f>
        <v>0</v>
      </c>
      <c r="L131" s="552">
        <f t="array" ref="L131">IFERROR(INDEX(df_chn_hart!$D$2:$H$1000, MATCH(1, ($A$2 = df_chn_hart!$A$2:$A$1000) * (df_chn_hart!$B$2:$B$1000 = $B131) * (df_chn_hart!$C$2:$C$1000 = "Examined CHN"), 0), MATCH(L$121, df_chn_hart!$D$1:$H$1, 0)),0)</f>
        <v>0</v>
      </c>
      <c r="N131" s="84" t="s">
        <v>394</v>
      </c>
      <c r="O131" s="173"/>
      <c r="P131" s="239">
        <f t="array" ref="P131">IFERROR(INDEX(df_chn_hart!$D$2:$H$1000, MATCH(1, ($A$2 = df_chn_hart!$A$2:$A$1000) * (df_chn_hart!$B$2:$B$1000 = $B131) * (df_chn_hart!$C$2:$C$1000 = "In CHN"), 0), MATCH(P$121, df_chn_hart!$D$1:$H$1, 0)),0)</f>
        <v>0</v>
      </c>
      <c r="Q131" s="239">
        <f t="array" ref="Q131">IFERROR(INDEX(df_chn_hart!$D$2:$H$1000, MATCH(1, ($A$2 = df_chn_hart!$A$2:$A$1000) * (df_chn_hart!$B$2:$B$1000 = $B131) * (df_chn_hart!$C$2:$C$1000 = "In CHN"), 0), MATCH(Q$121, df_chn_hart!$D$1:$H$1, 0)),0)</f>
        <v>0</v>
      </c>
      <c r="R131" s="552">
        <f t="array" ref="R131">IFERROR(INDEX(df_chn_hart!$D$2:$H$1000, MATCH(1, ($A$2 = df_chn_hart!$A$2:$A$1000) * (df_chn_hart!$B$2:$B$1000 = $B131) * (df_chn_hart!$C$2:$C$1000 = "In CHN"), 0), MATCH(R$121, df_chn_hart!$D$1:$H$1, 0)),0)</f>
        <v>0</v>
      </c>
      <c r="T131" s="84" t="s">
        <v>394</v>
      </c>
      <c r="U131" s="173"/>
      <c r="V131" s="591" t="str">
        <f t="shared" si="2"/>
        <v>x</v>
      </c>
      <c r="W131" s="591" t="str">
        <f t="shared" si="3"/>
        <v>x</v>
      </c>
      <c r="X131" s="503" t="str">
        <f t="shared" si="4"/>
        <v>x</v>
      </c>
    </row>
    <row r="132" spans="1:24" ht="20.100000000000001" customHeight="1" x14ac:dyDescent="0.2">
      <c r="B132" s="84" t="s">
        <v>395</v>
      </c>
      <c r="C132" s="173"/>
      <c r="D132" s="239">
        <f t="array" ref="D132">IFERROR(INDEX(df_chn_hart!$D$2:$H$1000, MATCH(1, ($A$2 = df_chn_hart!$A$2:$A$1000) * (df_chn_hart!$B$2:$B$1000 = $B132) * (df_chn_hart!$C$2:$C$1000 = "Total private households"), 0), MATCH(D$121, df_chn_hart!$D$1:$H$1, 0)),0)</f>
        <v>0</v>
      </c>
      <c r="E132" s="239">
        <f t="array" ref="E132">IFERROR(INDEX(df_chn_hart!$D$2:$H$1000, MATCH(1, ($A$2 = df_chn_hart!$A$2:$A$1000) * (df_chn_hart!$B$2:$B$1000 = $B132) * (df_chn_hart!$C$2:$C$1000 = "Total private households"), 0), MATCH(E$121, df_chn_hart!$D$1:$H$1, 0)),0)</f>
        <v>0</v>
      </c>
      <c r="F132" s="552">
        <f t="array" ref="F132">IFERROR(INDEX(df_chn_hart!$D$2:$H$1000, MATCH(1, ($A$2 = df_chn_hart!$A$2:$A$1000) * (df_chn_hart!$B$2:$B$1000 = $B132) * (df_chn_hart!$C$2:$C$1000 = "Total private households"), 0), MATCH(F$121, df_chn_hart!$D$1:$H$1, 0)),0)</f>
        <v>0</v>
      </c>
      <c r="H132" s="84" t="s">
        <v>395</v>
      </c>
      <c r="I132" s="173"/>
      <c r="J132" s="239">
        <f t="array" ref="J132">IFERROR(INDEX(df_chn_hart!$D$2:$H$1000, MATCH(1, ($A$2 = df_chn_hart!$A$2:$A$1000) * (df_chn_hart!$B$2:$B$1000 = $B132) * (df_chn_hart!$C$2:$C$1000 = "Examined CHN"), 0), MATCH(J$121, df_chn_hart!$D$1:$H$1, 0)),0)</f>
        <v>0</v>
      </c>
      <c r="K132" s="239">
        <f t="array" ref="K132">IFERROR(INDEX(df_chn_hart!$D$2:$H$1000, MATCH(1, ($A$2 = df_chn_hart!$A$2:$A$1000) * (df_chn_hart!$B$2:$B$1000 = $B132) * (df_chn_hart!$C$2:$C$1000 = "Examined CHN"), 0), MATCH(K$121, df_chn_hart!$D$1:$H$1, 0)),0)</f>
        <v>0</v>
      </c>
      <c r="L132" s="552">
        <f t="array" ref="L132">IFERROR(INDEX(df_chn_hart!$D$2:$H$1000, MATCH(1, ($A$2 = df_chn_hart!$A$2:$A$1000) * (df_chn_hart!$B$2:$B$1000 = $B132) * (df_chn_hart!$C$2:$C$1000 = "Examined CHN"), 0), MATCH(L$121, df_chn_hart!$D$1:$H$1, 0)),0)</f>
        <v>0</v>
      </c>
      <c r="N132" s="84" t="s">
        <v>395</v>
      </c>
      <c r="O132" s="173"/>
      <c r="P132" s="239">
        <f t="array" ref="P132">IFERROR(INDEX(df_chn_hart!$D$2:$H$1000, MATCH(1, ($A$2 = df_chn_hart!$A$2:$A$1000) * (df_chn_hart!$B$2:$B$1000 = $B132) * (df_chn_hart!$C$2:$C$1000 = "In CHN"), 0), MATCH(P$121, df_chn_hart!$D$1:$H$1, 0)),0)</f>
        <v>0</v>
      </c>
      <c r="Q132" s="239">
        <f t="array" ref="Q132">IFERROR(INDEX(df_chn_hart!$D$2:$H$1000, MATCH(1, ($A$2 = df_chn_hart!$A$2:$A$1000) * (df_chn_hart!$B$2:$B$1000 = $B132) * (df_chn_hart!$C$2:$C$1000 = "In CHN"), 0), MATCH(Q$121, df_chn_hart!$D$1:$H$1, 0)),0)</f>
        <v>0</v>
      </c>
      <c r="R132" s="552">
        <f t="array" ref="R132">IFERROR(INDEX(df_chn_hart!$D$2:$H$1000, MATCH(1, ($A$2 = df_chn_hart!$A$2:$A$1000) * (df_chn_hart!$B$2:$B$1000 = $B132) * (df_chn_hart!$C$2:$C$1000 = "In CHN"), 0), MATCH(R$121, df_chn_hart!$D$1:$H$1, 0)),0)</f>
        <v>0</v>
      </c>
      <c r="T132" s="84" t="s">
        <v>395</v>
      </c>
      <c r="U132" s="173"/>
      <c r="V132" s="591" t="str">
        <f t="shared" si="2"/>
        <v>x</v>
      </c>
      <c r="W132" s="591" t="str">
        <f t="shared" si="3"/>
        <v>x</v>
      </c>
      <c r="X132" s="503" t="str">
        <f t="shared" si="4"/>
        <v>x</v>
      </c>
    </row>
    <row r="133" spans="1:24" ht="20.100000000000001" customHeight="1" x14ac:dyDescent="0.2">
      <c r="B133" s="84" t="s">
        <v>396</v>
      </c>
      <c r="C133" s="173"/>
      <c r="D133" s="239">
        <f t="array" ref="D133">IFERROR(INDEX(df_chn_hart!$D$2:$H$1000, MATCH(1, ($A$2 = df_chn_hart!$A$2:$A$1000) * (df_chn_hart!$B$2:$B$1000 = $B133) * (df_chn_hart!$C$2:$C$1000 = "Total private households"), 0), MATCH(D$121, df_chn_hart!$D$1:$H$1, 0)),0)</f>
        <v>0</v>
      </c>
      <c r="E133" s="239">
        <f t="array" ref="E133">IFERROR(INDEX(df_chn_hart!$D$2:$H$1000, MATCH(1, ($A$2 = df_chn_hart!$A$2:$A$1000) * (df_chn_hart!$B$2:$B$1000 = $B133) * (df_chn_hart!$C$2:$C$1000 = "Total private households"), 0), MATCH(E$121, df_chn_hart!$D$1:$H$1, 0)),0)</f>
        <v>0</v>
      </c>
      <c r="F133" s="552">
        <f t="array" ref="F133">IFERROR(INDEX(df_chn_hart!$D$2:$H$1000, MATCH(1, ($A$2 = df_chn_hart!$A$2:$A$1000) * (df_chn_hart!$B$2:$B$1000 = $B133) * (df_chn_hart!$C$2:$C$1000 = "Total private households"), 0), MATCH(F$121, df_chn_hart!$D$1:$H$1, 0)),0)</f>
        <v>0</v>
      </c>
      <c r="H133" s="84" t="s">
        <v>396</v>
      </c>
      <c r="I133" s="173"/>
      <c r="J133" s="239">
        <f t="array" ref="J133">IFERROR(INDEX(df_chn_hart!$D$2:$H$1000, MATCH(1, ($A$2 = df_chn_hart!$A$2:$A$1000) * (df_chn_hart!$B$2:$B$1000 = $B133) * (df_chn_hart!$C$2:$C$1000 = "Examined CHN"), 0), MATCH(J$121, df_chn_hart!$D$1:$H$1, 0)),0)</f>
        <v>0</v>
      </c>
      <c r="K133" s="239">
        <f t="array" ref="K133">IFERROR(INDEX(df_chn_hart!$D$2:$H$1000, MATCH(1, ($A$2 = df_chn_hart!$A$2:$A$1000) * (df_chn_hart!$B$2:$B$1000 = $B133) * (df_chn_hart!$C$2:$C$1000 = "Examined CHN"), 0), MATCH(K$121, df_chn_hart!$D$1:$H$1, 0)),0)</f>
        <v>0</v>
      </c>
      <c r="L133" s="552">
        <f t="array" ref="L133">IFERROR(INDEX(df_chn_hart!$D$2:$H$1000, MATCH(1, ($A$2 = df_chn_hart!$A$2:$A$1000) * (df_chn_hart!$B$2:$B$1000 = $B133) * (df_chn_hart!$C$2:$C$1000 = "Examined CHN"), 0), MATCH(L$121, df_chn_hart!$D$1:$H$1, 0)),0)</f>
        <v>0</v>
      </c>
      <c r="N133" s="84" t="s">
        <v>396</v>
      </c>
      <c r="O133" s="173"/>
      <c r="P133" s="239">
        <f t="array" ref="P133">IFERROR(INDEX(df_chn_hart!$D$2:$H$1000, MATCH(1, ($A$2 = df_chn_hart!$A$2:$A$1000) * (df_chn_hart!$B$2:$B$1000 = $B133) * (df_chn_hart!$C$2:$C$1000 = "In CHN"), 0), MATCH(P$121, df_chn_hart!$D$1:$H$1, 0)),0)</f>
        <v>0</v>
      </c>
      <c r="Q133" s="239">
        <f t="array" ref="Q133">IFERROR(INDEX(df_chn_hart!$D$2:$H$1000, MATCH(1, ($A$2 = df_chn_hart!$A$2:$A$1000) * (df_chn_hart!$B$2:$B$1000 = $B133) * (df_chn_hart!$C$2:$C$1000 = "In CHN"), 0), MATCH(Q$121, df_chn_hart!$D$1:$H$1, 0)),0)</f>
        <v>0</v>
      </c>
      <c r="R133" s="552">
        <f t="array" ref="R133">IFERROR(INDEX(df_chn_hart!$D$2:$H$1000, MATCH(1, ($A$2 = df_chn_hart!$A$2:$A$1000) * (df_chn_hart!$B$2:$B$1000 = $B133) * (df_chn_hart!$C$2:$C$1000 = "In CHN"), 0), MATCH(R$121, df_chn_hart!$D$1:$H$1, 0)),0)</f>
        <v>0</v>
      </c>
      <c r="T133" s="84" t="s">
        <v>396</v>
      </c>
      <c r="U133" s="173"/>
      <c r="V133" s="591" t="str">
        <f t="shared" si="2"/>
        <v>x</v>
      </c>
      <c r="W133" s="591" t="str">
        <f t="shared" si="3"/>
        <v>x</v>
      </c>
      <c r="X133" s="503" t="str">
        <f t="shared" si="4"/>
        <v>x</v>
      </c>
    </row>
    <row r="134" spans="1:24" ht="20.100000000000001" customHeight="1" x14ac:dyDescent="0.2">
      <c r="B134" s="84" t="s">
        <v>397</v>
      </c>
      <c r="C134" s="173"/>
      <c r="D134" s="239">
        <f t="array" ref="D134">IFERROR(INDEX(df_chn_hart!$D$2:$H$1000, MATCH(1, ($A$2 = df_chn_hart!$A$2:$A$1000) * (df_chn_hart!$B$2:$B$1000 = $B134) * (df_chn_hart!$C$2:$C$1000 = "Total private households"), 0), MATCH(D$121, df_chn_hart!$D$1:$H$1, 0)),0)</f>
        <v>0</v>
      </c>
      <c r="E134" s="239">
        <f t="array" ref="E134">IFERROR(INDEX(df_chn_hart!$D$2:$H$1000, MATCH(1, ($A$2 = df_chn_hart!$A$2:$A$1000) * (df_chn_hart!$B$2:$B$1000 = $B134) * (df_chn_hart!$C$2:$C$1000 = "Total private households"), 0), MATCH(E$121, df_chn_hart!$D$1:$H$1, 0)),0)</f>
        <v>0</v>
      </c>
      <c r="F134" s="552">
        <f t="array" ref="F134">IFERROR(INDEX(df_chn_hart!$D$2:$H$1000, MATCH(1, ($A$2 = df_chn_hart!$A$2:$A$1000) * (df_chn_hart!$B$2:$B$1000 = $B134) * (df_chn_hart!$C$2:$C$1000 = "Total private households"), 0), MATCH(F$121, df_chn_hart!$D$1:$H$1, 0)),0)</f>
        <v>0</v>
      </c>
      <c r="H134" s="84" t="s">
        <v>397</v>
      </c>
      <c r="I134" s="173"/>
      <c r="J134" s="239">
        <f t="array" ref="J134">IFERROR(INDEX(df_chn_hart!$D$2:$H$1000, MATCH(1, ($A$2 = df_chn_hart!$A$2:$A$1000) * (df_chn_hart!$B$2:$B$1000 = $B134) * (df_chn_hart!$C$2:$C$1000 = "Examined CHN"), 0), MATCH(J$121, df_chn_hart!$D$1:$H$1, 0)),0)</f>
        <v>0</v>
      </c>
      <c r="K134" s="239">
        <f t="array" ref="K134">IFERROR(INDEX(df_chn_hart!$D$2:$H$1000, MATCH(1, ($A$2 = df_chn_hart!$A$2:$A$1000) * (df_chn_hart!$B$2:$B$1000 = $B134) * (df_chn_hart!$C$2:$C$1000 = "Examined CHN"), 0), MATCH(K$121, df_chn_hart!$D$1:$H$1, 0)),0)</f>
        <v>0</v>
      </c>
      <c r="L134" s="552">
        <f t="array" ref="L134">IFERROR(INDEX(df_chn_hart!$D$2:$H$1000, MATCH(1, ($A$2 = df_chn_hart!$A$2:$A$1000) * (df_chn_hart!$B$2:$B$1000 = $B134) * (df_chn_hart!$C$2:$C$1000 = "Examined CHN"), 0), MATCH(L$121, df_chn_hart!$D$1:$H$1, 0)),0)</f>
        <v>0</v>
      </c>
      <c r="N134" s="84" t="s">
        <v>397</v>
      </c>
      <c r="O134" s="173"/>
      <c r="P134" s="239">
        <f t="array" ref="P134">IFERROR(INDEX(df_chn_hart!$D$2:$H$1000, MATCH(1, ($A$2 = df_chn_hart!$A$2:$A$1000) * (df_chn_hart!$B$2:$B$1000 = $B134) * (df_chn_hart!$C$2:$C$1000 = "In CHN"), 0), MATCH(P$121, df_chn_hart!$D$1:$H$1, 0)),0)</f>
        <v>0</v>
      </c>
      <c r="Q134" s="239">
        <f t="array" ref="Q134">IFERROR(INDEX(df_chn_hart!$D$2:$H$1000, MATCH(1, ($A$2 = df_chn_hart!$A$2:$A$1000) * (df_chn_hart!$B$2:$B$1000 = $B134) * (df_chn_hart!$C$2:$C$1000 = "In CHN"), 0), MATCH(Q$121, df_chn_hart!$D$1:$H$1, 0)),0)</f>
        <v>0</v>
      </c>
      <c r="R134" s="552">
        <f t="array" ref="R134">IFERROR(INDEX(df_chn_hart!$D$2:$H$1000, MATCH(1, ($A$2 = df_chn_hart!$A$2:$A$1000) * (df_chn_hart!$B$2:$B$1000 = $B134) * (df_chn_hart!$C$2:$C$1000 = "In CHN"), 0), MATCH(R$121, df_chn_hart!$D$1:$H$1, 0)),0)</f>
        <v>0</v>
      </c>
      <c r="T134" s="84" t="s">
        <v>397</v>
      </c>
      <c r="U134" s="173"/>
      <c r="V134" s="591" t="str">
        <f t="shared" si="2"/>
        <v>x</v>
      </c>
      <c r="W134" s="591" t="str">
        <f t="shared" si="3"/>
        <v>x</v>
      </c>
      <c r="X134" s="503" t="str">
        <f t="shared" si="4"/>
        <v>x</v>
      </c>
    </row>
    <row r="135" spans="1:24" ht="20.100000000000001" customHeight="1" x14ac:dyDescent="0.2">
      <c r="B135" s="84" t="s">
        <v>398</v>
      </c>
      <c r="C135" s="173"/>
      <c r="D135" s="239">
        <f t="array" ref="D135">IFERROR(INDEX(df_chn_hart!$D$2:$H$1000, MATCH(1, ($A$2 = df_chn_hart!$A$2:$A$1000) * (df_chn_hart!$B$2:$B$1000 = $B135) * (df_chn_hart!$C$2:$C$1000 = "Total private households"), 0), MATCH(D$121, df_chn_hart!$D$1:$H$1, 0)),0)</f>
        <v>0</v>
      </c>
      <c r="E135" s="239">
        <f t="array" ref="E135">IFERROR(INDEX(df_chn_hart!$D$2:$H$1000, MATCH(1, ($A$2 = df_chn_hart!$A$2:$A$1000) * (df_chn_hart!$B$2:$B$1000 = $B135) * (df_chn_hart!$C$2:$C$1000 = "Total private households"), 0), MATCH(E$121, df_chn_hart!$D$1:$H$1, 0)),0)</f>
        <v>0</v>
      </c>
      <c r="F135" s="552">
        <f t="array" ref="F135">IFERROR(INDEX(df_chn_hart!$D$2:$H$1000, MATCH(1, ($A$2 = df_chn_hart!$A$2:$A$1000) * (df_chn_hart!$B$2:$B$1000 = $B135) * (df_chn_hart!$C$2:$C$1000 = "Total private households"), 0), MATCH(F$121, df_chn_hart!$D$1:$H$1, 0)),0)</f>
        <v>0</v>
      </c>
      <c r="H135" s="84" t="s">
        <v>398</v>
      </c>
      <c r="I135" s="173"/>
      <c r="J135" s="239">
        <f t="array" ref="J135">IFERROR(INDEX(df_chn_hart!$D$2:$H$1000, MATCH(1, ($A$2 = df_chn_hart!$A$2:$A$1000) * (df_chn_hart!$B$2:$B$1000 = $B135) * (df_chn_hart!$C$2:$C$1000 = "Examined CHN"), 0), MATCH(J$121, df_chn_hart!$D$1:$H$1, 0)),0)</f>
        <v>0</v>
      </c>
      <c r="K135" s="239">
        <f t="array" ref="K135">IFERROR(INDEX(df_chn_hart!$D$2:$H$1000, MATCH(1, ($A$2 = df_chn_hart!$A$2:$A$1000) * (df_chn_hart!$B$2:$B$1000 = $B135) * (df_chn_hart!$C$2:$C$1000 = "Examined CHN"), 0), MATCH(K$121, df_chn_hart!$D$1:$H$1, 0)),0)</f>
        <v>0</v>
      </c>
      <c r="L135" s="552">
        <f t="array" ref="L135">IFERROR(INDEX(df_chn_hart!$D$2:$H$1000, MATCH(1, ($A$2 = df_chn_hart!$A$2:$A$1000) * (df_chn_hart!$B$2:$B$1000 = $B135) * (df_chn_hart!$C$2:$C$1000 = "Examined CHN"), 0), MATCH(L$121, df_chn_hart!$D$1:$H$1, 0)),0)</f>
        <v>0</v>
      </c>
      <c r="N135" s="84" t="s">
        <v>398</v>
      </c>
      <c r="O135" s="173"/>
      <c r="P135" s="239">
        <f t="array" ref="P135">IFERROR(INDEX(df_chn_hart!$D$2:$H$1000, MATCH(1, ($A$2 = df_chn_hart!$A$2:$A$1000) * (df_chn_hart!$B$2:$B$1000 = $B135) * (df_chn_hart!$C$2:$C$1000 = "In CHN"), 0), MATCH(P$121, df_chn_hart!$D$1:$H$1, 0)),0)</f>
        <v>0</v>
      </c>
      <c r="Q135" s="239">
        <f t="array" ref="Q135">IFERROR(INDEX(df_chn_hart!$D$2:$H$1000, MATCH(1, ($A$2 = df_chn_hart!$A$2:$A$1000) * (df_chn_hart!$B$2:$B$1000 = $B135) * (df_chn_hart!$C$2:$C$1000 = "In CHN"), 0), MATCH(Q$121, df_chn_hart!$D$1:$H$1, 0)),0)</f>
        <v>0</v>
      </c>
      <c r="R135" s="552">
        <f t="array" ref="R135">IFERROR(INDEX(df_chn_hart!$D$2:$H$1000, MATCH(1, ($A$2 = df_chn_hart!$A$2:$A$1000) * (df_chn_hart!$B$2:$B$1000 = $B135) * (df_chn_hart!$C$2:$C$1000 = "In CHN"), 0), MATCH(R$121, df_chn_hart!$D$1:$H$1, 0)),0)</f>
        <v>0</v>
      </c>
      <c r="T135" s="84" t="s">
        <v>398</v>
      </c>
      <c r="U135" s="173"/>
      <c r="V135" s="591" t="str">
        <f t="shared" si="2"/>
        <v>x</v>
      </c>
      <c r="W135" s="591" t="str">
        <f t="shared" si="3"/>
        <v>x</v>
      </c>
      <c r="X135" s="503" t="str">
        <f t="shared" si="4"/>
        <v>x</v>
      </c>
    </row>
    <row r="136" spans="1:24" ht="20.100000000000001" customHeight="1" x14ac:dyDescent="0.2">
      <c r="B136" s="84" t="s">
        <v>399</v>
      </c>
      <c r="C136" s="173"/>
      <c r="D136" s="239">
        <f t="array" ref="D136">IFERROR(INDEX(df_chn_hart!$D$2:$H$1000, MATCH(1, ($A$2 = df_chn_hart!$A$2:$A$1000) * (df_chn_hart!$B$2:$B$1000 = $B136) * (df_chn_hart!$C$2:$C$1000 = "Total private households"), 0), MATCH(D$121, df_chn_hart!$D$1:$H$1, 0)),0)</f>
        <v>0</v>
      </c>
      <c r="E136" s="239">
        <f t="array" ref="E136">IFERROR(INDEX(df_chn_hart!$D$2:$H$1000, MATCH(1, ($A$2 = df_chn_hart!$A$2:$A$1000) * (df_chn_hart!$B$2:$B$1000 = $B136) * (df_chn_hart!$C$2:$C$1000 = "Total private households"), 0), MATCH(E$121, df_chn_hart!$D$1:$H$1, 0)),0)</f>
        <v>0</v>
      </c>
      <c r="F136" s="552">
        <f t="array" ref="F136">IFERROR(INDEX(df_chn_hart!$D$2:$H$1000, MATCH(1, ($A$2 = df_chn_hart!$A$2:$A$1000) * (df_chn_hart!$B$2:$B$1000 = $B136) * (df_chn_hart!$C$2:$C$1000 = "Total private households"), 0), MATCH(F$121, df_chn_hart!$D$1:$H$1, 0)),0)</f>
        <v>0</v>
      </c>
      <c r="H136" s="84" t="s">
        <v>399</v>
      </c>
      <c r="I136" s="173"/>
      <c r="J136" s="239">
        <f t="array" ref="J136">IFERROR(INDEX(df_chn_hart!$D$2:$H$1000, MATCH(1, ($A$2 = df_chn_hart!$A$2:$A$1000) * (df_chn_hart!$B$2:$B$1000 = $B136) * (df_chn_hart!$C$2:$C$1000 = "Examined CHN"), 0), MATCH(J$121, df_chn_hart!$D$1:$H$1, 0)),0)</f>
        <v>0</v>
      </c>
      <c r="K136" s="239">
        <f t="array" ref="K136">IFERROR(INDEX(df_chn_hart!$D$2:$H$1000, MATCH(1, ($A$2 = df_chn_hart!$A$2:$A$1000) * (df_chn_hart!$B$2:$B$1000 = $B136) * (df_chn_hart!$C$2:$C$1000 = "Examined CHN"), 0), MATCH(K$121, df_chn_hart!$D$1:$H$1, 0)),0)</f>
        <v>0</v>
      </c>
      <c r="L136" s="552">
        <f t="array" ref="L136">IFERROR(INDEX(df_chn_hart!$D$2:$H$1000, MATCH(1, ($A$2 = df_chn_hart!$A$2:$A$1000) * (df_chn_hart!$B$2:$B$1000 = $B136) * (df_chn_hart!$C$2:$C$1000 = "Examined CHN"), 0), MATCH(L$121, df_chn_hart!$D$1:$H$1, 0)),0)</f>
        <v>0</v>
      </c>
      <c r="N136" s="84" t="s">
        <v>399</v>
      </c>
      <c r="O136" s="173"/>
      <c r="P136" s="239">
        <f t="array" ref="P136">IFERROR(INDEX(df_chn_hart!$D$2:$H$1000, MATCH(1, ($A$2 = df_chn_hart!$A$2:$A$1000) * (df_chn_hart!$B$2:$B$1000 = $B136) * (df_chn_hart!$C$2:$C$1000 = "In CHN"), 0), MATCH(P$121, df_chn_hart!$D$1:$H$1, 0)),0)</f>
        <v>0</v>
      </c>
      <c r="Q136" s="239">
        <f t="array" ref="Q136">IFERROR(INDEX(df_chn_hart!$D$2:$H$1000, MATCH(1, ($A$2 = df_chn_hart!$A$2:$A$1000) * (df_chn_hart!$B$2:$B$1000 = $B136) * (df_chn_hart!$C$2:$C$1000 = "In CHN"), 0), MATCH(Q$121, df_chn_hart!$D$1:$H$1, 0)),0)</f>
        <v>0</v>
      </c>
      <c r="R136" s="552">
        <f t="array" ref="R136">IFERROR(INDEX(df_chn_hart!$D$2:$H$1000, MATCH(1, ($A$2 = df_chn_hart!$A$2:$A$1000) * (df_chn_hart!$B$2:$B$1000 = $B136) * (df_chn_hart!$C$2:$C$1000 = "In CHN"), 0), MATCH(R$121, df_chn_hart!$D$1:$H$1, 0)),0)</f>
        <v>0</v>
      </c>
      <c r="T136" s="84" t="s">
        <v>399</v>
      </c>
      <c r="U136" s="173"/>
      <c r="V136" s="591" t="str">
        <f t="shared" si="2"/>
        <v>x</v>
      </c>
      <c r="W136" s="591" t="str">
        <f t="shared" si="3"/>
        <v>x</v>
      </c>
      <c r="X136" s="503" t="str">
        <f t="shared" si="4"/>
        <v>x</v>
      </c>
    </row>
    <row r="137" spans="1:24" ht="20.100000000000001" customHeight="1" x14ac:dyDescent="0.2">
      <c r="B137" s="84" t="s">
        <v>400</v>
      </c>
      <c r="C137" s="173"/>
      <c r="D137" s="239">
        <f t="array" ref="D137">IFERROR(INDEX(df_chn_hart!$D$2:$H$1000, MATCH(1, ($A$2 = df_chn_hart!$A$2:$A$1000) * (df_chn_hart!$B$2:$B$1000 = $B137) * (df_chn_hart!$C$2:$C$1000 = "Total private households"), 0), MATCH(D$121, df_chn_hart!$D$1:$H$1, 0)),0)</f>
        <v>0</v>
      </c>
      <c r="E137" s="239">
        <f t="array" ref="E137">IFERROR(INDEX(df_chn_hart!$D$2:$H$1000, MATCH(1, ($A$2 = df_chn_hart!$A$2:$A$1000) * (df_chn_hart!$B$2:$B$1000 = $B137) * (df_chn_hart!$C$2:$C$1000 = "Total private households"), 0), MATCH(E$121, df_chn_hart!$D$1:$H$1, 0)),0)</f>
        <v>0</v>
      </c>
      <c r="F137" s="552">
        <f t="array" ref="F137">IFERROR(INDEX(df_chn_hart!$D$2:$H$1000, MATCH(1, ($A$2 = df_chn_hart!$A$2:$A$1000) * (df_chn_hart!$B$2:$B$1000 = $B137) * (df_chn_hart!$C$2:$C$1000 = "Total private households"), 0), MATCH(F$121, df_chn_hart!$D$1:$H$1, 0)),0)</f>
        <v>0</v>
      </c>
      <c r="H137" s="84" t="s">
        <v>400</v>
      </c>
      <c r="I137" s="173"/>
      <c r="J137" s="239">
        <f t="array" ref="J137">IFERROR(INDEX(df_chn_hart!$D$2:$H$1000, MATCH(1, ($A$2 = df_chn_hart!$A$2:$A$1000) * (df_chn_hart!$B$2:$B$1000 = $B137) * (df_chn_hart!$C$2:$C$1000 = "Examined CHN"), 0), MATCH(J$121, df_chn_hart!$D$1:$H$1, 0)),0)</f>
        <v>0</v>
      </c>
      <c r="K137" s="239">
        <f t="array" ref="K137">IFERROR(INDEX(df_chn_hart!$D$2:$H$1000, MATCH(1, ($A$2 = df_chn_hart!$A$2:$A$1000) * (df_chn_hart!$B$2:$B$1000 = $B137) * (df_chn_hart!$C$2:$C$1000 = "Examined CHN"), 0), MATCH(K$121, df_chn_hart!$D$1:$H$1, 0)),0)</f>
        <v>0</v>
      </c>
      <c r="L137" s="552">
        <f t="array" ref="L137">IFERROR(INDEX(df_chn_hart!$D$2:$H$1000, MATCH(1, ($A$2 = df_chn_hart!$A$2:$A$1000) * (df_chn_hart!$B$2:$B$1000 = $B137) * (df_chn_hart!$C$2:$C$1000 = "Examined CHN"), 0), MATCH(L$121, df_chn_hart!$D$1:$H$1, 0)),0)</f>
        <v>0</v>
      </c>
      <c r="N137" s="84" t="s">
        <v>400</v>
      </c>
      <c r="O137" s="173"/>
      <c r="P137" s="239">
        <f t="array" ref="P137">IFERROR(INDEX(df_chn_hart!$D$2:$H$1000, MATCH(1, ($A$2 = df_chn_hart!$A$2:$A$1000) * (df_chn_hart!$B$2:$B$1000 = $B137) * (df_chn_hart!$C$2:$C$1000 = "In CHN"), 0), MATCH(P$121, df_chn_hart!$D$1:$H$1, 0)),0)</f>
        <v>0</v>
      </c>
      <c r="Q137" s="239">
        <f t="array" ref="Q137">IFERROR(INDEX(df_chn_hart!$D$2:$H$1000, MATCH(1, ($A$2 = df_chn_hart!$A$2:$A$1000) * (df_chn_hart!$B$2:$B$1000 = $B137) * (df_chn_hart!$C$2:$C$1000 = "In CHN"), 0), MATCH(Q$121, df_chn_hart!$D$1:$H$1, 0)),0)</f>
        <v>0</v>
      </c>
      <c r="R137" s="552">
        <f t="array" ref="R137">IFERROR(INDEX(df_chn_hart!$D$2:$H$1000, MATCH(1, ($A$2 = df_chn_hart!$A$2:$A$1000) * (df_chn_hart!$B$2:$B$1000 = $B137) * (df_chn_hart!$C$2:$C$1000 = "In CHN"), 0), MATCH(R$121, df_chn_hart!$D$1:$H$1, 0)),0)</f>
        <v>0</v>
      </c>
      <c r="T137" s="84" t="s">
        <v>400</v>
      </c>
      <c r="U137" s="173"/>
      <c r="V137" s="591" t="str">
        <f t="shared" si="2"/>
        <v>x</v>
      </c>
      <c r="W137" s="591" t="str">
        <f t="shared" si="3"/>
        <v>x</v>
      </c>
      <c r="X137" s="503" t="str">
        <f t="shared" si="4"/>
        <v>x</v>
      </c>
    </row>
    <row r="138" spans="1:24" ht="20.100000000000001" customHeight="1" x14ac:dyDescent="0.2">
      <c r="B138" s="84" t="s">
        <v>401</v>
      </c>
      <c r="C138" s="173"/>
      <c r="D138" s="239">
        <f t="array" ref="D138">IFERROR(INDEX(df_chn_hart!$D$2:$H$1000, MATCH(1, ($A$2 = df_chn_hart!$A$2:$A$1000) * (df_chn_hart!$B$2:$B$1000 = $B138) * (df_chn_hart!$C$2:$C$1000 = "Total private households"), 0), MATCH(D$121, df_chn_hart!$D$1:$H$1, 0)),0)</f>
        <v>0</v>
      </c>
      <c r="E138" s="239">
        <f t="array" ref="E138">IFERROR(INDEX(df_chn_hart!$D$2:$H$1000, MATCH(1, ($A$2 = df_chn_hart!$A$2:$A$1000) * (df_chn_hart!$B$2:$B$1000 = $B138) * (df_chn_hart!$C$2:$C$1000 = "Total private households"), 0), MATCH(E$121, df_chn_hart!$D$1:$H$1, 0)),0)</f>
        <v>0</v>
      </c>
      <c r="F138" s="552">
        <f t="array" ref="F138">IFERROR(INDEX(df_chn_hart!$D$2:$H$1000, MATCH(1, ($A$2 = df_chn_hart!$A$2:$A$1000) * (df_chn_hart!$B$2:$B$1000 = $B138) * (df_chn_hart!$C$2:$C$1000 = "Total private households"), 0), MATCH(F$121, df_chn_hart!$D$1:$H$1, 0)),0)</f>
        <v>0</v>
      </c>
      <c r="H138" s="84" t="s">
        <v>401</v>
      </c>
      <c r="I138" s="173"/>
      <c r="J138" s="239">
        <f t="array" ref="J138">IFERROR(INDEX(df_chn_hart!$D$2:$H$1000, MATCH(1, ($A$2 = df_chn_hart!$A$2:$A$1000) * (df_chn_hart!$B$2:$B$1000 = $B138) * (df_chn_hart!$C$2:$C$1000 = "Examined CHN"), 0), MATCH(J$121, df_chn_hart!$D$1:$H$1, 0)),0)</f>
        <v>0</v>
      </c>
      <c r="K138" s="239">
        <f t="array" ref="K138">IFERROR(INDEX(df_chn_hart!$D$2:$H$1000, MATCH(1, ($A$2 = df_chn_hart!$A$2:$A$1000) * (df_chn_hart!$B$2:$B$1000 = $B138) * (df_chn_hart!$C$2:$C$1000 = "Examined CHN"), 0), MATCH(K$121, df_chn_hart!$D$1:$H$1, 0)),0)</f>
        <v>0</v>
      </c>
      <c r="L138" s="552">
        <f t="array" ref="L138">IFERROR(INDEX(df_chn_hart!$D$2:$H$1000, MATCH(1, ($A$2 = df_chn_hart!$A$2:$A$1000) * (df_chn_hart!$B$2:$B$1000 = $B138) * (df_chn_hart!$C$2:$C$1000 = "Examined CHN"), 0), MATCH(L$121, df_chn_hart!$D$1:$H$1, 0)),0)</f>
        <v>0</v>
      </c>
      <c r="N138" s="84" t="s">
        <v>401</v>
      </c>
      <c r="O138" s="173"/>
      <c r="P138" s="239">
        <f t="array" ref="P138">IFERROR(INDEX(df_chn_hart!$D$2:$H$1000, MATCH(1, ($A$2 = df_chn_hart!$A$2:$A$1000) * (df_chn_hart!$B$2:$B$1000 = $B138) * (df_chn_hart!$C$2:$C$1000 = "In CHN"), 0), MATCH(P$121, df_chn_hart!$D$1:$H$1, 0)),0)</f>
        <v>0</v>
      </c>
      <c r="Q138" s="239">
        <f t="array" ref="Q138">IFERROR(INDEX(df_chn_hart!$D$2:$H$1000, MATCH(1, ($A$2 = df_chn_hart!$A$2:$A$1000) * (df_chn_hart!$B$2:$B$1000 = $B138) * (df_chn_hart!$C$2:$C$1000 = "In CHN"), 0), MATCH(Q$121, df_chn_hart!$D$1:$H$1, 0)),0)</f>
        <v>0</v>
      </c>
      <c r="R138" s="552">
        <f t="array" ref="R138">IFERROR(INDEX(df_chn_hart!$D$2:$H$1000, MATCH(1, ($A$2 = df_chn_hart!$A$2:$A$1000) * (df_chn_hart!$B$2:$B$1000 = $B138) * (df_chn_hart!$C$2:$C$1000 = "In CHN"), 0), MATCH(R$121, df_chn_hart!$D$1:$H$1, 0)),0)</f>
        <v>0</v>
      </c>
      <c r="T138" s="84" t="s">
        <v>401</v>
      </c>
      <c r="U138" s="173"/>
      <c r="V138" s="591" t="str">
        <f t="shared" si="2"/>
        <v>x</v>
      </c>
      <c r="W138" s="591" t="str">
        <f t="shared" si="3"/>
        <v>x</v>
      </c>
      <c r="X138" s="503" t="str">
        <f t="shared" si="4"/>
        <v>x</v>
      </c>
    </row>
    <row r="139" spans="1:24" ht="20.100000000000001" customHeight="1" x14ac:dyDescent="0.2">
      <c r="B139" s="569" t="s">
        <v>402</v>
      </c>
      <c r="C139" s="494"/>
      <c r="D139" s="553">
        <f t="array" ref="D139">IFERROR(INDEX(df_chn_hart!$D$2:$H$1000, MATCH(1, ($A$2 = df_chn_hart!$A$2:$A$1000) * (df_chn_hart!$B$2:$B$1000 = $B139) * (df_chn_hart!$C$2:$C$1000 = "Total private households"), 0), MATCH(D$121, df_chn_hart!$D$1:$H$1, 0)),0)</f>
        <v>0</v>
      </c>
      <c r="E139" s="553">
        <f t="array" ref="E139">IFERROR(INDEX(df_chn_hart!$D$2:$H$1000, MATCH(1, ($A$2 = df_chn_hart!$A$2:$A$1000) * (df_chn_hart!$B$2:$B$1000 = $B139) * (df_chn_hart!$C$2:$C$1000 = "Total private households"), 0), MATCH(E$121, df_chn_hart!$D$1:$H$1, 0)),0)</f>
        <v>0</v>
      </c>
      <c r="F139" s="554">
        <f t="array" ref="F139">IFERROR(INDEX(df_chn_hart!$D$2:$H$1000, MATCH(1, ($A$2 = df_chn_hart!$A$2:$A$1000) * (df_chn_hart!$B$2:$B$1000 = $B139) * (df_chn_hart!$C$2:$C$1000 = "Total private households"), 0), MATCH(F$121, df_chn_hart!$D$1:$H$1, 0)),0)</f>
        <v>0</v>
      </c>
      <c r="H139" s="569" t="s">
        <v>402</v>
      </c>
      <c r="I139" s="494"/>
      <c r="J139" s="553">
        <f t="array" ref="J139">IFERROR(INDEX(df_chn_hart!$D$2:$H$1000, MATCH(1, ($A$2 = df_chn_hart!$A$2:$A$1000) * (df_chn_hart!$B$2:$B$1000 = $B139) * (df_chn_hart!$C$2:$C$1000 = "Examined CHN"), 0), MATCH(J$121, df_chn_hart!$D$1:$H$1, 0)),0)</f>
        <v>0</v>
      </c>
      <c r="K139" s="553">
        <f t="array" ref="K139">IFERROR(INDEX(df_chn_hart!$D$2:$H$1000, MATCH(1, ($A$2 = df_chn_hart!$A$2:$A$1000) * (df_chn_hart!$B$2:$B$1000 = $B139) * (df_chn_hart!$C$2:$C$1000 = "Examined CHN"), 0), MATCH(K$121, df_chn_hart!$D$1:$H$1, 0)),0)</f>
        <v>0</v>
      </c>
      <c r="L139" s="554">
        <f t="array" ref="L139">IFERROR(INDEX(df_chn_hart!$D$2:$H$1000, MATCH(1, ($A$2 = df_chn_hart!$A$2:$A$1000) * (df_chn_hart!$B$2:$B$1000 = $B139) * (df_chn_hart!$C$2:$C$1000 = "Examined CHN"), 0), MATCH(L$121, df_chn_hart!$D$1:$H$1, 0)),0)</f>
        <v>0</v>
      </c>
      <c r="N139" s="569" t="s">
        <v>402</v>
      </c>
      <c r="O139" s="494"/>
      <c r="P139" s="553">
        <f t="array" ref="P139">IFERROR(INDEX(df_chn_hart!$D$2:$H$1000, MATCH(1, ($A$2 = df_chn_hart!$A$2:$A$1000) * (df_chn_hart!$B$2:$B$1000 = $B139) * (df_chn_hart!$C$2:$C$1000 = "In CHN"), 0), MATCH(P$121, df_chn_hart!$D$1:$H$1, 0)),0)</f>
        <v>0</v>
      </c>
      <c r="Q139" s="553">
        <f t="array" ref="Q139">IFERROR(INDEX(df_chn_hart!$D$2:$H$1000, MATCH(1, ($A$2 = df_chn_hart!$A$2:$A$1000) * (df_chn_hart!$B$2:$B$1000 = $B139) * (df_chn_hart!$C$2:$C$1000 = "In CHN"), 0), MATCH(Q$121, df_chn_hart!$D$1:$H$1, 0)),0)</f>
        <v>0</v>
      </c>
      <c r="R139" s="554">
        <f t="array" ref="R139">IFERROR(INDEX(df_chn_hart!$D$2:$H$1000, MATCH(1, ($A$2 = df_chn_hart!$A$2:$A$1000) * (df_chn_hart!$B$2:$B$1000 = $B139) * (df_chn_hart!$C$2:$C$1000 = "In CHN"), 0), MATCH(R$121, df_chn_hart!$D$1:$H$1, 0)),0)</f>
        <v>0</v>
      </c>
      <c r="T139" s="569" t="s">
        <v>402</v>
      </c>
      <c r="U139" s="494"/>
      <c r="V139" s="593" t="str">
        <f t="shared" si="2"/>
        <v>x</v>
      </c>
      <c r="W139" s="593" t="str">
        <f t="shared" si="3"/>
        <v>x</v>
      </c>
      <c r="X139" s="504" t="str">
        <f t="shared" si="4"/>
        <v>x</v>
      </c>
    </row>
    <row r="140" spans="1:24" ht="20.100000000000001" customHeight="1" x14ac:dyDescent="0.2">
      <c r="A140" s="299"/>
      <c r="B140" s="1"/>
      <c r="D140" s="239"/>
      <c r="E140" s="239"/>
      <c r="F140" s="239"/>
      <c r="H140" s="1"/>
      <c r="J140" s="262"/>
      <c r="K140" s="262"/>
      <c r="L140" s="262"/>
      <c r="N140" s="1"/>
      <c r="P140" s="262"/>
      <c r="Q140" s="262"/>
      <c r="R140" s="262"/>
    </row>
    <row r="141" spans="1:24" ht="30" customHeight="1" x14ac:dyDescent="0.2">
      <c r="B141" s="175" t="s">
        <v>1224</v>
      </c>
      <c r="C141" s="310"/>
      <c r="D141" s="310"/>
      <c r="E141" s="310"/>
      <c r="F141" s="310"/>
      <c r="G141" s="310"/>
      <c r="H141" s="310"/>
      <c r="I141" s="310"/>
      <c r="J141" s="310"/>
      <c r="K141" s="310"/>
      <c r="L141" s="310"/>
      <c r="M141" s="310"/>
      <c r="N141" s="310"/>
      <c r="O141" s="310"/>
      <c r="P141" s="310"/>
      <c r="Q141" s="310"/>
      <c r="R141" s="310"/>
      <c r="S141" s="310"/>
      <c r="T141" s="310"/>
      <c r="U141" s="310"/>
      <c r="V141" s="310"/>
      <c r="W141" s="310"/>
      <c r="X141" s="310"/>
    </row>
    <row r="142" spans="1:24" ht="20.100000000000001" customHeight="1" x14ac:dyDescent="0.2">
      <c r="A142" s="299"/>
      <c r="B142" s="1"/>
      <c r="D142" s="239"/>
      <c r="E142" s="239"/>
      <c r="F142" s="239"/>
      <c r="H142" s="1"/>
      <c r="J142" s="262"/>
      <c r="K142" s="262"/>
      <c r="L142" s="262"/>
      <c r="N142" s="1"/>
      <c r="P142" s="262"/>
      <c r="Q142" s="262"/>
      <c r="R142" s="262"/>
    </row>
    <row r="143" spans="1:24" ht="20.100000000000001" customHeight="1" x14ac:dyDescent="0.2">
      <c r="B143" s="1240" t="s">
        <v>416</v>
      </c>
      <c r="C143" s="1240"/>
      <c r="D143" s="1240"/>
      <c r="E143" s="1240"/>
      <c r="F143" s="1240"/>
      <c r="H143" s="1240" t="s">
        <v>417</v>
      </c>
      <c r="I143" s="1240"/>
      <c r="J143" s="1240"/>
      <c r="K143" s="1240"/>
      <c r="L143" s="1240"/>
      <c r="N143" s="1240" t="s">
        <v>418</v>
      </c>
      <c r="O143" s="1240"/>
      <c r="P143" s="1240"/>
      <c r="Q143" s="1240"/>
      <c r="R143" s="1240"/>
      <c r="T143" s="1240" t="s">
        <v>434</v>
      </c>
      <c r="U143" s="1240"/>
      <c r="V143" s="1240"/>
      <c r="W143" s="1240"/>
      <c r="X143" s="1240"/>
    </row>
    <row r="144" spans="1:24" ht="20.100000000000001" customHeight="1" x14ac:dyDescent="0.2">
      <c r="A144" s="299"/>
      <c r="B144" s="1"/>
      <c r="D144" s="239"/>
      <c r="E144" s="239"/>
      <c r="F144" s="239"/>
      <c r="H144" s="1"/>
      <c r="J144" s="262"/>
      <c r="K144" s="262"/>
      <c r="L144" s="262"/>
      <c r="N144" s="1"/>
      <c r="P144" s="262"/>
      <c r="Q144" s="262"/>
      <c r="R144" s="262"/>
    </row>
    <row r="145" spans="1:24" ht="20.100000000000001" customHeight="1" x14ac:dyDescent="0.2">
      <c r="A145" s="299"/>
      <c r="B145" s="206"/>
      <c r="C145" s="72"/>
      <c r="D145" s="128" t="s">
        <v>181</v>
      </c>
      <c r="E145" s="117" t="s">
        <v>182</v>
      </c>
      <c r="F145" s="302" t="s">
        <v>183</v>
      </c>
      <c r="H145" s="206"/>
      <c r="I145" s="72"/>
      <c r="J145" s="128" t="s">
        <v>181</v>
      </c>
      <c r="K145" s="117" t="s">
        <v>182</v>
      </c>
      <c r="L145" s="302" t="s">
        <v>183</v>
      </c>
      <c r="N145" s="206"/>
      <c r="O145" s="72"/>
      <c r="P145" s="128" t="s">
        <v>181</v>
      </c>
      <c r="Q145" s="117" t="s">
        <v>182</v>
      </c>
      <c r="R145" s="302" t="s">
        <v>183</v>
      </c>
      <c r="T145" s="206"/>
      <c r="U145" s="72"/>
      <c r="V145" s="128" t="s">
        <v>181</v>
      </c>
      <c r="W145" s="117" t="s">
        <v>182</v>
      </c>
      <c r="X145" s="302" t="s">
        <v>183</v>
      </c>
    </row>
    <row r="146" spans="1:24" ht="20.100000000000001" customHeight="1" x14ac:dyDescent="0.2">
      <c r="A146" s="299"/>
      <c r="B146" s="570" t="s">
        <v>384</v>
      </c>
      <c r="C146" s="493"/>
      <c r="D146" s="555">
        <f t="array" ref="D146">IFERROR(INDEX(df_chn_hart!$D$2:$H$1000, MATCH(1, (A$2 = df_chn_hart!$A$2:$A$1000) * (df_chn_hart!$B$2:$B$1000 = $B146) * (df_chn_hart!$C$2:$C$1000 = "Total private households"), 0), MATCH("Total", df_chn_hart!$D$1:$H$1, 0)),0)</f>
        <v>0</v>
      </c>
      <c r="E146" s="555">
        <f t="array" ref="E146">IFERROR(INDEX(df_chn_hart!$D$2:$H$1000, MATCH(1, (B$2 = df_chn_hart!$A$2:$A$1000) * (df_chn_hart!$B$2:$B$1000 = $B146) * (df_chn_hart!$C$2:$C$1000 = "Total private households"), 0), MATCH("Total", df_chn_hart!$D$1:$H$1, 0)),0)</f>
        <v>0</v>
      </c>
      <c r="F146" s="556">
        <f t="array" ref="F146">IFERROR(INDEX(df_chn_hart!$D$2:$H$1000, MATCH(1, (C$2 = df_chn_hart!$A$2:$A$1000) * (df_chn_hart!$B$2:$B$1000 = $B146) * (df_chn_hart!$C$2:$C$1000 = "Total private households"), 0), MATCH("Total", df_chn_hart!$D$1:$H$1, 0)),0)</f>
        <v>0</v>
      </c>
      <c r="H146" s="570" t="s">
        <v>384</v>
      </c>
      <c r="I146" s="493"/>
      <c r="J146" s="555">
        <f t="array" ref="J146">IFERROR(INDEX(df_chn_hart!$D$2:$H$1000, MATCH(1, (A$2 = df_chn_hart!$A$2:$A$1000) * (df_chn_hart!$B$2:$B$1000 = $B146) * (df_chn_hart!$C$2:$C$1000 = "Examined CHN"), 0), MATCH("Total", df_chn_hart!$D$1:$H$1, 0)),0)</f>
        <v>0</v>
      </c>
      <c r="K146" s="555">
        <f t="array" ref="K146">IFERROR(INDEX(df_chn_hart!$D$2:$H$1000, MATCH(1, (B$2 = df_chn_hart!$A$2:$A$1000) * (df_chn_hart!$B$2:$B$1000 = $B146) * (df_chn_hart!$C$2:$C$1000 = "Examined CHN"), 0), MATCH("Total", df_chn_hart!$D$1:$H$1, 0)),0)</f>
        <v>0</v>
      </c>
      <c r="L146" s="556">
        <f t="array" ref="L146">IFERROR(INDEX(df_chn_hart!$D$2:$H$1000, MATCH(1, (C$2 = df_chn_hart!$A$2:$A$1000) * (df_chn_hart!$B$2:$B$1000 = $B146) * (df_chn_hart!$C$2:$C$1000 = "Examined CHN"), 0), MATCH("Total", df_chn_hart!$D$1:$H$1, 0)),0)</f>
        <v>0</v>
      </c>
      <c r="N146" s="570" t="s">
        <v>384</v>
      </c>
      <c r="O146" s="493"/>
      <c r="P146" s="555">
        <f t="array" ref="P146">IFERROR(INDEX(df_chn_hart!$D$2:$H$1000, MATCH(1, (A$2 = df_chn_hart!$A$2:$A$1000) * (df_chn_hart!$B$2:$B$1000 = $B146) * (df_chn_hart!$C$2:$C$1000 = "In CHN"), 0), MATCH("Total", df_chn_hart!$D$1:$H$1, 0)),0)</f>
        <v>0</v>
      </c>
      <c r="Q146" s="555">
        <f t="array" ref="Q146">IFERROR(INDEX(df_chn_hart!$D$2:$H$1000, MATCH(1, (B$2 = df_chn_hart!$A$2:$A$1000) * (df_chn_hart!$B$2:$B$1000 = $B146) * (df_chn_hart!$C$2:$C$1000 = "In CHN"), 0), MATCH("Total", df_chn_hart!$D$1:$H$1, 0)),0)</f>
        <v>0</v>
      </c>
      <c r="R146" s="556">
        <f t="array" ref="R146">IFERROR(INDEX(df_chn_hart!$D$2:$H$1000, MATCH(1, (C$2 = df_chn_hart!$A$2:$A$1000) * (df_chn_hart!$B$2:$B$1000 = $B146) * (df_chn_hart!$C$2:$C$1000 = "In CHN"), 0), MATCH("Total", df_chn_hart!$D$1:$H$1, 0)),0)</f>
        <v>0</v>
      </c>
      <c r="T146" s="570" t="s">
        <v>384</v>
      </c>
      <c r="U146" s="493"/>
      <c r="V146" s="509" t="e">
        <f t="shared" ref="V146:V164" si="5">P146/J146</f>
        <v>#DIV/0!</v>
      </c>
      <c r="W146" s="509" t="e">
        <f t="shared" ref="W146:W164" si="6">Q146/K146</f>
        <v>#DIV/0!</v>
      </c>
      <c r="X146" s="510" t="e">
        <f t="shared" ref="X146:X164" si="7">R146/L146</f>
        <v>#DIV/0!</v>
      </c>
    </row>
    <row r="147" spans="1:24" ht="20.100000000000001" customHeight="1" x14ac:dyDescent="0.2">
      <c r="A147" s="299"/>
      <c r="B147" s="84" t="s">
        <v>386</v>
      </c>
      <c r="C147" s="173"/>
      <c r="D147" s="239">
        <f t="array" ref="D147">IFERROR(INDEX(df_chn_hart!$D$2:$H$1000, MATCH(1, (A$2 = df_chn_hart!$A$2:$A$1000) * (df_chn_hart!$B$2:$B$1000 = $B147) * (df_chn_hart!$C$2:$C$1000 = "Total private households"), 0), MATCH("Total", df_chn_hart!$D$1:$H$1, 0)),0)</f>
        <v>0</v>
      </c>
      <c r="E147" s="239">
        <f t="array" ref="E147">IFERROR(INDEX(df_chn_hart!$D$2:$H$1000, MATCH(1, (B$2 = df_chn_hart!$A$2:$A$1000) * (df_chn_hart!$B$2:$B$1000 = $B147) * (df_chn_hart!$C$2:$C$1000 = "Total private households"), 0), MATCH("Total", df_chn_hart!$D$1:$H$1, 0)),0)</f>
        <v>0</v>
      </c>
      <c r="F147" s="552">
        <f t="array" ref="F147">IFERROR(INDEX(df_chn_hart!$D$2:$H$1000, MATCH(1, (C$2 = df_chn_hart!$A$2:$A$1000) * (df_chn_hart!$B$2:$B$1000 = $B147) * (df_chn_hart!$C$2:$C$1000 = "Total private households"), 0), MATCH("Total", df_chn_hart!$D$1:$H$1, 0)),0)</f>
        <v>0</v>
      </c>
      <c r="H147" s="84" t="s">
        <v>386</v>
      </c>
      <c r="I147" s="173"/>
      <c r="J147" s="239">
        <f t="array" ref="J147">IFERROR(INDEX(df_chn_hart!$D$2:$H$1000, MATCH(1, (A$2 = df_chn_hart!$A$2:$A$1000) * (df_chn_hart!$B$2:$B$1000 = $B147) * (df_chn_hart!$C$2:$C$1000 = "Examined CHN"), 0), MATCH("Total", df_chn_hart!$D$1:$H$1, 0)),0)</f>
        <v>0</v>
      </c>
      <c r="K147" s="239">
        <f t="array" ref="K147">IFERROR(INDEX(df_chn_hart!$D$2:$H$1000, MATCH(1, (B$2 = df_chn_hart!$A$2:$A$1000) * (df_chn_hart!$B$2:$B$1000 = $B147) * (df_chn_hart!$C$2:$C$1000 = "Examined CHN"), 0), MATCH("Total", df_chn_hart!$D$1:$H$1, 0)),0)</f>
        <v>0</v>
      </c>
      <c r="L147" s="552">
        <f t="array" ref="L147">IFERROR(INDEX(df_chn_hart!$D$2:$H$1000, MATCH(1, (C$2 = df_chn_hart!$A$2:$A$1000) * (df_chn_hart!$B$2:$B$1000 = $B147) * (df_chn_hart!$C$2:$C$1000 = "Examined CHN"), 0), MATCH("Total", df_chn_hart!$D$1:$H$1, 0)),0)</f>
        <v>0</v>
      </c>
      <c r="N147" s="84" t="s">
        <v>386</v>
      </c>
      <c r="O147" s="173"/>
      <c r="P147" s="239">
        <f t="array" ref="P147">IFERROR(INDEX(df_chn_hart!$D$2:$H$1000, MATCH(1, (A$2 = df_chn_hart!$A$2:$A$1000) * (df_chn_hart!$B$2:$B$1000 = $B147) * (df_chn_hart!$C$2:$C$1000 = "In CHN"), 0), MATCH("Total", df_chn_hart!$D$1:$H$1, 0)),0)</f>
        <v>0</v>
      </c>
      <c r="Q147" s="239">
        <f t="array" ref="Q147">IFERROR(INDEX(df_chn_hart!$D$2:$H$1000, MATCH(1, (B$2 = df_chn_hart!$A$2:$A$1000) * (df_chn_hart!$B$2:$B$1000 = $B147) * (df_chn_hart!$C$2:$C$1000 = "In CHN"), 0), MATCH("Total", df_chn_hart!$D$1:$H$1, 0)),0)</f>
        <v>0</v>
      </c>
      <c r="R147" s="552">
        <f t="array" ref="R147">IFERROR(INDEX(df_chn_hart!$D$2:$H$1000, MATCH(1, (C$2 = df_chn_hart!$A$2:$A$1000) * (df_chn_hart!$B$2:$B$1000 = $B147) * (df_chn_hart!$C$2:$C$1000 = "In CHN"), 0), MATCH("Total", df_chn_hart!$D$1:$H$1, 0)),0)</f>
        <v>0</v>
      </c>
      <c r="T147" s="84" t="s">
        <v>386</v>
      </c>
      <c r="U147" s="173"/>
      <c r="V147" s="262" t="e">
        <f t="shared" si="5"/>
        <v>#DIV/0!</v>
      </c>
      <c r="W147" s="262" t="e">
        <f t="shared" si="6"/>
        <v>#DIV/0!</v>
      </c>
      <c r="X147" s="201" t="e">
        <f t="shared" si="7"/>
        <v>#DIV/0!</v>
      </c>
    </row>
    <row r="148" spans="1:24" ht="20.100000000000001" customHeight="1" x14ac:dyDescent="0.2">
      <c r="A148" s="299"/>
      <c r="B148" s="84" t="s">
        <v>387</v>
      </c>
      <c r="C148" s="173"/>
      <c r="D148" s="239">
        <f t="array" ref="D148">IFERROR(INDEX(df_chn_hart!$D$2:$H$1000, MATCH(1, (A$2 = df_chn_hart!$A$2:$A$1000) * (df_chn_hart!$B$2:$B$1000 = $B148) * (df_chn_hart!$C$2:$C$1000 = "Total private households"), 0), MATCH("Total", df_chn_hart!$D$1:$H$1, 0)),0)</f>
        <v>0</v>
      </c>
      <c r="E148" s="239">
        <f t="array" ref="E148">IFERROR(INDEX(df_chn_hart!$D$2:$H$1000, MATCH(1, (B$2 = df_chn_hart!$A$2:$A$1000) * (df_chn_hart!$B$2:$B$1000 = $B148) * (df_chn_hart!$C$2:$C$1000 = "Total private households"), 0), MATCH("Total", df_chn_hart!$D$1:$H$1, 0)),0)</f>
        <v>0</v>
      </c>
      <c r="F148" s="552">
        <f t="array" ref="F148">IFERROR(INDEX(df_chn_hart!$D$2:$H$1000, MATCH(1, (C$2 = df_chn_hart!$A$2:$A$1000) * (df_chn_hart!$B$2:$B$1000 = $B148) * (df_chn_hart!$C$2:$C$1000 = "Total private households"), 0), MATCH("Total", df_chn_hart!$D$1:$H$1, 0)),0)</f>
        <v>0</v>
      </c>
      <c r="H148" s="84" t="s">
        <v>387</v>
      </c>
      <c r="I148" s="173"/>
      <c r="J148" s="239">
        <f t="array" ref="J148">IFERROR(INDEX(df_chn_hart!$D$2:$H$1000, MATCH(1, (A$2 = df_chn_hart!$A$2:$A$1000) * (df_chn_hart!$B$2:$B$1000 = $B148) * (df_chn_hart!$C$2:$C$1000 = "Examined CHN"), 0), MATCH("Total", df_chn_hart!$D$1:$H$1, 0)),0)</f>
        <v>0</v>
      </c>
      <c r="K148" s="239">
        <f t="array" ref="K148">IFERROR(INDEX(df_chn_hart!$D$2:$H$1000, MATCH(1, (B$2 = df_chn_hart!$A$2:$A$1000) * (df_chn_hart!$B$2:$B$1000 = $B148) * (df_chn_hart!$C$2:$C$1000 = "Examined CHN"), 0), MATCH("Total", df_chn_hart!$D$1:$H$1, 0)),0)</f>
        <v>0</v>
      </c>
      <c r="L148" s="552">
        <f t="array" ref="L148">IFERROR(INDEX(df_chn_hart!$D$2:$H$1000, MATCH(1, (C$2 = df_chn_hart!$A$2:$A$1000) * (df_chn_hart!$B$2:$B$1000 = $B148) * (df_chn_hart!$C$2:$C$1000 = "Examined CHN"), 0), MATCH("Total", df_chn_hart!$D$1:$H$1, 0)),0)</f>
        <v>0</v>
      </c>
      <c r="N148" s="84" t="s">
        <v>387</v>
      </c>
      <c r="O148" s="173"/>
      <c r="P148" s="239">
        <f t="array" ref="P148">IFERROR(INDEX(df_chn_hart!$D$2:$H$1000, MATCH(1, (A$2 = df_chn_hart!$A$2:$A$1000) * (df_chn_hart!$B$2:$B$1000 = $B148) * (df_chn_hart!$C$2:$C$1000 = "In CHN"), 0), MATCH("Total", df_chn_hart!$D$1:$H$1, 0)),0)</f>
        <v>0</v>
      </c>
      <c r="Q148" s="239">
        <f t="array" ref="Q148">IFERROR(INDEX(df_chn_hart!$D$2:$H$1000, MATCH(1, (B$2 = df_chn_hart!$A$2:$A$1000) * (df_chn_hart!$B$2:$B$1000 = $B148) * (df_chn_hart!$C$2:$C$1000 = "In CHN"), 0), MATCH("Total", df_chn_hart!$D$1:$H$1, 0)),0)</f>
        <v>0</v>
      </c>
      <c r="R148" s="552">
        <f t="array" ref="R148">IFERROR(INDEX(df_chn_hart!$D$2:$H$1000, MATCH(1, (C$2 = df_chn_hart!$A$2:$A$1000) * (df_chn_hart!$B$2:$B$1000 = $B148) * (df_chn_hart!$C$2:$C$1000 = "In CHN"), 0), MATCH("Total", df_chn_hart!$D$1:$H$1, 0)),0)</f>
        <v>0</v>
      </c>
      <c r="T148" s="84" t="s">
        <v>387</v>
      </c>
      <c r="U148" s="173"/>
      <c r="V148" s="262" t="e">
        <f t="shared" si="5"/>
        <v>#DIV/0!</v>
      </c>
      <c r="W148" s="262" t="e">
        <f t="shared" si="6"/>
        <v>#DIV/0!</v>
      </c>
      <c r="X148" s="201" t="e">
        <f t="shared" si="7"/>
        <v>#DIV/0!</v>
      </c>
    </row>
    <row r="149" spans="1:24" ht="20.100000000000001" customHeight="1" x14ac:dyDescent="0.2">
      <c r="B149" s="84" t="s">
        <v>388</v>
      </c>
      <c r="C149" s="173"/>
      <c r="D149" s="239">
        <f t="array" ref="D149">IFERROR(INDEX(df_chn_hart!$D$2:$H$1000, MATCH(1, (A$2 = df_chn_hart!$A$2:$A$1000) * (df_chn_hart!$B$2:$B$1000 = $B149) * (df_chn_hart!$C$2:$C$1000 = "Total private households"), 0), MATCH("Total", df_chn_hart!$D$1:$H$1, 0)),0)</f>
        <v>0</v>
      </c>
      <c r="E149" s="239">
        <f t="array" ref="E149">IFERROR(INDEX(df_chn_hart!$D$2:$H$1000, MATCH(1, (B$2 = df_chn_hart!$A$2:$A$1000) * (df_chn_hart!$B$2:$B$1000 = $B149) * (df_chn_hart!$C$2:$C$1000 = "Total private households"), 0), MATCH("Total", df_chn_hart!$D$1:$H$1, 0)),0)</f>
        <v>0</v>
      </c>
      <c r="F149" s="552">
        <f t="array" ref="F149">IFERROR(INDEX(df_chn_hart!$D$2:$H$1000, MATCH(1, (C$2 = df_chn_hart!$A$2:$A$1000) * (df_chn_hart!$B$2:$B$1000 = $B149) * (df_chn_hart!$C$2:$C$1000 = "Total private households"), 0), MATCH("Total", df_chn_hart!$D$1:$H$1, 0)),0)</f>
        <v>0</v>
      </c>
      <c r="H149" s="84" t="s">
        <v>388</v>
      </c>
      <c r="I149" s="173"/>
      <c r="J149" s="239">
        <f t="array" ref="J149">IFERROR(INDEX(df_chn_hart!$D$2:$H$1000, MATCH(1, (A$2 = df_chn_hart!$A$2:$A$1000) * (df_chn_hart!$B$2:$B$1000 = $B149) * (df_chn_hart!$C$2:$C$1000 = "Examined CHN"), 0), MATCH("Total", df_chn_hart!$D$1:$H$1, 0)),0)</f>
        <v>0</v>
      </c>
      <c r="K149" s="239">
        <f t="array" ref="K149">IFERROR(INDEX(df_chn_hart!$D$2:$H$1000, MATCH(1, (B$2 = df_chn_hart!$A$2:$A$1000) * (df_chn_hart!$B$2:$B$1000 = $B149) * (df_chn_hart!$C$2:$C$1000 = "Examined CHN"), 0), MATCH("Total", df_chn_hart!$D$1:$H$1, 0)),0)</f>
        <v>0</v>
      </c>
      <c r="L149" s="552">
        <f t="array" ref="L149">IFERROR(INDEX(df_chn_hart!$D$2:$H$1000, MATCH(1, (C$2 = df_chn_hart!$A$2:$A$1000) * (df_chn_hart!$B$2:$B$1000 = $B149) * (df_chn_hart!$C$2:$C$1000 = "Examined CHN"), 0), MATCH("Total", df_chn_hart!$D$1:$H$1, 0)),0)</f>
        <v>0</v>
      </c>
      <c r="N149" s="84" t="s">
        <v>388</v>
      </c>
      <c r="O149" s="173"/>
      <c r="P149" s="239">
        <f t="array" ref="P149">IFERROR(INDEX(df_chn_hart!$D$2:$H$1000, MATCH(1, (A$2 = df_chn_hart!$A$2:$A$1000) * (df_chn_hart!$B$2:$B$1000 = $B149) * (df_chn_hart!$C$2:$C$1000 = "In CHN"), 0), MATCH("Total", df_chn_hart!$D$1:$H$1, 0)),0)</f>
        <v>0</v>
      </c>
      <c r="Q149" s="239">
        <f t="array" ref="Q149">IFERROR(INDEX(df_chn_hart!$D$2:$H$1000, MATCH(1, (B$2 = df_chn_hart!$A$2:$A$1000) * (df_chn_hart!$B$2:$B$1000 = $B149) * (df_chn_hart!$C$2:$C$1000 = "In CHN"), 0), MATCH("Total", df_chn_hart!$D$1:$H$1, 0)),0)</f>
        <v>0</v>
      </c>
      <c r="R149" s="552">
        <f t="array" ref="R149">IFERROR(INDEX(df_chn_hart!$D$2:$H$1000, MATCH(1, (C$2 = df_chn_hart!$A$2:$A$1000) * (df_chn_hart!$B$2:$B$1000 = $B149) * (df_chn_hart!$C$2:$C$1000 = "In CHN"), 0), MATCH("Total", df_chn_hart!$D$1:$H$1, 0)),0)</f>
        <v>0</v>
      </c>
      <c r="T149" s="84" t="s">
        <v>388</v>
      </c>
      <c r="U149" s="173"/>
      <c r="V149" s="262" t="e">
        <f t="shared" si="5"/>
        <v>#DIV/0!</v>
      </c>
      <c r="W149" s="262" t="e">
        <f t="shared" si="6"/>
        <v>#DIV/0!</v>
      </c>
      <c r="X149" s="201" t="e">
        <f t="shared" si="7"/>
        <v>#DIV/0!</v>
      </c>
    </row>
    <row r="150" spans="1:24" ht="20.100000000000001" customHeight="1" x14ac:dyDescent="0.2">
      <c r="B150" s="84" t="s">
        <v>389</v>
      </c>
      <c r="C150" s="173"/>
      <c r="D150" s="239">
        <f t="array" ref="D150">IFERROR(INDEX(df_chn_hart!$D$2:$H$1000, MATCH(1, (A$2 = df_chn_hart!$A$2:$A$1000) * (df_chn_hart!$B$2:$B$1000 = $B150) * (df_chn_hart!$C$2:$C$1000 = "Total private households"), 0), MATCH("Total", df_chn_hart!$D$1:$H$1, 0)),0)</f>
        <v>0</v>
      </c>
      <c r="E150" s="239">
        <f t="array" ref="E150">IFERROR(INDEX(df_chn_hart!$D$2:$H$1000, MATCH(1, (B$2 = df_chn_hart!$A$2:$A$1000) * (df_chn_hart!$B$2:$B$1000 = $B150) * (df_chn_hart!$C$2:$C$1000 = "Total private households"), 0), MATCH("Total", df_chn_hart!$D$1:$H$1, 0)),0)</f>
        <v>0</v>
      </c>
      <c r="F150" s="552">
        <f t="array" ref="F150">IFERROR(INDEX(df_chn_hart!$D$2:$H$1000, MATCH(1, (C$2 = df_chn_hart!$A$2:$A$1000) * (df_chn_hart!$B$2:$B$1000 = $B150) * (df_chn_hart!$C$2:$C$1000 = "Total private households"), 0), MATCH("Total", df_chn_hart!$D$1:$H$1, 0)),0)</f>
        <v>0</v>
      </c>
      <c r="H150" s="84" t="s">
        <v>389</v>
      </c>
      <c r="I150" s="173"/>
      <c r="J150" s="239">
        <f t="array" ref="J150">IFERROR(INDEX(df_chn_hart!$D$2:$H$1000, MATCH(1, (A$2 = df_chn_hart!$A$2:$A$1000) * (df_chn_hart!$B$2:$B$1000 = $B150) * (df_chn_hart!$C$2:$C$1000 = "Examined CHN"), 0), MATCH("Total", df_chn_hart!$D$1:$H$1, 0)),0)</f>
        <v>0</v>
      </c>
      <c r="K150" s="239">
        <f t="array" ref="K150">IFERROR(INDEX(df_chn_hart!$D$2:$H$1000, MATCH(1, (B$2 = df_chn_hart!$A$2:$A$1000) * (df_chn_hart!$B$2:$B$1000 = $B150) * (df_chn_hart!$C$2:$C$1000 = "Examined CHN"), 0), MATCH("Total", df_chn_hart!$D$1:$H$1, 0)),0)</f>
        <v>0</v>
      </c>
      <c r="L150" s="552">
        <f t="array" ref="L150">IFERROR(INDEX(df_chn_hart!$D$2:$H$1000, MATCH(1, (C$2 = df_chn_hart!$A$2:$A$1000) * (df_chn_hart!$B$2:$B$1000 = $B150) * (df_chn_hart!$C$2:$C$1000 = "Examined CHN"), 0), MATCH("Total", df_chn_hart!$D$1:$H$1, 0)),0)</f>
        <v>0</v>
      </c>
      <c r="N150" s="84" t="s">
        <v>389</v>
      </c>
      <c r="O150" s="173"/>
      <c r="P150" s="239">
        <f t="array" ref="P150">IFERROR(INDEX(df_chn_hart!$D$2:$H$1000, MATCH(1, (A$2 = df_chn_hart!$A$2:$A$1000) * (df_chn_hart!$B$2:$B$1000 = $B150) * (df_chn_hart!$C$2:$C$1000 = "In CHN"), 0), MATCH("Total", df_chn_hart!$D$1:$H$1, 0)),0)</f>
        <v>0</v>
      </c>
      <c r="Q150" s="239">
        <f t="array" ref="Q150">IFERROR(INDEX(df_chn_hart!$D$2:$H$1000, MATCH(1, (B$2 = df_chn_hart!$A$2:$A$1000) * (df_chn_hart!$B$2:$B$1000 = $B150) * (df_chn_hart!$C$2:$C$1000 = "In CHN"), 0), MATCH("Total", df_chn_hart!$D$1:$H$1, 0)),0)</f>
        <v>0</v>
      </c>
      <c r="R150" s="552">
        <f t="array" ref="R150">IFERROR(INDEX(df_chn_hart!$D$2:$H$1000, MATCH(1, (C$2 = df_chn_hart!$A$2:$A$1000) * (df_chn_hart!$B$2:$B$1000 = $B150) * (df_chn_hart!$C$2:$C$1000 = "In CHN"), 0), MATCH("Total", df_chn_hart!$D$1:$H$1, 0)),0)</f>
        <v>0</v>
      </c>
      <c r="T150" s="84" t="s">
        <v>389</v>
      </c>
      <c r="U150" s="173"/>
      <c r="V150" s="262" t="e">
        <f t="shared" si="5"/>
        <v>#DIV/0!</v>
      </c>
      <c r="W150" s="262" t="e">
        <f t="shared" si="6"/>
        <v>#DIV/0!</v>
      </c>
      <c r="X150" s="201" t="e">
        <f t="shared" si="7"/>
        <v>#DIV/0!</v>
      </c>
    </row>
    <row r="151" spans="1:24" ht="20.100000000000001" customHeight="1" x14ac:dyDescent="0.2">
      <c r="B151" s="84" t="s">
        <v>390</v>
      </c>
      <c r="C151" s="173"/>
      <c r="D151" s="239">
        <f t="array" ref="D151">IFERROR(INDEX(df_chn_hart!$D$2:$H$1000, MATCH(1, (A$2 = df_chn_hart!$A$2:$A$1000) * (df_chn_hart!$B$2:$B$1000 = $B151) * (df_chn_hart!$C$2:$C$1000 = "Total private households"), 0), MATCH("Total", df_chn_hart!$D$1:$H$1, 0)),0)</f>
        <v>0</v>
      </c>
      <c r="E151" s="239">
        <f t="array" ref="E151">IFERROR(INDEX(df_chn_hart!$D$2:$H$1000, MATCH(1, (B$2 = df_chn_hart!$A$2:$A$1000) * (df_chn_hart!$B$2:$B$1000 = $B151) * (df_chn_hart!$C$2:$C$1000 = "Total private households"), 0), MATCH("Total", df_chn_hart!$D$1:$H$1, 0)),0)</f>
        <v>0</v>
      </c>
      <c r="F151" s="552">
        <f t="array" ref="F151">IFERROR(INDEX(df_chn_hart!$D$2:$H$1000, MATCH(1, (C$2 = df_chn_hart!$A$2:$A$1000) * (df_chn_hart!$B$2:$B$1000 = $B151) * (df_chn_hart!$C$2:$C$1000 = "Total private households"), 0), MATCH("Total", df_chn_hart!$D$1:$H$1, 0)),0)</f>
        <v>0</v>
      </c>
      <c r="H151" s="84" t="s">
        <v>390</v>
      </c>
      <c r="I151" s="173"/>
      <c r="J151" s="239">
        <f t="array" ref="J151">IFERROR(INDEX(df_chn_hart!$D$2:$H$1000, MATCH(1, (A$2 = df_chn_hart!$A$2:$A$1000) * (df_chn_hart!$B$2:$B$1000 = $B151) * (df_chn_hart!$C$2:$C$1000 = "Examined CHN"), 0), MATCH("Total", df_chn_hart!$D$1:$H$1, 0)),0)</f>
        <v>0</v>
      </c>
      <c r="K151" s="239">
        <f t="array" ref="K151">IFERROR(INDEX(df_chn_hart!$D$2:$H$1000, MATCH(1, (B$2 = df_chn_hart!$A$2:$A$1000) * (df_chn_hart!$B$2:$B$1000 = $B151) * (df_chn_hart!$C$2:$C$1000 = "Examined CHN"), 0), MATCH("Total", df_chn_hart!$D$1:$H$1, 0)),0)</f>
        <v>0</v>
      </c>
      <c r="L151" s="552">
        <f t="array" ref="L151">IFERROR(INDEX(df_chn_hart!$D$2:$H$1000, MATCH(1, (C$2 = df_chn_hart!$A$2:$A$1000) * (df_chn_hart!$B$2:$B$1000 = $B151) * (df_chn_hart!$C$2:$C$1000 = "Examined CHN"), 0), MATCH("Total", df_chn_hart!$D$1:$H$1, 0)),0)</f>
        <v>0</v>
      </c>
      <c r="N151" s="84" t="s">
        <v>390</v>
      </c>
      <c r="O151" s="173"/>
      <c r="P151" s="239">
        <f t="array" ref="P151">IFERROR(INDEX(df_chn_hart!$D$2:$H$1000, MATCH(1, (A$2 = df_chn_hart!$A$2:$A$1000) * (df_chn_hart!$B$2:$B$1000 = $B151) * (df_chn_hart!$C$2:$C$1000 = "In CHN"), 0), MATCH("Total", df_chn_hart!$D$1:$H$1, 0)),0)</f>
        <v>0</v>
      </c>
      <c r="Q151" s="239">
        <f t="array" ref="Q151">IFERROR(INDEX(df_chn_hart!$D$2:$H$1000, MATCH(1, (B$2 = df_chn_hart!$A$2:$A$1000) * (df_chn_hart!$B$2:$B$1000 = $B151) * (df_chn_hart!$C$2:$C$1000 = "In CHN"), 0), MATCH("Total", df_chn_hart!$D$1:$H$1, 0)),0)</f>
        <v>0</v>
      </c>
      <c r="R151" s="552">
        <f t="array" ref="R151">IFERROR(INDEX(df_chn_hart!$D$2:$H$1000, MATCH(1, (C$2 = df_chn_hart!$A$2:$A$1000) * (df_chn_hart!$B$2:$B$1000 = $B151) * (df_chn_hart!$C$2:$C$1000 = "In CHN"), 0), MATCH("Total", df_chn_hart!$D$1:$H$1, 0)),0)</f>
        <v>0</v>
      </c>
      <c r="T151" s="84" t="s">
        <v>390</v>
      </c>
      <c r="U151" s="173"/>
      <c r="V151" s="262" t="e">
        <f t="shared" si="5"/>
        <v>#DIV/0!</v>
      </c>
      <c r="W151" s="262" t="e">
        <f t="shared" si="6"/>
        <v>#DIV/0!</v>
      </c>
      <c r="X151" s="201" t="e">
        <f t="shared" si="7"/>
        <v>#DIV/0!</v>
      </c>
    </row>
    <row r="152" spans="1:24" ht="20.100000000000001" customHeight="1" x14ac:dyDescent="0.2">
      <c r="B152" s="84" t="s">
        <v>391</v>
      </c>
      <c r="C152" s="173"/>
      <c r="D152" s="239">
        <f t="array" ref="D152">IFERROR(INDEX(df_chn_hart!$D$2:$H$1000, MATCH(1, (A$2 = df_chn_hart!$A$2:$A$1000) * (df_chn_hart!$B$2:$B$1000 = $B152) * (df_chn_hart!$C$2:$C$1000 = "Total private households"), 0), MATCH("Total", df_chn_hart!$D$1:$H$1, 0)),0)</f>
        <v>0</v>
      </c>
      <c r="E152" s="239">
        <f t="array" ref="E152">IFERROR(INDEX(df_chn_hart!$D$2:$H$1000, MATCH(1, (B$2 = df_chn_hart!$A$2:$A$1000) * (df_chn_hart!$B$2:$B$1000 = $B152) * (df_chn_hart!$C$2:$C$1000 = "Total private households"), 0), MATCH("Total", df_chn_hart!$D$1:$H$1, 0)),0)</f>
        <v>0</v>
      </c>
      <c r="F152" s="552">
        <f t="array" ref="F152">IFERROR(INDEX(df_chn_hart!$D$2:$H$1000, MATCH(1, (C$2 = df_chn_hart!$A$2:$A$1000) * (df_chn_hart!$B$2:$B$1000 = $B152) * (df_chn_hart!$C$2:$C$1000 = "Total private households"), 0), MATCH("Total", df_chn_hart!$D$1:$H$1, 0)),0)</f>
        <v>0</v>
      </c>
      <c r="H152" s="84" t="s">
        <v>391</v>
      </c>
      <c r="I152" s="173"/>
      <c r="J152" s="239">
        <f t="array" ref="J152">IFERROR(INDEX(df_chn_hart!$D$2:$H$1000, MATCH(1, (A$2 = df_chn_hart!$A$2:$A$1000) * (df_chn_hart!$B$2:$B$1000 = $B152) * (df_chn_hart!$C$2:$C$1000 = "Examined CHN"), 0), MATCH("Total", df_chn_hart!$D$1:$H$1, 0)),0)</f>
        <v>0</v>
      </c>
      <c r="K152" s="239">
        <f t="array" ref="K152">IFERROR(INDEX(df_chn_hart!$D$2:$H$1000, MATCH(1, (B$2 = df_chn_hart!$A$2:$A$1000) * (df_chn_hart!$B$2:$B$1000 = $B152) * (df_chn_hart!$C$2:$C$1000 = "Examined CHN"), 0), MATCH("Total", df_chn_hart!$D$1:$H$1, 0)),0)</f>
        <v>0</v>
      </c>
      <c r="L152" s="552">
        <f t="array" ref="L152">IFERROR(INDEX(df_chn_hart!$D$2:$H$1000, MATCH(1, (C$2 = df_chn_hart!$A$2:$A$1000) * (df_chn_hart!$B$2:$B$1000 = $B152) * (df_chn_hart!$C$2:$C$1000 = "Examined CHN"), 0), MATCH("Total", df_chn_hart!$D$1:$H$1, 0)),0)</f>
        <v>0</v>
      </c>
      <c r="N152" s="84" t="s">
        <v>391</v>
      </c>
      <c r="O152" s="173"/>
      <c r="P152" s="239">
        <f t="array" ref="P152">IFERROR(INDEX(df_chn_hart!$D$2:$H$1000, MATCH(1, (A$2 = df_chn_hart!$A$2:$A$1000) * (df_chn_hart!$B$2:$B$1000 = $B152) * (df_chn_hart!$C$2:$C$1000 = "In CHN"), 0), MATCH("Total", df_chn_hart!$D$1:$H$1, 0)),0)</f>
        <v>0</v>
      </c>
      <c r="Q152" s="239">
        <f t="array" ref="Q152">IFERROR(INDEX(df_chn_hart!$D$2:$H$1000, MATCH(1, (B$2 = df_chn_hart!$A$2:$A$1000) * (df_chn_hart!$B$2:$B$1000 = $B152) * (df_chn_hart!$C$2:$C$1000 = "In CHN"), 0), MATCH("Total", df_chn_hart!$D$1:$H$1, 0)),0)</f>
        <v>0</v>
      </c>
      <c r="R152" s="552">
        <f t="array" ref="R152">IFERROR(INDEX(df_chn_hart!$D$2:$H$1000, MATCH(1, (C$2 = df_chn_hart!$A$2:$A$1000) * (df_chn_hart!$B$2:$B$1000 = $B152) * (df_chn_hart!$C$2:$C$1000 = "In CHN"), 0), MATCH("Total", df_chn_hart!$D$1:$H$1, 0)),0)</f>
        <v>0</v>
      </c>
      <c r="T152" s="84" t="s">
        <v>391</v>
      </c>
      <c r="U152" s="173"/>
      <c r="V152" s="262" t="e">
        <f t="shared" si="5"/>
        <v>#DIV/0!</v>
      </c>
      <c r="W152" s="262" t="e">
        <f t="shared" si="6"/>
        <v>#DIV/0!</v>
      </c>
      <c r="X152" s="201" t="e">
        <f t="shared" si="7"/>
        <v>#DIV/0!</v>
      </c>
    </row>
    <row r="153" spans="1:24" ht="20.100000000000001" customHeight="1" x14ac:dyDescent="0.2">
      <c r="B153" s="84" t="s">
        <v>392</v>
      </c>
      <c r="C153" s="173"/>
      <c r="D153" s="239">
        <f t="array" ref="D153">IFERROR(INDEX(df_chn_hart!$D$2:$H$1000, MATCH(1, (A$2 = df_chn_hart!$A$2:$A$1000) * (df_chn_hart!$B$2:$B$1000 = $B153) * (df_chn_hart!$C$2:$C$1000 = "Total private households"), 0), MATCH("Total", df_chn_hart!$D$1:$H$1, 0)),0)</f>
        <v>0</v>
      </c>
      <c r="E153" s="239">
        <f t="array" ref="E153">IFERROR(INDEX(df_chn_hart!$D$2:$H$1000, MATCH(1, (B$2 = df_chn_hart!$A$2:$A$1000) * (df_chn_hart!$B$2:$B$1000 = $B153) * (df_chn_hart!$C$2:$C$1000 = "Total private households"), 0), MATCH("Total", df_chn_hart!$D$1:$H$1, 0)),0)</f>
        <v>0</v>
      </c>
      <c r="F153" s="552">
        <f t="array" ref="F153">IFERROR(INDEX(df_chn_hart!$D$2:$H$1000, MATCH(1, (C$2 = df_chn_hart!$A$2:$A$1000) * (df_chn_hart!$B$2:$B$1000 = $B153) * (df_chn_hart!$C$2:$C$1000 = "Total private households"), 0), MATCH("Total", df_chn_hart!$D$1:$H$1, 0)),0)</f>
        <v>0</v>
      </c>
      <c r="H153" s="84" t="s">
        <v>392</v>
      </c>
      <c r="I153" s="173"/>
      <c r="J153" s="239">
        <f t="array" ref="J153">IFERROR(INDEX(df_chn_hart!$D$2:$H$1000, MATCH(1, (A$2 = df_chn_hart!$A$2:$A$1000) * (df_chn_hart!$B$2:$B$1000 = $B153) * (df_chn_hart!$C$2:$C$1000 = "Examined CHN"), 0), MATCH("Total", df_chn_hart!$D$1:$H$1, 0)),0)</f>
        <v>0</v>
      </c>
      <c r="K153" s="239">
        <f t="array" ref="K153">IFERROR(INDEX(df_chn_hart!$D$2:$H$1000, MATCH(1, (B$2 = df_chn_hart!$A$2:$A$1000) * (df_chn_hart!$B$2:$B$1000 = $B153) * (df_chn_hart!$C$2:$C$1000 = "Examined CHN"), 0), MATCH("Total", df_chn_hart!$D$1:$H$1, 0)),0)</f>
        <v>0</v>
      </c>
      <c r="L153" s="552">
        <f t="array" ref="L153">IFERROR(INDEX(df_chn_hart!$D$2:$H$1000, MATCH(1, (C$2 = df_chn_hart!$A$2:$A$1000) * (df_chn_hart!$B$2:$B$1000 = $B153) * (df_chn_hart!$C$2:$C$1000 = "Examined CHN"), 0), MATCH("Total", df_chn_hart!$D$1:$H$1, 0)),0)</f>
        <v>0</v>
      </c>
      <c r="N153" s="84" t="s">
        <v>392</v>
      </c>
      <c r="O153" s="173"/>
      <c r="P153" s="239">
        <f t="array" ref="P153">IFERROR(INDEX(df_chn_hart!$D$2:$H$1000, MATCH(1, (A$2 = df_chn_hart!$A$2:$A$1000) * (df_chn_hart!$B$2:$B$1000 = $B153) * (df_chn_hart!$C$2:$C$1000 = "In CHN"), 0), MATCH("Total", df_chn_hart!$D$1:$H$1, 0)),0)</f>
        <v>0</v>
      </c>
      <c r="Q153" s="239">
        <f t="array" ref="Q153">IFERROR(INDEX(df_chn_hart!$D$2:$H$1000, MATCH(1, (B$2 = df_chn_hart!$A$2:$A$1000) * (df_chn_hart!$B$2:$B$1000 = $B153) * (df_chn_hart!$C$2:$C$1000 = "In CHN"), 0), MATCH("Total", df_chn_hart!$D$1:$H$1, 0)),0)</f>
        <v>0</v>
      </c>
      <c r="R153" s="552">
        <f t="array" ref="R153">IFERROR(INDEX(df_chn_hart!$D$2:$H$1000, MATCH(1, (C$2 = df_chn_hart!$A$2:$A$1000) * (df_chn_hart!$B$2:$B$1000 = $B153) * (df_chn_hart!$C$2:$C$1000 = "In CHN"), 0), MATCH("Total", df_chn_hart!$D$1:$H$1, 0)),0)</f>
        <v>0</v>
      </c>
      <c r="T153" s="84" t="s">
        <v>392</v>
      </c>
      <c r="U153" s="173"/>
      <c r="V153" s="262" t="e">
        <f t="shared" si="5"/>
        <v>#DIV/0!</v>
      </c>
      <c r="W153" s="262" t="e">
        <f t="shared" si="6"/>
        <v>#DIV/0!</v>
      </c>
      <c r="X153" s="201" t="e">
        <f t="shared" si="7"/>
        <v>#DIV/0!</v>
      </c>
    </row>
    <row r="154" spans="1:24" ht="20.100000000000001" customHeight="1" x14ac:dyDescent="0.2">
      <c r="B154" s="84" t="s">
        <v>393</v>
      </c>
      <c r="C154" s="173"/>
      <c r="D154" s="239">
        <f t="array" ref="D154">IFERROR(INDEX(df_chn_hart!$D$2:$H$1000, MATCH(1, (A$2 = df_chn_hart!$A$2:$A$1000) * (df_chn_hart!$B$2:$B$1000 = $B154) * (df_chn_hart!$C$2:$C$1000 = "Total private households"), 0), MATCH("Total", df_chn_hart!$D$1:$H$1, 0)),0)</f>
        <v>0</v>
      </c>
      <c r="E154" s="239">
        <f t="array" ref="E154">IFERROR(INDEX(df_chn_hart!$D$2:$H$1000, MATCH(1, (B$2 = df_chn_hart!$A$2:$A$1000) * (df_chn_hart!$B$2:$B$1000 = $B154) * (df_chn_hart!$C$2:$C$1000 = "Total private households"), 0), MATCH("Total", df_chn_hart!$D$1:$H$1, 0)),0)</f>
        <v>0</v>
      </c>
      <c r="F154" s="552">
        <f t="array" ref="F154">IFERROR(INDEX(df_chn_hart!$D$2:$H$1000, MATCH(1, (C$2 = df_chn_hart!$A$2:$A$1000) * (df_chn_hart!$B$2:$B$1000 = $B154) * (df_chn_hart!$C$2:$C$1000 = "Total private households"), 0), MATCH("Total", df_chn_hart!$D$1:$H$1, 0)),0)</f>
        <v>0</v>
      </c>
      <c r="H154" s="84" t="s">
        <v>393</v>
      </c>
      <c r="I154" s="173"/>
      <c r="J154" s="239">
        <f t="array" ref="J154">IFERROR(INDEX(df_chn_hart!$D$2:$H$1000, MATCH(1, (A$2 = df_chn_hart!$A$2:$A$1000) * (df_chn_hart!$B$2:$B$1000 = $B154) * (df_chn_hart!$C$2:$C$1000 = "Examined CHN"), 0), MATCH("Total", df_chn_hart!$D$1:$H$1, 0)),0)</f>
        <v>0</v>
      </c>
      <c r="K154" s="239">
        <f t="array" ref="K154">IFERROR(INDEX(df_chn_hart!$D$2:$H$1000, MATCH(1, (B$2 = df_chn_hart!$A$2:$A$1000) * (df_chn_hart!$B$2:$B$1000 = $B154) * (df_chn_hart!$C$2:$C$1000 = "Examined CHN"), 0), MATCH("Total", df_chn_hart!$D$1:$H$1, 0)),0)</f>
        <v>0</v>
      </c>
      <c r="L154" s="552">
        <f t="array" ref="L154">IFERROR(INDEX(df_chn_hart!$D$2:$H$1000, MATCH(1, (C$2 = df_chn_hart!$A$2:$A$1000) * (df_chn_hart!$B$2:$B$1000 = $B154) * (df_chn_hart!$C$2:$C$1000 = "Examined CHN"), 0), MATCH("Total", df_chn_hart!$D$1:$H$1, 0)),0)</f>
        <v>0</v>
      </c>
      <c r="N154" s="84" t="s">
        <v>393</v>
      </c>
      <c r="O154" s="173"/>
      <c r="P154" s="239">
        <f t="array" ref="P154">IFERROR(INDEX(df_chn_hart!$D$2:$H$1000, MATCH(1, (A$2 = df_chn_hart!$A$2:$A$1000) * (df_chn_hart!$B$2:$B$1000 = $B154) * (df_chn_hart!$C$2:$C$1000 = "In CHN"), 0), MATCH("Total", df_chn_hart!$D$1:$H$1, 0)),0)</f>
        <v>0</v>
      </c>
      <c r="Q154" s="239">
        <f t="array" ref="Q154">IFERROR(INDEX(df_chn_hart!$D$2:$H$1000, MATCH(1, (B$2 = df_chn_hart!$A$2:$A$1000) * (df_chn_hart!$B$2:$B$1000 = $B154) * (df_chn_hart!$C$2:$C$1000 = "In CHN"), 0), MATCH("Total", df_chn_hart!$D$1:$H$1, 0)),0)</f>
        <v>0</v>
      </c>
      <c r="R154" s="552">
        <f t="array" ref="R154">IFERROR(INDEX(df_chn_hart!$D$2:$H$1000, MATCH(1, (C$2 = df_chn_hart!$A$2:$A$1000) * (df_chn_hart!$B$2:$B$1000 = $B154) * (df_chn_hart!$C$2:$C$1000 = "In CHN"), 0), MATCH("Total", df_chn_hart!$D$1:$H$1, 0)),0)</f>
        <v>0</v>
      </c>
      <c r="T154" s="84" t="s">
        <v>393</v>
      </c>
      <c r="U154" s="173"/>
      <c r="V154" s="262" t="e">
        <f t="shared" si="5"/>
        <v>#DIV/0!</v>
      </c>
      <c r="W154" s="262" t="e">
        <f t="shared" si="6"/>
        <v>#DIV/0!</v>
      </c>
      <c r="X154" s="201" t="e">
        <f t="shared" si="7"/>
        <v>#DIV/0!</v>
      </c>
    </row>
    <row r="155" spans="1:24" ht="20.100000000000001" customHeight="1" x14ac:dyDescent="0.2">
      <c r="B155" s="84" t="s">
        <v>394</v>
      </c>
      <c r="C155" s="173"/>
      <c r="D155" s="239">
        <f t="array" ref="D155">IFERROR(INDEX(df_chn_hart!$D$2:$H$1000, MATCH(1, (A$2 = df_chn_hart!$A$2:$A$1000) * (df_chn_hart!$B$2:$B$1000 = $B155) * (df_chn_hart!$C$2:$C$1000 = "Total private households"), 0), MATCH("Total", df_chn_hart!$D$1:$H$1, 0)),0)</f>
        <v>0</v>
      </c>
      <c r="E155" s="239">
        <f t="array" ref="E155">IFERROR(INDEX(df_chn_hart!$D$2:$H$1000, MATCH(1, (B$2 = df_chn_hart!$A$2:$A$1000) * (df_chn_hart!$B$2:$B$1000 = $B155) * (df_chn_hart!$C$2:$C$1000 = "Total private households"), 0), MATCH("Total", df_chn_hart!$D$1:$H$1, 0)),0)</f>
        <v>0</v>
      </c>
      <c r="F155" s="552">
        <f t="array" ref="F155">IFERROR(INDEX(df_chn_hart!$D$2:$H$1000, MATCH(1, (C$2 = df_chn_hart!$A$2:$A$1000) * (df_chn_hart!$B$2:$B$1000 = $B155) * (df_chn_hart!$C$2:$C$1000 = "Total private households"), 0), MATCH("Total", df_chn_hart!$D$1:$H$1, 0)),0)</f>
        <v>0</v>
      </c>
      <c r="H155" s="84" t="s">
        <v>394</v>
      </c>
      <c r="I155" s="173"/>
      <c r="J155" s="239">
        <f t="array" ref="J155">IFERROR(INDEX(df_chn_hart!$D$2:$H$1000, MATCH(1, (A$2 = df_chn_hart!$A$2:$A$1000) * (df_chn_hart!$B$2:$B$1000 = $B155) * (df_chn_hart!$C$2:$C$1000 = "Examined CHN"), 0), MATCH("Total", df_chn_hart!$D$1:$H$1, 0)),0)</f>
        <v>0</v>
      </c>
      <c r="K155" s="239">
        <f t="array" ref="K155">IFERROR(INDEX(df_chn_hart!$D$2:$H$1000, MATCH(1, (B$2 = df_chn_hart!$A$2:$A$1000) * (df_chn_hart!$B$2:$B$1000 = $B155) * (df_chn_hart!$C$2:$C$1000 = "Examined CHN"), 0), MATCH("Total", df_chn_hart!$D$1:$H$1, 0)),0)</f>
        <v>0</v>
      </c>
      <c r="L155" s="552">
        <f t="array" ref="L155">IFERROR(INDEX(df_chn_hart!$D$2:$H$1000, MATCH(1, (C$2 = df_chn_hart!$A$2:$A$1000) * (df_chn_hart!$B$2:$B$1000 = $B155) * (df_chn_hart!$C$2:$C$1000 = "Examined CHN"), 0), MATCH("Total", df_chn_hart!$D$1:$H$1, 0)),0)</f>
        <v>0</v>
      </c>
      <c r="N155" s="84" t="s">
        <v>394</v>
      </c>
      <c r="O155" s="173"/>
      <c r="P155" s="239">
        <f t="array" ref="P155">IFERROR(INDEX(df_chn_hart!$D$2:$H$1000, MATCH(1, (A$2 = df_chn_hart!$A$2:$A$1000) * (df_chn_hart!$B$2:$B$1000 = $B155) * (df_chn_hart!$C$2:$C$1000 = "In CHN"), 0), MATCH("Total", df_chn_hart!$D$1:$H$1, 0)),0)</f>
        <v>0</v>
      </c>
      <c r="Q155" s="239">
        <f t="array" ref="Q155">IFERROR(INDEX(df_chn_hart!$D$2:$H$1000, MATCH(1, (B$2 = df_chn_hart!$A$2:$A$1000) * (df_chn_hart!$B$2:$B$1000 = $B155) * (df_chn_hart!$C$2:$C$1000 = "In CHN"), 0), MATCH("Total", df_chn_hart!$D$1:$H$1, 0)),0)</f>
        <v>0</v>
      </c>
      <c r="R155" s="552">
        <f t="array" ref="R155">IFERROR(INDEX(df_chn_hart!$D$2:$H$1000, MATCH(1, (C$2 = df_chn_hart!$A$2:$A$1000) * (df_chn_hart!$B$2:$B$1000 = $B155) * (df_chn_hart!$C$2:$C$1000 = "In CHN"), 0), MATCH("Total", df_chn_hart!$D$1:$H$1, 0)),0)</f>
        <v>0</v>
      </c>
      <c r="T155" s="84" t="s">
        <v>394</v>
      </c>
      <c r="U155" s="173"/>
      <c r="V155" s="262" t="e">
        <f t="shared" si="5"/>
        <v>#DIV/0!</v>
      </c>
      <c r="W155" s="262" t="e">
        <f t="shared" si="6"/>
        <v>#DIV/0!</v>
      </c>
      <c r="X155" s="201" t="e">
        <f t="shared" si="7"/>
        <v>#DIV/0!</v>
      </c>
    </row>
    <row r="156" spans="1:24" ht="20.100000000000001" customHeight="1" x14ac:dyDescent="0.2">
      <c r="B156" s="84" t="s">
        <v>395</v>
      </c>
      <c r="C156" s="173"/>
      <c r="D156" s="239">
        <f t="array" ref="D156">IFERROR(INDEX(df_chn_hart!$D$2:$H$1000, MATCH(1, (A$2 = df_chn_hart!$A$2:$A$1000) * (df_chn_hart!$B$2:$B$1000 = $B156) * (df_chn_hart!$C$2:$C$1000 = "Total private households"), 0), MATCH("Total", df_chn_hart!$D$1:$H$1, 0)),0)</f>
        <v>0</v>
      </c>
      <c r="E156" s="239">
        <f t="array" ref="E156">IFERROR(INDEX(df_chn_hart!$D$2:$H$1000, MATCH(1, (B$2 = df_chn_hart!$A$2:$A$1000) * (df_chn_hart!$B$2:$B$1000 = $B156) * (df_chn_hart!$C$2:$C$1000 = "Total private households"), 0), MATCH("Total", df_chn_hart!$D$1:$H$1, 0)),0)</f>
        <v>0</v>
      </c>
      <c r="F156" s="552">
        <f t="array" ref="F156">IFERROR(INDEX(df_chn_hart!$D$2:$H$1000, MATCH(1, (C$2 = df_chn_hart!$A$2:$A$1000) * (df_chn_hart!$B$2:$B$1000 = $B156) * (df_chn_hart!$C$2:$C$1000 = "Total private households"), 0), MATCH("Total", df_chn_hart!$D$1:$H$1, 0)),0)</f>
        <v>0</v>
      </c>
      <c r="H156" s="84" t="s">
        <v>395</v>
      </c>
      <c r="I156" s="173"/>
      <c r="J156" s="239">
        <f t="array" ref="J156">IFERROR(INDEX(df_chn_hart!$D$2:$H$1000, MATCH(1, (A$2 = df_chn_hart!$A$2:$A$1000) * (df_chn_hart!$B$2:$B$1000 = $B156) * (df_chn_hart!$C$2:$C$1000 = "Examined CHN"), 0), MATCH("Total", df_chn_hart!$D$1:$H$1, 0)),0)</f>
        <v>0</v>
      </c>
      <c r="K156" s="239">
        <f t="array" ref="K156">IFERROR(INDEX(df_chn_hart!$D$2:$H$1000, MATCH(1, (B$2 = df_chn_hart!$A$2:$A$1000) * (df_chn_hart!$B$2:$B$1000 = $B156) * (df_chn_hart!$C$2:$C$1000 = "Examined CHN"), 0), MATCH("Total", df_chn_hart!$D$1:$H$1, 0)),0)</f>
        <v>0</v>
      </c>
      <c r="L156" s="552">
        <f t="array" ref="L156">IFERROR(INDEX(df_chn_hart!$D$2:$H$1000, MATCH(1, (C$2 = df_chn_hart!$A$2:$A$1000) * (df_chn_hart!$B$2:$B$1000 = $B156) * (df_chn_hart!$C$2:$C$1000 = "Examined CHN"), 0), MATCH("Total", df_chn_hart!$D$1:$H$1, 0)),0)</f>
        <v>0</v>
      </c>
      <c r="N156" s="84" t="s">
        <v>395</v>
      </c>
      <c r="O156" s="173"/>
      <c r="P156" s="239">
        <f t="array" ref="P156">IFERROR(INDEX(df_chn_hart!$D$2:$H$1000, MATCH(1, (A$2 = df_chn_hart!$A$2:$A$1000) * (df_chn_hart!$B$2:$B$1000 = $B156) * (df_chn_hart!$C$2:$C$1000 = "In CHN"), 0), MATCH("Total", df_chn_hart!$D$1:$H$1, 0)),0)</f>
        <v>0</v>
      </c>
      <c r="Q156" s="239">
        <f t="array" ref="Q156">IFERROR(INDEX(df_chn_hart!$D$2:$H$1000, MATCH(1, (B$2 = df_chn_hart!$A$2:$A$1000) * (df_chn_hart!$B$2:$B$1000 = $B156) * (df_chn_hart!$C$2:$C$1000 = "In CHN"), 0), MATCH("Total", df_chn_hart!$D$1:$H$1, 0)),0)</f>
        <v>0</v>
      </c>
      <c r="R156" s="552">
        <f t="array" ref="R156">IFERROR(INDEX(df_chn_hart!$D$2:$H$1000, MATCH(1, (C$2 = df_chn_hart!$A$2:$A$1000) * (df_chn_hart!$B$2:$B$1000 = $B156) * (df_chn_hart!$C$2:$C$1000 = "In CHN"), 0), MATCH("Total", df_chn_hart!$D$1:$H$1, 0)),0)</f>
        <v>0</v>
      </c>
      <c r="T156" s="84" t="s">
        <v>395</v>
      </c>
      <c r="U156" s="173"/>
      <c r="V156" s="262" t="e">
        <f t="shared" si="5"/>
        <v>#DIV/0!</v>
      </c>
      <c r="W156" s="262" t="e">
        <f t="shared" si="6"/>
        <v>#DIV/0!</v>
      </c>
      <c r="X156" s="201" t="e">
        <f t="shared" si="7"/>
        <v>#DIV/0!</v>
      </c>
    </row>
    <row r="157" spans="1:24" ht="20.100000000000001" customHeight="1" x14ac:dyDescent="0.2">
      <c r="B157" s="84" t="s">
        <v>396</v>
      </c>
      <c r="C157" s="173"/>
      <c r="D157" s="239">
        <f t="array" ref="D157">IFERROR(INDEX(df_chn_hart!$D$2:$H$1000, MATCH(1, (A$2 = df_chn_hart!$A$2:$A$1000) * (df_chn_hart!$B$2:$B$1000 = $B157) * (df_chn_hart!$C$2:$C$1000 = "Total private households"), 0), MATCH("Total", df_chn_hart!$D$1:$H$1, 0)),0)</f>
        <v>0</v>
      </c>
      <c r="E157" s="239">
        <f t="array" ref="E157">IFERROR(INDEX(df_chn_hart!$D$2:$H$1000, MATCH(1, (B$2 = df_chn_hart!$A$2:$A$1000) * (df_chn_hart!$B$2:$B$1000 = $B157) * (df_chn_hart!$C$2:$C$1000 = "Total private households"), 0), MATCH("Total", df_chn_hart!$D$1:$H$1, 0)),0)</f>
        <v>0</v>
      </c>
      <c r="F157" s="552">
        <f t="array" ref="F157">IFERROR(INDEX(df_chn_hart!$D$2:$H$1000, MATCH(1, (C$2 = df_chn_hart!$A$2:$A$1000) * (df_chn_hart!$B$2:$B$1000 = $B157) * (df_chn_hart!$C$2:$C$1000 = "Total private households"), 0), MATCH("Total", df_chn_hart!$D$1:$H$1, 0)),0)</f>
        <v>0</v>
      </c>
      <c r="H157" s="84" t="s">
        <v>396</v>
      </c>
      <c r="I157" s="173"/>
      <c r="J157" s="239">
        <f t="array" ref="J157">IFERROR(INDEX(df_chn_hart!$D$2:$H$1000, MATCH(1, (A$2 = df_chn_hart!$A$2:$A$1000) * (df_chn_hart!$B$2:$B$1000 = $B157) * (df_chn_hart!$C$2:$C$1000 = "Examined CHN"), 0), MATCH("Total", df_chn_hart!$D$1:$H$1, 0)),0)</f>
        <v>0</v>
      </c>
      <c r="K157" s="239">
        <f t="array" ref="K157">IFERROR(INDEX(df_chn_hart!$D$2:$H$1000, MATCH(1, (B$2 = df_chn_hart!$A$2:$A$1000) * (df_chn_hart!$B$2:$B$1000 = $B157) * (df_chn_hart!$C$2:$C$1000 = "Examined CHN"), 0), MATCH("Total", df_chn_hart!$D$1:$H$1, 0)),0)</f>
        <v>0</v>
      </c>
      <c r="L157" s="552">
        <f t="array" ref="L157">IFERROR(INDEX(df_chn_hart!$D$2:$H$1000, MATCH(1, (C$2 = df_chn_hart!$A$2:$A$1000) * (df_chn_hart!$B$2:$B$1000 = $B157) * (df_chn_hart!$C$2:$C$1000 = "Examined CHN"), 0), MATCH("Total", df_chn_hart!$D$1:$H$1, 0)),0)</f>
        <v>0</v>
      </c>
      <c r="N157" s="84" t="s">
        <v>396</v>
      </c>
      <c r="O157" s="173"/>
      <c r="P157" s="239">
        <f t="array" ref="P157">IFERROR(INDEX(df_chn_hart!$D$2:$H$1000, MATCH(1, (A$2 = df_chn_hart!$A$2:$A$1000) * (df_chn_hart!$B$2:$B$1000 = $B157) * (df_chn_hart!$C$2:$C$1000 = "In CHN"), 0), MATCH("Total", df_chn_hart!$D$1:$H$1, 0)),0)</f>
        <v>0</v>
      </c>
      <c r="Q157" s="239">
        <f t="array" ref="Q157">IFERROR(INDEX(df_chn_hart!$D$2:$H$1000, MATCH(1, (B$2 = df_chn_hart!$A$2:$A$1000) * (df_chn_hart!$B$2:$B$1000 = $B157) * (df_chn_hart!$C$2:$C$1000 = "In CHN"), 0), MATCH("Total", df_chn_hart!$D$1:$H$1, 0)),0)</f>
        <v>0</v>
      </c>
      <c r="R157" s="552">
        <f t="array" ref="R157">IFERROR(INDEX(df_chn_hart!$D$2:$H$1000, MATCH(1, (C$2 = df_chn_hart!$A$2:$A$1000) * (df_chn_hart!$B$2:$B$1000 = $B157) * (df_chn_hart!$C$2:$C$1000 = "In CHN"), 0), MATCH("Total", df_chn_hart!$D$1:$H$1, 0)),0)</f>
        <v>0</v>
      </c>
      <c r="T157" s="84" t="s">
        <v>396</v>
      </c>
      <c r="U157" s="173"/>
      <c r="V157" s="262" t="e">
        <f t="shared" si="5"/>
        <v>#DIV/0!</v>
      </c>
      <c r="W157" s="262" t="e">
        <f t="shared" si="6"/>
        <v>#DIV/0!</v>
      </c>
      <c r="X157" s="201" t="e">
        <f t="shared" si="7"/>
        <v>#DIV/0!</v>
      </c>
    </row>
    <row r="158" spans="1:24" ht="20.100000000000001" customHeight="1" x14ac:dyDescent="0.2">
      <c r="B158" s="84" t="s">
        <v>397</v>
      </c>
      <c r="C158" s="173"/>
      <c r="D158" s="239">
        <f t="array" ref="D158">IFERROR(INDEX(df_chn_hart!$D$2:$H$1000, MATCH(1, (A$2 = df_chn_hart!$A$2:$A$1000) * (df_chn_hart!$B$2:$B$1000 = $B158) * (df_chn_hart!$C$2:$C$1000 = "Total private households"), 0), MATCH("Total", df_chn_hart!$D$1:$H$1, 0)),0)</f>
        <v>0</v>
      </c>
      <c r="E158" s="239">
        <f t="array" ref="E158">IFERROR(INDEX(df_chn_hart!$D$2:$H$1000, MATCH(1, (B$2 = df_chn_hart!$A$2:$A$1000) * (df_chn_hart!$B$2:$B$1000 = $B158) * (df_chn_hart!$C$2:$C$1000 = "Total private households"), 0), MATCH("Total", df_chn_hart!$D$1:$H$1, 0)),0)</f>
        <v>0</v>
      </c>
      <c r="F158" s="552">
        <f t="array" ref="F158">IFERROR(INDEX(df_chn_hart!$D$2:$H$1000, MATCH(1, (C$2 = df_chn_hart!$A$2:$A$1000) * (df_chn_hart!$B$2:$B$1000 = $B158) * (df_chn_hart!$C$2:$C$1000 = "Total private households"), 0), MATCH("Total", df_chn_hart!$D$1:$H$1, 0)),0)</f>
        <v>0</v>
      </c>
      <c r="H158" s="84" t="s">
        <v>397</v>
      </c>
      <c r="I158" s="173"/>
      <c r="J158" s="239">
        <f t="array" ref="J158">IFERROR(INDEX(df_chn_hart!$D$2:$H$1000, MATCH(1, (A$2 = df_chn_hart!$A$2:$A$1000) * (df_chn_hart!$B$2:$B$1000 = $B158) * (df_chn_hart!$C$2:$C$1000 = "Examined CHN"), 0), MATCH("Total", df_chn_hart!$D$1:$H$1, 0)),0)</f>
        <v>0</v>
      </c>
      <c r="K158" s="239">
        <f t="array" ref="K158">IFERROR(INDEX(df_chn_hart!$D$2:$H$1000, MATCH(1, (B$2 = df_chn_hart!$A$2:$A$1000) * (df_chn_hart!$B$2:$B$1000 = $B158) * (df_chn_hart!$C$2:$C$1000 = "Examined CHN"), 0), MATCH("Total", df_chn_hart!$D$1:$H$1, 0)),0)</f>
        <v>0</v>
      </c>
      <c r="L158" s="552">
        <f t="array" ref="L158">IFERROR(INDEX(df_chn_hart!$D$2:$H$1000, MATCH(1, (C$2 = df_chn_hart!$A$2:$A$1000) * (df_chn_hart!$B$2:$B$1000 = $B158) * (df_chn_hart!$C$2:$C$1000 = "Examined CHN"), 0), MATCH("Total", df_chn_hart!$D$1:$H$1, 0)),0)</f>
        <v>0</v>
      </c>
      <c r="N158" s="84" t="s">
        <v>397</v>
      </c>
      <c r="O158" s="173"/>
      <c r="P158" s="239">
        <f t="array" ref="P158">IFERROR(INDEX(df_chn_hart!$D$2:$H$1000, MATCH(1, (A$2 = df_chn_hart!$A$2:$A$1000) * (df_chn_hart!$B$2:$B$1000 = $B158) * (df_chn_hart!$C$2:$C$1000 = "In CHN"), 0), MATCH("Total", df_chn_hart!$D$1:$H$1, 0)),0)</f>
        <v>0</v>
      </c>
      <c r="Q158" s="239">
        <f t="array" ref="Q158">IFERROR(INDEX(df_chn_hart!$D$2:$H$1000, MATCH(1, (B$2 = df_chn_hart!$A$2:$A$1000) * (df_chn_hart!$B$2:$B$1000 = $B158) * (df_chn_hart!$C$2:$C$1000 = "In CHN"), 0), MATCH("Total", df_chn_hart!$D$1:$H$1, 0)),0)</f>
        <v>0</v>
      </c>
      <c r="R158" s="552">
        <f t="array" ref="R158">IFERROR(INDEX(df_chn_hart!$D$2:$H$1000, MATCH(1, (C$2 = df_chn_hart!$A$2:$A$1000) * (df_chn_hart!$B$2:$B$1000 = $B158) * (df_chn_hart!$C$2:$C$1000 = "In CHN"), 0), MATCH("Total", df_chn_hart!$D$1:$H$1, 0)),0)</f>
        <v>0</v>
      </c>
      <c r="T158" s="84" t="s">
        <v>397</v>
      </c>
      <c r="U158" s="173"/>
      <c r="V158" s="262" t="e">
        <f t="shared" si="5"/>
        <v>#DIV/0!</v>
      </c>
      <c r="W158" s="262" t="e">
        <f t="shared" si="6"/>
        <v>#DIV/0!</v>
      </c>
      <c r="X158" s="201" t="e">
        <f t="shared" si="7"/>
        <v>#DIV/0!</v>
      </c>
    </row>
    <row r="159" spans="1:24" ht="20.100000000000001" customHeight="1" x14ac:dyDescent="0.2">
      <c r="B159" s="84" t="s">
        <v>398</v>
      </c>
      <c r="C159" s="173"/>
      <c r="D159" s="239">
        <f t="array" ref="D159">IFERROR(INDEX(df_chn_hart!$D$2:$H$1000, MATCH(1, (A$2 = df_chn_hart!$A$2:$A$1000) * (df_chn_hart!$B$2:$B$1000 = $B159) * (df_chn_hart!$C$2:$C$1000 = "Total private households"), 0), MATCH("Total", df_chn_hart!$D$1:$H$1, 0)),0)</f>
        <v>0</v>
      </c>
      <c r="E159" s="239">
        <f t="array" ref="E159">IFERROR(INDEX(df_chn_hart!$D$2:$H$1000, MATCH(1, (B$2 = df_chn_hart!$A$2:$A$1000) * (df_chn_hart!$B$2:$B$1000 = $B159) * (df_chn_hart!$C$2:$C$1000 = "Total private households"), 0), MATCH("Total", df_chn_hart!$D$1:$H$1, 0)),0)</f>
        <v>0</v>
      </c>
      <c r="F159" s="552">
        <f t="array" ref="F159">IFERROR(INDEX(df_chn_hart!$D$2:$H$1000, MATCH(1, (C$2 = df_chn_hart!$A$2:$A$1000) * (df_chn_hart!$B$2:$B$1000 = $B159) * (df_chn_hart!$C$2:$C$1000 = "Total private households"), 0), MATCH("Total", df_chn_hart!$D$1:$H$1, 0)),0)</f>
        <v>0</v>
      </c>
      <c r="H159" s="84" t="s">
        <v>398</v>
      </c>
      <c r="I159" s="173"/>
      <c r="J159" s="239">
        <f t="array" ref="J159">IFERROR(INDEX(df_chn_hart!$D$2:$H$1000, MATCH(1, (A$2 = df_chn_hart!$A$2:$A$1000) * (df_chn_hart!$B$2:$B$1000 = $B159) * (df_chn_hart!$C$2:$C$1000 = "Examined CHN"), 0), MATCH("Total", df_chn_hart!$D$1:$H$1, 0)),0)</f>
        <v>0</v>
      </c>
      <c r="K159" s="239">
        <f t="array" ref="K159">IFERROR(INDEX(df_chn_hart!$D$2:$H$1000, MATCH(1, (B$2 = df_chn_hart!$A$2:$A$1000) * (df_chn_hart!$B$2:$B$1000 = $B159) * (df_chn_hart!$C$2:$C$1000 = "Examined CHN"), 0), MATCH("Total", df_chn_hart!$D$1:$H$1, 0)),0)</f>
        <v>0</v>
      </c>
      <c r="L159" s="552">
        <f t="array" ref="L159">IFERROR(INDEX(df_chn_hart!$D$2:$H$1000, MATCH(1, (C$2 = df_chn_hart!$A$2:$A$1000) * (df_chn_hart!$B$2:$B$1000 = $B159) * (df_chn_hart!$C$2:$C$1000 = "Examined CHN"), 0), MATCH("Total", df_chn_hart!$D$1:$H$1, 0)),0)</f>
        <v>0</v>
      </c>
      <c r="N159" s="84" t="s">
        <v>398</v>
      </c>
      <c r="O159" s="173"/>
      <c r="P159" s="239">
        <f t="array" ref="P159">IFERROR(INDEX(df_chn_hart!$D$2:$H$1000, MATCH(1, (A$2 = df_chn_hart!$A$2:$A$1000) * (df_chn_hart!$B$2:$B$1000 = $B159) * (df_chn_hart!$C$2:$C$1000 = "In CHN"), 0), MATCH("Total", df_chn_hart!$D$1:$H$1, 0)),0)</f>
        <v>0</v>
      </c>
      <c r="Q159" s="239">
        <f t="array" ref="Q159">IFERROR(INDEX(df_chn_hart!$D$2:$H$1000, MATCH(1, (B$2 = df_chn_hart!$A$2:$A$1000) * (df_chn_hart!$B$2:$B$1000 = $B159) * (df_chn_hart!$C$2:$C$1000 = "In CHN"), 0), MATCH("Total", df_chn_hart!$D$1:$H$1, 0)),0)</f>
        <v>0</v>
      </c>
      <c r="R159" s="552">
        <f t="array" ref="R159">IFERROR(INDEX(df_chn_hart!$D$2:$H$1000, MATCH(1, (C$2 = df_chn_hart!$A$2:$A$1000) * (df_chn_hart!$B$2:$B$1000 = $B159) * (df_chn_hart!$C$2:$C$1000 = "In CHN"), 0), MATCH("Total", df_chn_hart!$D$1:$H$1, 0)),0)</f>
        <v>0</v>
      </c>
      <c r="T159" s="84" t="s">
        <v>398</v>
      </c>
      <c r="U159" s="173"/>
      <c r="V159" s="262" t="e">
        <f t="shared" si="5"/>
        <v>#DIV/0!</v>
      </c>
      <c r="W159" s="262" t="e">
        <f t="shared" si="6"/>
        <v>#DIV/0!</v>
      </c>
      <c r="X159" s="201" t="e">
        <f t="shared" si="7"/>
        <v>#DIV/0!</v>
      </c>
    </row>
    <row r="160" spans="1:24" ht="20.100000000000001" customHeight="1" x14ac:dyDescent="0.2">
      <c r="B160" s="84" t="s">
        <v>399</v>
      </c>
      <c r="C160" s="173"/>
      <c r="D160" s="239">
        <f t="array" ref="D160">IFERROR(INDEX(df_chn_hart!$D$2:$H$1000, MATCH(1, (A$2 = df_chn_hart!$A$2:$A$1000) * (df_chn_hart!$B$2:$B$1000 = $B160) * (df_chn_hart!$C$2:$C$1000 = "Total private households"), 0), MATCH("Total", df_chn_hart!$D$1:$H$1, 0)),0)</f>
        <v>0</v>
      </c>
      <c r="E160" s="239">
        <f t="array" ref="E160">IFERROR(INDEX(df_chn_hart!$D$2:$H$1000, MATCH(1, (B$2 = df_chn_hart!$A$2:$A$1000) * (df_chn_hart!$B$2:$B$1000 = $B160) * (df_chn_hart!$C$2:$C$1000 = "Total private households"), 0), MATCH("Total", df_chn_hart!$D$1:$H$1, 0)),0)</f>
        <v>0</v>
      </c>
      <c r="F160" s="552">
        <f t="array" ref="F160">IFERROR(INDEX(df_chn_hart!$D$2:$H$1000, MATCH(1, (C$2 = df_chn_hart!$A$2:$A$1000) * (df_chn_hart!$B$2:$B$1000 = $B160) * (df_chn_hart!$C$2:$C$1000 = "Total private households"), 0), MATCH("Total", df_chn_hart!$D$1:$H$1, 0)),0)</f>
        <v>0</v>
      </c>
      <c r="H160" s="84" t="s">
        <v>399</v>
      </c>
      <c r="I160" s="173"/>
      <c r="J160" s="239">
        <f t="array" ref="J160">IFERROR(INDEX(df_chn_hart!$D$2:$H$1000, MATCH(1, (A$2 = df_chn_hart!$A$2:$A$1000) * (df_chn_hart!$B$2:$B$1000 = $B160) * (df_chn_hart!$C$2:$C$1000 = "Examined CHN"), 0), MATCH("Total", df_chn_hart!$D$1:$H$1, 0)),0)</f>
        <v>0</v>
      </c>
      <c r="K160" s="239">
        <f t="array" ref="K160">IFERROR(INDEX(df_chn_hart!$D$2:$H$1000, MATCH(1, (B$2 = df_chn_hart!$A$2:$A$1000) * (df_chn_hart!$B$2:$B$1000 = $B160) * (df_chn_hart!$C$2:$C$1000 = "Examined CHN"), 0), MATCH("Total", df_chn_hart!$D$1:$H$1, 0)),0)</f>
        <v>0</v>
      </c>
      <c r="L160" s="552">
        <f t="array" ref="L160">IFERROR(INDEX(df_chn_hart!$D$2:$H$1000, MATCH(1, (C$2 = df_chn_hart!$A$2:$A$1000) * (df_chn_hart!$B$2:$B$1000 = $B160) * (df_chn_hart!$C$2:$C$1000 = "Examined CHN"), 0), MATCH("Total", df_chn_hart!$D$1:$H$1, 0)),0)</f>
        <v>0</v>
      </c>
      <c r="N160" s="84" t="s">
        <v>399</v>
      </c>
      <c r="O160" s="173"/>
      <c r="P160" s="239">
        <f t="array" ref="P160">IFERROR(INDEX(df_chn_hart!$D$2:$H$1000, MATCH(1, (A$2 = df_chn_hart!$A$2:$A$1000) * (df_chn_hart!$B$2:$B$1000 = $B160) * (df_chn_hart!$C$2:$C$1000 = "In CHN"), 0), MATCH("Total", df_chn_hart!$D$1:$H$1, 0)),0)</f>
        <v>0</v>
      </c>
      <c r="Q160" s="239">
        <f t="array" ref="Q160">IFERROR(INDEX(df_chn_hart!$D$2:$H$1000, MATCH(1, (B$2 = df_chn_hart!$A$2:$A$1000) * (df_chn_hart!$B$2:$B$1000 = $B160) * (df_chn_hart!$C$2:$C$1000 = "In CHN"), 0), MATCH("Total", df_chn_hart!$D$1:$H$1, 0)),0)</f>
        <v>0</v>
      </c>
      <c r="R160" s="552">
        <f t="array" ref="R160">IFERROR(INDEX(df_chn_hart!$D$2:$H$1000, MATCH(1, (C$2 = df_chn_hart!$A$2:$A$1000) * (df_chn_hart!$B$2:$B$1000 = $B160) * (df_chn_hart!$C$2:$C$1000 = "In CHN"), 0), MATCH("Total", df_chn_hart!$D$1:$H$1, 0)),0)</f>
        <v>0</v>
      </c>
      <c r="T160" s="84" t="s">
        <v>399</v>
      </c>
      <c r="U160" s="173"/>
      <c r="V160" s="262" t="e">
        <f t="shared" si="5"/>
        <v>#DIV/0!</v>
      </c>
      <c r="W160" s="262" t="e">
        <f t="shared" si="6"/>
        <v>#DIV/0!</v>
      </c>
      <c r="X160" s="201" t="e">
        <f t="shared" si="7"/>
        <v>#DIV/0!</v>
      </c>
    </row>
    <row r="161" spans="1:24" ht="20.100000000000001" customHeight="1" x14ac:dyDescent="0.2">
      <c r="B161" s="84" t="s">
        <v>400</v>
      </c>
      <c r="C161" s="173"/>
      <c r="D161" s="239">
        <f t="array" ref="D161">IFERROR(INDEX(df_chn_hart!$D$2:$H$1000, MATCH(1, (A$2 = df_chn_hart!$A$2:$A$1000) * (df_chn_hart!$B$2:$B$1000 = $B161) * (df_chn_hart!$C$2:$C$1000 = "Total private households"), 0), MATCH("Total", df_chn_hart!$D$1:$H$1, 0)),0)</f>
        <v>0</v>
      </c>
      <c r="E161" s="239">
        <f t="array" ref="E161">IFERROR(INDEX(df_chn_hart!$D$2:$H$1000, MATCH(1, (B$2 = df_chn_hart!$A$2:$A$1000) * (df_chn_hart!$B$2:$B$1000 = $B161) * (df_chn_hart!$C$2:$C$1000 = "Total private households"), 0), MATCH("Total", df_chn_hart!$D$1:$H$1, 0)),0)</f>
        <v>0</v>
      </c>
      <c r="F161" s="552">
        <f t="array" ref="F161">IFERROR(INDEX(df_chn_hart!$D$2:$H$1000, MATCH(1, (C$2 = df_chn_hart!$A$2:$A$1000) * (df_chn_hart!$B$2:$B$1000 = $B161) * (df_chn_hart!$C$2:$C$1000 = "Total private households"), 0), MATCH("Total", df_chn_hart!$D$1:$H$1, 0)),0)</f>
        <v>0</v>
      </c>
      <c r="H161" s="84" t="s">
        <v>400</v>
      </c>
      <c r="I161" s="173"/>
      <c r="J161" s="239">
        <f t="array" ref="J161">IFERROR(INDEX(df_chn_hart!$D$2:$H$1000, MATCH(1, (A$2 = df_chn_hart!$A$2:$A$1000) * (df_chn_hart!$B$2:$B$1000 = $B161) * (df_chn_hart!$C$2:$C$1000 = "Examined CHN"), 0), MATCH("Total", df_chn_hart!$D$1:$H$1, 0)),0)</f>
        <v>0</v>
      </c>
      <c r="K161" s="239">
        <f t="array" ref="K161">IFERROR(INDEX(df_chn_hart!$D$2:$H$1000, MATCH(1, (B$2 = df_chn_hart!$A$2:$A$1000) * (df_chn_hart!$B$2:$B$1000 = $B161) * (df_chn_hart!$C$2:$C$1000 = "Examined CHN"), 0), MATCH("Total", df_chn_hart!$D$1:$H$1, 0)),0)</f>
        <v>0</v>
      </c>
      <c r="L161" s="552">
        <f t="array" ref="L161">IFERROR(INDEX(df_chn_hart!$D$2:$H$1000, MATCH(1, (C$2 = df_chn_hart!$A$2:$A$1000) * (df_chn_hart!$B$2:$B$1000 = $B161) * (df_chn_hart!$C$2:$C$1000 = "Examined CHN"), 0), MATCH("Total", df_chn_hart!$D$1:$H$1, 0)),0)</f>
        <v>0</v>
      </c>
      <c r="N161" s="84" t="s">
        <v>400</v>
      </c>
      <c r="O161" s="173"/>
      <c r="P161" s="239">
        <f t="array" ref="P161">IFERROR(INDEX(df_chn_hart!$D$2:$H$1000, MATCH(1, (A$2 = df_chn_hart!$A$2:$A$1000) * (df_chn_hart!$B$2:$B$1000 = $B161) * (df_chn_hart!$C$2:$C$1000 = "In CHN"), 0), MATCH("Total", df_chn_hart!$D$1:$H$1, 0)),0)</f>
        <v>0</v>
      </c>
      <c r="Q161" s="239">
        <f t="array" ref="Q161">IFERROR(INDEX(df_chn_hart!$D$2:$H$1000, MATCH(1, (B$2 = df_chn_hart!$A$2:$A$1000) * (df_chn_hart!$B$2:$B$1000 = $B161) * (df_chn_hart!$C$2:$C$1000 = "In CHN"), 0), MATCH("Total", df_chn_hart!$D$1:$H$1, 0)),0)</f>
        <v>0</v>
      </c>
      <c r="R161" s="552">
        <f t="array" ref="R161">IFERROR(INDEX(df_chn_hart!$D$2:$H$1000, MATCH(1, (C$2 = df_chn_hart!$A$2:$A$1000) * (df_chn_hart!$B$2:$B$1000 = $B161) * (df_chn_hart!$C$2:$C$1000 = "In CHN"), 0), MATCH("Total", df_chn_hart!$D$1:$H$1, 0)),0)</f>
        <v>0</v>
      </c>
      <c r="T161" s="84" t="s">
        <v>400</v>
      </c>
      <c r="U161" s="173"/>
      <c r="V161" s="262" t="e">
        <f t="shared" si="5"/>
        <v>#DIV/0!</v>
      </c>
      <c r="W161" s="262" t="e">
        <f t="shared" si="6"/>
        <v>#DIV/0!</v>
      </c>
      <c r="X161" s="201" t="e">
        <f t="shared" si="7"/>
        <v>#DIV/0!</v>
      </c>
    </row>
    <row r="162" spans="1:24" ht="20.100000000000001" customHeight="1" x14ac:dyDescent="0.2">
      <c r="B162" s="84" t="s">
        <v>401</v>
      </c>
      <c r="C162" s="173"/>
      <c r="D162" s="239">
        <f t="array" ref="D162">IFERROR(INDEX(df_chn_hart!$D$2:$H$1000, MATCH(1, (A$2 = df_chn_hart!$A$2:$A$1000) * (df_chn_hart!$B$2:$B$1000 = $B162) * (df_chn_hart!$C$2:$C$1000 = "Total private households"), 0), MATCH("Total", df_chn_hart!$D$1:$H$1, 0)),0)</f>
        <v>0</v>
      </c>
      <c r="E162" s="239">
        <f t="array" ref="E162">IFERROR(INDEX(df_chn_hart!$D$2:$H$1000, MATCH(1, (B$2 = df_chn_hart!$A$2:$A$1000) * (df_chn_hart!$B$2:$B$1000 = $B162) * (df_chn_hart!$C$2:$C$1000 = "Total private households"), 0), MATCH("Total", df_chn_hart!$D$1:$H$1, 0)),0)</f>
        <v>0</v>
      </c>
      <c r="F162" s="552">
        <f t="array" ref="F162">IFERROR(INDEX(df_chn_hart!$D$2:$H$1000, MATCH(1, (C$2 = df_chn_hart!$A$2:$A$1000) * (df_chn_hart!$B$2:$B$1000 = $B162) * (df_chn_hart!$C$2:$C$1000 = "Total private households"), 0), MATCH("Total", df_chn_hart!$D$1:$H$1, 0)),0)</f>
        <v>0</v>
      </c>
      <c r="H162" s="84" t="s">
        <v>401</v>
      </c>
      <c r="I162" s="173"/>
      <c r="J162" s="239">
        <f t="array" ref="J162">IFERROR(INDEX(df_chn_hart!$D$2:$H$1000, MATCH(1, (A$2 = df_chn_hart!$A$2:$A$1000) * (df_chn_hart!$B$2:$B$1000 = $B162) * (df_chn_hart!$C$2:$C$1000 = "Examined CHN"), 0), MATCH("Total", df_chn_hart!$D$1:$H$1, 0)),0)</f>
        <v>0</v>
      </c>
      <c r="K162" s="239">
        <f t="array" ref="K162">IFERROR(INDEX(df_chn_hart!$D$2:$H$1000, MATCH(1, (B$2 = df_chn_hart!$A$2:$A$1000) * (df_chn_hart!$B$2:$B$1000 = $B162) * (df_chn_hart!$C$2:$C$1000 = "Examined CHN"), 0), MATCH("Total", df_chn_hart!$D$1:$H$1, 0)),0)</f>
        <v>0</v>
      </c>
      <c r="L162" s="552">
        <f t="array" ref="L162">IFERROR(INDEX(df_chn_hart!$D$2:$H$1000, MATCH(1, (C$2 = df_chn_hart!$A$2:$A$1000) * (df_chn_hart!$B$2:$B$1000 = $B162) * (df_chn_hart!$C$2:$C$1000 = "Examined CHN"), 0), MATCH("Total", df_chn_hart!$D$1:$H$1, 0)),0)</f>
        <v>0</v>
      </c>
      <c r="N162" s="84" t="s">
        <v>401</v>
      </c>
      <c r="O162" s="173"/>
      <c r="P162" s="239">
        <f t="array" ref="P162">IFERROR(INDEX(df_chn_hart!$D$2:$H$1000, MATCH(1, (A$2 = df_chn_hart!$A$2:$A$1000) * (df_chn_hart!$B$2:$B$1000 = $B162) * (df_chn_hart!$C$2:$C$1000 = "In CHN"), 0), MATCH("Total", df_chn_hart!$D$1:$H$1, 0)),0)</f>
        <v>0</v>
      </c>
      <c r="Q162" s="239">
        <f t="array" ref="Q162">IFERROR(INDEX(df_chn_hart!$D$2:$H$1000, MATCH(1, (B$2 = df_chn_hart!$A$2:$A$1000) * (df_chn_hart!$B$2:$B$1000 = $B162) * (df_chn_hart!$C$2:$C$1000 = "In CHN"), 0), MATCH("Total", df_chn_hart!$D$1:$H$1, 0)),0)</f>
        <v>0</v>
      </c>
      <c r="R162" s="552">
        <f t="array" ref="R162">IFERROR(INDEX(df_chn_hart!$D$2:$H$1000, MATCH(1, (C$2 = df_chn_hart!$A$2:$A$1000) * (df_chn_hart!$B$2:$B$1000 = $B162) * (df_chn_hart!$C$2:$C$1000 = "In CHN"), 0), MATCH("Total", df_chn_hart!$D$1:$H$1, 0)),0)</f>
        <v>0</v>
      </c>
      <c r="T162" s="84" t="s">
        <v>401</v>
      </c>
      <c r="U162" s="173"/>
      <c r="V162" s="262" t="e">
        <f t="shared" si="5"/>
        <v>#DIV/0!</v>
      </c>
      <c r="W162" s="262" t="e">
        <f t="shared" si="6"/>
        <v>#DIV/0!</v>
      </c>
      <c r="X162" s="201" t="e">
        <f t="shared" si="7"/>
        <v>#DIV/0!</v>
      </c>
    </row>
    <row r="163" spans="1:24" ht="20.100000000000001" customHeight="1" x14ac:dyDescent="0.2">
      <c r="B163" s="84" t="s">
        <v>402</v>
      </c>
      <c r="C163" s="173"/>
      <c r="D163" s="239">
        <f t="array" ref="D163">IFERROR(INDEX(df_chn_hart!$D$2:$H$1000, MATCH(1, (A$2 = df_chn_hart!$A$2:$A$1000) * (df_chn_hart!$B$2:$B$1000 = $B163) * (df_chn_hart!$C$2:$C$1000 = "Total private households"), 0), MATCH("Total", df_chn_hart!$D$1:$H$1, 0)),0)</f>
        <v>0</v>
      </c>
      <c r="E163" s="239">
        <f t="array" ref="E163">IFERROR(INDEX(df_chn_hart!$D$2:$H$1000, MATCH(1, (B$2 = df_chn_hart!$A$2:$A$1000) * (df_chn_hart!$B$2:$B$1000 = $B163) * (df_chn_hart!$C$2:$C$1000 = "Total private households"), 0), MATCH("Total", df_chn_hart!$D$1:$H$1, 0)),0)</f>
        <v>0</v>
      </c>
      <c r="F163" s="552">
        <f t="array" ref="F163">IFERROR(INDEX(df_chn_hart!$D$2:$H$1000, MATCH(1, (C$2 = df_chn_hart!$A$2:$A$1000) * (df_chn_hart!$B$2:$B$1000 = $B163) * (df_chn_hart!$C$2:$C$1000 = "Total private households"), 0), MATCH("Total", df_chn_hart!$D$1:$H$1, 0)),0)</f>
        <v>0</v>
      </c>
      <c r="H163" s="84" t="s">
        <v>402</v>
      </c>
      <c r="I163" s="173"/>
      <c r="J163" s="239">
        <f t="array" ref="J163">IFERROR(INDEX(df_chn_hart!$D$2:$H$1000, MATCH(1, (A$2 = df_chn_hart!$A$2:$A$1000) * (df_chn_hart!$B$2:$B$1000 = $B163) * (df_chn_hart!$C$2:$C$1000 = "Examined CHN"), 0), MATCH("Total", df_chn_hart!$D$1:$H$1, 0)),0)</f>
        <v>0</v>
      </c>
      <c r="K163" s="239">
        <f t="array" ref="K163">IFERROR(INDEX(df_chn_hart!$D$2:$H$1000, MATCH(1, (B$2 = df_chn_hart!$A$2:$A$1000) * (df_chn_hart!$B$2:$B$1000 = $B163) * (df_chn_hart!$C$2:$C$1000 = "Examined CHN"), 0), MATCH("Total", df_chn_hart!$D$1:$H$1, 0)),0)</f>
        <v>0</v>
      </c>
      <c r="L163" s="552">
        <f t="array" ref="L163">IFERROR(INDEX(df_chn_hart!$D$2:$H$1000, MATCH(1, (C$2 = df_chn_hart!$A$2:$A$1000) * (df_chn_hart!$B$2:$B$1000 = $B163) * (df_chn_hart!$C$2:$C$1000 = "Examined CHN"), 0), MATCH("Total", df_chn_hart!$D$1:$H$1, 0)),0)</f>
        <v>0</v>
      </c>
      <c r="N163" s="84" t="s">
        <v>402</v>
      </c>
      <c r="O163" s="173"/>
      <c r="P163" s="239">
        <f t="array" ref="P163">IFERROR(INDEX(df_chn_hart!$D$2:$H$1000, MATCH(1, (A$2 = df_chn_hart!$A$2:$A$1000) * (df_chn_hart!$B$2:$B$1000 = $B163) * (df_chn_hart!$C$2:$C$1000 = "In CHN"), 0), MATCH("Total", df_chn_hart!$D$1:$H$1, 0)),0)</f>
        <v>0</v>
      </c>
      <c r="Q163" s="239">
        <f t="array" ref="Q163">IFERROR(INDEX(df_chn_hart!$D$2:$H$1000, MATCH(1, (B$2 = df_chn_hart!$A$2:$A$1000) * (df_chn_hart!$B$2:$B$1000 = $B163) * (df_chn_hart!$C$2:$C$1000 = "In CHN"), 0), MATCH("Total", df_chn_hart!$D$1:$H$1, 0)),0)</f>
        <v>0</v>
      </c>
      <c r="R163" s="552">
        <f t="array" ref="R163">IFERROR(INDEX(df_chn_hart!$D$2:$H$1000, MATCH(1, (C$2 = df_chn_hart!$A$2:$A$1000) * (df_chn_hart!$B$2:$B$1000 = $B163) * (df_chn_hart!$C$2:$C$1000 = "In CHN"), 0), MATCH("Total", df_chn_hart!$D$1:$H$1, 0)),0)</f>
        <v>0</v>
      </c>
      <c r="T163" s="84" t="s">
        <v>402</v>
      </c>
      <c r="U163" s="173"/>
      <c r="V163" s="262" t="e">
        <f t="shared" si="5"/>
        <v>#DIV/0!</v>
      </c>
      <c r="W163" s="262" t="e">
        <f t="shared" si="6"/>
        <v>#DIV/0!</v>
      </c>
      <c r="X163" s="201" t="e">
        <f t="shared" si="7"/>
        <v>#DIV/0!</v>
      </c>
    </row>
    <row r="164" spans="1:24" ht="20.100000000000001" customHeight="1" x14ac:dyDescent="0.2">
      <c r="A164" s="299"/>
      <c r="B164" s="206" t="s">
        <v>517</v>
      </c>
      <c r="C164" s="72"/>
      <c r="D164" s="128">
        <f t="array" ref="D164">IFERROR(INDEX(df_chn_hart!$D$2:$H$1000, MATCH(1, (A$2 = df_chn_hart!$A$2:$A$1000) * (df_chn_hart!$B$2:$B$1000 = $B146) * (df_chn_hart!$C$2:$C$1000 = "Total private households"), 0), MATCH("Renter", df_chn_hart!$D$1:$H$1, 0)),0)</f>
        <v>0</v>
      </c>
      <c r="E164" s="117">
        <f t="array" ref="E164">IFERROR(INDEX(df_chn_hart!$D$2:$H$1000, MATCH(1, (B$2 = df_chn_hart!$A$2:$A$1000) * (df_chn_hart!$B$2:$B$1000 = $B146) * (df_chn_hart!$C$2:$C$1000 = "Total private households"), 0), MATCH("Renter", df_chn_hart!$D$1:$H$1, 0)),0)</f>
        <v>0</v>
      </c>
      <c r="F164" s="302">
        <f t="array" ref="F164">IFERROR(INDEX(df_chn_hart!$D$2:$H$1000, MATCH(1, (C$2 = df_chn_hart!$A$2:$A$1000) * (df_chn_hart!$B$2:$B$1000 = $B146) * (df_chn_hart!$C$2:$C$1000 = "Total private households"), 0), MATCH("Renter", df_chn_hart!$D$1:$H$1, 0)),0)</f>
        <v>0</v>
      </c>
      <c r="H164" s="206" t="s">
        <v>517</v>
      </c>
      <c r="I164" s="72"/>
      <c r="J164" s="128">
        <f t="array" ref="J164">IFERROR(INDEX(df_chn_hart!$D$2:$H$1000, MATCH(1, (A$2 = df_chn_hart!$A$2:$A$1000) * (df_chn_hart!$B$2:$B$1000 = $B146) * (df_chn_hart!$C$2:$C$1000 = "Examined CHN"), 0), MATCH("Renter", df_chn_hart!$D$1:$H$1, 0)),0)</f>
        <v>0</v>
      </c>
      <c r="K164" s="117">
        <f t="array" ref="K164">IFERROR(INDEX(df_chn_hart!$D$2:$H$1000, MATCH(1, (B$2 = df_chn_hart!$A$2:$A$1000) * (df_chn_hart!$B$2:$B$1000 = $B146) * (df_chn_hart!$C$2:$C$1000 = "Examined CHN"), 0), MATCH("Renter", df_chn_hart!$D$1:$H$1, 0)),0)</f>
        <v>0</v>
      </c>
      <c r="L164" s="302">
        <f t="array" ref="L164">IFERROR(INDEX(df_chn_hart!$D$2:$H$1000, MATCH(1, (C$2 = df_chn_hart!$A$2:$A$1000) * (df_chn_hart!$B$2:$B$1000 = $B146) * (df_chn_hart!$C$2:$C$1000 = "Examined CHN"), 0), MATCH("Renter", df_chn_hart!$D$1:$H$1, 0)),0)</f>
        <v>0</v>
      </c>
      <c r="N164" s="206" t="s">
        <v>517</v>
      </c>
      <c r="O164" s="72"/>
      <c r="P164" s="128">
        <f t="array" ref="P164">IFERROR(INDEX(df_chn_hart!$D$2:$H$1000, MATCH(1, (A$2 = df_chn_hart!$A$2:$A$1000) * (df_chn_hart!$B$2:$B$1000 = $B146) * (df_chn_hart!$C$2:$C$1000 = "In CHN"), 0), MATCH("Renter", df_chn_hart!$D$1:$H$1, 0)),0)</f>
        <v>0</v>
      </c>
      <c r="Q164" s="117">
        <f t="array" ref="Q164">IFERROR(INDEX(df_chn_hart!$D$2:$H$1000, MATCH(1, (B$2 = df_chn_hart!$A$2:$A$1000) * (df_chn_hart!$B$2:$B$1000 = $B146) * (df_chn_hart!$C$2:$C$1000 = "In CHN"), 0), MATCH("Renter", df_chn_hart!$D$1:$H$1, 0)),0)</f>
        <v>0</v>
      </c>
      <c r="R164" s="302">
        <f t="array" ref="R164">IFERROR(INDEX(df_chn_hart!$D$2:$H$1000, MATCH(1, (C$2 = df_chn_hart!$A$2:$A$1000) * (df_chn_hart!$B$2:$B$1000 = $B146) * (df_chn_hart!$C$2:$C$1000 = "In CHN"), 0), MATCH("Renter", df_chn_hart!$D$1:$H$1, 0)),0)</f>
        <v>0</v>
      </c>
      <c r="T164" s="206" t="s">
        <v>517</v>
      </c>
      <c r="U164" s="72"/>
      <c r="V164" s="572" t="e">
        <f t="shared" si="5"/>
        <v>#DIV/0!</v>
      </c>
      <c r="W164" s="481" t="e">
        <f t="shared" si="6"/>
        <v>#DIV/0!</v>
      </c>
      <c r="X164" s="482" t="e">
        <f t="shared" si="7"/>
        <v>#DIV/0!</v>
      </c>
    </row>
    <row r="166" spans="1:24" ht="30" customHeight="1" x14ac:dyDescent="0.2">
      <c r="B166" s="175" t="s">
        <v>1217</v>
      </c>
      <c r="C166" s="310"/>
      <c r="D166" s="310"/>
      <c r="E166" s="310"/>
      <c r="F166" s="310"/>
      <c r="G166" s="310"/>
      <c r="H166" s="310"/>
      <c r="I166" s="310"/>
      <c r="J166" s="310"/>
      <c r="K166" s="310"/>
      <c r="L166" s="310"/>
      <c r="M166" s="310"/>
      <c r="N166" s="310"/>
      <c r="O166" s="310"/>
      <c r="P166" s="310"/>
      <c r="Q166" s="310"/>
      <c r="R166" s="310"/>
      <c r="S166" s="310"/>
      <c r="T166" s="310"/>
      <c r="U166" s="310"/>
      <c r="V166" s="310"/>
      <c r="W166" s="310"/>
      <c r="X166" s="310"/>
    </row>
    <row r="167" spans="1:24" ht="20.100000000000001" customHeight="1" x14ac:dyDescent="0.2"/>
    <row r="168" spans="1:24" ht="20.100000000000001" customHeight="1" x14ac:dyDescent="0.2">
      <c r="B168" s="1243" t="s">
        <v>1218</v>
      </c>
      <c r="C168" s="1243"/>
      <c r="D168" s="1243"/>
      <c r="E168" s="1243"/>
      <c r="F168" s="1243"/>
      <c r="H168" s="1243" t="s">
        <v>1218</v>
      </c>
      <c r="I168" s="1243"/>
      <c r="J168" s="1243"/>
      <c r="K168" s="1243"/>
    </row>
    <row r="169" spans="1:24" ht="20.100000000000001" customHeight="1" x14ac:dyDescent="0.2">
      <c r="O169" s="1"/>
      <c r="P169" s="1"/>
      <c r="Q169" s="1"/>
      <c r="R169" s="1"/>
    </row>
    <row r="170" spans="1:24" ht="20.100000000000001" customHeight="1" x14ac:dyDescent="0.2">
      <c r="B170" s="282" t="s">
        <v>438</v>
      </c>
      <c r="C170" s="517" t="s">
        <v>409</v>
      </c>
      <c r="D170" s="130" t="s">
        <v>435</v>
      </c>
      <c r="E170" s="246" t="s">
        <v>436</v>
      </c>
      <c r="F170" s="317" t="s">
        <v>437</v>
      </c>
      <c r="H170" s="282" t="s">
        <v>444</v>
      </c>
      <c r="I170" s="130" t="s">
        <v>187</v>
      </c>
      <c r="J170" s="246" t="s">
        <v>188</v>
      </c>
      <c r="K170" s="317" t="s">
        <v>189</v>
      </c>
      <c r="O170" s="1051" t="s">
        <v>441</v>
      </c>
      <c r="P170" s="1051" t="s">
        <v>442</v>
      </c>
      <c r="Q170" s="1051" t="s">
        <v>443</v>
      </c>
      <c r="R170" s="1"/>
    </row>
    <row r="171" spans="1:24" ht="20.100000000000001" customHeight="1" x14ac:dyDescent="0.2">
      <c r="B171" s="47" t="s">
        <v>409</v>
      </c>
      <c r="C171" s="129" t="str">
        <f t="array" ref="C171">IFERROR(hh!D11,"x")</f>
        <v>x</v>
      </c>
      <c r="D171" s="724" t="str">
        <f>C111</f>
        <v>x</v>
      </c>
      <c r="E171" s="893" t="str">
        <f>D111</f>
        <v>x</v>
      </c>
      <c r="F171" s="725" t="str">
        <f>E111</f>
        <v>x</v>
      </c>
      <c r="H171" s="47" t="s">
        <v>409</v>
      </c>
      <c r="I171" s="724" t="str">
        <f>IF(M171=0,"x",M171)</f>
        <v>x</v>
      </c>
      <c r="J171" s="893" t="str">
        <f>IF(N171=0,"x",N171)</f>
        <v>x</v>
      </c>
      <c r="K171" s="725" t="str">
        <f>IF(O171=0,"x",O171)</f>
        <v>x</v>
      </c>
      <c r="M171" s="1026" t="str">
        <f>need!H111</f>
        <v>x</v>
      </c>
      <c r="N171" s="1026" t="str">
        <f>need!I111</f>
        <v>x</v>
      </c>
      <c r="O171" s="1026" t="str">
        <f>need!J111</f>
        <v>x</v>
      </c>
      <c r="R171" s="1"/>
    </row>
    <row r="172" spans="1:24" ht="20.100000000000001" customHeight="1" x14ac:dyDescent="0.2">
      <c r="B172" s="1034" t="s">
        <v>439</v>
      </c>
      <c r="C172" s="1035">
        <f>D123</f>
        <v>0</v>
      </c>
      <c r="D172" s="1036" t="str">
        <f t="shared" ref="D172:F174" si="8">V123</f>
        <v>x</v>
      </c>
      <c r="E172" s="1037" t="str">
        <f t="shared" si="8"/>
        <v>x</v>
      </c>
      <c r="F172" s="1038" t="str">
        <f t="shared" si="8"/>
        <v>x</v>
      </c>
      <c r="H172" s="1034" t="s">
        <v>439</v>
      </c>
      <c r="I172" s="1036" t="str">
        <f t="shared" ref="I172:I189" si="9">IFERROR(IF(M172=0,"x",M172),"x")</f>
        <v>x</v>
      </c>
      <c r="J172" s="1037" t="str">
        <f t="array" ref="J172">IFERROR(IF(N172=0,"x",N172),"x")</f>
        <v>x</v>
      </c>
      <c r="K172" s="1038" t="str">
        <f t="array" ref="K172">IFERROR(IF(O172=0,"x",O172),"x")</f>
        <v>x</v>
      </c>
      <c r="M172" s="1026" t="e">
        <f>need!V147</f>
        <v>#DIV/0!</v>
      </c>
      <c r="N172" s="1026" t="e">
        <f>need!W147</f>
        <v>#DIV/0!</v>
      </c>
      <c r="O172" s="1026" t="e">
        <f>need!X147</f>
        <v>#DIV/0!</v>
      </c>
      <c r="R172" s="1"/>
    </row>
    <row r="173" spans="1:24" ht="20.100000000000001" customHeight="1" x14ac:dyDescent="0.2">
      <c r="B173" s="219" t="s">
        <v>440</v>
      </c>
      <c r="C173" s="123">
        <f>D124</f>
        <v>0</v>
      </c>
      <c r="D173" s="707" t="str">
        <f t="shared" si="8"/>
        <v>x</v>
      </c>
      <c r="E173" s="708" t="str">
        <f t="shared" si="8"/>
        <v>x</v>
      </c>
      <c r="F173" s="709" t="str">
        <f t="shared" si="8"/>
        <v>x</v>
      </c>
      <c r="H173" s="219" t="s">
        <v>440</v>
      </c>
      <c r="I173" s="707" t="str">
        <f t="shared" si="9"/>
        <v>x</v>
      </c>
      <c r="J173" s="708" t="str">
        <f t="array" ref="J173">IFERROR(IF(N173=0,"x",N173),"x")</f>
        <v>x</v>
      </c>
      <c r="K173" s="709" t="str">
        <f t="array" ref="K173">IFERROR(IF(O173=0,"x",O173),"x")</f>
        <v>x</v>
      </c>
      <c r="M173" s="1026" t="e">
        <f>need!V148</f>
        <v>#DIV/0!</v>
      </c>
      <c r="N173" s="1026" t="e">
        <f>need!W148</f>
        <v>#DIV/0!</v>
      </c>
      <c r="O173" s="1026" t="e">
        <f>need!X148</f>
        <v>#DIV/0!</v>
      </c>
      <c r="R173" s="1"/>
    </row>
    <row r="174" spans="1:24" ht="20.100000000000001" customHeight="1" x14ac:dyDescent="0.2">
      <c r="B174" s="306" t="s">
        <v>92</v>
      </c>
      <c r="C174" s="101">
        <f>D125</f>
        <v>0</v>
      </c>
      <c r="D174" s="697" t="str">
        <f t="shared" si="8"/>
        <v>x</v>
      </c>
      <c r="E174" s="698" t="str">
        <f t="shared" si="8"/>
        <v>x</v>
      </c>
      <c r="F174" s="699" t="str">
        <f t="shared" si="8"/>
        <v>x</v>
      </c>
      <c r="H174" s="306" t="s">
        <v>92</v>
      </c>
      <c r="I174" s="697" t="str">
        <f t="shared" si="9"/>
        <v>x</v>
      </c>
      <c r="J174" s="698" t="str">
        <f t="array" ref="J174">IFERROR(IF(N174=0,"x",N174),"x")</f>
        <v>x</v>
      </c>
      <c r="K174" s="699" t="str">
        <f t="array" ref="K174">IFERROR(IF(O174=0,"x",O174),"x")</f>
        <v>x</v>
      </c>
      <c r="M174" s="1026" t="e">
        <f>need!V149</f>
        <v>#DIV/0!</v>
      </c>
      <c r="N174" s="1026" t="e">
        <f>need!W149</f>
        <v>#DIV/0!</v>
      </c>
      <c r="O174" s="1026" t="e">
        <f>need!X149</f>
        <v>#DIV/0!</v>
      </c>
      <c r="R174" s="1"/>
    </row>
    <row r="175" spans="1:24" ht="20.100000000000001" customHeight="1" x14ac:dyDescent="0.2">
      <c r="B175" s="219" t="s">
        <v>424</v>
      </c>
      <c r="C175" s="123">
        <f>D135</f>
        <v>0</v>
      </c>
      <c r="D175" s="707" t="str">
        <f>V135</f>
        <v>x</v>
      </c>
      <c r="E175" s="708" t="str">
        <f>W135</f>
        <v>x</v>
      </c>
      <c r="F175" s="709" t="str">
        <f>X135</f>
        <v>x</v>
      </c>
      <c r="H175" s="219" t="s">
        <v>424</v>
      </c>
      <c r="I175" s="707" t="str">
        <f t="shared" si="9"/>
        <v>x</v>
      </c>
      <c r="J175" s="708" t="str">
        <f t="array" ref="J175">IFERROR(IF(N175=0,"x",N175),"x")</f>
        <v>x</v>
      </c>
      <c r="K175" s="709" t="str">
        <f t="array" ref="K175">IFERROR(IF(O175=0,"x",O175),"x")</f>
        <v>x</v>
      </c>
      <c r="M175" s="1026" t="e">
        <f>need!V159</f>
        <v>#DIV/0!</v>
      </c>
      <c r="N175" s="1026" t="e">
        <f>need!W159</f>
        <v>#DIV/0!</v>
      </c>
      <c r="O175" s="1026" t="e">
        <f>need!X159</f>
        <v>#DIV/0!</v>
      </c>
      <c r="R175" s="1"/>
    </row>
    <row r="176" spans="1:24" ht="20.100000000000001" customHeight="1" x14ac:dyDescent="0.2">
      <c r="B176" s="306" t="s">
        <v>422</v>
      </c>
      <c r="C176" s="101">
        <f>D129</f>
        <v>0</v>
      </c>
      <c r="D176" s="697" t="str">
        <f>V129</f>
        <v>x</v>
      </c>
      <c r="E176" s="698" t="str">
        <f>W129</f>
        <v>x</v>
      </c>
      <c r="F176" s="699" t="str">
        <f>X129</f>
        <v>x</v>
      </c>
      <c r="H176" s="306" t="s">
        <v>422</v>
      </c>
      <c r="I176" s="697" t="str">
        <f t="shared" si="9"/>
        <v>x</v>
      </c>
      <c r="J176" s="698" t="str">
        <f t="array" ref="J176">IFERROR(IF(N176=0,"x",N176),"x")</f>
        <v>x</v>
      </c>
      <c r="K176" s="699" t="str">
        <f t="array" ref="K176">IFERROR(IF(O176=0,"x",O176),"x")</f>
        <v>x</v>
      </c>
      <c r="M176" s="1026" t="e">
        <f>need!V153</f>
        <v>#DIV/0!</v>
      </c>
      <c r="N176" s="1026" t="e">
        <f>need!W153</f>
        <v>#DIV/0!</v>
      </c>
      <c r="O176" s="1026" t="e">
        <f>need!X153</f>
        <v>#DIV/0!</v>
      </c>
      <c r="R176" s="1"/>
    </row>
    <row r="177" spans="2:18" ht="20.100000000000001" customHeight="1" x14ac:dyDescent="0.2">
      <c r="B177" s="219" t="s">
        <v>419</v>
      </c>
      <c r="C177" s="123">
        <f>D126</f>
        <v>0</v>
      </c>
      <c r="D177" s="707" t="str">
        <f t="shared" ref="D177:F179" si="10">V126</f>
        <v>x</v>
      </c>
      <c r="E177" s="708" t="str">
        <f t="shared" si="10"/>
        <v>x</v>
      </c>
      <c r="F177" s="709" t="str">
        <f t="shared" si="10"/>
        <v>x</v>
      </c>
      <c r="H177" s="219" t="s">
        <v>419</v>
      </c>
      <c r="I177" s="707" t="str">
        <f t="shared" si="9"/>
        <v>x</v>
      </c>
      <c r="J177" s="708" t="str">
        <f t="array" ref="J177">IFERROR(IF(N177=0,"x",N177),"x")</f>
        <v>x</v>
      </c>
      <c r="K177" s="709" t="str">
        <f t="array" ref="K177">IFERROR(IF(O177=0,"x",O177),"x")</f>
        <v>x</v>
      </c>
      <c r="M177" s="1026" t="e">
        <f>need!V150</f>
        <v>#DIV/0!</v>
      </c>
      <c r="N177" s="1026" t="e">
        <f>need!W150</f>
        <v>#DIV/0!</v>
      </c>
      <c r="O177" s="1026" t="e">
        <f>need!X150</f>
        <v>#DIV/0!</v>
      </c>
      <c r="R177" s="1"/>
    </row>
    <row r="178" spans="2:18" ht="20.100000000000001" customHeight="1" x14ac:dyDescent="0.2">
      <c r="B178" s="306" t="s">
        <v>420</v>
      </c>
      <c r="C178" s="101">
        <f>D127</f>
        <v>0</v>
      </c>
      <c r="D178" s="697" t="str">
        <f t="shared" si="10"/>
        <v>x</v>
      </c>
      <c r="E178" s="698" t="str">
        <f t="shared" si="10"/>
        <v>x</v>
      </c>
      <c r="F178" s="699" t="str">
        <f t="shared" si="10"/>
        <v>x</v>
      </c>
      <c r="H178" s="306" t="s">
        <v>420</v>
      </c>
      <c r="I178" s="697" t="str">
        <f t="shared" si="9"/>
        <v>x</v>
      </c>
      <c r="J178" s="698" t="str">
        <f t="array" ref="J178">IFERROR(IF(N178=0,"x",N178),"x")</f>
        <v>x</v>
      </c>
      <c r="K178" s="699" t="str">
        <f t="array" ref="K178">IFERROR(IF(O178=0,"x",O178),"x")</f>
        <v>x</v>
      </c>
      <c r="M178" s="1026" t="e">
        <f>need!V151</f>
        <v>#DIV/0!</v>
      </c>
      <c r="N178" s="1026" t="e">
        <f>need!W151</f>
        <v>#DIV/0!</v>
      </c>
      <c r="O178" s="1026" t="e">
        <f>need!X151</f>
        <v>#DIV/0!</v>
      </c>
      <c r="R178" s="1"/>
    </row>
    <row r="179" spans="2:18" ht="20.100000000000001" customHeight="1" x14ac:dyDescent="0.2">
      <c r="B179" s="219" t="s">
        <v>421</v>
      </c>
      <c r="C179" s="123">
        <f>D128</f>
        <v>0</v>
      </c>
      <c r="D179" s="707" t="str">
        <f t="shared" si="10"/>
        <v>x</v>
      </c>
      <c r="E179" s="708" t="str">
        <f t="shared" si="10"/>
        <v>x</v>
      </c>
      <c r="F179" s="709" t="str">
        <f t="shared" si="10"/>
        <v>x</v>
      </c>
      <c r="H179" s="219" t="s">
        <v>421</v>
      </c>
      <c r="I179" s="707" t="str">
        <f t="shared" si="9"/>
        <v>x</v>
      </c>
      <c r="J179" s="708" t="str">
        <f t="array" ref="J179">IFERROR(IF(N179=0,"x",N179),"x")</f>
        <v>x</v>
      </c>
      <c r="K179" s="709" t="str">
        <f t="array" ref="K179">IFERROR(IF(O179=0,"x",O179),"x")</f>
        <v>x</v>
      </c>
      <c r="M179" s="1026" t="e">
        <f>need!V152</f>
        <v>#DIV/0!</v>
      </c>
      <c r="N179" s="1026" t="e">
        <f>need!W152</f>
        <v>#DIV/0!</v>
      </c>
      <c r="O179" s="1026" t="e">
        <f>need!X152</f>
        <v>#DIV/0!</v>
      </c>
      <c r="R179" s="1"/>
    </row>
    <row r="180" spans="2:18" ht="20.100000000000001" customHeight="1" x14ac:dyDescent="0.2">
      <c r="B180" s="306" t="s">
        <v>426</v>
      </c>
      <c r="C180" s="101">
        <f>D131</f>
        <v>0</v>
      </c>
      <c r="D180" s="697" t="str">
        <f>V131</f>
        <v>x</v>
      </c>
      <c r="E180" s="698" t="str">
        <f>W131</f>
        <v>x</v>
      </c>
      <c r="F180" s="699" t="str">
        <f>X131</f>
        <v>x</v>
      </c>
      <c r="H180" s="306" t="s">
        <v>426</v>
      </c>
      <c r="I180" s="697" t="str">
        <f t="shared" si="9"/>
        <v>x</v>
      </c>
      <c r="J180" s="698" t="str">
        <f t="array" ref="J180">IFERROR(IF(N180=0,"x",N180),"x")</f>
        <v>x</v>
      </c>
      <c r="K180" s="699" t="str">
        <f t="array" ref="K180">IFERROR(IF(O180=0,"x",O180),"x")</f>
        <v>x</v>
      </c>
      <c r="M180" s="1026" t="e">
        <f>need!V155</f>
        <v>#DIV/0!</v>
      </c>
      <c r="N180" s="1026" t="e">
        <f>need!W155</f>
        <v>#DIV/0!</v>
      </c>
      <c r="O180" s="1026" t="e">
        <f>need!X155</f>
        <v>#DIV/0!</v>
      </c>
      <c r="R180" s="1"/>
    </row>
    <row r="181" spans="2:18" ht="20.100000000000001" customHeight="1" x14ac:dyDescent="0.2">
      <c r="B181" s="219" t="s">
        <v>427</v>
      </c>
      <c r="C181" s="123">
        <f>D132</f>
        <v>0</v>
      </c>
      <c r="D181" s="707" t="str">
        <f t="shared" ref="D181:F182" si="11">V133</f>
        <v>x</v>
      </c>
      <c r="E181" s="708" t="str">
        <f t="shared" si="11"/>
        <v>x</v>
      </c>
      <c r="F181" s="709" t="str">
        <f t="shared" si="11"/>
        <v>x</v>
      </c>
      <c r="H181" s="219" t="s">
        <v>427</v>
      </c>
      <c r="I181" s="707" t="str">
        <f t="shared" si="9"/>
        <v>x</v>
      </c>
      <c r="J181" s="708" t="str">
        <f t="array" ref="J181">IFERROR(IF(N181=0,"x",N181),"x")</f>
        <v>x</v>
      </c>
      <c r="K181" s="709" t="str">
        <f t="array" ref="K181">IFERROR(IF(O181=0,"x",O181),"x")</f>
        <v>x</v>
      </c>
      <c r="M181" s="1026" t="e">
        <f>need!V157</f>
        <v>#DIV/0!</v>
      </c>
      <c r="N181" s="1026" t="e">
        <f>need!W157</f>
        <v>#DIV/0!</v>
      </c>
      <c r="O181" s="1026" t="e">
        <f>need!X157</f>
        <v>#DIV/0!</v>
      </c>
      <c r="R181" s="1"/>
    </row>
    <row r="182" spans="2:18" ht="20.100000000000001" customHeight="1" x14ac:dyDescent="0.2">
      <c r="B182" s="306" t="s">
        <v>423</v>
      </c>
      <c r="C182" s="101">
        <f>D134</f>
        <v>0</v>
      </c>
      <c r="D182" s="697" t="str">
        <f t="shared" si="11"/>
        <v>x</v>
      </c>
      <c r="E182" s="698" t="str">
        <f t="shared" si="11"/>
        <v>x</v>
      </c>
      <c r="F182" s="699" t="str">
        <f t="shared" si="11"/>
        <v>x</v>
      </c>
      <c r="H182" s="306" t="s">
        <v>423</v>
      </c>
      <c r="I182" s="697" t="str">
        <f t="shared" si="9"/>
        <v>x</v>
      </c>
      <c r="J182" s="698" t="str">
        <f t="array" ref="J182">IFERROR(IF(N182=0,"x",N182),"x")</f>
        <v>x</v>
      </c>
      <c r="K182" s="699" t="str">
        <f t="array" ref="K182">IFERROR(IF(O182=0,"x",O182),"x")</f>
        <v>x</v>
      </c>
      <c r="M182" s="1026" t="e">
        <f>need!V158</f>
        <v>#DIV/0!</v>
      </c>
      <c r="N182" s="1026" t="e">
        <f>need!W158</f>
        <v>#DIV/0!</v>
      </c>
      <c r="O182" s="1026" t="e">
        <f>need!X158</f>
        <v>#DIV/0!</v>
      </c>
      <c r="R182" s="1"/>
    </row>
    <row r="183" spans="2:18" ht="20.100000000000001" customHeight="1" x14ac:dyDescent="0.2">
      <c r="B183" s="219" t="s">
        <v>428</v>
      </c>
      <c r="C183" s="123">
        <f>D37</f>
        <v>0</v>
      </c>
      <c r="D183" s="707" t="str">
        <f>IFERROR(P37,"x")</f>
        <v>x</v>
      </c>
      <c r="E183" s="708" t="str">
        <f>IFERROR(Q37,"x")</f>
        <v>x</v>
      </c>
      <c r="F183" s="709" t="str">
        <f>IFERROR(R37,"x")</f>
        <v>x</v>
      </c>
      <c r="H183" s="219" t="s">
        <v>428</v>
      </c>
      <c r="I183" s="707" t="str">
        <f t="shared" si="9"/>
        <v>x</v>
      </c>
      <c r="J183" s="708" t="str">
        <f t="array" ref="J183">IFERROR(IF(N183=0,"x",N183),"x")</f>
        <v>x</v>
      </c>
      <c r="K183" s="709" t="str">
        <f t="array" ref="K183">IFERROR(IF(O183=0,"x",O183),"x")</f>
        <v>x</v>
      </c>
      <c r="M183" s="1026" t="str">
        <f>need!P83</f>
        <v>x</v>
      </c>
      <c r="N183" s="1026" t="str">
        <f>need!Q83</f>
        <v>x</v>
      </c>
      <c r="O183" s="1026" t="str">
        <f>need!R83</f>
        <v>x</v>
      </c>
      <c r="R183" s="1"/>
    </row>
    <row r="184" spans="2:18" ht="20.100000000000001" customHeight="1" x14ac:dyDescent="0.2">
      <c r="B184" s="306" t="s">
        <v>431</v>
      </c>
      <c r="C184" s="101">
        <f>D136</f>
        <v>0</v>
      </c>
      <c r="D184" s="697" t="str">
        <f t="shared" ref="D184:F187" si="12">V136</f>
        <v>x</v>
      </c>
      <c r="E184" s="698" t="str">
        <f t="shared" si="12"/>
        <v>x</v>
      </c>
      <c r="F184" s="699" t="str">
        <f t="shared" si="12"/>
        <v>x</v>
      </c>
      <c r="H184" s="306" t="s">
        <v>431</v>
      </c>
      <c r="I184" s="697" t="str">
        <f t="shared" si="9"/>
        <v>x</v>
      </c>
      <c r="J184" s="698" t="str">
        <f t="array" ref="J184">IFERROR(IF(N184=0,"x",N184),"x")</f>
        <v>x</v>
      </c>
      <c r="K184" s="699" t="str">
        <f t="array" ref="K184">IFERROR(IF(O184=0,"x",O184),"x")</f>
        <v>x</v>
      </c>
      <c r="M184" s="1026" t="e">
        <f>need!V160</f>
        <v>#DIV/0!</v>
      </c>
      <c r="N184" s="1026" t="e">
        <f>need!W160</f>
        <v>#DIV/0!</v>
      </c>
      <c r="O184" s="1026" t="e">
        <f>need!X160</f>
        <v>#DIV/0!</v>
      </c>
      <c r="R184" s="1"/>
    </row>
    <row r="185" spans="2:18" ht="20.100000000000001" customHeight="1" x14ac:dyDescent="0.2">
      <c r="B185" s="219" t="s">
        <v>432</v>
      </c>
      <c r="C185" s="123">
        <f>D137</f>
        <v>0</v>
      </c>
      <c r="D185" s="707" t="str">
        <f t="shared" si="12"/>
        <v>x</v>
      </c>
      <c r="E185" s="708" t="str">
        <f t="shared" si="12"/>
        <v>x</v>
      </c>
      <c r="F185" s="709" t="str">
        <f t="shared" si="12"/>
        <v>x</v>
      </c>
      <c r="H185" s="219" t="s">
        <v>432</v>
      </c>
      <c r="I185" s="707" t="str">
        <f t="shared" si="9"/>
        <v>x</v>
      </c>
      <c r="J185" s="708" t="str">
        <f t="array" ref="J185">IFERROR(IF(N185=0,"x",N185),"x")</f>
        <v>x</v>
      </c>
      <c r="K185" s="709" t="str">
        <f t="array" ref="K185">IFERROR(IF(O185=0,"x",O185),"x")</f>
        <v>x</v>
      </c>
      <c r="M185" s="1026" t="e">
        <f>need!V161</f>
        <v>#DIV/0!</v>
      </c>
      <c r="N185" s="1026" t="e">
        <f>need!W161</f>
        <v>#DIV/0!</v>
      </c>
      <c r="O185" s="1026" t="e">
        <f>need!X161</f>
        <v>#DIV/0!</v>
      </c>
      <c r="R185" s="1"/>
    </row>
    <row r="186" spans="2:18" ht="20.100000000000001" customHeight="1" x14ac:dyDescent="0.2">
      <c r="B186" s="306" t="s">
        <v>433</v>
      </c>
      <c r="C186" s="101">
        <f>D138</f>
        <v>0</v>
      </c>
      <c r="D186" s="697" t="str">
        <f t="shared" si="12"/>
        <v>x</v>
      </c>
      <c r="E186" s="698" t="str">
        <f t="shared" si="12"/>
        <v>x</v>
      </c>
      <c r="F186" s="699" t="str">
        <f t="shared" si="12"/>
        <v>x</v>
      </c>
      <c r="H186" s="306" t="s">
        <v>433</v>
      </c>
      <c r="I186" s="697" t="str">
        <f t="shared" si="9"/>
        <v>x</v>
      </c>
      <c r="J186" s="698" t="str">
        <f t="array" ref="J186">IFERROR(IF(N186=0,"x",N186),"x")</f>
        <v>x</v>
      </c>
      <c r="K186" s="699" t="str">
        <f t="array" ref="K186">IFERROR(IF(O186=0,"x",O186),"x")</f>
        <v>x</v>
      </c>
      <c r="M186" s="1026" t="e">
        <f>need!V162</f>
        <v>#DIV/0!</v>
      </c>
      <c r="N186" s="1026" t="e">
        <f>need!W162</f>
        <v>#DIV/0!</v>
      </c>
      <c r="O186" s="1026" t="e">
        <f>need!X162</f>
        <v>#DIV/0!</v>
      </c>
      <c r="R186" s="1"/>
    </row>
    <row r="187" spans="2:18" ht="20.100000000000001" customHeight="1" x14ac:dyDescent="0.2">
      <c r="B187" s="219" t="s">
        <v>425</v>
      </c>
      <c r="C187" s="123">
        <f>D139</f>
        <v>0</v>
      </c>
      <c r="D187" s="707" t="str">
        <f t="shared" si="12"/>
        <v>x</v>
      </c>
      <c r="E187" s="708" t="str">
        <f t="shared" si="12"/>
        <v>x</v>
      </c>
      <c r="F187" s="709" t="str">
        <f t="shared" si="12"/>
        <v>x</v>
      </c>
      <c r="H187" s="219" t="s">
        <v>425</v>
      </c>
      <c r="I187" s="707" t="str">
        <f t="shared" si="9"/>
        <v>x</v>
      </c>
      <c r="J187" s="708" t="str">
        <f t="array" ref="J187">IFERROR(IF(N187=0,"x",N187),"x")</f>
        <v>x</v>
      </c>
      <c r="K187" s="709" t="str">
        <f t="array" ref="K187">IFERROR(IF(O187=0,"x",O187),"x")</f>
        <v>x</v>
      </c>
      <c r="M187" s="1026" t="e">
        <f>need!V163</f>
        <v>#DIV/0!</v>
      </c>
      <c r="N187" s="1026" t="e">
        <f>need!W163</f>
        <v>#DIV/0!</v>
      </c>
      <c r="O187" s="1026" t="e">
        <f>need!X163</f>
        <v>#DIV/0!</v>
      </c>
      <c r="R187" s="1"/>
    </row>
    <row r="188" spans="2:18" ht="20.100000000000001" customHeight="1" x14ac:dyDescent="0.2">
      <c r="B188" s="306" t="s">
        <v>429</v>
      </c>
      <c r="C188" s="101">
        <f>D41</f>
        <v>0</v>
      </c>
      <c r="D188" s="697" t="str">
        <f t="shared" ref="D188:F189" si="13">IFERROR(P41,"x")</f>
        <v>x</v>
      </c>
      <c r="E188" s="698" t="str">
        <f t="shared" si="13"/>
        <v>x</v>
      </c>
      <c r="F188" s="699" t="str">
        <f t="shared" si="13"/>
        <v>x</v>
      </c>
      <c r="H188" s="306" t="s">
        <v>429</v>
      </c>
      <c r="I188" s="697" t="str">
        <f t="shared" si="9"/>
        <v>x</v>
      </c>
      <c r="J188" s="698" t="str">
        <f t="array" ref="J188">IFERROR(IF(N188=0,"x",N188),"x")</f>
        <v>x</v>
      </c>
      <c r="K188" s="699" t="str">
        <f t="array" ref="K188">IFERROR(IF(O188=0,"x",O188),"x")</f>
        <v>x</v>
      </c>
      <c r="M188" s="1026" t="str">
        <f>need!P87</f>
        <v>x</v>
      </c>
      <c r="N188" s="1026" t="str">
        <f>need!Q87</f>
        <v>x</v>
      </c>
      <c r="O188" s="1026" t="str">
        <f>need!R87</f>
        <v>x</v>
      </c>
      <c r="R188" s="1"/>
    </row>
    <row r="189" spans="2:18" ht="20.100000000000001" customHeight="1" x14ac:dyDescent="0.2">
      <c r="B189" s="790" t="s">
        <v>430</v>
      </c>
      <c r="C189" s="736">
        <f>D42</f>
        <v>0</v>
      </c>
      <c r="D189" s="1039" t="str">
        <f t="shared" si="13"/>
        <v>x</v>
      </c>
      <c r="E189" s="1040" t="str">
        <f t="shared" si="13"/>
        <v>x</v>
      </c>
      <c r="F189" s="886" t="str">
        <f t="shared" si="13"/>
        <v>x</v>
      </c>
      <c r="H189" s="790" t="s">
        <v>430</v>
      </c>
      <c r="I189" s="1039" t="str">
        <f t="shared" si="9"/>
        <v>x</v>
      </c>
      <c r="J189" s="1040" t="str">
        <f t="array" ref="J189">IFERROR(IF(N189=0,"x",N189),"x")</f>
        <v>x</v>
      </c>
      <c r="K189" s="886" t="str">
        <f t="array" ref="K189">IFERROR(IF(O189=0,"x",O189),"x")</f>
        <v>x</v>
      </c>
      <c r="M189" s="1026" t="str">
        <f>need!P88</f>
        <v>x</v>
      </c>
      <c r="N189" s="1026" t="str">
        <f>need!Q88</f>
        <v>x</v>
      </c>
      <c r="O189" s="1026" t="str">
        <f>need!R88</f>
        <v>x</v>
      </c>
      <c r="R189" s="1"/>
    </row>
    <row r="192" spans="2:18" ht="50.1" customHeight="1" x14ac:dyDescent="0.2">
      <c r="B192" s="159" t="s">
        <v>1221</v>
      </c>
      <c r="C192" s="59"/>
      <c r="D192" s="59"/>
      <c r="E192" s="59"/>
      <c r="F192" s="59"/>
      <c r="G192" s="59"/>
      <c r="H192" s="59"/>
      <c r="I192" s="59"/>
      <c r="J192" s="59"/>
      <c r="K192" s="59"/>
      <c r="L192" s="59"/>
      <c r="M192" s="59"/>
      <c r="N192" s="59"/>
      <c r="O192" s="59"/>
      <c r="P192" s="59"/>
      <c r="Q192" s="59"/>
      <c r="R192" s="59"/>
    </row>
    <row r="194" spans="1:18" ht="30" customHeight="1" x14ac:dyDescent="0.2">
      <c r="B194" s="175" t="s">
        <v>1220</v>
      </c>
      <c r="C194" s="310"/>
      <c r="D194" s="310"/>
      <c r="E194" s="310"/>
      <c r="F194" s="310"/>
      <c r="G194" s="310"/>
      <c r="H194" s="310"/>
      <c r="I194" s="310"/>
      <c r="J194" s="310"/>
      <c r="K194" s="310"/>
      <c r="L194" s="310"/>
      <c r="M194" s="310"/>
      <c r="N194" s="310"/>
      <c r="O194" s="310"/>
      <c r="P194" s="310"/>
      <c r="Q194" s="310"/>
      <c r="R194" s="310"/>
    </row>
    <row r="195" spans="1:18" ht="20.100000000000001" customHeight="1" x14ac:dyDescent="0.2">
      <c r="D195" s="299"/>
      <c r="E195" s="299"/>
      <c r="F195" s="299"/>
      <c r="G195" s="299"/>
      <c r="H195" s="299"/>
      <c r="I195" s="299"/>
    </row>
    <row r="196" spans="1:18" ht="20.100000000000001" customHeight="1" x14ac:dyDescent="0.2">
      <c r="B196" s="1258" t="s">
        <v>1218</v>
      </c>
      <c r="C196" s="1258"/>
      <c r="D196" s="1258"/>
      <c r="E196" s="1258"/>
      <c r="F196" s="1258"/>
      <c r="G196" s="1258"/>
      <c r="H196" s="1258"/>
      <c r="I196" s="1258"/>
    </row>
    <row r="197" spans="1:18" ht="20.100000000000001" customHeight="1" x14ac:dyDescent="0.2">
      <c r="D197" s="299" t="s">
        <v>496</v>
      </c>
      <c r="E197" s="299" t="s">
        <v>499</v>
      </c>
      <c r="F197" s="299" t="s">
        <v>500</v>
      </c>
      <c r="G197" s="299" t="s">
        <v>501</v>
      </c>
      <c r="H197" s="299" t="s">
        <v>502</v>
      </c>
      <c r="I197" s="299" t="s">
        <v>503</v>
      </c>
    </row>
    <row r="198" spans="1:18" ht="20.100000000000001" customHeight="1" x14ac:dyDescent="0.2">
      <c r="B198" s="251" t="s">
        <v>530</v>
      </c>
      <c r="C198" s="1057" t="s">
        <v>604</v>
      </c>
      <c r="D198" s="517" t="s">
        <v>6</v>
      </c>
      <c r="E198" s="130" t="s">
        <v>605</v>
      </c>
      <c r="F198" s="246" t="s">
        <v>606</v>
      </c>
      <c r="G198" s="246" t="s">
        <v>607</v>
      </c>
      <c r="H198" s="246" t="s">
        <v>608</v>
      </c>
      <c r="I198" s="317" t="s">
        <v>609</v>
      </c>
    </row>
    <row r="199" spans="1:18" ht="20.100000000000001" customHeight="1" x14ac:dyDescent="0.2">
      <c r="A199" s="299" t="s">
        <v>384</v>
      </c>
      <c r="B199" s="47" t="s">
        <v>6</v>
      </c>
      <c r="C199" s="1052"/>
      <c r="D199" s="129">
        <f t="array" ref="D199">IFERROR(IF(INDEX(df_inc_cat!$D$2:$M$100, MATCH(1, ($A$2 = df_inc_cat!$A$2:$A$100) * ($A199 = df_inc_cat!$B$2:$B$100) * (df_inc_cat!$C$2:$C$100 = "In CHN"), 0), MATCH(D$197, df_inc_cat!$D$1:$M$1,0)) = 0, "x", INDEX(df_inc_cat!$D$2:$M$100, MATCH(1, ($A$2 = df_inc_cat!$A$2:$A$100) * ($A199 = df_inc_cat!$B$2:$B$100) * (df_inc_cat!$C$2:$C$100 = "In CHN"), 0), MATCH(D$197, df_inc_cat!$D$1:$M$1,0))),0)</f>
        <v>0</v>
      </c>
      <c r="E199" s="86">
        <f t="array" ref="E199">IFERROR(IF($D$199 = "x", "x", INDEX(df_inc_cat!$D$2:$M$100, MATCH(1, ($A$2 = df_inc_cat!$A$2:$A$100) * ($A199 = df_inc_cat!$B$2:$B$100) * (df_inc_cat!$C$2:$C$100 = "In CHN"), 0), MATCH(E$197, df_inc_cat!$D$1:$M$1,0))),0)</f>
        <v>0</v>
      </c>
      <c r="F199" s="38">
        <f t="array" ref="F199">IFERROR(IF($D$199 = "x", "x", INDEX(df_inc_cat!$D$2:$M$100, MATCH(1, ($A$2 = df_inc_cat!$A$2:$A$100) * ($A199 = df_inc_cat!$B$2:$B$100) * (df_inc_cat!$C$2:$C$100 = "In CHN"), 0), MATCH(F$197, df_inc_cat!$D$1:$M$1,0))),0)</f>
        <v>0</v>
      </c>
      <c r="G199" s="38">
        <f t="array" ref="G199">IFERROR(IF($D$199 = "x", "x", INDEX(df_inc_cat!$D$2:$M$100, MATCH(1, ($A$2 = df_inc_cat!$A$2:$A$100) * ($A199 = df_inc_cat!$B$2:$B$100) * (df_inc_cat!$C$2:$C$100 = "In CHN"), 0), MATCH(G$197, df_inc_cat!$D$1:$M$1,0))),0)</f>
        <v>0</v>
      </c>
      <c r="H199" s="38">
        <f t="array" ref="H199">IFERROR(IF($D$199 = "x", "x", INDEX(df_inc_cat!$D$2:$M$100, MATCH(1, ($A$2 = df_inc_cat!$A$2:$A$100) * ($A199 = df_inc_cat!$B$2:$B$100) * (df_inc_cat!$C$2:$C$100 = "In CHN"), 0), MATCH(H$197, df_inc_cat!$D$1:$M$1,0))),0)</f>
        <v>0</v>
      </c>
      <c r="I199" s="338">
        <f t="array" ref="I199">IFERROR(IF($D$199 = "x", "x", INDEX(df_inc_cat!$D$2:$M$100, MATCH(1, ($A$2 = df_inc_cat!$A$2:$A$100) * ($A199 = df_inc_cat!$B$2:$B$100) * (df_inc_cat!$C$2:$C$100 = "In CHN"), 0), MATCH(I$197, df_inc_cat!$D$1:$M$1,0))),0)</f>
        <v>0</v>
      </c>
    </row>
    <row r="200" spans="1:18" ht="20.100000000000001" customHeight="1" x14ac:dyDescent="0.2">
      <c r="A200" s="299" t="s">
        <v>504</v>
      </c>
      <c r="B200" s="94" t="s">
        <v>98</v>
      </c>
      <c r="C200" s="1053" t="str">
        <f t="array" ref="C200:C203">IFERROR(TRANSPOSE(income!D108:G108) * 0.3/12,"x")</f>
        <v>x</v>
      </c>
      <c r="D200" s="207" t="str">
        <f t="array" ref="D200">IFERROR(IF($D$199 = "x", "x", INDEX(df_inc_cat!$D$2:$M$100, MATCH(1, ($A$2 = df_inc_cat!$A$2:$A$100) * ($A200 = df_inc_cat!$B$2:$B$100) * (df_inc_cat!$C$2:$C$100 = "In CHN"), 0), MATCH(D$197, df_inc_cat!$D$1:$M$1,0))),"x")</f>
        <v>x</v>
      </c>
      <c r="E200" s="341" t="str">
        <f t="array" ref="E200">IFERROR(IF($D$199 = "x", "x", INDEX(df_inc_cat!$D$2:$M$100, MATCH(1, ($A$2 = df_inc_cat!$A$2:$A$100) * ($A200 = df_inc_cat!$B$2:$B$100) * (df_inc_cat!$C$2:$C$100 = "In CHN"), 0), MATCH(E$197, df_inc_cat!$D$1:$M$1,0))),"x")</f>
        <v>x</v>
      </c>
      <c r="F200" s="297" t="str">
        <f t="array" ref="F200">IFERROR(IF($D$199 = "x", "x", INDEX(df_inc_cat!$D$2:$M$100, MATCH(1, ($A$2 = df_inc_cat!$A$2:$A$100) * ($A200 = df_inc_cat!$B$2:$B$100) * (df_inc_cat!$C$2:$C$100 = "In CHN"), 0), MATCH(F$197, df_inc_cat!$D$1:$M$1,0))),"x")</f>
        <v>x</v>
      </c>
      <c r="G200" s="297" t="str">
        <f t="array" ref="G200">IFERROR(IF($D$199 = "x", "x", INDEX(df_inc_cat!$D$2:$M$100, MATCH(1, ($A$2 = df_inc_cat!$A$2:$A$100) * ($A200 = df_inc_cat!$B$2:$B$100) * (df_inc_cat!$C$2:$C$100 = "In CHN"), 0), MATCH(G$197, df_inc_cat!$D$1:$M$1,0))),"x")</f>
        <v>x</v>
      </c>
      <c r="H200" s="297" t="str">
        <f t="array" ref="H200">IFERROR(IF($D$199 = "x", "x", INDEX(df_inc_cat!$D$2:$M$100, MATCH(1, ($A$2 = df_inc_cat!$A$2:$A$100) * ($A200 = df_inc_cat!$B$2:$B$100) * (df_inc_cat!$C$2:$C$100 = "In CHN"), 0), MATCH(H$197, df_inc_cat!$D$1:$M$1,0))),"x")</f>
        <v>x</v>
      </c>
      <c r="I200" s="360" t="str">
        <f t="array" ref="I200">IFERROR(IF($D$199 = "x", "x", INDEX(df_inc_cat!$D$2:$M$100, MATCH(1, ($A$2 = df_inc_cat!$A$2:$A$100) * ($A200 = df_inc_cat!$B$2:$B$100) * (df_inc_cat!$C$2:$C$100 = "In CHN"), 0), MATCH(I$197, df_inc_cat!$D$1:$M$1,0))),"x")</f>
        <v>x</v>
      </c>
    </row>
    <row r="201" spans="1:18" ht="20.100000000000001" customHeight="1" x14ac:dyDescent="0.2">
      <c r="A201" s="299" t="s">
        <v>505</v>
      </c>
      <c r="B201" s="102" t="s">
        <v>8</v>
      </c>
      <c r="C201" s="1054" t="str">
        <v>x</v>
      </c>
      <c r="D201" s="123" t="str">
        <f t="array" ref="D201">IFERROR(IF($D$199 = "x", "x", INDEX(df_inc_cat!$D$2:$M$100, MATCH(1, ($A$2 = df_inc_cat!$A$2:$A$100) * ($A201 = df_inc_cat!$B$2:$B$100) * (df_inc_cat!$C$2:$C$100 = "In CHN"), 0), MATCH(D$197, df_inc_cat!$D$1:$M$1,0))),"x")</f>
        <v>x</v>
      </c>
      <c r="E201" s="313" t="str">
        <f t="array" ref="E201">IFERROR(IF($D$199 = "x", "x", INDEX(df_inc_cat!$D$2:$M$100, MATCH(1, ($A$2 = df_inc_cat!$A$2:$A$100) * ($A201 = df_inc_cat!$B$2:$B$100) * (df_inc_cat!$C$2:$C$100 = "In CHN"), 0), MATCH(E$197, df_inc_cat!$D$1:$M$1,0))),"x")</f>
        <v>x</v>
      </c>
      <c r="F201" s="64" t="str">
        <f t="array" ref="F201">IFERROR(IF($D$199 = "x", "x", INDEX(df_inc_cat!$D$2:$M$100, MATCH(1, ($A$2 = df_inc_cat!$A$2:$A$100) * ($A201 = df_inc_cat!$B$2:$B$100) * (df_inc_cat!$C$2:$C$100 = "In CHN"), 0), MATCH(F$197, df_inc_cat!$D$1:$M$1,0))),"x")</f>
        <v>x</v>
      </c>
      <c r="G201" s="64" t="str">
        <f t="array" ref="G201">IFERROR(IF($D$199 = "x", "x", INDEX(df_inc_cat!$D$2:$M$100, MATCH(1, ($A$2 = df_inc_cat!$A$2:$A$100) * ($A201 = df_inc_cat!$B$2:$B$100) * (df_inc_cat!$C$2:$C$100 = "In CHN"), 0), MATCH(G$197, df_inc_cat!$D$1:$M$1,0))),"x")</f>
        <v>x</v>
      </c>
      <c r="H201" s="64" t="str">
        <f t="array" ref="H201">IFERROR(IF($D$199 = "x", "x", INDEX(df_inc_cat!$D$2:$M$100, MATCH(1, ($A$2 = df_inc_cat!$A$2:$A$100) * ($A201 = df_inc_cat!$B$2:$B$100) * (df_inc_cat!$C$2:$C$100 = "In CHN"), 0), MATCH(H$197, df_inc_cat!$D$1:$M$1,0))),"x")</f>
        <v>x</v>
      </c>
      <c r="I201" s="389" t="str">
        <f t="array" ref="I201">IFERROR(IF($D$199 = "x", "x", INDEX(df_inc_cat!$D$2:$M$100, MATCH(1, ($A$2 = df_inc_cat!$A$2:$A$100) * ($A201 = df_inc_cat!$B$2:$B$100) * (df_inc_cat!$C$2:$C$100 = "In CHN"), 0), MATCH(I$197, df_inc_cat!$D$1:$M$1,0))),"x")</f>
        <v>x</v>
      </c>
    </row>
    <row r="202" spans="1:18" ht="20.100000000000001" customHeight="1" x14ac:dyDescent="0.2">
      <c r="A202" s="299" t="s">
        <v>506</v>
      </c>
      <c r="B202" s="187" t="s">
        <v>99</v>
      </c>
      <c r="C202" s="1055" t="str">
        <v>x</v>
      </c>
      <c r="D202" s="101" t="str">
        <f t="array" ref="D202">IFERROR(IF($D$199 = "x", "x", INDEX(df_inc_cat!$D$2:$M$100, MATCH(1, ($A$2 = df_inc_cat!$A$2:$A$100) * ($A202 = df_inc_cat!$B$2:$B$100) * (df_inc_cat!$C$2:$C$100 = "In CHN"), 0), MATCH(D$197, df_inc_cat!$D$1:$M$1,0))),"x")</f>
        <v>x</v>
      </c>
      <c r="E202" s="218" t="str">
        <f t="array" ref="E202">IFERROR(IF($D$199 = "x", "x", INDEX(df_inc_cat!$D$2:$M$100, MATCH(1, ($A$2 = df_inc_cat!$A$2:$A$100) * ($A202 = df_inc_cat!$B$2:$B$100) * (df_inc_cat!$C$2:$C$100 = "In CHN"), 0), MATCH(E$197, df_inc_cat!$D$1:$M$1,0))),"x")</f>
        <v>x</v>
      </c>
      <c r="F202" s="392" t="str">
        <f t="array" ref="F202">IFERROR(IF($D$199 = "x", "x", INDEX(df_inc_cat!$D$2:$M$100, MATCH(1, ($A$2 = df_inc_cat!$A$2:$A$100) * ($A202 = df_inc_cat!$B$2:$B$100) * (df_inc_cat!$C$2:$C$100 = "In CHN"), 0), MATCH(F$197, df_inc_cat!$D$1:$M$1,0))),"x")</f>
        <v>x</v>
      </c>
      <c r="G202" s="392" t="str">
        <f t="array" ref="G202">IFERROR(IF($D$199 = "x", "x", INDEX(df_inc_cat!$D$2:$M$100, MATCH(1, ($A$2 = df_inc_cat!$A$2:$A$100) * ($A202 = df_inc_cat!$B$2:$B$100) * (df_inc_cat!$C$2:$C$100 = "In CHN"), 0), MATCH(G$197, df_inc_cat!$D$1:$M$1,0))),"x")</f>
        <v>x</v>
      </c>
      <c r="H202" s="392" t="str">
        <f t="array" ref="H202">IFERROR(IF($D$199 = "x", "x", INDEX(df_inc_cat!$D$2:$M$100, MATCH(1, ($A$2 = df_inc_cat!$A$2:$A$100) * ($A202 = df_inc_cat!$B$2:$B$100) * (df_inc_cat!$C$2:$C$100 = "In CHN"), 0), MATCH(H$197, df_inc_cat!$D$1:$M$1,0))),"x")</f>
        <v>x</v>
      </c>
      <c r="I202" s="231" t="str">
        <f t="array" ref="I202">IFERROR(IF($D$199 = "x", "x", INDEX(df_inc_cat!$D$2:$M$100, MATCH(1, ($A$2 = df_inc_cat!$A$2:$A$100) * ($A202 = df_inc_cat!$B$2:$B$100) * (df_inc_cat!$C$2:$C$100 = "In CHN"), 0), MATCH(I$197, df_inc_cat!$D$1:$M$1,0))),"x")</f>
        <v>x</v>
      </c>
    </row>
    <row r="203" spans="1:18" ht="20.100000000000001" customHeight="1" x14ac:dyDescent="0.2">
      <c r="A203" s="299" t="s">
        <v>507</v>
      </c>
      <c r="B203" s="102" t="s">
        <v>100</v>
      </c>
      <c r="C203" s="1054" t="str">
        <v>x</v>
      </c>
      <c r="D203" s="123" t="str">
        <f t="array" ref="D203">IFERROR(IF($D$199 = "x", "x", INDEX(df_inc_cat!$D$2:$M$100, MATCH(1, ($A$2 = df_inc_cat!$A$2:$A$100) * ($A203 = df_inc_cat!$B$2:$B$100) * (df_inc_cat!$C$2:$C$100 = "In CHN"), 0), MATCH(D$197, df_inc_cat!$D$1:$M$1,0))),"x")</f>
        <v>x</v>
      </c>
      <c r="E203" s="313" t="str">
        <f t="array" ref="E203">IFERROR(IF($D$199 = "x", "x", INDEX(df_inc_cat!$D$2:$M$100, MATCH(1, ($A$2 = df_inc_cat!$A$2:$A$100) * ($A203 = df_inc_cat!$B$2:$B$100) * (df_inc_cat!$C$2:$C$100 = "In CHN"), 0), MATCH(E$197, df_inc_cat!$D$1:$M$1,0))),"x")</f>
        <v>x</v>
      </c>
      <c r="F203" s="64" t="str">
        <f t="array" ref="F203">IFERROR(IF($D$199 = "x", "x", INDEX(df_inc_cat!$D$2:$M$100, MATCH(1, ($A$2 = df_inc_cat!$A$2:$A$100) * ($A203 = df_inc_cat!$B$2:$B$100) * (df_inc_cat!$C$2:$C$100 = "In CHN"), 0), MATCH(F$197, df_inc_cat!$D$1:$M$1,0))),"x")</f>
        <v>x</v>
      </c>
      <c r="G203" s="64" t="str">
        <f t="array" ref="G203">IFERROR(IF($D$199 = "x", "x", INDEX(df_inc_cat!$D$2:$M$100, MATCH(1, ($A$2 = df_inc_cat!$A$2:$A$100) * ($A203 = df_inc_cat!$B$2:$B$100) * (df_inc_cat!$C$2:$C$100 = "In CHN"), 0), MATCH(G$197, df_inc_cat!$D$1:$M$1,0))),"x")</f>
        <v>x</v>
      </c>
      <c r="H203" s="64" t="str">
        <f t="array" ref="H203">IFERROR(IF($D$199 = "x", "x", INDEX(df_inc_cat!$D$2:$M$100, MATCH(1, ($A$2 = df_inc_cat!$A$2:$A$100) * ($A203 = df_inc_cat!$B$2:$B$100) * (df_inc_cat!$C$2:$C$100 = "In CHN"), 0), MATCH(H$197, df_inc_cat!$D$1:$M$1,0))),"x")</f>
        <v>x</v>
      </c>
      <c r="I203" s="389" t="str">
        <f t="array" ref="I203">IFERROR(IF($D$199 = "x", "x", INDEX(df_inc_cat!$D$2:$M$100, MATCH(1, ($A$2 = df_inc_cat!$A$2:$A$100) * ($A203 = df_inc_cat!$B$2:$B$100) * (df_inc_cat!$C$2:$C$100 = "In CHN"), 0), MATCH(I$197, df_inc_cat!$D$1:$M$1,0))),"x")</f>
        <v>x</v>
      </c>
    </row>
    <row r="204" spans="1:18" ht="20.100000000000001" customHeight="1" x14ac:dyDescent="0.2">
      <c r="A204" s="299" t="s">
        <v>508</v>
      </c>
      <c r="B204" s="92" t="s">
        <v>9</v>
      </c>
      <c r="C204" s="1056" t="str">
        <f>"&gt;"&amp;TEXT(C203,"$#,##0")</f>
        <v>&gt;x</v>
      </c>
      <c r="D204" s="403" t="str">
        <f t="array" ref="D204">IFERROR(IF($D$199 = "x", "x", INDEX(df_inc_cat!$D$2:$M$100, MATCH(1, ($A$2 = df_inc_cat!$A$2:$A$100) * ($A204 = df_inc_cat!$B$2:$B$100) * (df_inc_cat!$C$2:$C$100 = "In CHN"), 0), MATCH(D$197, df_inc_cat!$D$1:$M$1,0))),"x")</f>
        <v>x</v>
      </c>
      <c r="E204" s="70" t="str">
        <f t="array" ref="E204">IFERROR(IF($D$199 = "x", "x", INDEX(df_inc_cat!$D$2:$M$100, MATCH(1, ($A$2 = df_inc_cat!$A$2:$A$100) * ($A204 = df_inc_cat!$B$2:$B$100) * (df_inc_cat!$C$2:$C$100 = "In CHN"), 0), MATCH(E$197, df_inc_cat!$D$1:$M$1,0))),"x")</f>
        <v>x</v>
      </c>
      <c r="F204" s="236" t="str">
        <f t="array" ref="F204">IFERROR(IF($D$199 = "x", "x", INDEX(df_inc_cat!$D$2:$M$100, MATCH(1, ($A$2 = df_inc_cat!$A$2:$A$100) * ($A204 = df_inc_cat!$B$2:$B$100) * (df_inc_cat!$C$2:$C$100 = "In CHN"), 0), MATCH(F$197, df_inc_cat!$D$1:$M$1,0))),"x")</f>
        <v>x</v>
      </c>
      <c r="G204" s="236" t="str">
        <f t="array" ref="G204">IFERROR(IF($D$199 = "x", "x", INDEX(df_inc_cat!$D$2:$M$100, MATCH(1, ($A$2 = df_inc_cat!$A$2:$A$100) * ($A204 = df_inc_cat!$B$2:$B$100) * (df_inc_cat!$C$2:$C$100 = "In CHN"), 0), MATCH(G$197, df_inc_cat!$D$1:$M$1,0))),"x")</f>
        <v>x</v>
      </c>
      <c r="H204" s="236" t="str">
        <f t="array" ref="H204">IFERROR(IF($D$199 = "x", "x", INDEX(df_inc_cat!$D$2:$M$100, MATCH(1, ($A$2 = df_inc_cat!$A$2:$A$100) * ($A204 = df_inc_cat!$B$2:$B$100) * (df_inc_cat!$C$2:$C$100 = "In CHN"), 0), MATCH(H$197, df_inc_cat!$D$1:$M$1,0))),"x")</f>
        <v>x</v>
      </c>
      <c r="I204" s="260" t="str">
        <f t="array" ref="I204">IFERROR(IF($D$199 = "x", "x", INDEX(df_inc_cat!$D$2:$M$100, MATCH(1, ($A$2 = df_inc_cat!$A$2:$A$100) * ($A204 = df_inc_cat!$B$2:$B$100) * (df_inc_cat!$C$2:$C$100 = "In CHN"), 0), MATCH(I$197, df_inc_cat!$D$1:$M$1,0))),"x")</f>
        <v>x</v>
      </c>
    </row>
    <row r="205" spans="1:18" ht="20.100000000000001" customHeight="1" x14ac:dyDescent="0.2"/>
    <row r="206" spans="1:18" ht="20.100000000000001" customHeight="1" x14ac:dyDescent="0.2"/>
    <row r="207" spans="1:18" ht="50.1" customHeight="1" x14ac:dyDescent="0.2">
      <c r="B207" s="159" t="s">
        <v>1221</v>
      </c>
      <c r="C207" s="59"/>
      <c r="D207" s="59"/>
      <c r="E207" s="59"/>
      <c r="F207" s="59"/>
      <c r="G207" s="59"/>
      <c r="H207" s="59"/>
      <c r="I207" s="59"/>
      <c r="J207" s="59"/>
      <c r="K207" s="59"/>
      <c r="L207" s="59"/>
      <c r="M207" s="59"/>
      <c r="N207" s="59"/>
      <c r="O207" s="59"/>
      <c r="P207" s="59"/>
      <c r="Q207" s="59"/>
      <c r="R207" s="59"/>
    </row>
    <row r="209" spans="2:18" ht="30" customHeight="1" x14ac:dyDescent="0.2">
      <c r="B209" s="175" t="s">
        <v>1216</v>
      </c>
      <c r="C209" s="310"/>
      <c r="D209" s="310"/>
      <c r="E209" s="310"/>
      <c r="F209" s="310"/>
      <c r="G209" s="310"/>
      <c r="H209" s="310"/>
      <c r="I209" s="310"/>
      <c r="J209" s="310"/>
      <c r="K209" s="310"/>
      <c r="L209" s="310"/>
      <c r="M209" s="310"/>
      <c r="N209" s="310"/>
      <c r="O209" s="310"/>
      <c r="P209" s="310"/>
      <c r="Q209" s="310"/>
      <c r="R209" s="310"/>
    </row>
    <row r="210" spans="2:18" ht="20.100000000000001" customHeight="1" x14ac:dyDescent="0.2"/>
    <row r="211" spans="2:18" ht="20.100000000000001" customHeight="1" x14ac:dyDescent="0.2">
      <c r="B211" s="1274" t="s">
        <v>895</v>
      </c>
      <c r="C211" s="1274"/>
      <c r="D211" s="1274"/>
      <c r="E211" s="1274"/>
      <c r="F211" s="1274"/>
    </row>
    <row r="212" spans="2:18" ht="20.100000000000001" customHeight="1" x14ac:dyDescent="0.2"/>
    <row r="213" spans="2:18" ht="20.100000000000001" customHeight="1" x14ac:dyDescent="0.2">
      <c r="B213" s="206" t="s">
        <v>478</v>
      </c>
      <c r="C213" s="72"/>
      <c r="D213" s="117" t="s">
        <v>181</v>
      </c>
      <c r="E213" s="117" t="s">
        <v>182</v>
      </c>
      <c r="F213" s="302" t="s">
        <v>183</v>
      </c>
      <c r="G213" s="560"/>
    </row>
    <row r="214" spans="2:18" ht="20.100000000000001" customHeight="1" x14ac:dyDescent="0.2">
      <c r="B214" s="206" t="s">
        <v>836</v>
      </c>
      <c r="C214" s="72"/>
      <c r="D214" s="1027" t="str">
        <f t="array" ref="D214">IFERROR(IFERROR(INDEX(df_cost_index!$D$2:$D$100, MATCH(1, (A$2 = df_cost_index!$B$2:$B$100) * ($B214 = df_cost_index!$C$2:$C$100), 0), 0),"x"),"x")</f>
        <v>x</v>
      </c>
      <c r="E214" s="1027" t="str">
        <f t="array" ref="E214">IFERROR(IFERROR(INDEX(df_cost_index!$D$2:$D$100, MATCH(1, (B$2 = df_cost_index!$B$2:$B$100) * ($B214 = df_cost_index!$C$2:$C$100), 0), 0),"x"),"x")</f>
        <v>x</v>
      </c>
      <c r="F214" s="1028" t="str">
        <f t="array" ref="F214">IFERROR(IFERROR(INDEX(df_cost_index!$D$2:$D$100, MATCH(1, (C$2 = df_cost_index!$B$2:$B$100) * ($B214 = df_cost_index!$C$2:$C$100), 0), 0),"x"),"x")</f>
        <v>x</v>
      </c>
      <c r="G214" s="560"/>
    </row>
    <row r="215" spans="2:18" ht="20.100000000000001" customHeight="1" x14ac:dyDescent="0.2">
      <c r="B215" s="84" t="s">
        <v>837</v>
      </c>
      <c r="C215" s="173"/>
      <c r="D215" s="1029" t="str">
        <f>IFERROR(INDEX(df_cost_index!$D$2:$D$100, MATCH(1, (A$2 = df_cost_index!$B$2:$B$100) * ($B215 = df_cost_index!$C$2:$C$100), 0), 0),"x")</f>
        <v>x</v>
      </c>
      <c r="E215" s="1029" t="str">
        <f>IFERROR(INDEX(df_cost_index!$D$2:$D$100, MATCH(1, (B$2 = df_cost_index!$B$2:$B$100) * ($B215 = df_cost_index!$C$2:$C$100), 0), 0),"x")</f>
        <v>x</v>
      </c>
      <c r="F215" s="1030" t="str">
        <f>IFERROR(INDEX(df_cost_index!$D$2:$D$100, MATCH(1, (C$2 = df_cost_index!$B$2:$B$100) * ($B215 = df_cost_index!$C$2:$C$100), 0), 0),"x")</f>
        <v>x</v>
      </c>
      <c r="G215" s="560"/>
    </row>
    <row r="216" spans="2:18" ht="20.100000000000001" customHeight="1" x14ac:dyDescent="0.2">
      <c r="B216" s="569" t="s">
        <v>838</v>
      </c>
      <c r="C216" s="494"/>
      <c r="D216" s="1031" t="str">
        <f t="array" ref="D216">IFERROR(INDEX(df_cost_index!$D$2:$D$100, MATCH(1, (A$2 = df_cost_index!$B$2:$B$100) * ($B216 = df_cost_index!$C$2:$C$100), 0), 0),"x")</f>
        <v>x</v>
      </c>
      <c r="E216" s="1031" t="str">
        <f t="array" ref="E216">IFERROR(INDEX(df_cost_index!$D$2:$D$100, MATCH(1, (B$2 = df_cost_index!$B$2:$B$100) * ($B216 = df_cost_index!$C$2:$C$100), 0), 0),"x")</f>
        <v>x</v>
      </c>
      <c r="F216" s="1032" t="str">
        <f t="array" ref="F216">IFERROR(INDEX(df_cost_index!$D$2:$D$100, MATCH(1, (C$2 = df_cost_index!$B$2:$B$100) * ($B216 = df_cost_index!$C$2:$C$100), 0), 0),"x")</f>
        <v>x</v>
      </c>
      <c r="G216" s="560"/>
    </row>
    <row r="218" spans="2:18" ht="30" customHeight="1" x14ac:dyDescent="0.2">
      <c r="B218" s="175" t="s">
        <v>1217</v>
      </c>
      <c r="C218" s="310"/>
      <c r="D218" s="310"/>
      <c r="E218" s="310"/>
      <c r="F218" s="310"/>
      <c r="G218" s="310"/>
      <c r="H218" s="310"/>
      <c r="I218" s="310"/>
      <c r="J218" s="310"/>
      <c r="K218" s="310"/>
      <c r="L218" s="310"/>
      <c r="M218" s="310"/>
      <c r="N218" s="310"/>
      <c r="O218" s="310"/>
      <c r="P218" s="310"/>
      <c r="Q218" s="310"/>
      <c r="R218" s="310"/>
    </row>
    <row r="220" spans="2:18" ht="20.100000000000001" customHeight="1" x14ac:dyDescent="0.2">
      <c r="B220" s="1243" t="s">
        <v>1218</v>
      </c>
      <c r="C220" s="1243"/>
      <c r="D220" s="1243"/>
      <c r="E220" s="1243"/>
    </row>
    <row r="221" spans="2:18" ht="20.100000000000001" customHeight="1" x14ac:dyDescent="0.2"/>
    <row r="222" spans="2:18" ht="20.100000000000001" customHeight="1" x14ac:dyDescent="0.2">
      <c r="B222" s="639" t="s">
        <v>900</v>
      </c>
      <c r="C222" s="78" t="s">
        <v>187</v>
      </c>
      <c r="D222" s="326" t="s">
        <v>188</v>
      </c>
      <c r="E222" s="272" t="s">
        <v>189</v>
      </c>
    </row>
    <row r="223" spans="2:18" ht="20.100000000000001" customHeight="1" x14ac:dyDescent="0.2">
      <c r="B223" s="637" t="s">
        <v>836</v>
      </c>
      <c r="C223" s="1050" t="str">
        <f t="shared" ref="C223:E225" si="14">D214</f>
        <v>x</v>
      </c>
      <c r="D223" s="1289" t="str">
        <f t="shared" si="14"/>
        <v>x</v>
      </c>
      <c r="E223" s="1290" t="str">
        <f t="shared" si="14"/>
        <v>x</v>
      </c>
    </row>
    <row r="224" spans="2:18" ht="20.100000000000001" customHeight="1" x14ac:dyDescent="0.2">
      <c r="B224" s="960" t="s">
        <v>837</v>
      </c>
      <c r="C224" s="1043" t="str">
        <f t="shared" si="14"/>
        <v>x</v>
      </c>
      <c r="D224" s="1044" t="str">
        <f t="shared" si="14"/>
        <v>x</v>
      </c>
      <c r="E224" s="1045" t="str">
        <f t="shared" si="14"/>
        <v>x</v>
      </c>
    </row>
    <row r="225" spans="2:5" ht="20.100000000000001" customHeight="1" x14ac:dyDescent="0.2">
      <c r="B225" s="536" t="s">
        <v>838</v>
      </c>
      <c r="C225" s="549" t="str">
        <f t="shared" si="14"/>
        <v>x</v>
      </c>
      <c r="D225" s="550" t="str">
        <f t="shared" si="14"/>
        <v>x</v>
      </c>
      <c r="E225" s="551" t="str">
        <f t="shared" si="14"/>
        <v>x</v>
      </c>
    </row>
  </sheetData>
  <mergeCells count="29">
    <mergeCell ref="B44:F44"/>
    <mergeCell ref="B8:F8"/>
    <mergeCell ref="H8:L8"/>
    <mergeCell ref="N8:R8"/>
    <mergeCell ref="B26:F26"/>
    <mergeCell ref="H26:L26"/>
    <mergeCell ref="N26:R26"/>
    <mergeCell ref="T119:X119"/>
    <mergeCell ref="B119:F119"/>
    <mergeCell ref="H119:L119"/>
    <mergeCell ref="N119:R119"/>
    <mergeCell ref="B168:F168"/>
    <mergeCell ref="T143:X143"/>
    <mergeCell ref="B211:F211"/>
    <mergeCell ref="B220:E220"/>
    <mergeCell ref="B196:I196"/>
    <mergeCell ref="N54:R54"/>
    <mergeCell ref="B72:F72"/>
    <mergeCell ref="H72:L72"/>
    <mergeCell ref="N72:R72"/>
    <mergeCell ref="B90:F90"/>
    <mergeCell ref="B54:F54"/>
    <mergeCell ref="H54:L54"/>
    <mergeCell ref="G103:J103"/>
    <mergeCell ref="B143:F143"/>
    <mergeCell ref="H143:L143"/>
    <mergeCell ref="N143:R143"/>
    <mergeCell ref="H168:K168"/>
    <mergeCell ref="B103:E103"/>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sheetPr>
  <dimension ref="A1:M73"/>
  <sheetViews>
    <sheetView workbookViewId="0">
      <pane ySplit="2" topLeftCell="A3" activePane="bottomLeft" state="frozen"/>
      <selection pane="bottomLeft" activeCell="A3" sqref="A3"/>
    </sheetView>
  </sheetViews>
  <sheetFormatPr defaultColWidth="11" defaultRowHeight="14.25" x14ac:dyDescent="0.2"/>
  <sheetData>
    <row r="1" spans="1:13" ht="20.100000000000001" customHeight="1" x14ac:dyDescent="0.2">
      <c r="A1" s="2" t="s">
        <v>181</v>
      </c>
      <c r="B1" s="2" t="s">
        <v>182</v>
      </c>
      <c r="C1" s="2" t="s">
        <v>183</v>
      </c>
    </row>
    <row r="2" spans="1:13" ht="20.100000000000001" customHeight="1" x14ac:dyDescent="0.2">
      <c r="A2" s="2">
        <f>df_geo!A2</f>
        <v>1000000</v>
      </c>
      <c r="B2" s="99">
        <f>_xlfn.NUMBERVALUE(LEFT(A2,4))</f>
        <v>1000</v>
      </c>
      <c r="C2" s="2">
        <f>_xlfn.NUMBERVALUE(LEFT(B2,2))</f>
        <v>10</v>
      </c>
    </row>
    <row r="4" spans="1:13" ht="50.1" customHeight="1" x14ac:dyDescent="0.2">
      <c r="B4" s="159" t="s">
        <v>1354</v>
      </c>
      <c r="C4" s="59"/>
      <c r="D4" s="59"/>
      <c r="E4" s="59"/>
      <c r="F4" s="59"/>
      <c r="G4" s="59"/>
      <c r="H4" s="59"/>
      <c r="I4" s="59"/>
      <c r="J4" s="59"/>
      <c r="K4" s="59"/>
      <c r="L4" s="59"/>
      <c r="M4" s="59"/>
    </row>
    <row r="6" spans="1:13" ht="30" customHeight="1" x14ac:dyDescent="0.2">
      <c r="B6" s="175" t="s">
        <v>1216</v>
      </c>
      <c r="C6" s="310"/>
      <c r="D6" s="310"/>
      <c r="E6" s="310"/>
      <c r="F6" s="310"/>
      <c r="G6" s="310"/>
      <c r="H6" s="310"/>
      <c r="I6" s="310"/>
      <c r="J6" s="310"/>
      <c r="K6" s="310"/>
      <c r="L6" s="310"/>
      <c r="M6" s="310"/>
    </row>
    <row r="8" spans="1:13" ht="20.100000000000001" customHeight="1" x14ac:dyDescent="0.2">
      <c r="B8" s="1240" t="s">
        <v>1356</v>
      </c>
      <c r="C8" s="1240"/>
      <c r="D8" s="1240"/>
      <c r="E8" s="1240"/>
      <c r="F8" s="1240"/>
      <c r="G8" s="1240"/>
      <c r="H8" s="1240"/>
      <c r="I8" s="1240"/>
    </row>
    <row r="9" spans="1:13" ht="20.100000000000001" customHeight="1" x14ac:dyDescent="0.2"/>
    <row r="10" spans="1:13" ht="20.100000000000001" customHeight="1" x14ac:dyDescent="0.2">
      <c r="B10" s="511" t="s">
        <v>729</v>
      </c>
      <c r="C10" s="683"/>
      <c r="D10" s="571" t="s">
        <v>735</v>
      </c>
      <c r="E10" s="1089" t="s">
        <v>1355</v>
      </c>
      <c r="F10" s="72"/>
      <c r="G10" s="302" t="s">
        <v>189</v>
      </c>
      <c r="H10" s="1089" t="s">
        <v>1355</v>
      </c>
      <c r="I10" s="72"/>
    </row>
    <row r="11" spans="1:13" ht="20.100000000000001" customHeight="1" x14ac:dyDescent="0.2">
      <c r="A11" s="476" t="s">
        <v>663</v>
      </c>
      <c r="B11" s="1087" t="s">
        <v>725</v>
      </c>
      <c r="C11" s="508"/>
      <c r="D11" s="982" t="e">
        <f>INDEX(df_cimd!$C$2:$J$100, MATCH($A$2, df_cimd!$A$2:$A$100, 0), MATCH($A11, df_cimd!$C$1:$J$1,0))</f>
        <v>#N/A</v>
      </c>
      <c r="E11" s="2" t="e">
        <f>_xlfn.IFS(D11=5,"high instability",D11=4,"above average instability",D11=3,"average instability",D11=2,"below average instability",D11=1,"low instability")</f>
        <v>#N/A</v>
      </c>
      <c r="F11" s="173"/>
      <c r="G11" s="910" t="e">
        <f>INDEX(df_cimd!$C$2:$J$100, MATCH($A$2, df_cimd!$A$2:$A$100, 0), MATCH($J11, df_cimd!$C$1:$J$1,0))</f>
        <v>#N/A</v>
      </c>
      <c r="H11" s="2" t="e">
        <f>_xlfn.IFS(G11=5,"high instability",G11=4,"above average instability",G11=3,"average instability",G11=2,"below average instability",G11=1,"low instability")</f>
        <v>#N/A</v>
      </c>
      <c r="I11" s="173"/>
      <c r="J11" s="299" t="s">
        <v>667</v>
      </c>
    </row>
    <row r="12" spans="1:13" ht="20.100000000000001" customHeight="1" x14ac:dyDescent="0.2">
      <c r="A12" s="476" t="s">
        <v>664</v>
      </c>
      <c r="B12" s="512" t="s">
        <v>726</v>
      </c>
      <c r="D12" s="982" t="e">
        <f>INDEX(df_cimd!$C$2:$J$100, MATCH($A$2, df_cimd!$A$2:$A$100, 0), MATCH($A12, df_cimd!$C$1:$J$1,0))</f>
        <v>#N/A</v>
      </c>
      <c r="E12" s="2" t="e">
        <f>_xlfn.IFS(D12=5,"high complexity",D12=4,"above average complexity",D12=3,"average complexity",D12=2,"below average complexity",D12=1,"low complexity")</f>
        <v>#N/A</v>
      </c>
      <c r="F12" s="173"/>
      <c r="G12" s="910" t="e">
        <f>INDEX(df_cimd!$C$2:$J$100, MATCH($A$2, df_cimd!$A$2:$A$100, 0), MATCH($J12, df_cimd!$C$1:$J$1,0))</f>
        <v>#N/A</v>
      </c>
      <c r="H12" s="2" t="e">
        <f>_xlfn.IFS(G12=5,"high complexity",G12=4,"above average complexity",G12=3,"average complexity",G12=2,"below average complexity",G12=1,"low complexity")</f>
        <v>#N/A</v>
      </c>
      <c r="I12" s="173"/>
      <c r="J12" s="299" t="s">
        <v>668</v>
      </c>
    </row>
    <row r="13" spans="1:13" ht="20.100000000000001" customHeight="1" x14ac:dyDescent="0.2">
      <c r="A13" s="476" t="s">
        <v>665</v>
      </c>
      <c r="B13" s="512" t="s">
        <v>727</v>
      </c>
      <c r="D13" s="982" t="e">
        <f>INDEX(df_cimd!$C$2:$J$100, MATCH($A$2, df_cimd!$A$2:$A$100, 0), MATCH($A13, df_cimd!$C$1:$J$1,0))</f>
        <v>#N/A</v>
      </c>
      <c r="E13" s="2" t="e">
        <f>_xlfn.IFS(D13=5,"high dependency",D13=4,"above average dependency",D13=3,"average dependency",D13=2,"below average dependency",D13=1,"low dependency")</f>
        <v>#N/A</v>
      </c>
      <c r="F13" s="173"/>
      <c r="G13" s="910" t="e">
        <f>INDEX(df_cimd!$C$2:$J$100, MATCH($A$2, df_cimd!$A$2:$A$100, 0), MATCH($J13, df_cimd!$C$1:$J$1,0))</f>
        <v>#N/A</v>
      </c>
      <c r="H13" s="2" t="e">
        <f>_xlfn.IFS(G13=5,"high dependency",G13=4,"above average dependency",G13=3,"average dependency",G13=2,"below average dependency",G13=1,"low dependency")</f>
        <v>#N/A</v>
      </c>
      <c r="I13" s="173"/>
      <c r="J13" s="299" t="s">
        <v>669</v>
      </c>
    </row>
    <row r="14" spans="1:13" ht="20.100000000000001" customHeight="1" x14ac:dyDescent="0.2">
      <c r="A14" s="476" t="s">
        <v>666</v>
      </c>
      <c r="B14" s="513" t="s">
        <v>728</v>
      </c>
      <c r="C14" s="684"/>
      <c r="D14" s="983" t="e">
        <f>INDEX(df_cimd!$C$2:$J$100, MATCH($A$2, df_cimd!$A$2:$A$100, 0), MATCH($A14, df_cimd!$C$1:$J$1,0))</f>
        <v>#N/A</v>
      </c>
      <c r="E14" s="1088" t="e">
        <f>_xlfn.IFS(D14=5,"high vulnerability",D14=4,"above average vulnerability",D14=3,"average vulnerability",D14=2,"below average vulnerability",D14=1,"low vulnerability")</f>
        <v>#N/A</v>
      </c>
      <c r="F14" s="494"/>
      <c r="G14" s="913" t="e">
        <f>INDEX(df_cimd!$C$2:$J$100, MATCH($A$2, df_cimd!$A$2:$A$100, 0), MATCH($J14, df_cimd!$C$1:$J$1,0))</f>
        <v>#N/A</v>
      </c>
      <c r="H14" s="1088" t="e">
        <f>_xlfn.IFS(G14=5,"high vulnerability",G14=4,"above average vulnerability",G14=3,"average vulnerability",G14=2,"below average vulnerability",G14=1,"low vulnerability")</f>
        <v>#N/A</v>
      </c>
      <c r="I14" s="494"/>
      <c r="J14" s="299" t="s">
        <v>670</v>
      </c>
    </row>
    <row r="16" spans="1:13" ht="20.100000000000001" customHeight="1" x14ac:dyDescent="0.2">
      <c r="B16" s="1240" t="s">
        <v>730</v>
      </c>
      <c r="C16" s="1240"/>
      <c r="D16" s="1240"/>
      <c r="E16" s="1240"/>
      <c r="F16" s="1240"/>
      <c r="G16" s="1240"/>
      <c r="H16" s="1240"/>
      <c r="I16" s="1240"/>
    </row>
    <row r="17" spans="1:13" ht="20.100000000000001" customHeight="1" x14ac:dyDescent="0.2"/>
    <row r="18" spans="1:13" ht="20.100000000000001" customHeight="1" x14ac:dyDescent="0.2">
      <c r="B18" s="511" t="s">
        <v>729</v>
      </c>
      <c r="C18" s="683"/>
      <c r="D18" s="571" t="s">
        <v>735</v>
      </c>
      <c r="E18" s="1089" t="s">
        <v>1355</v>
      </c>
      <c r="F18" s="72"/>
      <c r="G18" s="302" t="s">
        <v>189</v>
      </c>
      <c r="H18" s="1089" t="s">
        <v>1355</v>
      </c>
      <c r="I18" s="72"/>
    </row>
    <row r="19" spans="1:13" ht="20.100000000000001" customHeight="1" x14ac:dyDescent="0.2">
      <c r="B19" s="1087" t="s">
        <v>731</v>
      </c>
      <c r="C19" s="567" t="e">
        <f>5-D19+1</f>
        <v>#N/A</v>
      </c>
      <c r="D19" s="981" t="e">
        <f>INDEX(df_cisr!$D$2:$D$100, MATCH($A$2, df_cisr!$A$2:$A$100,0),0)</f>
        <v>#N/A</v>
      </c>
      <c r="E19" s="1090" t="e">
        <f>_xlfn.IFS(D19=5,"high resilience",D19=4,"above average resilience",D19=3,"average resilience",D19=2,"below average resilience",D19=1,"low resilience")</f>
        <v>#N/A</v>
      </c>
      <c r="F19" s="561" t="e">
        <f>5-G19+1</f>
        <v>#N/A</v>
      </c>
      <c r="G19" s="900" t="e">
        <f>INDEX(df_cisr!$E$2:$E$100, MATCH($A$2, df_cisr!$A$2:$A$100,0),0)</f>
        <v>#N/A</v>
      </c>
      <c r="H19" s="1090" t="e">
        <f>_xlfn.IFS(G19=5,"high resilience",G19=4,"above average resilience",G19=3,"average resilience",G19=2,"below average resilience",G19=1,"low resilience")</f>
        <v>#N/A</v>
      </c>
      <c r="I19" s="561"/>
    </row>
    <row r="20" spans="1:13" ht="20.100000000000001" customHeight="1" x14ac:dyDescent="0.2">
      <c r="B20" s="513" t="s">
        <v>732</v>
      </c>
      <c r="C20" s="498"/>
      <c r="D20" s="983" t="e">
        <f>INDEX(df_cisv!$D$2:$D$100, MATCH($A$2, df_cisv!$A$2:$A$100,0),0)</f>
        <v>#N/A</v>
      </c>
      <c r="E20" s="1088" t="e">
        <f>_xlfn.IFS(D20=5,"high vulnerability",D20=4,"above average vulnerability",D20=3,"average vulnerability",D20=2,"below average vulnerability",D20=1,"low vulnerability")</f>
        <v>#N/A</v>
      </c>
      <c r="F20" s="499"/>
      <c r="G20" s="913" t="e">
        <f>INDEX(df_cisv!$E$2:$E$100, MATCH($A$2, df_cisv!$A$2:$A$100,0),0)</f>
        <v>#N/A</v>
      </c>
      <c r="H20" s="1088" t="e">
        <f>_xlfn.IFS(G20=5,"high vulnerability",G20=4,"above average vulnerability",G20=3,"average vulnerability",G20=2,"below average vulnerability",G20=1,"low vulnerability")</f>
        <v>#N/A</v>
      </c>
      <c r="I20" s="499"/>
    </row>
    <row r="21" spans="1:13" ht="20.100000000000001" customHeight="1" x14ac:dyDescent="0.2"/>
    <row r="22" spans="1:13" ht="20.100000000000001" customHeight="1" x14ac:dyDescent="0.2">
      <c r="B22" s="1240" t="s">
        <v>733</v>
      </c>
      <c r="C22" s="1240"/>
      <c r="D22" s="1240"/>
      <c r="E22" s="1240"/>
      <c r="F22" s="1240"/>
      <c r="G22" s="1240"/>
      <c r="H22" s="1240"/>
      <c r="I22" s="1240"/>
    </row>
    <row r="23" spans="1:13" ht="20.100000000000001" customHeight="1" x14ac:dyDescent="0.2"/>
    <row r="24" spans="1:13" ht="20.100000000000001" customHeight="1" x14ac:dyDescent="0.2">
      <c r="A24" s="477"/>
      <c r="B24" s="511" t="s">
        <v>729</v>
      </c>
      <c r="C24" s="683"/>
      <c r="D24" s="571" t="s">
        <v>735</v>
      </c>
      <c r="E24" s="1089" t="s">
        <v>1355</v>
      </c>
      <c r="F24" s="72"/>
      <c r="G24" s="302" t="s">
        <v>189</v>
      </c>
      <c r="H24" s="1089" t="s">
        <v>1355</v>
      </c>
      <c r="I24" s="72"/>
    </row>
    <row r="25" spans="1:13" ht="20.100000000000001" customHeight="1" x14ac:dyDescent="0.2">
      <c r="A25" s="299" t="s">
        <v>671</v>
      </c>
      <c r="B25" s="1087" t="s">
        <v>724</v>
      </c>
      <c r="C25" s="561"/>
      <c r="D25" s="900" t="e">
        <f>INDEX(df_msdi!$E$2:$H$100, MATCH($A$2, df_msdi!$A$2:$A$100,0),MATCH($A25, df_msdi!$E$1:$H$1,0))</f>
        <v>#N/A</v>
      </c>
      <c r="E25" s="1090" t="e">
        <f>_xlfn.IFS(D25=5,"high social deprivation",D25=4,"above average social deprivation",D25=3,"average social deprivation",D25=2,"below average social deprivation",D25=1,"low social deprivation")</f>
        <v>#N/A</v>
      </c>
      <c r="F25" s="561"/>
      <c r="G25" s="900" t="e">
        <f>INDEX(df_msdi!$E$2:$H$100, MATCH($A$2, df_msdi!$A$2:$A$100,0),MATCH($J25, df_msdi!$E$1:$H$1,0))</f>
        <v>#N/A</v>
      </c>
      <c r="H25" s="2" t="e">
        <f>_xlfn.IFS(G25=5,"high social deprivation",G25=4,"above average social deprivation",G25=3,"average social deprivation",G25=2,"below average social deprivation",G25=1,"low social deprivation")</f>
        <v>#N/A</v>
      </c>
      <c r="I25" s="561"/>
      <c r="J25" s="299" t="s">
        <v>673</v>
      </c>
    </row>
    <row r="26" spans="1:13" ht="20.100000000000001" customHeight="1" x14ac:dyDescent="0.2">
      <c r="A26" s="299" t="s">
        <v>672</v>
      </c>
      <c r="B26" s="513" t="s">
        <v>734</v>
      </c>
      <c r="C26" s="499"/>
      <c r="D26" s="913" t="e">
        <f>INDEX(df_msdi!$E$2:$H$100, MATCH($A$2, df_msdi!$A$2:$A$100,0),MATCH($A26, df_msdi!$E$1:$H$1,0))</f>
        <v>#N/A</v>
      </c>
      <c r="E26" s="1088" t="e">
        <f>_xlfn.IFS(D26=5,"high social deprivation",D26=4,"above average social deprivation",D26=3,"average social deprivation",D26=2,"below average social deprivation",D26=1,"low social deprivation")</f>
        <v>#N/A</v>
      </c>
      <c r="F26" s="499"/>
      <c r="G26" s="913" t="e">
        <f>INDEX(df_msdi!$E$2:$H$100, MATCH($A$2, df_msdi!$A$2:$A$100,0),MATCH($J26, df_msdi!$E$1:$H$1,0))</f>
        <v>#N/A</v>
      </c>
      <c r="H26" s="2" t="e">
        <f>_xlfn.IFS(G26=5,"high social deprivation",G26=4,"above average social deprivation",G26=3,"average social deprivation",G26=2,"below average social deprivation",G26=1,"low social deprivation")</f>
        <v>#N/A</v>
      </c>
      <c r="I26" s="499"/>
      <c r="J26" s="299" t="s">
        <v>674</v>
      </c>
      <c r="K26" s="477"/>
    </row>
    <row r="27" spans="1:13" ht="20.100000000000001" customHeight="1" x14ac:dyDescent="0.2">
      <c r="A27" s="477"/>
      <c r="J27" s="477"/>
      <c r="K27" s="477"/>
    </row>
    <row r="28" spans="1:13" ht="20.100000000000001" customHeight="1" x14ac:dyDescent="0.2">
      <c r="A28" s="477"/>
      <c r="B28" s="511" t="s">
        <v>729</v>
      </c>
      <c r="C28" s="683"/>
      <c r="D28" s="571" t="s">
        <v>735</v>
      </c>
      <c r="E28" s="1089" t="s">
        <v>1355</v>
      </c>
      <c r="F28" s="72"/>
      <c r="G28" s="571" t="s">
        <v>189</v>
      </c>
      <c r="H28" s="1089" t="s">
        <v>1355</v>
      </c>
      <c r="I28" s="72"/>
      <c r="J28" s="477"/>
      <c r="K28" s="477"/>
    </row>
    <row r="29" spans="1:13" ht="20.100000000000001" customHeight="1" x14ac:dyDescent="0.2">
      <c r="A29" s="477"/>
      <c r="B29" s="511" t="s">
        <v>911</v>
      </c>
      <c r="C29" s="562"/>
      <c r="D29" s="302" t="e">
        <f>ROUND(AVERAGE(D26,D25,D20,D14,D13,D12,D11,5-D19+1),0)</f>
        <v>#N/A</v>
      </c>
      <c r="E29" s="1089" t="e">
        <f>_xlfn.IFS(D29=5,"high overall vulnerability",D29=4,"above average overall vulnerability",D29=3,"average overall vulnerability",D29=2,"below average overall vulnerability",D29=1,"low overall vulnerability")</f>
        <v>#N/A</v>
      </c>
      <c r="F29" s="562"/>
      <c r="G29" s="302" t="e">
        <f>ROUND(AVERAGE(G26,G25,G20,G14,G13,G12,G11,5-G19+1),0)</f>
        <v>#N/A</v>
      </c>
      <c r="H29" s="1089" t="e">
        <f>_xlfn.IFS(G29=5,"high overall vulnerability",G29=4,"above average overall vulnerability",G29=3,"average overall vulnerability",G29=2,"below average overall vulnerability",G29=1,"low overall vulnerability")</f>
        <v>#N/A</v>
      </c>
      <c r="I29" s="562"/>
      <c r="J29" s="477"/>
      <c r="K29" s="477"/>
    </row>
    <row r="30" spans="1:13" ht="20.100000000000001" customHeight="1" x14ac:dyDescent="0.2">
      <c r="A30" s="477"/>
      <c r="E30" s="186"/>
      <c r="G30" s="477"/>
      <c r="K30" s="186"/>
    </row>
    <row r="31" spans="1:13" ht="30" customHeight="1" x14ac:dyDescent="0.2">
      <c r="B31" s="175" t="s">
        <v>1217</v>
      </c>
      <c r="C31" s="310"/>
      <c r="D31" s="310"/>
      <c r="E31" s="310"/>
      <c r="F31" s="310"/>
      <c r="G31" s="310"/>
      <c r="H31" s="310"/>
      <c r="I31" s="310"/>
      <c r="J31" s="310"/>
      <c r="K31" s="310"/>
      <c r="L31" s="310"/>
      <c r="M31" s="310"/>
    </row>
    <row r="32" spans="1:13" ht="20.100000000000001" customHeight="1" x14ac:dyDescent="0.2">
      <c r="A32" s="477"/>
      <c r="B32" s="477"/>
      <c r="C32" s="477"/>
      <c r="D32" s="477"/>
      <c r="E32" s="477"/>
      <c r="F32" s="477"/>
      <c r="G32" s="477"/>
      <c r="H32" s="477"/>
      <c r="I32" s="477"/>
      <c r="J32" s="477"/>
      <c r="K32" s="477"/>
      <c r="L32" s="477"/>
    </row>
    <row r="33" spans="1:13" ht="20.100000000000001" customHeight="1" x14ac:dyDescent="0.2">
      <c r="A33" s="477"/>
      <c r="B33" s="1243" t="s">
        <v>1218</v>
      </c>
      <c r="C33" s="1243"/>
      <c r="D33" s="1243"/>
      <c r="E33" s="1243"/>
      <c r="F33" s="477"/>
      <c r="G33" s="1212" t="s">
        <v>1228</v>
      </c>
      <c r="H33" s="1212"/>
      <c r="I33" s="1212"/>
      <c r="J33" s="1212"/>
      <c r="K33" s="1212"/>
      <c r="L33" s="1212"/>
      <c r="M33" s="1212"/>
    </row>
    <row r="34" spans="1:13" ht="20.100000000000001" customHeight="1" x14ac:dyDescent="0.2">
      <c r="A34" s="477"/>
      <c r="F34" s="477"/>
      <c r="L34" s="477"/>
    </row>
    <row r="35" spans="1:13" ht="20.100000000000001" customHeight="1" x14ac:dyDescent="0.2">
      <c r="A35" s="477"/>
      <c r="B35" s="887" t="s">
        <v>729</v>
      </c>
      <c r="C35" s="1071" t="s">
        <v>736</v>
      </c>
      <c r="D35" s="130" t="s">
        <v>742</v>
      </c>
      <c r="E35" s="317" t="s">
        <v>741</v>
      </c>
      <c r="F35" s="477"/>
      <c r="G35" s="639" t="s">
        <v>729</v>
      </c>
      <c r="H35" s="1091"/>
      <c r="I35" s="1092" t="s">
        <v>189</v>
      </c>
      <c r="J35" s="1092" t="s">
        <v>735</v>
      </c>
      <c r="K35" s="1093" t="s">
        <v>1357</v>
      </c>
      <c r="L35" s="1094"/>
      <c r="M35" s="1108" t="s">
        <v>1358</v>
      </c>
    </row>
    <row r="36" spans="1:13" ht="20.100000000000001" customHeight="1" x14ac:dyDescent="0.2">
      <c r="A36" s="477"/>
      <c r="B36" s="1079" t="s">
        <v>725</v>
      </c>
      <c r="C36" s="1080" t="s">
        <v>737</v>
      </c>
      <c r="D36" s="1081" t="str">
        <f t="array" ref="D36:D39">IFERROR(H11:H14,"x")</f>
        <v>x</v>
      </c>
      <c r="E36" s="1082" t="str">
        <f t="array" ref="E36:E39">IFERROR(E11:E14,"x")</f>
        <v>x</v>
      </c>
      <c r="F36" s="477"/>
      <c r="G36" s="1095" t="s">
        <v>725</v>
      </c>
      <c r="H36" s="1096"/>
      <c r="I36" s="1097" t="str">
        <f t="array" ref="I36">IFERROR(_xlfn.IFS(G11 = 5, "high", G11 = 4, "above average", G11 = 3, "average", G11 = 2, "below average", G11 = 1, "low"),"x")</f>
        <v>x</v>
      </c>
      <c r="J36" s="1097" t="str">
        <f>IFERROR(_xlfn.IFS(D11 = 5, "high", D11 = 4, "above average", D11 = 3, "average", D11 = 2, "below average", D11 = 1, "low"),"x")</f>
        <v>x</v>
      </c>
      <c r="K36" s="1098" t="str">
        <f>IFERROR(IF(I36=J36,"both provincially and nationally",IF(MATCH(I36,{"Low","Below average","Average","Above average","High"},0)&gt;=MATCH(J36,{"Low","Below average","Average","Above average","High"},0),"provincially","nationally")),"x")</f>
        <v>both provincially and nationally</v>
      </c>
      <c r="L36" s="1099"/>
      <c r="M36" s="1109" t="str">
        <f t="array" ref="M36">IFERROR(MATCH(I36,{"Low","Below average","Average","Above average","High"},0)+(ROW()-4)*0.01,"x")</f>
        <v>x</v>
      </c>
    </row>
    <row r="37" spans="1:13" ht="20.100000000000001" customHeight="1" x14ac:dyDescent="0.2">
      <c r="A37" s="477"/>
      <c r="B37" s="1072" t="s">
        <v>726</v>
      </c>
      <c r="C37" s="1073" t="s">
        <v>737</v>
      </c>
      <c r="D37" s="1074" t="str">
        <v>x</v>
      </c>
      <c r="E37" s="1075" t="str">
        <v>x</v>
      </c>
      <c r="F37" s="477"/>
      <c r="G37" s="823" t="s">
        <v>727</v>
      </c>
      <c r="H37" s="1104"/>
      <c r="I37" s="1105" t="str">
        <f>IFERROR(_xlfn.IFS(G13 = 5, "high", G13 = 4, "above average", G13 = 3, "average", G13 = 2, "below average", G13 = 1, "low"),"x")</f>
        <v>x</v>
      </c>
      <c r="J37" s="1105" t="str">
        <f>IFERROR(_xlfn.IFS(D13 = 5, "high", D13 = 4, "above average", D13 = 3, "average", D13 = 2, "below average", D13 = 1, "low"),"x")</f>
        <v>x</v>
      </c>
      <c r="K37" s="278" t="str">
        <f>IFERROR(IF(I37=J37,"both provincially and nationally",IF(MATCH(I37,{"Low","Below average","Average","Above average","High"},0)&gt;=MATCH(J37,{"Low","Below average","Average","Above average","High"},0),"provincially","nationally")),"x")</f>
        <v>both provincially and nationally</v>
      </c>
      <c r="L37" s="1292"/>
      <c r="M37" s="1293" t="str">
        <f>IFERROR(MATCH(I37,{"Low","Below average","Average","Above average","High"},0)+(ROW()-4)*0.01,"x")</f>
        <v>x</v>
      </c>
    </row>
    <row r="38" spans="1:13" ht="20.100000000000001" customHeight="1" x14ac:dyDescent="0.2">
      <c r="A38" s="477"/>
      <c r="B38" s="1083" t="s">
        <v>727</v>
      </c>
      <c r="C38" s="1084" t="s">
        <v>737</v>
      </c>
      <c r="D38" s="1085" t="str">
        <v>x</v>
      </c>
      <c r="E38" s="1086" t="str">
        <v>x</v>
      </c>
      <c r="F38" s="477"/>
      <c r="G38" s="219" t="s">
        <v>726</v>
      </c>
      <c r="H38" s="1100"/>
      <c r="I38" s="1101" t="str">
        <f>IFERROR(_xlfn.IFS(G12 = 5, "high", G12 = 4, "above average", G12 = 3, "average", G12 = 2, "below average", G12 = 1, "low"),"x")</f>
        <v>x</v>
      </c>
      <c r="J38" s="1101" t="str">
        <f>IFERROR(_xlfn.IFS(D12 = 5, "high", D12 = 4, "above average", D12 = 3, "average", D12 = 2, "below average", D12 = 1, "low"),"x")</f>
        <v>x</v>
      </c>
      <c r="K38" s="1102" t="str">
        <f>IFERROR(IF(I38=J38,"both provincially and nationally",IF(MATCH(I38,{"Low","Below average","Average","Above average","High"},0)&gt;=MATCH(J38,{"Low","Below average","Average","Above average","High"},0),"provincially","nationally")),"x")</f>
        <v>both provincially and nationally</v>
      </c>
      <c r="L38" s="1103"/>
      <c r="M38" s="1110" t="str">
        <f>IFERROR(MATCH(I38,{"Low","Below average","Average","Above average","High"},0)+(ROW()-4)*0.01,"x")</f>
        <v>x</v>
      </c>
    </row>
    <row r="39" spans="1:13" ht="20.100000000000001" customHeight="1" x14ac:dyDescent="0.2">
      <c r="A39" s="477"/>
      <c r="B39" s="1072" t="s">
        <v>728</v>
      </c>
      <c r="C39" s="1073" t="s">
        <v>737</v>
      </c>
      <c r="D39" s="1074" t="str">
        <v>x</v>
      </c>
      <c r="E39" s="1075" t="str">
        <v>x</v>
      </c>
      <c r="F39" s="477"/>
      <c r="G39" s="823" t="s">
        <v>728</v>
      </c>
      <c r="H39" s="1104"/>
      <c r="I39" s="1105" t="str">
        <f>IFERROR(_xlfn.IFS(G14 = 5, "high", G14 = 4, "above average", G14 = 3, "average", G14 = 2, "below average", G14 = 1, "low"),"x")</f>
        <v>x</v>
      </c>
      <c r="J39" s="1105" t="str">
        <f>IFERROR(_xlfn.IFS(D14 = 5, "high", D14 = 4, "above average", D14 = 3, "average", D14 = 2, "below average", D14 = 1, "low"),"x")</f>
        <v>x</v>
      </c>
      <c r="K39" s="278" t="str">
        <f>IFERROR(IF(I39=J39,"both provincially and nationally",IF(MATCH(I39,{"Low","Below average","Average","Above average","High"},0)&gt;=MATCH(J39,{"Low","Below average","Average","Above average","High"},0),"provincially","nationally")),"x")</f>
        <v>both provincially and nationally</v>
      </c>
      <c r="L39" s="1292"/>
      <c r="M39" s="1293" t="str">
        <f>IFERROR(MATCH(I39,{"Low","Below average","Average","Above average","High"},0)+(ROW()-4)*0.01,"x")</f>
        <v>x</v>
      </c>
    </row>
    <row r="40" spans="1:13" ht="20.100000000000001" customHeight="1" x14ac:dyDescent="0.2">
      <c r="A40" s="477"/>
      <c r="B40" s="1083" t="s">
        <v>731</v>
      </c>
      <c r="C40" s="1084" t="s">
        <v>738</v>
      </c>
      <c r="D40" s="1085" t="str">
        <f t="array" ref="D40:D41">IFERROR(H19:H20,"x")</f>
        <v>x</v>
      </c>
      <c r="E40" s="1086" t="str">
        <f t="array" ref="E40:E41">IFERROR(E19:E20,"x")</f>
        <v>x</v>
      </c>
      <c r="F40" s="477"/>
      <c r="G40" s="219" t="s">
        <v>731</v>
      </c>
      <c r="H40" s="1100"/>
      <c r="I40" s="1101" t="str">
        <f>IFERROR(_xlfn.IFS(F19 = 5, "high", F19 = 4, "above average", F19 = 3, "average", F19 = 2, "below average", F19 = 1, "low"),"x")</f>
        <v>x</v>
      </c>
      <c r="J40" s="1101" t="str">
        <f>IFERROR(_xlfn.IFS(C19 = 5, "high", C19 = 4, "above average", C19 = 3, "average", C19 = 2, "below average", C19 = 1, "low"),"x")</f>
        <v>x</v>
      </c>
      <c r="K40" s="1102" t="str">
        <f>IF(I40=J40,"both provincially and nationally",IF(MATCH(I40,{"Low","Below average","Average","Above average","High"},0)&gt;=MATCH(J40,{"Low","Below average","Average","Above average","High"},0),"provincially","nationally"))</f>
        <v>both provincially and nationally</v>
      </c>
      <c r="L40" s="1103"/>
      <c r="M40" s="1110" t="str">
        <f>IFERROR(MATCH(I40,{"Low","Below average","Average","Above average","High"},0)+(ROW()-4)*0.01,"x")</f>
        <v>x</v>
      </c>
    </row>
    <row r="41" spans="1:13" ht="20.100000000000001" customHeight="1" x14ac:dyDescent="0.2">
      <c r="A41" s="477"/>
      <c r="B41" s="1072" t="s">
        <v>732</v>
      </c>
      <c r="C41" s="1073" t="s">
        <v>739</v>
      </c>
      <c r="D41" s="1074" t="str">
        <v>x</v>
      </c>
      <c r="E41" s="1075" t="str">
        <v>x</v>
      </c>
      <c r="F41" s="477"/>
      <c r="G41" s="823" t="s">
        <v>732</v>
      </c>
      <c r="H41" s="1104"/>
      <c r="I41" s="1105" t="str">
        <f>IFERROR(_xlfn.IFS(G20 = 5, "high", G20 = 4, "above average", G20 = 3, "average", G20 = 2, "below average", G20 = 1, "low"),"x")</f>
        <v>x</v>
      </c>
      <c r="J41" s="1105" t="str">
        <f>IFERROR(_xlfn.IFS(D20 = 5, "high", D20 = 4, "above average", D20 = 3, "average", D20 = 2, "below average", D20 = 1, "low"),"x")</f>
        <v>x</v>
      </c>
      <c r="K41" s="278" t="str">
        <f>IFERROR(IF(I41=J41,"both provincially and nationally",IF(MATCH(I41,{"Low","Below average","Average","Above average","High"},0)&gt;=MATCH(J41,{"Low","Below average","Average","Above average","High"},0),"provincially","nationally")),"x")</f>
        <v>both provincially and nationally</v>
      </c>
      <c r="L41" s="1292"/>
      <c r="M41" s="1293" t="str">
        <f>IFERROR(MATCH(I41,{"Low","Below average","Average","Above average","High"},0)+(ROW()-4)*0.01,"x")</f>
        <v>x</v>
      </c>
    </row>
    <row r="42" spans="1:13" ht="20.100000000000001" customHeight="1" x14ac:dyDescent="0.2">
      <c r="A42" s="477"/>
      <c r="B42" s="1083" t="s">
        <v>724</v>
      </c>
      <c r="C42" s="1084" t="s">
        <v>740</v>
      </c>
      <c r="D42" s="1085" t="str">
        <f t="array" ref="D42:D43">IFERROR(H25:H26,"x")</f>
        <v>x</v>
      </c>
      <c r="E42" s="1086" t="str">
        <f t="array" ref="E42:E43">IFERROR(E25:E26,"x")</f>
        <v>x</v>
      </c>
      <c r="F42" s="477"/>
      <c r="G42" s="219" t="s">
        <v>724</v>
      </c>
      <c r="H42" s="1100"/>
      <c r="I42" s="1101" t="str">
        <f>IFERROR(_xlfn.IFS(G25 = 5, "high", G25 = 4, "above average", G25 = 3, "average", G25 = 2, "below average", G25 = 1, "low"),"x")</f>
        <v>x</v>
      </c>
      <c r="J42" s="1101" t="str">
        <f>IFERROR(_xlfn.IFS(D25 = 5, "high", D25 = 4, "above average", D25 = 3, "average", D25 = 2, "below average", D25 = 1, "low"),"x")</f>
        <v>x</v>
      </c>
      <c r="K42" s="1102" t="str">
        <f>IF(I42=J42,"both provincially and nationally",IF(MATCH(I42,{"Low","Below average","Average","Above average","High"},0)&gt;=MATCH(J42,{"Low","Below average","Average","Above average","High"},0),"provincially","nationally"))</f>
        <v>both provincially and nationally</v>
      </c>
      <c r="L42" s="1103"/>
      <c r="M42" s="1110" t="str">
        <f>IFERROR(MATCH(I42,{"Low","Below average","Average","Above average","High"},0)+(ROW()-4)*0.01,"x")</f>
        <v>x</v>
      </c>
    </row>
    <row r="43" spans="1:13" ht="20.100000000000001" customHeight="1" x14ac:dyDescent="0.2">
      <c r="B43" s="1076" t="s">
        <v>734</v>
      </c>
      <c r="C43" s="1077" t="s">
        <v>740</v>
      </c>
      <c r="D43" s="1078" t="str">
        <v>x</v>
      </c>
      <c r="E43" s="1058" t="str">
        <v>x</v>
      </c>
      <c r="G43" s="824" t="s">
        <v>734</v>
      </c>
      <c r="H43" s="1106"/>
      <c r="I43" s="1107" t="str">
        <f>IFERROR(_xlfn.IFS(G26 = 5, "high", G26 = 4, "above average", G26 = 3, "average", G26 = 2, "below average", G26 = 1, "low"),"x")</f>
        <v>x</v>
      </c>
      <c r="J43" s="1107" t="str">
        <f>IFERROR(_xlfn.IFS(D26 = 5, "high", D26 = 4, "above average", D26 = 3, "average", D26 = 2, "below average", D26 = 1, "low"),"x")</f>
        <v>x</v>
      </c>
      <c r="K43" s="1294" t="str">
        <f>IF(I43=J43,"both provincially and nationally",IF(MATCH(I43,{"Low","Below average","Average","Above average","High"},0)&gt;=MATCH(J43,{"Low","Below average","Average","Above average","High"},0),"provincially","nationally"))</f>
        <v>both provincially and nationally</v>
      </c>
      <c r="L43" s="1295"/>
      <c r="M43" s="1296" t="str">
        <f>IFERROR(MATCH(I43,{"Low","Below average","Average","Above average","High"},0)+(ROW()-4)*0.01,"x")</f>
        <v>x</v>
      </c>
    </row>
    <row r="44" spans="1:13" ht="20.100000000000001" customHeight="1" x14ac:dyDescent="0.2">
      <c r="B44" s="889" t="s">
        <v>743</v>
      </c>
      <c r="C44" s="1059"/>
      <c r="D44" s="1111" t="str">
        <f>IFERROR(H29,"x")</f>
        <v>x</v>
      </c>
      <c r="E44" s="1112" t="str">
        <f>IFERROR(E29,"x")</f>
        <v>x</v>
      </c>
    </row>
    <row r="45" spans="1:13" ht="20.100000000000001" customHeight="1" x14ac:dyDescent="0.2">
      <c r="A45" s="477"/>
    </row>
    <row r="46" spans="1:13" ht="20.100000000000001" customHeight="1" x14ac:dyDescent="0.2">
      <c r="B46" s="1243" t="s">
        <v>1218</v>
      </c>
      <c r="C46" s="1243"/>
      <c r="D46" s="1243"/>
      <c r="E46" s="1243"/>
      <c r="F46" s="1243"/>
      <c r="G46" s="1243"/>
    </row>
    <row r="47" spans="1:13" ht="20.100000000000001" customHeight="1" x14ac:dyDescent="0.2"/>
    <row r="48" spans="1:13" ht="20.100000000000001" customHeight="1" x14ac:dyDescent="0.2">
      <c r="B48" s="1064" t="s">
        <v>729</v>
      </c>
      <c r="C48" s="1065" t="s">
        <v>817</v>
      </c>
      <c r="D48" s="1064" t="s">
        <v>729</v>
      </c>
      <c r="E48" s="1065" t="s">
        <v>817</v>
      </c>
      <c r="F48" s="1064" t="s">
        <v>729</v>
      </c>
      <c r="G48" s="1065" t="s">
        <v>817</v>
      </c>
    </row>
    <row r="49" spans="2:7" ht="20.100000000000001" customHeight="1" x14ac:dyDescent="0.2">
      <c r="B49" s="1062" t="s">
        <v>725</v>
      </c>
      <c r="C49" s="1082" t="str">
        <f t="array" ref="C49:C52">IFERROR(E11:E14,"x")</f>
        <v>x</v>
      </c>
      <c r="D49" s="1062" t="s">
        <v>731</v>
      </c>
      <c r="E49" s="1082" t="str">
        <f t="array" ref="E49:E50">IFERROR(E19:E20,"x")</f>
        <v>x</v>
      </c>
      <c r="F49" s="1062" t="s">
        <v>724</v>
      </c>
      <c r="G49" s="1082" t="str">
        <f t="array" ref="G49:G50">IFERROR(E25:E26,"x")</f>
        <v>x</v>
      </c>
    </row>
    <row r="50" spans="2:7" ht="20.100000000000001" customHeight="1" x14ac:dyDescent="0.2">
      <c r="B50" s="1060" t="s">
        <v>726</v>
      </c>
      <c r="C50" s="1075" t="str">
        <v>x</v>
      </c>
      <c r="D50" s="1060" t="s">
        <v>732</v>
      </c>
      <c r="E50" s="1075" t="str">
        <v>x</v>
      </c>
      <c r="F50" s="1066" t="s">
        <v>734</v>
      </c>
      <c r="G50" s="1291" t="str">
        <v>x</v>
      </c>
    </row>
    <row r="51" spans="2:7" ht="20.100000000000001" customHeight="1" x14ac:dyDescent="0.2">
      <c r="B51" s="1063" t="s">
        <v>727</v>
      </c>
      <c r="C51" s="1086" t="str">
        <v>x</v>
      </c>
      <c r="D51" s="1067"/>
      <c r="E51" s="1068"/>
      <c r="F51" s="1067"/>
      <c r="G51" s="1068"/>
    </row>
    <row r="52" spans="2:7" ht="20.100000000000001" customHeight="1" x14ac:dyDescent="0.2">
      <c r="B52" s="1061" t="s">
        <v>728</v>
      </c>
      <c r="C52" s="1058" t="str">
        <v>x</v>
      </c>
      <c r="D52" s="1069"/>
      <c r="E52" s="1070"/>
      <c r="F52" s="1069"/>
      <c r="G52" s="1070"/>
    </row>
    <row r="53" spans="2:7" ht="20.100000000000001" customHeight="1" x14ac:dyDescent="0.2"/>
    <row r="54" spans="2:7" ht="20.100000000000001" customHeight="1" x14ac:dyDescent="0.2"/>
    <row r="55" spans="2:7" ht="20.100000000000001" customHeight="1" x14ac:dyDescent="0.2"/>
    <row r="56" spans="2:7" ht="20.100000000000001" customHeight="1" x14ac:dyDescent="0.2"/>
    <row r="57" spans="2:7" ht="20.100000000000001" customHeight="1" x14ac:dyDescent="0.2"/>
    <row r="61" spans="2:7" ht="15.75" customHeight="1" x14ac:dyDescent="0.2"/>
    <row r="62" spans="2:7" ht="25.5" customHeight="1" x14ac:dyDescent="0.2"/>
    <row r="73" ht="14.25" customHeight="1" x14ac:dyDescent="0.2"/>
  </sheetData>
  <mergeCells count="6">
    <mergeCell ref="B8:I8"/>
    <mergeCell ref="B16:I16"/>
    <mergeCell ref="B22:I22"/>
    <mergeCell ref="B46:G46"/>
    <mergeCell ref="B33:E33"/>
    <mergeCell ref="G33:M33"/>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sheetPr>
  <dimension ref="B2:G25"/>
  <sheetViews>
    <sheetView workbookViewId="0"/>
  </sheetViews>
  <sheetFormatPr defaultColWidth="11" defaultRowHeight="14.25" x14ac:dyDescent="0.2"/>
  <cols>
    <col min="2" max="2" width="46.5" customWidth="1"/>
    <col min="3" max="3" width="11.375" customWidth="1"/>
    <col min="7" max="7" width="71.5" customWidth="1"/>
  </cols>
  <sheetData>
    <row r="2" spans="2:7" ht="20.100000000000001" customHeight="1" x14ac:dyDescent="0.2">
      <c r="B2" s="1145" t="s">
        <v>769</v>
      </c>
      <c r="C2" s="1145" t="s">
        <v>819</v>
      </c>
      <c r="D2" s="1149" t="s">
        <v>187</v>
      </c>
      <c r="E2" s="1150" t="s">
        <v>188</v>
      </c>
      <c r="F2" s="1151" t="s">
        <v>189</v>
      </c>
      <c r="G2" s="1145" t="s">
        <v>770</v>
      </c>
    </row>
    <row r="3" spans="2:7" ht="20.100000000000001" customHeight="1" x14ac:dyDescent="0.2">
      <c r="B3" s="1146" t="s">
        <v>771</v>
      </c>
      <c r="C3" s="1147"/>
      <c r="D3" s="1147"/>
      <c r="E3" s="1147"/>
      <c r="F3" s="1147"/>
      <c r="G3" s="1148"/>
    </row>
    <row r="4" spans="2:7" ht="20.100000000000001" customHeight="1" x14ac:dyDescent="0.2">
      <c r="B4" s="1152" t="s">
        <v>772</v>
      </c>
      <c r="C4" s="1152" t="s">
        <v>1381</v>
      </c>
      <c r="D4" s="1161" t="str">
        <f t="array" ref="D4:F4">IFERROR(popn_now!I93:K93,"x")</f>
        <v>x</v>
      </c>
      <c r="E4" s="1162" t="str">
        <v>x</v>
      </c>
      <c r="F4" s="1163" t="str">
        <v>x</v>
      </c>
      <c r="G4" s="1152" t="s">
        <v>773</v>
      </c>
    </row>
    <row r="5" spans="2:7" ht="20.100000000000001" customHeight="1" x14ac:dyDescent="0.2">
      <c r="B5" s="1153" t="s">
        <v>774</v>
      </c>
      <c r="C5" s="1153" t="s">
        <v>775</v>
      </c>
      <c r="D5" s="1117" t="str">
        <f t="array" ref="D5:F5">IFERROR(popn_now!K43:M43,"x")</f>
        <v>x</v>
      </c>
      <c r="E5" s="1118">
        <v>0.19467335426039395</v>
      </c>
      <c r="F5" s="1119" t="str">
        <v>x</v>
      </c>
      <c r="G5" s="1153" t="s">
        <v>776</v>
      </c>
    </row>
    <row r="6" spans="2:7" ht="20.100000000000001" customHeight="1" x14ac:dyDescent="0.2">
      <c r="B6" s="1113" t="s">
        <v>1377</v>
      </c>
      <c r="C6" s="1113" t="s">
        <v>777</v>
      </c>
      <c r="D6" s="1120">
        <f t="array" ref="D6:F6">IFERROR(popn_now!K40:M40,"x")</f>
        <v>0</v>
      </c>
      <c r="E6" s="1121">
        <v>0.14738097358467983</v>
      </c>
      <c r="F6" s="1122" t="str">
        <v>x</v>
      </c>
      <c r="G6" s="1113" t="s">
        <v>818</v>
      </c>
    </row>
    <row r="7" spans="2:7" ht="20.100000000000001" customHeight="1" x14ac:dyDescent="0.2">
      <c r="B7" s="1153" t="s">
        <v>783</v>
      </c>
      <c r="C7" s="1153" t="s">
        <v>784</v>
      </c>
      <c r="D7" s="1117" t="str">
        <f t="array" ref="D7:F7">popn_now!C194:E194</f>
        <v>x</v>
      </c>
      <c r="E7" s="1118" t="str">
        <v>x</v>
      </c>
      <c r="F7" s="1119" t="str">
        <v>x</v>
      </c>
      <c r="G7" s="1153" t="s">
        <v>785</v>
      </c>
    </row>
    <row r="8" spans="2:7" ht="20.100000000000001" customHeight="1" x14ac:dyDescent="0.2">
      <c r="B8" s="1116" t="s">
        <v>786</v>
      </c>
      <c r="C8" s="1116" t="s">
        <v>1380</v>
      </c>
      <c r="D8" s="1123" t="str">
        <f t="array" ref="D8:F8">popn_now!C197:E197</f>
        <v>x</v>
      </c>
      <c r="E8" s="1124" t="str">
        <v>x</v>
      </c>
      <c r="F8" s="1125" t="str">
        <v>x</v>
      </c>
      <c r="G8" s="1116" t="s">
        <v>787</v>
      </c>
    </row>
    <row r="9" spans="2:7" ht="20.100000000000001" customHeight="1" x14ac:dyDescent="0.2">
      <c r="B9" s="1153" t="s">
        <v>778</v>
      </c>
      <c r="C9" s="1153" t="s">
        <v>779</v>
      </c>
      <c r="D9" s="1117" t="str">
        <f t="array" ref="D9:F9">hh!F52:H52</f>
        <v>x</v>
      </c>
      <c r="E9" s="1118" t="str">
        <v>x</v>
      </c>
      <c r="F9" s="1119" t="str">
        <v>x</v>
      </c>
      <c r="G9" s="1153" t="s">
        <v>780</v>
      </c>
    </row>
    <row r="10" spans="2:7" ht="20.100000000000001" customHeight="1" x14ac:dyDescent="0.2">
      <c r="B10" s="1113" t="s">
        <v>781</v>
      </c>
      <c r="C10" s="1113" t="s">
        <v>779</v>
      </c>
      <c r="D10" s="1120" t="str">
        <f t="array" ref="D10:F10">IFERROR(hh!K31:M31,"x")</f>
        <v>x</v>
      </c>
      <c r="E10" s="1121" t="str">
        <v>x</v>
      </c>
      <c r="F10" s="1122" t="str">
        <v>x</v>
      </c>
      <c r="G10" s="1113" t="s">
        <v>782</v>
      </c>
    </row>
    <row r="11" spans="2:7" ht="20.100000000000001" customHeight="1" x14ac:dyDescent="0.2">
      <c r="B11" s="1146" t="s">
        <v>788</v>
      </c>
      <c r="C11" s="1147"/>
      <c r="D11" s="1147"/>
      <c r="E11" s="1147"/>
      <c r="F11" s="1147"/>
      <c r="G11" s="1148"/>
    </row>
    <row r="12" spans="2:7" ht="20.100000000000001" customHeight="1" x14ac:dyDescent="0.2">
      <c r="B12" s="1152" t="s">
        <v>246</v>
      </c>
      <c r="C12" s="1152" t="s">
        <v>789</v>
      </c>
      <c r="D12" s="1126" t="str">
        <f t="array" ref="D12:F12">econ!C26:E26</f>
        <v>x</v>
      </c>
      <c r="E12" s="1127" t="str">
        <v>x</v>
      </c>
      <c r="F12" s="1128" t="str">
        <v>x</v>
      </c>
      <c r="G12" s="1152" t="s">
        <v>790</v>
      </c>
    </row>
    <row r="13" spans="2:7" ht="20.100000000000001" customHeight="1" x14ac:dyDescent="0.2">
      <c r="B13" s="1115" t="s">
        <v>791</v>
      </c>
      <c r="C13" s="1115" t="s">
        <v>792</v>
      </c>
      <c r="D13" s="1129" t="str">
        <f t="array" ref="D13">IFERROR(MAX(econ!Q38:Q57),"x")</f>
        <v>x</v>
      </c>
      <c r="E13" s="1130" t="str">
        <f>IFERROR(MAX(econ!R38:R57),"x")</f>
        <v>x</v>
      </c>
      <c r="F13" s="1131" t="str">
        <f>IFERROR(MAX(econ!S38:S57),"x")</f>
        <v>x</v>
      </c>
      <c r="G13" s="1115" t="s">
        <v>793</v>
      </c>
    </row>
    <row r="14" spans="2:7" ht="20.100000000000001" customHeight="1" x14ac:dyDescent="0.2">
      <c r="B14" s="1113" t="s">
        <v>1376</v>
      </c>
      <c r="C14" s="1113" t="s">
        <v>794</v>
      </c>
      <c r="D14" s="1154" t="str">
        <f t="array" ref="D14:F14">income!C43:E43</f>
        <v>x</v>
      </c>
      <c r="E14" s="1155" t="str">
        <v>x</v>
      </c>
      <c r="F14" s="1156" t="str">
        <v>x</v>
      </c>
      <c r="G14" s="1113" t="s">
        <v>795</v>
      </c>
    </row>
    <row r="15" spans="2:7" ht="20.100000000000001" customHeight="1" x14ac:dyDescent="0.2">
      <c r="B15" s="1132" t="s">
        <v>796</v>
      </c>
      <c r="C15" s="1132" t="s">
        <v>797</v>
      </c>
      <c r="D15" s="1133" t="str">
        <f t="array" ref="D15:F15">IFERROR(IF(income!C142:E142 = 0, "x", income!C142:E142), 0)</f>
        <v>x</v>
      </c>
      <c r="E15" s="1134" t="str">
        <v>x</v>
      </c>
      <c r="F15" s="1135" t="str">
        <v>x</v>
      </c>
      <c r="G15" s="1132" t="s">
        <v>798</v>
      </c>
    </row>
    <row r="16" spans="2:7" ht="20.100000000000001" customHeight="1" x14ac:dyDescent="0.2">
      <c r="B16" s="1146" t="s">
        <v>799</v>
      </c>
      <c r="C16" s="1147"/>
      <c r="D16" s="1147"/>
      <c r="E16" s="1147"/>
      <c r="F16" s="1147"/>
      <c r="G16" s="1148"/>
    </row>
    <row r="17" spans="2:7" ht="20.100000000000001" customHeight="1" x14ac:dyDescent="0.2">
      <c r="B17" s="1152" t="s">
        <v>800</v>
      </c>
      <c r="C17" s="1152" t="s">
        <v>801</v>
      </c>
      <c r="D17" s="1126" t="str">
        <f t="array" ref="D17:F17">IFERROR(IF(need!V164:X164 = 0, "x", need!V164:X164),"x")</f>
        <v>x</v>
      </c>
      <c r="E17" s="1127" t="str">
        <v>x</v>
      </c>
      <c r="F17" s="1128" t="str">
        <v>x</v>
      </c>
      <c r="G17" s="1152" t="s">
        <v>802</v>
      </c>
    </row>
    <row r="18" spans="2:7" ht="20.100000000000001" customHeight="1" x14ac:dyDescent="0.2">
      <c r="B18" s="1153" t="s">
        <v>803</v>
      </c>
      <c r="C18" s="1153" t="s">
        <v>1382</v>
      </c>
      <c r="D18" s="1136" t="str">
        <f>rental!D34</f>
        <v>x</v>
      </c>
      <c r="E18" s="1137" t="s">
        <v>342</v>
      </c>
      <c r="F18" s="1138" t="str">
        <f>rental!F34</f>
        <v>x</v>
      </c>
      <c r="G18" s="1153" t="s">
        <v>804</v>
      </c>
    </row>
    <row r="19" spans="2:7" ht="20.100000000000001" customHeight="1" x14ac:dyDescent="0.2">
      <c r="B19" s="1113" t="s">
        <v>805</v>
      </c>
      <c r="C19" s="1113" t="s">
        <v>1382</v>
      </c>
      <c r="D19" s="1120" t="str">
        <f>IFERROR(rental!E12/rental!D12-1,"x")</f>
        <v>x</v>
      </c>
      <c r="E19" s="1114" t="s">
        <v>342</v>
      </c>
      <c r="F19" s="1122" t="str">
        <f>IFERROR(rental!G12/rental!F12-1,"x")</f>
        <v>x</v>
      </c>
      <c r="G19" s="1113" t="s">
        <v>806</v>
      </c>
    </row>
    <row r="20" spans="2:7" ht="20.100000000000001" customHeight="1" x14ac:dyDescent="0.2">
      <c r="B20" s="1153" t="s">
        <v>807</v>
      </c>
      <c r="C20" s="1153" t="s">
        <v>801</v>
      </c>
      <c r="D20" s="1136" t="str">
        <f t="array" ref="D20:F20">IFERROR(IF(need!D99:F99/need!D98:F98 = 0, "x", need!D99:F99/need!D98:F98),"x")</f>
        <v>x</v>
      </c>
      <c r="E20" s="1137" t="str">
        <v>x</v>
      </c>
      <c r="F20" s="1138" t="str">
        <v>x</v>
      </c>
      <c r="G20" s="1153" t="s">
        <v>808</v>
      </c>
    </row>
    <row r="21" spans="2:7" ht="20.100000000000001" customHeight="1" x14ac:dyDescent="0.2">
      <c r="B21" s="1113" t="s">
        <v>1384</v>
      </c>
      <c r="C21" s="1113" t="s">
        <v>1383</v>
      </c>
      <c r="D21" s="1139" t="str">
        <f t="array" ref="D21:F21">IFERROR(IF(dwell!C180:E180-income!D85:F85-income!D86:F86 = 0, "x", dwell!C180:E180-income!D85:F85-income!D86:F86),0)</f>
        <v>x</v>
      </c>
      <c r="E21" s="1140" t="str">
        <v>x</v>
      </c>
      <c r="F21" s="1141" t="str">
        <v>x</v>
      </c>
      <c r="G21" s="1113" t="s">
        <v>809</v>
      </c>
    </row>
    <row r="22" spans="2:7" ht="20.100000000000001" customHeight="1" x14ac:dyDescent="0.2">
      <c r="B22" s="1153" t="s">
        <v>810</v>
      </c>
      <c r="C22" s="1153" t="s">
        <v>813</v>
      </c>
      <c r="D22" s="1142" t="str">
        <f t="array" ref="D22:F22">IFERROR(IF(dwell!C189:E189 = 0, "x", dwell!C189:E189), 0)</f>
        <v>x</v>
      </c>
      <c r="E22" s="1143" t="str">
        <v>x</v>
      </c>
      <c r="F22" s="1144" t="str">
        <v>x</v>
      </c>
      <c r="G22" s="1153" t="s">
        <v>811</v>
      </c>
    </row>
    <row r="23" spans="2:7" ht="20.100000000000001" customHeight="1" x14ac:dyDescent="0.2">
      <c r="B23" s="1113" t="s">
        <v>812</v>
      </c>
      <c r="C23" s="1113" t="s">
        <v>813</v>
      </c>
      <c r="D23" s="1120" t="str">
        <f t="array" ref="D23:F23">dwell!C145:E145</f>
        <v>x</v>
      </c>
      <c r="E23" s="1121" t="str">
        <v>x</v>
      </c>
      <c r="F23" s="1122" t="str">
        <v>x</v>
      </c>
      <c r="G23" s="1113" t="s">
        <v>814</v>
      </c>
    </row>
    <row r="24" spans="2:7" ht="20.100000000000001" customHeight="1" x14ac:dyDescent="0.2">
      <c r="B24" s="1153" t="s">
        <v>815</v>
      </c>
      <c r="C24" s="1153" t="s">
        <v>1385</v>
      </c>
      <c r="D24" s="1117" t="str">
        <f t="array" ref="D24:F24">IFERROR(dwell!F51:H51+dwell!F52:H52,"x")</f>
        <v>x</v>
      </c>
      <c r="E24" s="1118" t="str">
        <v>x</v>
      </c>
      <c r="F24" s="1119" t="str">
        <v>x</v>
      </c>
      <c r="G24" s="1153" t="s">
        <v>1134</v>
      </c>
    </row>
    <row r="25" spans="2:7" ht="20.100000000000001" customHeight="1" x14ac:dyDescent="0.2">
      <c r="B25" s="1157" t="s">
        <v>1404</v>
      </c>
      <c r="C25" s="1157" t="s">
        <v>1386</v>
      </c>
      <c r="D25" s="1158" t="str">
        <f>IFERROR(IF(dwell!D287 &lt;= 0.5, "x", dwell!D287),0)</f>
        <v>x</v>
      </c>
      <c r="E25" s="1159" t="str">
        <f>dwell!F287</f>
        <v>x</v>
      </c>
      <c r="F25" s="1160" t="str">
        <f>dwell!H287</f>
        <v>x</v>
      </c>
      <c r="G25" s="1157" t="s">
        <v>816</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9"/>
  <sheetViews>
    <sheetView workbookViewId="0"/>
  </sheetViews>
  <sheetFormatPr defaultColWidth="11" defaultRowHeight="14.25" x14ac:dyDescent="0.2"/>
  <sheetData>
    <row r="1" spans="1:7" x14ac:dyDescent="0.2">
      <c r="A1" t="s">
        <v>1299</v>
      </c>
      <c r="B1" t="s">
        <v>8</v>
      </c>
      <c r="C1" t="s">
        <v>1300</v>
      </c>
      <c r="D1" t="s">
        <v>911</v>
      </c>
      <c r="E1" t="s">
        <v>1301</v>
      </c>
      <c r="F1" t="s">
        <v>9</v>
      </c>
      <c r="G1" t="s">
        <v>1302</v>
      </c>
    </row>
    <row r="2" spans="1:7" x14ac:dyDescent="0.2">
      <c r="A2" t="s">
        <v>725</v>
      </c>
      <c r="B2" t="s">
        <v>1303</v>
      </c>
      <c r="C2" t="s">
        <v>1304</v>
      </c>
      <c r="D2" t="s">
        <v>1305</v>
      </c>
      <c r="E2" t="s">
        <v>1306</v>
      </c>
      <c r="F2" t="s">
        <v>1395</v>
      </c>
      <c r="G2" t="s">
        <v>1307</v>
      </c>
    </row>
    <row r="3" spans="1:7" x14ac:dyDescent="0.2">
      <c r="A3" t="s">
        <v>727</v>
      </c>
      <c r="B3" t="s">
        <v>1308</v>
      </c>
      <c r="C3" t="s">
        <v>1309</v>
      </c>
      <c r="D3" t="s">
        <v>1310</v>
      </c>
      <c r="E3" t="s">
        <v>1311</v>
      </c>
      <c r="F3" t="s">
        <v>1312</v>
      </c>
      <c r="G3" t="s">
        <v>1313</v>
      </c>
    </row>
    <row r="4" spans="1:7" x14ac:dyDescent="0.2">
      <c r="A4" t="s">
        <v>726</v>
      </c>
      <c r="B4" t="s">
        <v>1314</v>
      </c>
      <c r="C4" t="s">
        <v>1315</v>
      </c>
      <c r="D4" t="s">
        <v>1396</v>
      </c>
      <c r="E4" t="s">
        <v>1316</v>
      </c>
      <c r="F4" t="s">
        <v>1317</v>
      </c>
      <c r="G4" t="s">
        <v>1318</v>
      </c>
    </row>
    <row r="5" spans="1:7" x14ac:dyDescent="0.2">
      <c r="A5" t="s">
        <v>728</v>
      </c>
      <c r="B5" t="s">
        <v>1319</v>
      </c>
      <c r="C5" t="s">
        <v>1320</v>
      </c>
      <c r="D5" t="s">
        <v>1321</v>
      </c>
      <c r="E5" t="s">
        <v>1322</v>
      </c>
      <c r="F5" t="s">
        <v>1323</v>
      </c>
      <c r="G5" t="s">
        <v>1324</v>
      </c>
    </row>
    <row r="6" spans="1:7" x14ac:dyDescent="0.2">
      <c r="A6" t="s">
        <v>731</v>
      </c>
      <c r="B6" t="s">
        <v>1325</v>
      </c>
      <c r="C6" t="s">
        <v>1397</v>
      </c>
      <c r="D6" t="s">
        <v>1398</v>
      </c>
      <c r="E6" t="s">
        <v>1326</v>
      </c>
      <c r="F6" t="s">
        <v>1327</v>
      </c>
      <c r="G6" t="s">
        <v>1328</v>
      </c>
    </row>
    <row r="7" spans="1:7" x14ac:dyDescent="0.2">
      <c r="A7" t="s">
        <v>732</v>
      </c>
      <c r="B7" t="s">
        <v>1329</v>
      </c>
      <c r="C7" t="s">
        <v>1330</v>
      </c>
      <c r="D7" t="s">
        <v>1399</v>
      </c>
      <c r="E7" t="s">
        <v>1331</v>
      </c>
      <c r="F7" t="s">
        <v>1332</v>
      </c>
      <c r="G7" t="s">
        <v>1333</v>
      </c>
    </row>
    <row r="8" spans="1:7" x14ac:dyDescent="0.2">
      <c r="A8" t="s">
        <v>724</v>
      </c>
      <c r="B8" t="s">
        <v>1400</v>
      </c>
      <c r="C8" t="s">
        <v>1334</v>
      </c>
      <c r="D8" t="s">
        <v>1401</v>
      </c>
      <c r="E8" t="s">
        <v>1335</v>
      </c>
      <c r="F8" t="s">
        <v>1336</v>
      </c>
      <c r="G8" t="s">
        <v>1337</v>
      </c>
    </row>
    <row r="9" spans="1:7" x14ac:dyDescent="0.2">
      <c r="A9" t="s">
        <v>734</v>
      </c>
      <c r="B9" t="s">
        <v>1338</v>
      </c>
      <c r="C9" t="s">
        <v>1339</v>
      </c>
      <c r="D9" t="s">
        <v>1402</v>
      </c>
      <c r="E9" t="s">
        <v>1340</v>
      </c>
      <c r="F9" t="s">
        <v>1341</v>
      </c>
      <c r="G9" t="s">
        <v>1342</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27"/>
  <sheetViews>
    <sheetView workbookViewId="0"/>
  </sheetViews>
  <sheetFormatPr defaultColWidth="11" defaultRowHeight="14.25" x14ac:dyDescent="0.2"/>
  <sheetData>
    <row r="1" spans="1:11" x14ac:dyDescent="0.2">
      <c r="A1" t="s">
        <v>42</v>
      </c>
      <c r="B1" t="s">
        <v>43</v>
      </c>
      <c r="C1" t="s">
        <v>147</v>
      </c>
      <c r="D1" t="s">
        <v>44</v>
      </c>
      <c r="E1" t="s">
        <v>45</v>
      </c>
      <c r="F1" t="s">
        <v>46</v>
      </c>
      <c r="G1" t="s">
        <v>47</v>
      </c>
      <c r="H1" t="s">
        <v>48</v>
      </c>
      <c r="I1" t="s">
        <v>49</v>
      </c>
      <c r="J1" t="s">
        <v>50</v>
      </c>
      <c r="K1" t="s">
        <v>51</v>
      </c>
    </row>
    <row r="2" spans="1:11" x14ac:dyDescent="0.2">
      <c r="A2">
        <v>0</v>
      </c>
      <c r="B2">
        <v>1</v>
      </c>
      <c r="C2">
        <v>2011</v>
      </c>
      <c r="D2">
        <v>0</v>
      </c>
      <c r="E2">
        <v>121.216252793113</v>
      </c>
      <c r="F2">
        <v>0</v>
      </c>
      <c r="G2">
        <v>0</v>
      </c>
      <c r="H2">
        <v>0</v>
      </c>
      <c r="I2">
        <v>0</v>
      </c>
      <c r="J2">
        <v>0</v>
      </c>
      <c r="K2" t="s">
        <v>52</v>
      </c>
    </row>
    <row r="3" spans="1:11" x14ac:dyDescent="0.2">
      <c r="A3">
        <v>0</v>
      </c>
      <c r="B3">
        <v>2</v>
      </c>
      <c r="C3">
        <v>2011</v>
      </c>
      <c r="D3">
        <v>451.03854796091798</v>
      </c>
      <c r="E3">
        <v>232.222002083772</v>
      </c>
      <c r="F3">
        <v>188.618566675511</v>
      </c>
      <c r="G3">
        <v>743.870414523156</v>
      </c>
      <c r="H3">
        <v>180.41541918436701</v>
      </c>
      <c r="I3">
        <v>161.64123064619301</v>
      </c>
      <c r="J3">
        <v>0</v>
      </c>
      <c r="K3" t="s">
        <v>52</v>
      </c>
    </row>
    <row r="4" spans="1:11" x14ac:dyDescent="0.2">
      <c r="A4">
        <v>1</v>
      </c>
      <c r="B4">
        <v>1</v>
      </c>
      <c r="C4">
        <v>2011</v>
      </c>
      <c r="D4">
        <v>90.207709592183605</v>
      </c>
      <c r="E4">
        <v>380.71152275588901</v>
      </c>
      <c r="F4">
        <v>180.41541918436701</v>
      </c>
      <c r="G4">
        <v>90.207709592183605</v>
      </c>
      <c r="H4">
        <v>545.68030632063505</v>
      </c>
      <c r="I4">
        <v>90.207709592183605</v>
      </c>
      <c r="J4">
        <v>90.207709592183605</v>
      </c>
      <c r="K4" t="s">
        <v>52</v>
      </c>
    </row>
    <row r="5" spans="1:11" x14ac:dyDescent="0.2">
      <c r="A5">
        <v>1</v>
      </c>
      <c r="B5">
        <v>2</v>
      </c>
      <c r="C5">
        <v>2011</v>
      </c>
      <c r="D5">
        <v>4080.7879074378302</v>
      </c>
      <c r="E5">
        <v>4802.0024459163697</v>
      </c>
      <c r="F5">
        <v>1984.91609593263</v>
      </c>
      <c r="G5">
        <v>4882.7665306047102</v>
      </c>
      <c r="H5">
        <v>2995.7567514146899</v>
      </c>
      <c r="I5">
        <v>1342.5223319782799</v>
      </c>
      <c r="J5">
        <v>631.45396714528499</v>
      </c>
      <c r="K5" t="s">
        <v>52</v>
      </c>
    </row>
    <row r="6" spans="1:11" x14ac:dyDescent="0.2">
      <c r="A6">
        <v>2</v>
      </c>
      <c r="B6">
        <v>1</v>
      </c>
      <c r="C6">
        <v>2011</v>
      </c>
      <c r="D6">
        <v>841.19349916666999</v>
      </c>
      <c r="E6">
        <v>2177.6792008334301</v>
      </c>
      <c r="F6">
        <v>1830.0307321314101</v>
      </c>
      <c r="G6">
        <v>1672.2409965280699</v>
      </c>
      <c r="H6">
        <v>2042.85667777852</v>
      </c>
      <c r="I6">
        <v>704.07787408079002</v>
      </c>
      <c r="J6">
        <v>251.16376540962301</v>
      </c>
      <c r="K6" t="s">
        <v>52</v>
      </c>
    </row>
    <row r="7" spans="1:11" x14ac:dyDescent="0.2">
      <c r="A7">
        <v>2</v>
      </c>
      <c r="B7">
        <v>2</v>
      </c>
      <c r="C7">
        <v>2011</v>
      </c>
      <c r="D7">
        <v>6004.82232469054</v>
      </c>
      <c r="E7">
        <v>8586.4542378619299</v>
      </c>
      <c r="F7">
        <v>4237.9895205678204</v>
      </c>
      <c r="G7">
        <v>6000.1686619280199</v>
      </c>
      <c r="H7">
        <v>3082.0104616644899</v>
      </c>
      <c r="I7">
        <v>1383.0257978693301</v>
      </c>
      <c r="J7">
        <v>843.49843219768297</v>
      </c>
      <c r="K7" t="s">
        <v>52</v>
      </c>
    </row>
    <row r="8" spans="1:11" x14ac:dyDescent="0.2">
      <c r="A8">
        <v>3</v>
      </c>
      <c r="B8">
        <v>1</v>
      </c>
      <c r="C8">
        <v>2011</v>
      </c>
      <c r="D8">
        <v>919.08471617800103</v>
      </c>
      <c r="E8">
        <v>7282.2947998993604</v>
      </c>
      <c r="F8">
        <v>5540.0052945392399</v>
      </c>
      <c r="G8">
        <v>2643.6850711324901</v>
      </c>
      <c r="H8">
        <v>2027.0910525888301</v>
      </c>
      <c r="I8">
        <v>631.45396714528499</v>
      </c>
      <c r="J8">
        <v>210.62499839869301</v>
      </c>
      <c r="K8" t="s">
        <v>52</v>
      </c>
    </row>
    <row r="9" spans="1:11" x14ac:dyDescent="0.2">
      <c r="A9">
        <v>3</v>
      </c>
      <c r="B9">
        <v>2</v>
      </c>
      <c r="C9">
        <v>2011</v>
      </c>
      <c r="D9">
        <v>3094.2273907621502</v>
      </c>
      <c r="E9">
        <v>6849.9631218410996</v>
      </c>
      <c r="F9">
        <v>5089.6196553647296</v>
      </c>
      <c r="G9">
        <v>2285.9709137689902</v>
      </c>
      <c r="H9">
        <v>1413.0430376884201</v>
      </c>
      <c r="I9">
        <v>583.66700944173294</v>
      </c>
      <c r="J9">
        <v>404.75254759183798</v>
      </c>
      <c r="K9" t="s">
        <v>52</v>
      </c>
    </row>
    <row r="10" spans="1:11" x14ac:dyDescent="0.2">
      <c r="A10">
        <v>4</v>
      </c>
      <c r="B10">
        <v>1</v>
      </c>
      <c r="C10">
        <v>2011</v>
      </c>
      <c r="D10">
        <v>478.69166363700401</v>
      </c>
      <c r="E10">
        <v>3798.8944132975298</v>
      </c>
      <c r="F10">
        <v>3907.4918526322699</v>
      </c>
      <c r="G10">
        <v>1501.34656061848</v>
      </c>
      <c r="H10">
        <v>360.83083836873402</v>
      </c>
      <c r="I10">
        <v>180.41541918436701</v>
      </c>
      <c r="J10">
        <v>0</v>
      </c>
      <c r="K10" t="s">
        <v>52</v>
      </c>
    </row>
    <row r="11" spans="1:11" x14ac:dyDescent="0.2">
      <c r="A11">
        <v>4</v>
      </c>
      <c r="B11">
        <v>2</v>
      </c>
      <c r="C11">
        <v>2011</v>
      </c>
      <c r="D11">
        <v>90.207709592183605</v>
      </c>
      <c r="E11">
        <v>1353.11564388275</v>
      </c>
      <c r="F11">
        <v>1491.4475925302199</v>
      </c>
      <c r="G11">
        <v>1043.13385070156</v>
      </c>
      <c r="H11">
        <v>365.10259221176102</v>
      </c>
      <c r="I11">
        <v>296.13059417209098</v>
      </c>
      <c r="J11">
        <v>0</v>
      </c>
      <c r="K11" t="s">
        <v>52</v>
      </c>
    </row>
    <row r="12" spans="1:11" x14ac:dyDescent="0.2">
      <c r="A12">
        <v>5</v>
      </c>
      <c r="B12">
        <v>1</v>
      </c>
      <c r="C12">
        <v>2011</v>
      </c>
      <c r="D12">
        <v>90.207709592183605</v>
      </c>
      <c r="E12">
        <v>1237.8258133454899</v>
      </c>
      <c r="F12">
        <v>1945.8223046672499</v>
      </c>
      <c r="G12">
        <v>608.61546432821604</v>
      </c>
      <c r="H12">
        <v>180.41541918436701</v>
      </c>
      <c r="I12">
        <v>90.207709592183505</v>
      </c>
      <c r="J12">
        <v>90.207709592183605</v>
      </c>
      <c r="K12" t="s">
        <v>52</v>
      </c>
    </row>
    <row r="13" spans="1:11" x14ac:dyDescent="0.2">
      <c r="A13">
        <v>5</v>
      </c>
      <c r="B13">
        <v>2</v>
      </c>
      <c r="C13">
        <v>2011</v>
      </c>
      <c r="D13">
        <v>90.207709592183605</v>
      </c>
      <c r="E13">
        <v>180.41541918436701</v>
      </c>
      <c r="F13">
        <v>360.83083836873402</v>
      </c>
      <c r="G13">
        <v>486.65964482584701</v>
      </c>
      <c r="H13">
        <v>0</v>
      </c>
      <c r="I13">
        <v>0</v>
      </c>
      <c r="J13">
        <v>0</v>
      </c>
      <c r="K13" t="s">
        <v>52</v>
      </c>
    </row>
    <row r="14" spans="1:11" x14ac:dyDescent="0.2">
      <c r="A14">
        <v>8</v>
      </c>
      <c r="B14">
        <v>8</v>
      </c>
      <c r="C14">
        <v>2011</v>
      </c>
      <c r="D14">
        <v>90.207709592183505</v>
      </c>
      <c r="E14">
        <v>1089.06290763217</v>
      </c>
      <c r="F14">
        <v>270.62312877655103</v>
      </c>
      <c r="G14">
        <v>360.83083836873402</v>
      </c>
      <c r="H14">
        <v>90.207709592183505</v>
      </c>
      <c r="I14">
        <v>244.10862394670599</v>
      </c>
      <c r="J14">
        <v>0</v>
      </c>
      <c r="K14" t="s">
        <v>52</v>
      </c>
    </row>
    <row r="15" spans="1:11" x14ac:dyDescent="0.2">
      <c r="A15">
        <v>0</v>
      </c>
      <c r="B15">
        <v>2</v>
      </c>
      <c r="C15">
        <v>2016</v>
      </c>
      <c r="D15">
        <v>301.34738607223801</v>
      </c>
      <c r="E15">
        <v>200.55044111858501</v>
      </c>
      <c r="F15">
        <v>301.11001129892799</v>
      </c>
      <c r="G15">
        <v>602.21833445197797</v>
      </c>
      <c r="H15">
        <v>0</v>
      </c>
      <c r="I15">
        <v>100.94369864126899</v>
      </c>
      <c r="J15">
        <v>0</v>
      </c>
      <c r="K15" t="s">
        <v>52</v>
      </c>
    </row>
    <row r="16" spans="1:11" x14ac:dyDescent="0.2">
      <c r="A16">
        <v>1</v>
      </c>
      <c r="B16">
        <v>1</v>
      </c>
      <c r="C16">
        <v>2016</v>
      </c>
      <c r="D16">
        <v>100.19688545621599</v>
      </c>
      <c r="E16">
        <v>502.78316752425701</v>
      </c>
      <c r="F16">
        <v>300.96495580447998</v>
      </c>
      <c r="G16">
        <v>400.96404506809102</v>
      </c>
      <c r="H16">
        <v>803.03197734343598</v>
      </c>
      <c r="I16">
        <v>99.704496788009195</v>
      </c>
      <c r="J16">
        <v>0</v>
      </c>
      <c r="K16" t="s">
        <v>52</v>
      </c>
    </row>
    <row r="17" spans="1:11" x14ac:dyDescent="0.2">
      <c r="A17">
        <v>1</v>
      </c>
      <c r="B17">
        <v>2</v>
      </c>
      <c r="C17">
        <v>2016</v>
      </c>
      <c r="D17">
        <v>4822.8475364695596</v>
      </c>
      <c r="E17">
        <v>4519.77511480873</v>
      </c>
      <c r="F17">
        <v>3919.0349970753</v>
      </c>
      <c r="G17">
        <v>5623.4107305206198</v>
      </c>
      <c r="H17">
        <v>5224.6478322186204</v>
      </c>
      <c r="I17">
        <v>2211.2200186237901</v>
      </c>
      <c r="J17">
        <v>1306.2774119636699</v>
      </c>
      <c r="K17" t="s">
        <v>52</v>
      </c>
    </row>
    <row r="18" spans="1:11" x14ac:dyDescent="0.2">
      <c r="A18">
        <v>2</v>
      </c>
      <c r="B18">
        <v>1</v>
      </c>
      <c r="C18">
        <v>2016</v>
      </c>
      <c r="D18">
        <v>602.92314633471403</v>
      </c>
      <c r="E18">
        <v>2410.4690582221601</v>
      </c>
      <c r="F18">
        <v>2209.71937615665</v>
      </c>
      <c r="G18">
        <v>2108.7133821874399</v>
      </c>
      <c r="H18">
        <v>1506.2746718630599</v>
      </c>
      <c r="I18">
        <v>1003.13396172168</v>
      </c>
      <c r="J18">
        <v>200.72120608325599</v>
      </c>
      <c r="K18" t="s">
        <v>52</v>
      </c>
    </row>
    <row r="19" spans="1:11" x14ac:dyDescent="0.2">
      <c r="A19">
        <v>2</v>
      </c>
      <c r="B19">
        <v>2</v>
      </c>
      <c r="C19">
        <v>2016</v>
      </c>
      <c r="D19">
        <v>6827.2041975777302</v>
      </c>
      <c r="E19">
        <v>12654.152235531301</v>
      </c>
      <c r="F19">
        <v>5926.5560888632699</v>
      </c>
      <c r="G19">
        <v>6831.2512277873302</v>
      </c>
      <c r="H19">
        <v>4017.2281980142702</v>
      </c>
      <c r="I19">
        <v>2108.1644230612601</v>
      </c>
      <c r="J19">
        <v>1005.3616460025499</v>
      </c>
      <c r="K19" t="s">
        <v>52</v>
      </c>
    </row>
    <row r="20" spans="1:11" x14ac:dyDescent="0.2">
      <c r="A20">
        <v>3</v>
      </c>
      <c r="B20">
        <v>1</v>
      </c>
      <c r="C20">
        <v>2016</v>
      </c>
      <c r="D20">
        <v>703.43788107657303</v>
      </c>
      <c r="E20">
        <v>5926.3443321545601</v>
      </c>
      <c r="F20">
        <v>4520.2724098517001</v>
      </c>
      <c r="G20">
        <v>4719.6845575903399</v>
      </c>
      <c r="H20">
        <v>2409.19826395579</v>
      </c>
      <c r="I20">
        <v>602.20176017732001</v>
      </c>
      <c r="J20">
        <v>301.84213792390398</v>
      </c>
      <c r="K20" t="s">
        <v>52</v>
      </c>
    </row>
    <row r="21" spans="1:11" x14ac:dyDescent="0.2">
      <c r="A21">
        <v>3</v>
      </c>
      <c r="B21">
        <v>2</v>
      </c>
      <c r="C21">
        <v>2016</v>
      </c>
      <c r="D21">
        <v>3715.4360805403799</v>
      </c>
      <c r="E21">
        <v>9139.3861322597004</v>
      </c>
      <c r="F21">
        <v>7132.59971662112</v>
      </c>
      <c r="G21">
        <v>3818.3553154114102</v>
      </c>
      <c r="H21">
        <v>1805.4017100564399</v>
      </c>
      <c r="I21">
        <v>803.64842159411796</v>
      </c>
      <c r="J21">
        <v>401.70784966650399</v>
      </c>
      <c r="K21" t="s">
        <v>52</v>
      </c>
    </row>
    <row r="22" spans="1:11" x14ac:dyDescent="0.2">
      <c r="A22">
        <v>4</v>
      </c>
      <c r="B22">
        <v>1</v>
      </c>
      <c r="C22">
        <v>2016</v>
      </c>
      <c r="D22">
        <v>201.45777211641601</v>
      </c>
      <c r="E22">
        <v>2911.7522966101001</v>
      </c>
      <c r="F22">
        <v>3514.7159404883701</v>
      </c>
      <c r="G22">
        <v>2107.8321647734001</v>
      </c>
      <c r="H22">
        <v>603.48472135067595</v>
      </c>
      <c r="I22">
        <v>200.89810864927901</v>
      </c>
      <c r="J22">
        <v>0</v>
      </c>
      <c r="K22" t="s">
        <v>52</v>
      </c>
    </row>
    <row r="23" spans="1:11" x14ac:dyDescent="0.2">
      <c r="A23">
        <v>4</v>
      </c>
      <c r="B23">
        <v>2</v>
      </c>
      <c r="C23">
        <v>2016</v>
      </c>
      <c r="D23">
        <v>1003.95922602025</v>
      </c>
      <c r="E23">
        <v>2411.6454794901802</v>
      </c>
      <c r="F23">
        <v>1808.4854910004999</v>
      </c>
      <c r="G23">
        <v>904.34673019343404</v>
      </c>
      <c r="H23">
        <v>301.08166967752197</v>
      </c>
      <c r="I23">
        <v>301.542881692153</v>
      </c>
      <c r="J23">
        <v>0</v>
      </c>
      <c r="K23" t="s">
        <v>52</v>
      </c>
    </row>
    <row r="24" spans="1:11" x14ac:dyDescent="0.2">
      <c r="A24">
        <v>5</v>
      </c>
      <c r="B24">
        <v>1</v>
      </c>
      <c r="C24">
        <v>2016</v>
      </c>
      <c r="D24">
        <v>501.97977832680101</v>
      </c>
      <c r="E24">
        <v>1406.08582324588</v>
      </c>
      <c r="F24">
        <v>2310.4817401415698</v>
      </c>
      <c r="G24">
        <v>502.25450189022803</v>
      </c>
      <c r="H24">
        <v>300.877364875816</v>
      </c>
      <c r="I24">
        <v>100.183230394887</v>
      </c>
      <c r="J24">
        <v>0</v>
      </c>
      <c r="K24" t="s">
        <v>52</v>
      </c>
    </row>
    <row r="25" spans="1:11" x14ac:dyDescent="0.2">
      <c r="A25">
        <v>5</v>
      </c>
      <c r="B25">
        <v>2</v>
      </c>
      <c r="C25">
        <v>2016</v>
      </c>
      <c r="D25">
        <v>0</v>
      </c>
      <c r="E25">
        <v>401.90865444574899</v>
      </c>
      <c r="F25">
        <v>501.84940939243</v>
      </c>
      <c r="G25">
        <v>301.972176224919</v>
      </c>
      <c r="H25">
        <v>0</v>
      </c>
      <c r="I25">
        <v>200.39377091243199</v>
      </c>
      <c r="J25">
        <v>0</v>
      </c>
      <c r="K25" t="s">
        <v>52</v>
      </c>
    </row>
    <row r="26" spans="1:11" x14ac:dyDescent="0.2">
      <c r="A26">
        <v>8</v>
      </c>
      <c r="B26">
        <v>1</v>
      </c>
      <c r="C26">
        <v>2016</v>
      </c>
      <c r="D26">
        <v>0</v>
      </c>
      <c r="E26">
        <v>100.19688545621599</v>
      </c>
      <c r="F26">
        <v>100.081533715278</v>
      </c>
      <c r="G26">
        <v>100.94369864126899</v>
      </c>
      <c r="H26">
        <v>0</v>
      </c>
      <c r="I26">
        <v>0</v>
      </c>
      <c r="J26">
        <v>0</v>
      </c>
      <c r="K26" t="s">
        <v>52</v>
      </c>
    </row>
    <row r="27" spans="1:11" x14ac:dyDescent="0.2">
      <c r="A27">
        <v>8</v>
      </c>
      <c r="B27">
        <v>2</v>
      </c>
      <c r="C27">
        <v>2016</v>
      </c>
      <c r="D27">
        <v>100.514073475147</v>
      </c>
      <c r="E27">
        <v>0</v>
      </c>
      <c r="F27">
        <v>100.19688545621599</v>
      </c>
      <c r="G27">
        <v>0</v>
      </c>
      <c r="H27">
        <v>0</v>
      </c>
      <c r="I27">
        <v>0</v>
      </c>
      <c r="J27">
        <v>0</v>
      </c>
      <c r="K27" t="s">
        <v>52</v>
      </c>
    </row>
    <row r="28" spans="1:11" x14ac:dyDescent="0.2">
      <c r="A28">
        <v>0</v>
      </c>
      <c r="B28">
        <v>1</v>
      </c>
      <c r="C28">
        <v>2021</v>
      </c>
      <c r="D28">
        <v>0</v>
      </c>
      <c r="E28">
        <v>0</v>
      </c>
      <c r="F28">
        <v>0</v>
      </c>
      <c r="G28">
        <v>0</v>
      </c>
      <c r="H28">
        <v>0</v>
      </c>
      <c r="I28">
        <v>100.481174883465</v>
      </c>
      <c r="J28">
        <v>0</v>
      </c>
      <c r="K28" t="s">
        <v>52</v>
      </c>
    </row>
    <row r="29" spans="1:11" x14ac:dyDescent="0.2">
      <c r="A29">
        <v>0</v>
      </c>
      <c r="B29">
        <v>2</v>
      </c>
      <c r="C29">
        <v>2021</v>
      </c>
      <c r="D29">
        <v>100.111805957177</v>
      </c>
      <c r="E29">
        <v>1005.4761291525</v>
      </c>
      <c r="F29">
        <v>603.317117268267</v>
      </c>
      <c r="G29">
        <v>301.01058858140402</v>
      </c>
      <c r="H29">
        <v>402.57239852480899</v>
      </c>
      <c r="I29">
        <v>0</v>
      </c>
      <c r="J29">
        <v>0</v>
      </c>
      <c r="K29" t="s">
        <v>52</v>
      </c>
    </row>
    <row r="30" spans="1:11" x14ac:dyDescent="0.2">
      <c r="A30">
        <v>1</v>
      </c>
      <c r="B30">
        <v>1</v>
      </c>
      <c r="C30">
        <v>2021</v>
      </c>
      <c r="D30">
        <v>100.964470533697</v>
      </c>
      <c r="E30">
        <v>1205.4055547021601</v>
      </c>
      <c r="F30">
        <v>301.87359261787202</v>
      </c>
      <c r="G30">
        <v>501.69983327889599</v>
      </c>
      <c r="H30">
        <v>402.65545657815801</v>
      </c>
      <c r="I30">
        <v>502.55249785541599</v>
      </c>
      <c r="J30">
        <v>100.42794720070999</v>
      </c>
      <c r="K30" t="s">
        <v>52</v>
      </c>
    </row>
    <row r="31" spans="1:11" x14ac:dyDescent="0.2">
      <c r="A31">
        <v>1</v>
      </c>
      <c r="B31">
        <v>2</v>
      </c>
      <c r="C31">
        <v>2021</v>
      </c>
      <c r="D31">
        <v>5325.8790051071401</v>
      </c>
      <c r="E31">
        <v>10248.6765906358</v>
      </c>
      <c r="F31">
        <v>3819.7567502286602</v>
      </c>
      <c r="G31">
        <v>4421.9831174116898</v>
      </c>
      <c r="H31">
        <v>4820.9559401058104</v>
      </c>
      <c r="I31">
        <v>2913.4927427458001</v>
      </c>
      <c r="J31">
        <v>1006.2548286086</v>
      </c>
      <c r="K31" t="s">
        <v>52</v>
      </c>
    </row>
    <row r="32" spans="1:11" x14ac:dyDescent="0.2">
      <c r="A32">
        <v>2</v>
      </c>
      <c r="B32">
        <v>1</v>
      </c>
      <c r="C32">
        <v>2021</v>
      </c>
      <c r="D32">
        <v>802.641591672147</v>
      </c>
      <c r="E32">
        <v>3215.2547417076898</v>
      </c>
      <c r="F32">
        <v>2810.9967042632802</v>
      </c>
      <c r="G32">
        <v>2312.1039092968599</v>
      </c>
      <c r="H32">
        <v>3511.9228428270399</v>
      </c>
      <c r="I32">
        <v>1303.9465286853799</v>
      </c>
      <c r="J32">
        <v>904.91007494050098</v>
      </c>
      <c r="K32" t="s">
        <v>52</v>
      </c>
    </row>
    <row r="33" spans="1:11" x14ac:dyDescent="0.2">
      <c r="A33">
        <v>2</v>
      </c>
      <c r="B33">
        <v>2</v>
      </c>
      <c r="C33">
        <v>2021</v>
      </c>
      <c r="D33">
        <v>7029.0640337695304</v>
      </c>
      <c r="E33">
        <v>17387.854428477</v>
      </c>
      <c r="F33">
        <v>6929.4128606505901</v>
      </c>
      <c r="G33">
        <v>7034.5959851471998</v>
      </c>
      <c r="H33">
        <v>5123.14085528754</v>
      </c>
      <c r="I33">
        <v>3110.65327276883</v>
      </c>
      <c r="J33">
        <v>2208.9095302160699</v>
      </c>
      <c r="K33" t="s">
        <v>52</v>
      </c>
    </row>
    <row r="34" spans="1:11" x14ac:dyDescent="0.2">
      <c r="A34">
        <v>3</v>
      </c>
      <c r="B34">
        <v>1</v>
      </c>
      <c r="C34">
        <v>2021</v>
      </c>
      <c r="D34">
        <v>1305.68971896429</v>
      </c>
      <c r="E34">
        <v>7232.0138298873098</v>
      </c>
      <c r="F34">
        <v>6227.36835299413</v>
      </c>
      <c r="G34">
        <v>3112.6059481549401</v>
      </c>
      <c r="H34">
        <v>3815.9040937889099</v>
      </c>
      <c r="I34">
        <v>2006.9176886103801</v>
      </c>
      <c r="J34">
        <v>602.02759731552601</v>
      </c>
      <c r="K34" t="s">
        <v>52</v>
      </c>
    </row>
    <row r="35" spans="1:11" x14ac:dyDescent="0.2">
      <c r="A35">
        <v>3</v>
      </c>
      <c r="B35">
        <v>2</v>
      </c>
      <c r="C35">
        <v>2021</v>
      </c>
      <c r="D35">
        <v>2011.8837558677701</v>
      </c>
      <c r="E35">
        <v>11256.140227531099</v>
      </c>
      <c r="F35">
        <v>9545.8295183228201</v>
      </c>
      <c r="G35">
        <v>4623.0568015582703</v>
      </c>
      <c r="H35">
        <v>3816.6889118307299</v>
      </c>
      <c r="I35">
        <v>904.11162535511301</v>
      </c>
      <c r="J35">
        <v>501.60356942204601</v>
      </c>
      <c r="K35" t="s">
        <v>52</v>
      </c>
    </row>
    <row r="36" spans="1:11" x14ac:dyDescent="0.2">
      <c r="A36">
        <v>3</v>
      </c>
      <c r="B36">
        <v>8</v>
      </c>
      <c r="C36">
        <v>2021</v>
      </c>
      <c r="D36">
        <v>0</v>
      </c>
      <c r="E36">
        <v>0</v>
      </c>
      <c r="F36">
        <v>0</v>
      </c>
      <c r="G36">
        <v>0</v>
      </c>
      <c r="H36">
        <v>0</v>
      </c>
      <c r="I36">
        <v>0</v>
      </c>
      <c r="J36">
        <v>0</v>
      </c>
      <c r="K36" t="s">
        <v>52</v>
      </c>
    </row>
    <row r="37" spans="1:11" x14ac:dyDescent="0.2">
      <c r="A37">
        <v>4</v>
      </c>
      <c r="B37">
        <v>1</v>
      </c>
      <c r="C37">
        <v>2021</v>
      </c>
      <c r="D37">
        <v>0</v>
      </c>
      <c r="E37">
        <v>4622.69254632305</v>
      </c>
      <c r="F37">
        <v>5223.1916649791201</v>
      </c>
      <c r="G37">
        <v>3213.5854194099802</v>
      </c>
      <c r="H37">
        <v>1605.2060668483</v>
      </c>
      <c r="I37">
        <v>200.52941369793899</v>
      </c>
      <c r="J37">
        <v>301.81002547516903</v>
      </c>
      <c r="K37" t="s">
        <v>52</v>
      </c>
    </row>
    <row r="38" spans="1:11" x14ac:dyDescent="0.2">
      <c r="A38">
        <v>4</v>
      </c>
      <c r="B38">
        <v>2</v>
      </c>
      <c r="C38">
        <v>2021</v>
      </c>
      <c r="D38">
        <v>703.34192609686295</v>
      </c>
      <c r="E38">
        <v>3014.2338628851498</v>
      </c>
      <c r="F38">
        <v>2310.3991664549299</v>
      </c>
      <c r="G38">
        <v>602.45791012392397</v>
      </c>
      <c r="H38">
        <v>501.39403149531103</v>
      </c>
      <c r="I38">
        <v>100.595160125175</v>
      </c>
      <c r="J38">
        <v>0</v>
      </c>
      <c r="K38" t="s">
        <v>52</v>
      </c>
    </row>
    <row r="39" spans="1:11" x14ac:dyDescent="0.2">
      <c r="A39">
        <v>5</v>
      </c>
      <c r="B39">
        <v>1</v>
      </c>
      <c r="C39">
        <v>2021</v>
      </c>
      <c r="D39">
        <v>200.59298084064201</v>
      </c>
      <c r="E39">
        <v>1105.09287733418</v>
      </c>
      <c r="F39">
        <v>2209.9691391739998</v>
      </c>
      <c r="G39">
        <v>1005.74942598288</v>
      </c>
      <c r="H39">
        <v>300.88613607435701</v>
      </c>
      <c r="I39">
        <v>200.52941369793899</v>
      </c>
      <c r="J39">
        <v>0</v>
      </c>
      <c r="K39" t="s">
        <v>52</v>
      </c>
    </row>
    <row r="40" spans="1:11" x14ac:dyDescent="0.2">
      <c r="A40">
        <v>5</v>
      </c>
      <c r="B40">
        <v>2</v>
      </c>
      <c r="C40">
        <v>2021</v>
      </c>
      <c r="D40">
        <v>100.41760774076199</v>
      </c>
      <c r="E40">
        <v>200.90912208417501</v>
      </c>
      <c r="F40">
        <v>0</v>
      </c>
      <c r="G40">
        <v>502.339497690874</v>
      </c>
      <c r="H40">
        <v>200.70696608235201</v>
      </c>
      <c r="I40">
        <v>200.84555494147199</v>
      </c>
      <c r="J40">
        <v>0</v>
      </c>
      <c r="K40" t="s">
        <v>52</v>
      </c>
    </row>
    <row r="41" spans="1:11" x14ac:dyDescent="0.2">
      <c r="A41">
        <v>8</v>
      </c>
      <c r="B41">
        <v>2</v>
      </c>
      <c r="C41">
        <v>2021</v>
      </c>
      <c r="D41">
        <v>0</v>
      </c>
      <c r="E41">
        <v>100.42794720070999</v>
      </c>
      <c r="F41">
        <v>302.04080554233701</v>
      </c>
      <c r="G41">
        <v>0</v>
      </c>
      <c r="H41">
        <v>0</v>
      </c>
      <c r="I41">
        <v>0</v>
      </c>
      <c r="J41">
        <v>0</v>
      </c>
      <c r="K41" t="s">
        <v>52</v>
      </c>
    </row>
    <row r="42" spans="1:11" x14ac:dyDescent="0.2">
      <c r="A42">
        <v>1</v>
      </c>
      <c r="B42">
        <v>1</v>
      </c>
      <c r="C42">
        <v>2011</v>
      </c>
      <c r="D42">
        <v>1309.23966738375</v>
      </c>
      <c r="E42">
        <v>10929.6783471081</v>
      </c>
      <c r="F42">
        <v>10963.079277139201</v>
      </c>
      <c r="G42">
        <v>4954.9032461731504</v>
      </c>
      <c r="H42">
        <v>3516.4352908693099</v>
      </c>
      <c r="I42">
        <v>1262.90793429057</v>
      </c>
      <c r="J42">
        <v>336.319533129538</v>
      </c>
      <c r="K42" t="s">
        <v>53</v>
      </c>
    </row>
    <row r="43" spans="1:11" x14ac:dyDescent="0.2">
      <c r="A43">
        <v>1</v>
      </c>
      <c r="B43">
        <v>2</v>
      </c>
      <c r="C43">
        <v>2011</v>
      </c>
      <c r="D43">
        <v>2809.7549321597498</v>
      </c>
      <c r="E43">
        <v>6449.91958232041</v>
      </c>
      <c r="F43">
        <v>4117.2590098698602</v>
      </c>
      <c r="G43">
        <v>3706.60546480228</v>
      </c>
      <c r="H43">
        <v>1844.45475937579</v>
      </c>
      <c r="I43">
        <v>442.74650557731701</v>
      </c>
      <c r="J43">
        <v>314.54483799965402</v>
      </c>
      <c r="K43" t="s">
        <v>53</v>
      </c>
    </row>
    <row r="44" spans="1:11" x14ac:dyDescent="0.2">
      <c r="A44">
        <v>1</v>
      </c>
      <c r="B44">
        <v>8</v>
      </c>
      <c r="C44">
        <v>2011</v>
      </c>
      <c r="D44">
        <v>90.207709592183505</v>
      </c>
      <c r="E44">
        <v>727.59033328631995</v>
      </c>
      <c r="F44">
        <v>90.207709592183605</v>
      </c>
      <c r="G44">
        <v>270.62312877655103</v>
      </c>
      <c r="H44">
        <v>0</v>
      </c>
      <c r="I44">
        <v>90.207709592183605</v>
      </c>
      <c r="J44">
        <v>0</v>
      </c>
      <c r="K44" t="s">
        <v>53</v>
      </c>
    </row>
    <row r="45" spans="1:11" x14ac:dyDescent="0.2">
      <c r="A45">
        <v>2</v>
      </c>
      <c r="B45">
        <v>1</v>
      </c>
      <c r="C45">
        <v>2011</v>
      </c>
      <c r="D45">
        <v>298.276244452637</v>
      </c>
      <c r="E45">
        <v>721.66167673746895</v>
      </c>
      <c r="F45">
        <v>631.45396714528499</v>
      </c>
      <c r="G45">
        <v>541.24625755310103</v>
      </c>
      <c r="H45">
        <v>270.62312877655103</v>
      </c>
      <c r="I45">
        <v>0</v>
      </c>
      <c r="J45">
        <v>0</v>
      </c>
      <c r="K45" t="s">
        <v>53</v>
      </c>
    </row>
    <row r="46" spans="1:11" x14ac:dyDescent="0.2">
      <c r="A46">
        <v>2</v>
      </c>
      <c r="B46">
        <v>2</v>
      </c>
      <c r="C46">
        <v>2011</v>
      </c>
      <c r="D46">
        <v>721.66167673746895</v>
      </c>
      <c r="E46">
        <v>1327.2699581005099</v>
      </c>
      <c r="F46">
        <v>1134.9990921180599</v>
      </c>
      <c r="G46">
        <v>1689.96743987018</v>
      </c>
      <c r="H46">
        <v>804.10052067680203</v>
      </c>
      <c r="I46">
        <v>180.41541918436701</v>
      </c>
      <c r="J46">
        <v>90.207709592183605</v>
      </c>
      <c r="K46" t="s">
        <v>53</v>
      </c>
    </row>
    <row r="47" spans="1:11" x14ac:dyDescent="0.2">
      <c r="A47">
        <v>2</v>
      </c>
      <c r="B47">
        <v>8</v>
      </c>
      <c r="C47">
        <v>2011</v>
      </c>
      <c r="D47">
        <v>0</v>
      </c>
      <c r="E47">
        <v>0</v>
      </c>
      <c r="F47">
        <v>0</v>
      </c>
      <c r="G47">
        <v>0</v>
      </c>
      <c r="H47">
        <v>0</v>
      </c>
      <c r="I47">
        <v>153.900914354522</v>
      </c>
      <c r="J47">
        <v>0</v>
      </c>
      <c r="K47" t="s">
        <v>53</v>
      </c>
    </row>
    <row r="48" spans="1:11" x14ac:dyDescent="0.2">
      <c r="A48">
        <v>3</v>
      </c>
      <c r="B48">
        <v>1</v>
      </c>
      <c r="C48">
        <v>2011</v>
      </c>
      <c r="D48">
        <v>90.207709592183505</v>
      </c>
      <c r="E48">
        <v>811.869386329652</v>
      </c>
      <c r="F48">
        <v>382.96516305673703</v>
      </c>
      <c r="G48">
        <v>270.62312877655103</v>
      </c>
      <c r="H48">
        <v>553.51243949803802</v>
      </c>
      <c r="I48">
        <v>90.207709592183605</v>
      </c>
      <c r="J48">
        <v>125.469230678778</v>
      </c>
      <c r="K48" t="s">
        <v>53</v>
      </c>
    </row>
    <row r="49" spans="1:11" x14ac:dyDescent="0.2">
      <c r="A49">
        <v>3</v>
      </c>
      <c r="B49">
        <v>2</v>
      </c>
      <c r="C49">
        <v>2011</v>
      </c>
      <c r="D49">
        <v>1150.2000146560599</v>
      </c>
      <c r="E49">
        <v>2431.5240916860598</v>
      </c>
      <c r="F49">
        <v>2516.1075319420902</v>
      </c>
      <c r="G49">
        <v>1309.2017224563201</v>
      </c>
      <c r="H49">
        <v>769.24213065425295</v>
      </c>
      <c r="I49">
        <v>205.92288457990799</v>
      </c>
      <c r="J49">
        <v>0</v>
      </c>
      <c r="K49" t="s">
        <v>53</v>
      </c>
    </row>
    <row r="50" spans="1:11" x14ac:dyDescent="0.2">
      <c r="A50">
        <v>3</v>
      </c>
      <c r="B50">
        <v>8</v>
      </c>
      <c r="C50">
        <v>2011</v>
      </c>
      <c r="D50">
        <v>0</v>
      </c>
      <c r="E50">
        <v>90.207709592183605</v>
      </c>
      <c r="F50">
        <v>0</v>
      </c>
      <c r="G50">
        <v>90.207709592183505</v>
      </c>
      <c r="H50">
        <v>90.207709592183505</v>
      </c>
      <c r="I50">
        <v>0</v>
      </c>
      <c r="J50">
        <v>0</v>
      </c>
      <c r="K50" t="s">
        <v>53</v>
      </c>
    </row>
    <row r="51" spans="1:11" x14ac:dyDescent="0.2">
      <c r="A51">
        <v>4</v>
      </c>
      <c r="B51">
        <v>1</v>
      </c>
      <c r="C51">
        <v>2011</v>
      </c>
      <c r="D51">
        <v>180.41541918436701</v>
      </c>
      <c r="E51">
        <v>270.62312877655103</v>
      </c>
      <c r="F51">
        <v>794.81322866801895</v>
      </c>
      <c r="G51">
        <v>298.28462173571398</v>
      </c>
      <c r="H51">
        <v>90.207709592183505</v>
      </c>
      <c r="I51">
        <v>0</v>
      </c>
      <c r="J51">
        <v>0</v>
      </c>
      <c r="K51" t="s">
        <v>53</v>
      </c>
    </row>
    <row r="52" spans="1:11" x14ac:dyDescent="0.2">
      <c r="A52">
        <v>4</v>
      </c>
      <c r="B52">
        <v>2</v>
      </c>
      <c r="C52">
        <v>2011</v>
      </c>
      <c r="D52">
        <v>761.38750436021303</v>
      </c>
      <c r="E52">
        <v>1743.0699072034299</v>
      </c>
      <c r="F52">
        <v>541.24625755310205</v>
      </c>
      <c r="G52">
        <v>811.869386329652</v>
      </c>
      <c r="H52">
        <v>360.83083836873402</v>
      </c>
      <c r="I52">
        <v>0</v>
      </c>
      <c r="J52">
        <v>90.207709592183605</v>
      </c>
      <c r="K52" t="s">
        <v>53</v>
      </c>
    </row>
    <row r="53" spans="1:11" x14ac:dyDescent="0.2">
      <c r="A53">
        <v>4</v>
      </c>
      <c r="B53">
        <v>8</v>
      </c>
      <c r="C53">
        <v>2011</v>
      </c>
      <c r="D53">
        <v>0</v>
      </c>
      <c r="E53">
        <v>0</v>
      </c>
      <c r="F53">
        <v>0</v>
      </c>
      <c r="G53">
        <v>0</v>
      </c>
      <c r="H53">
        <v>0</v>
      </c>
      <c r="I53">
        <v>0</v>
      </c>
      <c r="J53">
        <v>0</v>
      </c>
      <c r="K53" t="s">
        <v>53</v>
      </c>
    </row>
    <row r="54" spans="1:11" x14ac:dyDescent="0.2">
      <c r="A54">
        <v>5</v>
      </c>
      <c r="B54">
        <v>1</v>
      </c>
      <c r="C54">
        <v>2011</v>
      </c>
      <c r="D54">
        <v>0</v>
      </c>
      <c r="E54">
        <v>200.296103571522</v>
      </c>
      <c r="F54">
        <v>0</v>
      </c>
      <c r="G54">
        <v>90.207709592183605</v>
      </c>
      <c r="H54">
        <v>90.207709592183605</v>
      </c>
      <c r="I54">
        <v>90.207709592183505</v>
      </c>
      <c r="J54">
        <v>0</v>
      </c>
      <c r="K54" t="s">
        <v>53</v>
      </c>
    </row>
    <row r="55" spans="1:11" x14ac:dyDescent="0.2">
      <c r="A55">
        <v>5</v>
      </c>
      <c r="B55">
        <v>2</v>
      </c>
      <c r="C55">
        <v>2011</v>
      </c>
      <c r="D55">
        <v>968.85176872051704</v>
      </c>
      <c r="E55">
        <v>1786.7681064969599</v>
      </c>
      <c r="F55">
        <v>792.67108773587302</v>
      </c>
      <c r="G55">
        <v>1241.8721706563099</v>
      </c>
      <c r="H55">
        <v>823.81981923702403</v>
      </c>
      <c r="I55">
        <v>724.84262584552698</v>
      </c>
      <c r="J55">
        <v>541.24625755310103</v>
      </c>
      <c r="K55" t="s">
        <v>53</v>
      </c>
    </row>
    <row r="56" spans="1:11" x14ac:dyDescent="0.2">
      <c r="A56">
        <v>5</v>
      </c>
      <c r="B56">
        <v>8</v>
      </c>
      <c r="C56">
        <v>2011</v>
      </c>
      <c r="D56">
        <v>0</v>
      </c>
      <c r="E56">
        <v>90.849445569298496</v>
      </c>
      <c r="F56">
        <v>0</v>
      </c>
      <c r="G56">
        <v>0</v>
      </c>
      <c r="H56">
        <v>0</v>
      </c>
      <c r="I56">
        <v>0</v>
      </c>
      <c r="J56">
        <v>0</v>
      </c>
      <c r="K56" t="s">
        <v>53</v>
      </c>
    </row>
    <row r="57" spans="1:11" x14ac:dyDescent="0.2">
      <c r="A57">
        <v>6</v>
      </c>
      <c r="B57">
        <v>1</v>
      </c>
      <c r="C57">
        <v>2011</v>
      </c>
      <c r="D57">
        <v>180.41541918436701</v>
      </c>
      <c r="E57">
        <v>814.51336873057005</v>
      </c>
      <c r="F57">
        <v>360.83083836873402</v>
      </c>
      <c r="G57">
        <v>0</v>
      </c>
      <c r="H57">
        <v>455.47259672845098</v>
      </c>
      <c r="I57">
        <v>0</v>
      </c>
      <c r="J57">
        <v>90.207709592183605</v>
      </c>
      <c r="K57" t="s">
        <v>53</v>
      </c>
    </row>
    <row r="58" spans="1:11" x14ac:dyDescent="0.2">
      <c r="A58">
        <v>6</v>
      </c>
      <c r="B58">
        <v>2</v>
      </c>
      <c r="C58">
        <v>2011</v>
      </c>
      <c r="D58">
        <v>7399.4356934017896</v>
      </c>
      <c r="E58">
        <v>7814.5826770019903</v>
      </c>
      <c r="F58">
        <v>3951.4071109429401</v>
      </c>
      <c r="G58">
        <v>6141.8075746844497</v>
      </c>
      <c r="H58">
        <v>3008.9892779707602</v>
      </c>
      <c r="I58">
        <v>2213.0595289205098</v>
      </c>
      <c r="J58">
        <v>753.29072260549901</v>
      </c>
      <c r="K58" t="s">
        <v>53</v>
      </c>
    </row>
    <row r="59" spans="1:11" x14ac:dyDescent="0.2">
      <c r="A59">
        <v>6</v>
      </c>
      <c r="B59">
        <v>8</v>
      </c>
      <c r="C59">
        <v>2011</v>
      </c>
      <c r="D59">
        <v>0</v>
      </c>
      <c r="E59">
        <v>180.41541918436701</v>
      </c>
      <c r="F59">
        <v>0</v>
      </c>
      <c r="G59">
        <v>0</v>
      </c>
      <c r="H59">
        <v>0</v>
      </c>
      <c r="I59">
        <v>0</v>
      </c>
      <c r="J59">
        <v>0</v>
      </c>
      <c r="K59" t="s">
        <v>53</v>
      </c>
    </row>
    <row r="60" spans="1:11" x14ac:dyDescent="0.2">
      <c r="A60">
        <v>7</v>
      </c>
      <c r="B60">
        <v>2</v>
      </c>
      <c r="C60">
        <v>2011</v>
      </c>
      <c r="D60">
        <v>0</v>
      </c>
      <c r="E60">
        <v>90.207709592183605</v>
      </c>
      <c r="F60">
        <v>0</v>
      </c>
      <c r="G60">
        <v>90.207709592183605</v>
      </c>
      <c r="H60">
        <v>244.47549669598899</v>
      </c>
      <c r="I60">
        <v>0</v>
      </c>
      <c r="J60">
        <v>0</v>
      </c>
      <c r="K60" t="s">
        <v>53</v>
      </c>
    </row>
    <row r="61" spans="1:11" x14ac:dyDescent="0.2">
      <c r="A61">
        <v>8</v>
      </c>
      <c r="B61">
        <v>1</v>
      </c>
      <c r="C61">
        <v>2011</v>
      </c>
      <c r="D61">
        <v>360.83083836873402</v>
      </c>
      <c r="E61">
        <v>1249.9799916710001</v>
      </c>
      <c r="F61">
        <v>270.62312877655103</v>
      </c>
      <c r="G61">
        <v>360.83083836873402</v>
      </c>
      <c r="H61">
        <v>180.41541918436701</v>
      </c>
      <c r="I61">
        <v>253.03932611987199</v>
      </c>
      <c r="J61">
        <v>90.207709592183605</v>
      </c>
      <c r="K61" t="s">
        <v>53</v>
      </c>
    </row>
    <row r="62" spans="1:11" x14ac:dyDescent="0.2">
      <c r="A62">
        <v>8</v>
      </c>
      <c r="B62">
        <v>2</v>
      </c>
      <c r="C62">
        <v>2011</v>
      </c>
      <c r="D62">
        <v>0</v>
      </c>
      <c r="E62">
        <v>360.83083836873402</v>
      </c>
      <c r="F62">
        <v>299.73217927772203</v>
      </c>
      <c r="G62">
        <v>451.03854796091798</v>
      </c>
      <c r="H62">
        <v>180.41541918436701</v>
      </c>
      <c r="I62">
        <v>0</v>
      </c>
      <c r="J62">
        <v>90.207709592183605</v>
      </c>
      <c r="K62" t="s">
        <v>53</v>
      </c>
    </row>
    <row r="63" spans="1:11" x14ac:dyDescent="0.2">
      <c r="A63">
        <v>8</v>
      </c>
      <c r="B63">
        <v>8</v>
      </c>
      <c r="C63">
        <v>2011</v>
      </c>
      <c r="D63">
        <v>0</v>
      </c>
      <c r="E63">
        <v>0</v>
      </c>
      <c r="F63">
        <v>180.41541918436701</v>
      </c>
      <c r="G63">
        <v>0</v>
      </c>
      <c r="H63">
        <v>0</v>
      </c>
      <c r="I63">
        <v>0</v>
      </c>
      <c r="J63">
        <v>0</v>
      </c>
      <c r="K63" t="s">
        <v>53</v>
      </c>
    </row>
    <row r="64" spans="1:11" x14ac:dyDescent="0.2">
      <c r="A64">
        <v>1</v>
      </c>
      <c r="B64">
        <v>1</v>
      </c>
      <c r="C64">
        <v>2016</v>
      </c>
      <c r="D64">
        <v>1507.25913606057</v>
      </c>
      <c r="E64">
        <v>10948.230295089899</v>
      </c>
      <c r="F64">
        <v>10446.1408557333</v>
      </c>
      <c r="G64">
        <v>6729.2656115740701</v>
      </c>
      <c r="H64">
        <v>4317.9856126529103</v>
      </c>
      <c r="I64">
        <v>1103.6495600112601</v>
      </c>
      <c r="J64">
        <v>100.38403517413199</v>
      </c>
      <c r="K64" t="s">
        <v>53</v>
      </c>
    </row>
    <row r="65" spans="1:11" x14ac:dyDescent="0.2">
      <c r="A65">
        <v>1</v>
      </c>
      <c r="B65">
        <v>2</v>
      </c>
      <c r="C65">
        <v>2016</v>
      </c>
      <c r="D65">
        <v>3816.5268296210902</v>
      </c>
      <c r="E65">
        <v>8236.7457486129406</v>
      </c>
      <c r="F65">
        <v>6227.0509260997296</v>
      </c>
      <c r="G65">
        <v>5826.3615766518296</v>
      </c>
      <c r="H65">
        <v>2609.3968485608598</v>
      </c>
      <c r="I65">
        <v>1405.2125937184001</v>
      </c>
      <c r="J65">
        <v>603.78239666695799</v>
      </c>
      <c r="K65" t="s">
        <v>53</v>
      </c>
    </row>
    <row r="66" spans="1:11" x14ac:dyDescent="0.2">
      <c r="A66">
        <v>2</v>
      </c>
      <c r="B66">
        <v>1</v>
      </c>
      <c r="C66">
        <v>2016</v>
      </c>
      <c r="D66">
        <v>100.19688545621599</v>
      </c>
      <c r="E66">
        <v>803.19181693869405</v>
      </c>
      <c r="F66">
        <v>803.60428702102604</v>
      </c>
      <c r="G66">
        <v>601.68598110749895</v>
      </c>
      <c r="H66">
        <v>400.97469154278002</v>
      </c>
      <c r="I66">
        <v>401.479359912983</v>
      </c>
      <c r="J66">
        <v>100.514404108503</v>
      </c>
      <c r="K66" t="s">
        <v>53</v>
      </c>
    </row>
    <row r="67" spans="1:11" x14ac:dyDescent="0.2">
      <c r="A67">
        <v>2</v>
      </c>
      <c r="B67">
        <v>2</v>
      </c>
      <c r="C67">
        <v>2016</v>
      </c>
      <c r="D67">
        <v>9941.7459846538804</v>
      </c>
      <c r="E67">
        <v>13455.319068573201</v>
      </c>
      <c r="F67">
        <v>8136.4967438768999</v>
      </c>
      <c r="G67">
        <v>9542.1909023996395</v>
      </c>
      <c r="H67">
        <v>7131.6951859677301</v>
      </c>
      <c r="I67">
        <v>4019.2877774154899</v>
      </c>
      <c r="J67">
        <v>1707.53789236487</v>
      </c>
      <c r="K67" t="s">
        <v>53</v>
      </c>
    </row>
    <row r="68" spans="1:11" x14ac:dyDescent="0.2">
      <c r="A68">
        <v>3</v>
      </c>
      <c r="B68">
        <v>1</v>
      </c>
      <c r="C68">
        <v>2016</v>
      </c>
      <c r="D68">
        <v>502.53944179393801</v>
      </c>
      <c r="E68">
        <v>1506.2094511846201</v>
      </c>
      <c r="F68">
        <v>1706.49081340369</v>
      </c>
      <c r="G68">
        <v>2509.0567222950799</v>
      </c>
      <c r="H68">
        <v>903.90669519308597</v>
      </c>
      <c r="I68">
        <v>500.99263780692797</v>
      </c>
      <c r="J68">
        <v>301.664904724525</v>
      </c>
      <c r="K68" t="s">
        <v>53</v>
      </c>
    </row>
    <row r="69" spans="1:11" x14ac:dyDescent="0.2">
      <c r="A69">
        <v>3</v>
      </c>
      <c r="B69">
        <v>2</v>
      </c>
      <c r="C69">
        <v>2016</v>
      </c>
      <c r="D69">
        <v>2912.2915417361901</v>
      </c>
      <c r="E69">
        <v>7534.4095418268498</v>
      </c>
      <c r="F69">
        <v>5326.2849297311304</v>
      </c>
      <c r="G69">
        <v>2612.2578913940802</v>
      </c>
      <c r="H69">
        <v>1607.2673754382499</v>
      </c>
      <c r="I69">
        <v>301.41284339113798</v>
      </c>
      <c r="J69">
        <v>402.02661860090399</v>
      </c>
      <c r="K69" t="s">
        <v>53</v>
      </c>
    </row>
    <row r="70" spans="1:11" x14ac:dyDescent="0.2">
      <c r="A70">
        <v>8</v>
      </c>
      <c r="B70">
        <v>1</v>
      </c>
      <c r="C70">
        <v>2016</v>
      </c>
      <c r="D70">
        <v>0</v>
      </c>
      <c r="E70">
        <v>0</v>
      </c>
      <c r="F70">
        <v>0</v>
      </c>
      <c r="G70">
        <v>100.38403517413199</v>
      </c>
      <c r="H70">
        <v>0</v>
      </c>
      <c r="I70">
        <v>0</v>
      </c>
      <c r="J70">
        <v>0</v>
      </c>
      <c r="K70" t="s">
        <v>53</v>
      </c>
    </row>
    <row r="71" spans="1:11" x14ac:dyDescent="0.2">
      <c r="A71">
        <v>8</v>
      </c>
      <c r="B71">
        <v>2</v>
      </c>
      <c r="C71">
        <v>2016</v>
      </c>
      <c r="D71">
        <v>100.744144144137</v>
      </c>
      <c r="E71">
        <v>100.94369864126899</v>
      </c>
      <c r="F71">
        <v>0</v>
      </c>
      <c r="G71">
        <v>100.744144144137</v>
      </c>
      <c r="H71">
        <v>0</v>
      </c>
      <c r="I71">
        <v>0</v>
      </c>
      <c r="J71">
        <v>0</v>
      </c>
      <c r="K71" t="s">
        <v>53</v>
      </c>
    </row>
    <row r="72" spans="1:11" x14ac:dyDescent="0.2">
      <c r="A72">
        <v>1</v>
      </c>
      <c r="B72">
        <v>1</v>
      </c>
      <c r="C72">
        <v>2021</v>
      </c>
      <c r="D72">
        <v>1103.3580265625801</v>
      </c>
      <c r="E72">
        <v>12761.427375179999</v>
      </c>
      <c r="F72">
        <v>13862.089975815399</v>
      </c>
      <c r="G72">
        <v>7433.3038900174197</v>
      </c>
      <c r="H72">
        <v>7529.4189997599196</v>
      </c>
      <c r="I72">
        <v>3511.7804692681698</v>
      </c>
      <c r="J72">
        <v>1206.2935844993999</v>
      </c>
      <c r="K72" t="s">
        <v>53</v>
      </c>
    </row>
    <row r="73" spans="1:11" x14ac:dyDescent="0.2">
      <c r="A73">
        <v>1</v>
      </c>
      <c r="B73">
        <v>2</v>
      </c>
      <c r="C73">
        <v>2021</v>
      </c>
      <c r="D73">
        <v>2712.9318005749601</v>
      </c>
      <c r="E73">
        <v>11457.711416941</v>
      </c>
      <c r="F73">
        <v>7034.2115446278904</v>
      </c>
      <c r="G73">
        <v>5828.8874053801001</v>
      </c>
      <c r="H73">
        <v>4520.5387716131199</v>
      </c>
      <c r="I73">
        <v>1506.6236865621199</v>
      </c>
      <c r="J73">
        <v>703.42611364169602</v>
      </c>
      <c r="K73" t="s">
        <v>53</v>
      </c>
    </row>
    <row r="74" spans="1:11" x14ac:dyDescent="0.2">
      <c r="A74">
        <v>1</v>
      </c>
      <c r="B74">
        <v>8</v>
      </c>
      <c r="C74">
        <v>2021</v>
      </c>
      <c r="D74">
        <v>0</v>
      </c>
      <c r="E74">
        <v>0</v>
      </c>
      <c r="F74">
        <v>0</v>
      </c>
      <c r="G74">
        <v>0</v>
      </c>
      <c r="H74">
        <v>0</v>
      </c>
      <c r="I74">
        <v>0</v>
      </c>
      <c r="J74">
        <v>0</v>
      </c>
      <c r="K74" t="s">
        <v>53</v>
      </c>
    </row>
    <row r="75" spans="1:11" x14ac:dyDescent="0.2">
      <c r="A75">
        <v>2</v>
      </c>
      <c r="B75">
        <v>1</v>
      </c>
      <c r="C75">
        <v>2021</v>
      </c>
      <c r="D75">
        <v>502.51699155752101</v>
      </c>
      <c r="E75">
        <v>1305.17920182634</v>
      </c>
      <c r="F75">
        <v>1103.0583856993001</v>
      </c>
      <c r="G75">
        <v>804.36990525549697</v>
      </c>
      <c r="H75">
        <v>701.80394486942305</v>
      </c>
      <c r="I75">
        <v>200.575259455782</v>
      </c>
      <c r="J75">
        <v>301.02092804135202</v>
      </c>
      <c r="K75" t="s">
        <v>53</v>
      </c>
    </row>
    <row r="76" spans="1:11" x14ac:dyDescent="0.2">
      <c r="A76">
        <v>2</v>
      </c>
      <c r="B76">
        <v>2</v>
      </c>
      <c r="C76">
        <v>2021</v>
      </c>
      <c r="D76">
        <v>10847.5747521502</v>
      </c>
      <c r="E76">
        <v>22506.607706656599</v>
      </c>
      <c r="F76">
        <v>9943.3514583051092</v>
      </c>
      <c r="G76">
        <v>8540.0689661808101</v>
      </c>
      <c r="H76">
        <v>8336.0705368078998</v>
      </c>
      <c r="I76">
        <v>4116.2229452500496</v>
      </c>
      <c r="J76">
        <v>2108.4309128796899</v>
      </c>
      <c r="K76" t="s">
        <v>53</v>
      </c>
    </row>
    <row r="77" spans="1:11" x14ac:dyDescent="0.2">
      <c r="A77">
        <v>3</v>
      </c>
      <c r="B77">
        <v>1</v>
      </c>
      <c r="C77">
        <v>2021</v>
      </c>
      <c r="D77">
        <v>804.01374389067098</v>
      </c>
      <c r="E77">
        <v>3313.8529729480501</v>
      </c>
      <c r="F77">
        <v>1707.2866219800301</v>
      </c>
      <c r="G77">
        <v>1908.07074085064</v>
      </c>
      <c r="H77">
        <v>1405.35165148742</v>
      </c>
      <c r="I77">
        <v>602.60098870655702</v>
      </c>
      <c r="J77">
        <v>401.86113239115701</v>
      </c>
      <c r="K77" t="s">
        <v>53</v>
      </c>
    </row>
    <row r="78" spans="1:11" x14ac:dyDescent="0.2">
      <c r="A78">
        <v>3</v>
      </c>
      <c r="B78">
        <v>2</v>
      </c>
      <c r="C78">
        <v>2021</v>
      </c>
      <c r="D78">
        <v>1710.1915818140601</v>
      </c>
      <c r="E78">
        <v>9148.3011791650497</v>
      </c>
      <c r="F78">
        <v>6533.1932155346003</v>
      </c>
      <c r="G78">
        <v>3116.4875289524498</v>
      </c>
      <c r="H78">
        <v>2008.84979490554</v>
      </c>
      <c r="I78">
        <v>1606.85172412422</v>
      </c>
      <c r="J78">
        <v>904.91090172533404</v>
      </c>
      <c r="K78" t="s">
        <v>53</v>
      </c>
    </row>
    <row r="79" spans="1:11" x14ac:dyDescent="0.2">
      <c r="A79">
        <v>8</v>
      </c>
      <c r="B79">
        <v>1</v>
      </c>
      <c r="C79">
        <v>2021</v>
      </c>
      <c r="D79">
        <v>0</v>
      </c>
      <c r="E79">
        <v>0</v>
      </c>
      <c r="F79">
        <v>100.964470533697</v>
      </c>
      <c r="G79">
        <v>0</v>
      </c>
      <c r="H79">
        <v>0</v>
      </c>
      <c r="I79">
        <v>0</v>
      </c>
      <c r="J79">
        <v>0</v>
      </c>
      <c r="K79" t="s">
        <v>53</v>
      </c>
    </row>
    <row r="80" spans="1:11" x14ac:dyDescent="0.2">
      <c r="A80">
        <v>8</v>
      </c>
      <c r="B80">
        <v>2</v>
      </c>
      <c r="C80">
        <v>2021</v>
      </c>
      <c r="D80">
        <v>0</v>
      </c>
      <c r="E80">
        <v>101.098005203819</v>
      </c>
      <c r="F80">
        <v>0</v>
      </c>
      <c r="G80">
        <v>0</v>
      </c>
      <c r="H80">
        <v>0</v>
      </c>
      <c r="I80">
        <v>0</v>
      </c>
      <c r="J80">
        <v>0</v>
      </c>
      <c r="K80" t="s">
        <v>53</v>
      </c>
    </row>
    <row r="81" spans="1:11" x14ac:dyDescent="0.2">
      <c r="A81">
        <v>1</v>
      </c>
      <c r="B81">
        <v>1</v>
      </c>
      <c r="C81">
        <v>2011</v>
      </c>
      <c r="D81">
        <v>541.24625755310103</v>
      </c>
      <c r="E81">
        <v>4330.0628034420897</v>
      </c>
      <c r="F81">
        <v>2699.7439865401702</v>
      </c>
      <c r="G81">
        <v>11418.351127391499</v>
      </c>
      <c r="H81">
        <v>15512.550004418001</v>
      </c>
      <c r="I81">
        <v>7642.1355343125797</v>
      </c>
      <c r="J81">
        <v>2511.5602600089501</v>
      </c>
      <c r="K81" t="s">
        <v>54</v>
      </c>
    </row>
    <row r="82" spans="1:11" x14ac:dyDescent="0.2">
      <c r="A82">
        <v>1</v>
      </c>
      <c r="B82">
        <v>2</v>
      </c>
      <c r="C82">
        <v>2011</v>
      </c>
      <c r="D82">
        <v>2719.9558189799</v>
      </c>
      <c r="E82">
        <v>4361.8498968475697</v>
      </c>
      <c r="F82">
        <v>1211.2621381998099</v>
      </c>
      <c r="G82">
        <v>2436.7540712879299</v>
      </c>
      <c r="H82">
        <v>3625.0413213053298</v>
      </c>
      <c r="I82">
        <v>1961.42723895376</v>
      </c>
      <c r="J82">
        <v>451.03854796091798</v>
      </c>
      <c r="K82" t="s">
        <v>54</v>
      </c>
    </row>
    <row r="83" spans="1:11" x14ac:dyDescent="0.2">
      <c r="A83">
        <v>1</v>
      </c>
      <c r="B83">
        <v>8</v>
      </c>
      <c r="C83">
        <v>2011</v>
      </c>
      <c r="D83">
        <v>0</v>
      </c>
      <c r="E83">
        <v>90.849445569298496</v>
      </c>
      <c r="F83">
        <v>0</v>
      </c>
      <c r="G83">
        <v>0</v>
      </c>
      <c r="H83">
        <v>90.207709592183605</v>
      </c>
      <c r="I83">
        <v>389.65101770135402</v>
      </c>
      <c r="J83">
        <v>0</v>
      </c>
      <c r="K83" t="s">
        <v>54</v>
      </c>
    </row>
    <row r="84" spans="1:11" x14ac:dyDescent="0.2">
      <c r="A84">
        <v>2</v>
      </c>
      <c r="B84">
        <v>1</v>
      </c>
      <c r="C84">
        <v>2011</v>
      </c>
      <c r="D84">
        <v>946.73783185408797</v>
      </c>
      <c r="E84">
        <v>10703.5374894007</v>
      </c>
      <c r="F84">
        <v>17603.814829615902</v>
      </c>
      <c r="G84">
        <v>14327.741029462701</v>
      </c>
      <c r="H84">
        <v>4391.2615758167303</v>
      </c>
      <c r="I84">
        <v>849.96686791626098</v>
      </c>
      <c r="J84">
        <v>360.83083836873402</v>
      </c>
      <c r="K84" t="s">
        <v>54</v>
      </c>
    </row>
    <row r="85" spans="1:11" x14ac:dyDescent="0.2">
      <c r="A85">
        <v>2</v>
      </c>
      <c r="B85">
        <v>2</v>
      </c>
      <c r="C85">
        <v>2011</v>
      </c>
      <c r="D85">
        <v>2779.9722099084902</v>
      </c>
      <c r="E85">
        <v>6469.4324045187204</v>
      </c>
      <c r="F85">
        <v>4506.6781005571602</v>
      </c>
      <c r="G85">
        <v>2839.17953266828</v>
      </c>
      <c r="H85">
        <v>1097.30198701021</v>
      </c>
      <c r="I85">
        <v>219.95693829671299</v>
      </c>
      <c r="J85">
        <v>0</v>
      </c>
      <c r="K85" t="s">
        <v>54</v>
      </c>
    </row>
    <row r="86" spans="1:11" x14ac:dyDescent="0.2">
      <c r="A86">
        <v>2</v>
      </c>
      <c r="B86">
        <v>8</v>
      </c>
      <c r="C86">
        <v>2011</v>
      </c>
      <c r="D86">
        <v>0</v>
      </c>
      <c r="E86">
        <v>727.59033328631995</v>
      </c>
      <c r="F86">
        <v>451.03854796091798</v>
      </c>
      <c r="G86">
        <v>90.207709592183605</v>
      </c>
      <c r="H86">
        <v>90.207709592183605</v>
      </c>
      <c r="I86">
        <v>0</v>
      </c>
      <c r="J86">
        <v>0</v>
      </c>
      <c r="K86" t="s">
        <v>54</v>
      </c>
    </row>
    <row r="87" spans="1:11" x14ac:dyDescent="0.2">
      <c r="A87">
        <v>3</v>
      </c>
      <c r="B87">
        <v>1</v>
      </c>
      <c r="C87">
        <v>2011</v>
      </c>
      <c r="D87">
        <v>90.207709592183605</v>
      </c>
      <c r="E87">
        <v>2631.42015594341</v>
      </c>
      <c r="F87">
        <v>5851.3467656062203</v>
      </c>
      <c r="G87">
        <v>5629.8270528724597</v>
      </c>
      <c r="H87">
        <v>2042.8072147801699</v>
      </c>
      <c r="I87">
        <v>853.67037162123904</v>
      </c>
      <c r="J87">
        <v>817.51797581277594</v>
      </c>
      <c r="K87" t="s">
        <v>54</v>
      </c>
    </row>
    <row r="88" spans="1:11" x14ac:dyDescent="0.2">
      <c r="A88">
        <v>3</v>
      </c>
      <c r="B88">
        <v>2</v>
      </c>
      <c r="C88">
        <v>2011</v>
      </c>
      <c r="D88">
        <v>2902.4494061157998</v>
      </c>
      <c r="E88">
        <v>9003.0656905603901</v>
      </c>
      <c r="F88">
        <v>9519.6429081319293</v>
      </c>
      <c r="G88">
        <v>7535.3125343808697</v>
      </c>
      <c r="H88">
        <v>2440.8296517428898</v>
      </c>
      <c r="I88">
        <v>1537.44119663474</v>
      </c>
      <c r="J88">
        <v>737.05780514120204</v>
      </c>
      <c r="K88" t="s">
        <v>54</v>
      </c>
    </row>
    <row r="89" spans="1:11" x14ac:dyDescent="0.2">
      <c r="A89">
        <v>3</v>
      </c>
      <c r="B89">
        <v>8</v>
      </c>
      <c r="C89">
        <v>2011</v>
      </c>
      <c r="D89">
        <v>90.207709592183505</v>
      </c>
      <c r="E89">
        <v>827.57635720727501</v>
      </c>
      <c r="F89">
        <v>435.291480040924</v>
      </c>
      <c r="G89">
        <v>360.83083836873402</v>
      </c>
      <c r="H89">
        <v>90.207709592183505</v>
      </c>
      <c r="I89">
        <v>0</v>
      </c>
      <c r="J89">
        <v>90.207709592183605</v>
      </c>
      <c r="K89" t="s">
        <v>54</v>
      </c>
    </row>
    <row r="90" spans="1:11" x14ac:dyDescent="0.2">
      <c r="A90">
        <v>9</v>
      </c>
      <c r="B90">
        <v>1</v>
      </c>
      <c r="C90">
        <v>2011</v>
      </c>
      <c r="D90">
        <v>1292.23204712759</v>
      </c>
      <c r="E90">
        <v>3765.6862239359202</v>
      </c>
      <c r="F90">
        <v>4458.7383040693603</v>
      </c>
      <c r="G90">
        <v>8756.10215258469</v>
      </c>
      <c r="H90">
        <v>9298.7157660370594</v>
      </c>
      <c r="I90">
        <v>4628.0096591752699</v>
      </c>
      <c r="J90">
        <v>3745.8765283592502</v>
      </c>
      <c r="K90" t="s">
        <v>54</v>
      </c>
    </row>
    <row r="91" spans="1:11" x14ac:dyDescent="0.2">
      <c r="A91">
        <v>9</v>
      </c>
      <c r="B91">
        <v>2</v>
      </c>
      <c r="C91">
        <v>2011</v>
      </c>
      <c r="D91">
        <v>7213.0683468752904</v>
      </c>
      <c r="E91">
        <v>8199.3005352931104</v>
      </c>
      <c r="F91">
        <v>8725.0697474454792</v>
      </c>
      <c r="G91">
        <v>17820.376273754599</v>
      </c>
      <c r="H91">
        <v>12374.860036604299</v>
      </c>
      <c r="I91">
        <v>7118.0900557892201</v>
      </c>
      <c r="J91">
        <v>4108.7967651165</v>
      </c>
      <c r="K91" t="s">
        <v>54</v>
      </c>
    </row>
    <row r="92" spans="1:11" x14ac:dyDescent="0.2">
      <c r="A92">
        <v>9</v>
      </c>
      <c r="B92">
        <v>8</v>
      </c>
      <c r="C92">
        <v>2011</v>
      </c>
      <c r="D92">
        <v>0</v>
      </c>
      <c r="E92">
        <v>90.207709592183605</v>
      </c>
      <c r="F92">
        <v>90.207709592183605</v>
      </c>
      <c r="G92">
        <v>90.207709592183605</v>
      </c>
      <c r="H92">
        <v>0</v>
      </c>
      <c r="I92">
        <v>180.41541918436701</v>
      </c>
      <c r="J92">
        <v>0</v>
      </c>
      <c r="K92" t="s">
        <v>54</v>
      </c>
    </row>
    <row r="93" spans="1:11" x14ac:dyDescent="0.2">
      <c r="A93">
        <v>1</v>
      </c>
      <c r="B93">
        <v>1</v>
      </c>
      <c r="C93">
        <v>2016</v>
      </c>
      <c r="D93">
        <v>602.56461828017802</v>
      </c>
      <c r="E93">
        <v>4520.0177913071902</v>
      </c>
      <c r="F93">
        <v>4016.1141406953202</v>
      </c>
      <c r="G93">
        <v>8633.2970963656007</v>
      </c>
      <c r="H93">
        <v>18575.878582474201</v>
      </c>
      <c r="I93">
        <v>14153.542991260099</v>
      </c>
      <c r="J93">
        <v>5020.8058144406796</v>
      </c>
      <c r="K93" t="s">
        <v>54</v>
      </c>
    </row>
    <row r="94" spans="1:11" x14ac:dyDescent="0.2">
      <c r="A94">
        <v>1</v>
      </c>
      <c r="B94">
        <v>2</v>
      </c>
      <c r="C94">
        <v>2016</v>
      </c>
      <c r="D94">
        <v>3113.7649510330798</v>
      </c>
      <c r="E94">
        <v>4015.6892778766901</v>
      </c>
      <c r="F94">
        <v>1808.3964621017301</v>
      </c>
      <c r="G94">
        <v>5021.2157092664602</v>
      </c>
      <c r="H94">
        <v>4720.3017336493704</v>
      </c>
      <c r="I94">
        <v>2110.5042073565201</v>
      </c>
      <c r="J94">
        <v>1405.7294791798299</v>
      </c>
      <c r="K94" t="s">
        <v>54</v>
      </c>
    </row>
    <row r="95" spans="1:11" x14ac:dyDescent="0.2">
      <c r="A95">
        <v>2</v>
      </c>
      <c r="B95">
        <v>1</v>
      </c>
      <c r="C95">
        <v>2016</v>
      </c>
      <c r="D95">
        <v>502.409072859567</v>
      </c>
      <c r="E95">
        <v>8535.0594010451805</v>
      </c>
      <c r="F95">
        <v>19780.386088566302</v>
      </c>
      <c r="G95">
        <v>18075.538096351898</v>
      </c>
      <c r="H95">
        <v>4918.4403154818601</v>
      </c>
      <c r="I95">
        <v>2208.1017187316902</v>
      </c>
      <c r="J95">
        <v>401.176527820773</v>
      </c>
      <c r="K95" t="s">
        <v>54</v>
      </c>
    </row>
    <row r="96" spans="1:11" x14ac:dyDescent="0.2">
      <c r="A96">
        <v>2</v>
      </c>
      <c r="B96">
        <v>2</v>
      </c>
      <c r="C96">
        <v>2016</v>
      </c>
      <c r="D96">
        <v>2611.32465861845</v>
      </c>
      <c r="E96">
        <v>8637.9529121384094</v>
      </c>
      <c r="F96">
        <v>7231.8566922865402</v>
      </c>
      <c r="G96">
        <v>4423.2706962034199</v>
      </c>
      <c r="H96">
        <v>1305.09194470221</v>
      </c>
      <c r="I96">
        <v>502.55276622191099</v>
      </c>
      <c r="J96">
        <v>201.32773381540099</v>
      </c>
      <c r="K96" t="s">
        <v>54</v>
      </c>
    </row>
    <row r="97" spans="1:11" x14ac:dyDescent="0.2">
      <c r="A97">
        <v>2</v>
      </c>
      <c r="B97">
        <v>8</v>
      </c>
      <c r="C97">
        <v>2016</v>
      </c>
      <c r="D97">
        <v>0</v>
      </c>
      <c r="E97">
        <v>0</v>
      </c>
      <c r="F97">
        <v>100.19688545621599</v>
      </c>
      <c r="G97">
        <v>100.744144144137</v>
      </c>
      <c r="H97">
        <v>0</v>
      </c>
      <c r="I97">
        <v>0</v>
      </c>
      <c r="J97">
        <v>0</v>
      </c>
      <c r="K97" t="s">
        <v>54</v>
      </c>
    </row>
    <row r="98" spans="1:11" x14ac:dyDescent="0.2">
      <c r="A98">
        <v>3</v>
      </c>
      <c r="B98">
        <v>1</v>
      </c>
      <c r="C98">
        <v>2016</v>
      </c>
      <c r="D98">
        <v>402.48658033342201</v>
      </c>
      <c r="E98">
        <v>2608.6272751842598</v>
      </c>
      <c r="F98">
        <v>4219.7016409049702</v>
      </c>
      <c r="G98">
        <v>5321.9840691397703</v>
      </c>
      <c r="H98">
        <v>2711.2620836231499</v>
      </c>
      <c r="I98">
        <v>1304.69144248046</v>
      </c>
      <c r="J98">
        <v>1002.75774596501</v>
      </c>
      <c r="K98" t="s">
        <v>54</v>
      </c>
    </row>
    <row r="99" spans="1:11" x14ac:dyDescent="0.2">
      <c r="A99">
        <v>3</v>
      </c>
      <c r="B99">
        <v>2</v>
      </c>
      <c r="C99">
        <v>2016</v>
      </c>
      <c r="D99">
        <v>3815.9424739998199</v>
      </c>
      <c r="E99">
        <v>12760.2384242892</v>
      </c>
      <c r="F99">
        <v>11356.2286635156</v>
      </c>
      <c r="G99">
        <v>8437.5389324386706</v>
      </c>
      <c r="H99">
        <v>3314.2764323381998</v>
      </c>
      <c r="I99">
        <v>2008.1295341341299</v>
      </c>
      <c r="J99">
        <v>1005.0609518007</v>
      </c>
      <c r="K99" t="s">
        <v>54</v>
      </c>
    </row>
    <row r="100" spans="1:11" x14ac:dyDescent="0.2">
      <c r="A100">
        <v>8</v>
      </c>
      <c r="B100">
        <v>1</v>
      </c>
      <c r="C100">
        <v>2016</v>
      </c>
      <c r="D100">
        <v>0</v>
      </c>
      <c r="E100">
        <v>0</v>
      </c>
      <c r="F100">
        <v>301.64258342677198</v>
      </c>
      <c r="G100">
        <v>0</v>
      </c>
      <c r="H100">
        <v>100.38403517413199</v>
      </c>
      <c r="I100">
        <v>0</v>
      </c>
      <c r="J100">
        <v>0</v>
      </c>
      <c r="K100" t="s">
        <v>54</v>
      </c>
    </row>
    <row r="101" spans="1:11" x14ac:dyDescent="0.2">
      <c r="A101">
        <v>8</v>
      </c>
      <c r="B101">
        <v>2</v>
      </c>
      <c r="C101">
        <v>2016</v>
      </c>
      <c r="D101">
        <v>200.56726556901901</v>
      </c>
      <c r="E101">
        <v>100.514073475147</v>
      </c>
      <c r="F101">
        <v>200.59593782378099</v>
      </c>
      <c r="G101">
        <v>301.44144801417099</v>
      </c>
      <c r="H101">
        <v>0</v>
      </c>
      <c r="I101">
        <v>0</v>
      </c>
      <c r="J101">
        <v>0</v>
      </c>
      <c r="K101" t="s">
        <v>54</v>
      </c>
    </row>
    <row r="102" spans="1:11" x14ac:dyDescent="0.2">
      <c r="A102">
        <v>9</v>
      </c>
      <c r="B102">
        <v>1</v>
      </c>
      <c r="C102">
        <v>2016</v>
      </c>
      <c r="D102">
        <v>1004.89173386996</v>
      </c>
      <c r="E102">
        <v>6328.3645457685798</v>
      </c>
      <c r="F102">
        <v>6327.6099368445202</v>
      </c>
      <c r="G102">
        <v>11545.627050402099</v>
      </c>
      <c r="H102">
        <v>13857.5279048295</v>
      </c>
      <c r="I102">
        <v>8129.9162868999501</v>
      </c>
      <c r="J102">
        <v>5519.7431589567605</v>
      </c>
      <c r="K102" t="s">
        <v>54</v>
      </c>
    </row>
    <row r="103" spans="1:11" x14ac:dyDescent="0.2">
      <c r="A103">
        <v>9</v>
      </c>
      <c r="B103">
        <v>2</v>
      </c>
      <c r="C103">
        <v>2016</v>
      </c>
      <c r="D103">
        <v>9340.6247974650796</v>
      </c>
      <c r="E103">
        <v>14060.870027859701</v>
      </c>
      <c r="F103">
        <v>10643.9967995364</v>
      </c>
      <c r="G103">
        <v>17585.897159448799</v>
      </c>
      <c r="H103">
        <v>16471.641419334701</v>
      </c>
      <c r="I103">
        <v>10946.506973124</v>
      </c>
      <c r="J103">
        <v>5525.1420270718099</v>
      </c>
      <c r="K103" t="s">
        <v>54</v>
      </c>
    </row>
    <row r="104" spans="1:11" x14ac:dyDescent="0.2">
      <c r="A104">
        <v>1</v>
      </c>
      <c r="B104">
        <v>1</v>
      </c>
      <c r="C104">
        <v>2021</v>
      </c>
      <c r="D104">
        <v>1105.0217164072301</v>
      </c>
      <c r="E104">
        <v>7234.8606102245303</v>
      </c>
      <c r="F104">
        <v>4520.9511350573903</v>
      </c>
      <c r="G104">
        <v>10443.8874611345</v>
      </c>
      <c r="H104">
        <v>22084.832786178398</v>
      </c>
      <c r="I104">
        <v>18272.125205452201</v>
      </c>
      <c r="J104">
        <v>6522.5592297296998</v>
      </c>
      <c r="K104" t="s">
        <v>54</v>
      </c>
    </row>
    <row r="105" spans="1:11" x14ac:dyDescent="0.2">
      <c r="A105">
        <v>1</v>
      </c>
      <c r="B105">
        <v>2</v>
      </c>
      <c r="C105">
        <v>2021</v>
      </c>
      <c r="D105">
        <v>4418.4701832752799</v>
      </c>
      <c r="E105">
        <v>6629.6987682959698</v>
      </c>
      <c r="F105">
        <v>3114.8133120539201</v>
      </c>
      <c r="G105">
        <v>4624.9446182056899</v>
      </c>
      <c r="H105">
        <v>6829.8879702200602</v>
      </c>
      <c r="I105">
        <v>3917.5937743371201</v>
      </c>
      <c r="J105">
        <v>2410.5960967169599</v>
      </c>
      <c r="K105" t="s">
        <v>54</v>
      </c>
    </row>
    <row r="106" spans="1:11" x14ac:dyDescent="0.2">
      <c r="A106">
        <v>2</v>
      </c>
      <c r="B106">
        <v>1</v>
      </c>
      <c r="C106">
        <v>2021</v>
      </c>
      <c r="D106">
        <v>502.63372786521302</v>
      </c>
      <c r="E106">
        <v>10546.026749131301</v>
      </c>
      <c r="F106">
        <v>24711.525834823799</v>
      </c>
      <c r="G106">
        <v>20287.244243924</v>
      </c>
      <c r="H106">
        <v>9845.8868150776398</v>
      </c>
      <c r="I106">
        <v>2007.9069010954399</v>
      </c>
      <c r="J106">
        <v>902.95138228725</v>
      </c>
      <c r="K106" t="s">
        <v>54</v>
      </c>
    </row>
    <row r="107" spans="1:11" x14ac:dyDescent="0.2">
      <c r="A107">
        <v>2</v>
      </c>
      <c r="B107">
        <v>2</v>
      </c>
      <c r="C107">
        <v>2021</v>
      </c>
      <c r="D107">
        <v>1810.3801021996801</v>
      </c>
      <c r="E107">
        <v>10952.923394932201</v>
      </c>
      <c r="F107">
        <v>8742.2307632096199</v>
      </c>
      <c r="G107">
        <v>5127.0640490012202</v>
      </c>
      <c r="H107">
        <v>3615.3074444802801</v>
      </c>
      <c r="I107">
        <v>904.07611905721797</v>
      </c>
      <c r="J107">
        <v>301.01058858140402</v>
      </c>
      <c r="K107" t="s">
        <v>54</v>
      </c>
    </row>
    <row r="108" spans="1:11" x14ac:dyDescent="0.2">
      <c r="A108">
        <v>2</v>
      </c>
      <c r="B108">
        <v>8</v>
      </c>
      <c r="C108">
        <v>2021</v>
      </c>
      <c r="D108">
        <v>0</v>
      </c>
      <c r="E108">
        <v>0</v>
      </c>
      <c r="F108">
        <v>0</v>
      </c>
      <c r="G108">
        <v>0</v>
      </c>
      <c r="H108">
        <v>0</v>
      </c>
      <c r="I108">
        <v>0</v>
      </c>
      <c r="J108">
        <v>0</v>
      </c>
      <c r="K108" t="s">
        <v>54</v>
      </c>
    </row>
    <row r="109" spans="1:11" x14ac:dyDescent="0.2">
      <c r="A109">
        <v>3</v>
      </c>
      <c r="B109">
        <v>1</v>
      </c>
      <c r="C109">
        <v>2021</v>
      </c>
      <c r="D109">
        <v>301.87359261787202</v>
      </c>
      <c r="E109">
        <v>1607.5106471199399</v>
      </c>
      <c r="F109">
        <v>6930.1648614126198</v>
      </c>
      <c r="G109">
        <v>7535.1255341058604</v>
      </c>
      <c r="H109">
        <v>3816.4315715865</v>
      </c>
      <c r="I109">
        <v>1606.4298185411001</v>
      </c>
      <c r="J109">
        <v>1806.80130756881</v>
      </c>
      <c r="K109" t="s">
        <v>54</v>
      </c>
    </row>
    <row r="110" spans="1:11" x14ac:dyDescent="0.2">
      <c r="A110">
        <v>3</v>
      </c>
      <c r="B110">
        <v>2</v>
      </c>
      <c r="C110">
        <v>2021</v>
      </c>
      <c r="D110">
        <v>1911.90387377608</v>
      </c>
      <c r="E110">
        <v>14281.2791376355</v>
      </c>
      <c r="F110">
        <v>15067.341091226301</v>
      </c>
      <c r="G110">
        <v>11256.976638210201</v>
      </c>
      <c r="H110">
        <v>6030.4369174637604</v>
      </c>
      <c r="I110">
        <v>2210.20217781054</v>
      </c>
      <c r="J110">
        <v>1206.0236182777401</v>
      </c>
      <c r="K110" t="s">
        <v>54</v>
      </c>
    </row>
    <row r="111" spans="1:11" x14ac:dyDescent="0.2">
      <c r="A111">
        <v>3</v>
      </c>
      <c r="B111">
        <v>8</v>
      </c>
      <c r="C111">
        <v>2021</v>
      </c>
      <c r="D111">
        <v>0</v>
      </c>
      <c r="E111">
        <v>0</v>
      </c>
      <c r="F111">
        <v>0</v>
      </c>
      <c r="G111">
        <v>0</v>
      </c>
      <c r="H111">
        <v>0</v>
      </c>
      <c r="I111">
        <v>0</v>
      </c>
      <c r="J111">
        <v>0</v>
      </c>
      <c r="K111" t="s">
        <v>54</v>
      </c>
    </row>
    <row r="112" spans="1:11" x14ac:dyDescent="0.2">
      <c r="A112">
        <v>8</v>
      </c>
      <c r="B112">
        <v>1</v>
      </c>
      <c r="C112">
        <v>2021</v>
      </c>
      <c r="D112">
        <v>100.41760774076199</v>
      </c>
      <c r="E112">
        <v>200.90912208417501</v>
      </c>
      <c r="F112">
        <v>402.63596566751198</v>
      </c>
      <c r="G112">
        <v>503.93606835538799</v>
      </c>
      <c r="H112">
        <v>200.223611914354</v>
      </c>
      <c r="I112">
        <v>100.111805957177</v>
      </c>
      <c r="J112">
        <v>0</v>
      </c>
      <c r="K112" t="s">
        <v>54</v>
      </c>
    </row>
    <row r="113" spans="1:11" x14ac:dyDescent="0.2">
      <c r="A113">
        <v>8</v>
      </c>
      <c r="B113">
        <v>2</v>
      </c>
      <c r="C113">
        <v>2021</v>
      </c>
      <c r="D113">
        <v>100.42794720070999</v>
      </c>
      <c r="E113">
        <v>301.557451374339</v>
      </c>
      <c r="F113">
        <v>401.54794868265998</v>
      </c>
      <c r="G113">
        <v>702.88959030870899</v>
      </c>
      <c r="H113">
        <v>301.35666252294902</v>
      </c>
      <c r="I113">
        <v>0</v>
      </c>
      <c r="J113">
        <v>0</v>
      </c>
      <c r="K113" t="s">
        <v>54</v>
      </c>
    </row>
    <row r="114" spans="1:11" x14ac:dyDescent="0.2">
      <c r="A114">
        <v>9</v>
      </c>
      <c r="B114">
        <v>1</v>
      </c>
      <c r="C114">
        <v>2021</v>
      </c>
      <c r="D114">
        <v>1507.16166855866</v>
      </c>
      <c r="E114">
        <v>6628.5143871681303</v>
      </c>
      <c r="F114">
        <v>7231.1142072539496</v>
      </c>
      <c r="G114">
        <v>9142.2147918151695</v>
      </c>
      <c r="H114">
        <v>16663.7328098658</v>
      </c>
      <c r="I114">
        <v>13354.8710669136</v>
      </c>
      <c r="J114">
        <v>6627.0076200354597</v>
      </c>
      <c r="K114" t="s">
        <v>54</v>
      </c>
    </row>
    <row r="115" spans="1:11" x14ac:dyDescent="0.2">
      <c r="A115">
        <v>9</v>
      </c>
      <c r="B115">
        <v>2</v>
      </c>
      <c r="C115">
        <v>2021</v>
      </c>
      <c r="D115">
        <v>9141.4379005487008</v>
      </c>
      <c r="E115">
        <v>23214.4138350834</v>
      </c>
      <c r="F115">
        <v>13166.495492407101</v>
      </c>
      <c r="G115">
        <v>17885.381767728199</v>
      </c>
      <c r="H115">
        <v>24101.595793172299</v>
      </c>
      <c r="I115">
        <v>14058.701014325599</v>
      </c>
      <c r="J115">
        <v>7330.1088214187102</v>
      </c>
      <c r="K115" t="s">
        <v>54</v>
      </c>
    </row>
    <row r="116" spans="1:11" x14ac:dyDescent="0.2">
      <c r="A116">
        <v>1</v>
      </c>
      <c r="B116">
        <v>1</v>
      </c>
      <c r="C116">
        <v>2011</v>
      </c>
      <c r="D116">
        <v>271.64641255049099</v>
      </c>
      <c r="E116">
        <v>1087.1459554053899</v>
      </c>
      <c r="F116">
        <v>1529.32305516828</v>
      </c>
      <c r="G116">
        <v>4067.9696059635198</v>
      </c>
      <c r="H116">
        <v>3157.7930080289102</v>
      </c>
      <c r="I116">
        <v>180.41541918436701</v>
      </c>
      <c r="J116">
        <v>90.207709592183605</v>
      </c>
      <c r="K116" t="s">
        <v>97</v>
      </c>
    </row>
    <row r="117" spans="1:11" x14ac:dyDescent="0.2">
      <c r="A117">
        <v>1</v>
      </c>
      <c r="B117">
        <v>2</v>
      </c>
      <c r="C117">
        <v>2011</v>
      </c>
      <c r="D117">
        <v>3893.7215296781101</v>
      </c>
      <c r="E117">
        <v>3924.9283687902198</v>
      </c>
      <c r="F117">
        <v>4466.7281156830904</v>
      </c>
      <c r="G117">
        <v>7201.6922607380702</v>
      </c>
      <c r="H117">
        <v>6356.7097705829501</v>
      </c>
      <c r="I117">
        <v>90.207709592183505</v>
      </c>
      <c r="J117">
        <v>0</v>
      </c>
      <c r="K117" t="s">
        <v>97</v>
      </c>
    </row>
    <row r="118" spans="1:11" x14ac:dyDescent="0.2">
      <c r="A118">
        <v>1</v>
      </c>
      <c r="B118">
        <v>8</v>
      </c>
      <c r="C118">
        <v>2011</v>
      </c>
      <c r="D118">
        <v>90.207709592183505</v>
      </c>
      <c r="E118">
        <v>270.62312877655103</v>
      </c>
      <c r="F118">
        <v>360.83083836873402</v>
      </c>
      <c r="G118">
        <v>180.41541918436701</v>
      </c>
      <c r="H118">
        <v>0</v>
      </c>
      <c r="I118">
        <v>90.207709592183605</v>
      </c>
      <c r="J118">
        <v>0</v>
      </c>
      <c r="K118" t="s">
        <v>97</v>
      </c>
    </row>
    <row r="119" spans="1:11" x14ac:dyDescent="0.2">
      <c r="A119">
        <v>2</v>
      </c>
      <c r="B119">
        <v>1</v>
      </c>
      <c r="C119">
        <v>2011</v>
      </c>
      <c r="D119">
        <v>568.89937322918797</v>
      </c>
      <c r="E119">
        <v>2000.89465398532</v>
      </c>
      <c r="F119">
        <v>1799.2956472610499</v>
      </c>
      <c r="G119">
        <v>4544.9271444361402</v>
      </c>
      <c r="H119">
        <v>3189.2073041713902</v>
      </c>
      <c r="I119">
        <v>4657.5506354269</v>
      </c>
      <c r="J119">
        <v>3375.0363119919102</v>
      </c>
      <c r="K119" t="s">
        <v>97</v>
      </c>
    </row>
    <row r="120" spans="1:11" x14ac:dyDescent="0.2">
      <c r="A120">
        <v>2</v>
      </c>
      <c r="B120">
        <v>2</v>
      </c>
      <c r="C120">
        <v>2011</v>
      </c>
      <c r="D120">
        <v>6383.5943442677999</v>
      </c>
      <c r="E120">
        <v>8328.9774765651091</v>
      </c>
      <c r="F120">
        <v>6210.2635790914101</v>
      </c>
      <c r="G120">
        <v>10418.452921849799</v>
      </c>
      <c r="H120">
        <v>5927.1855879306704</v>
      </c>
      <c r="I120">
        <v>7687.6313286860004</v>
      </c>
      <c r="J120">
        <v>3882.0953455630502</v>
      </c>
      <c r="K120" t="s">
        <v>97</v>
      </c>
    </row>
    <row r="121" spans="1:11" x14ac:dyDescent="0.2">
      <c r="A121">
        <v>2</v>
      </c>
      <c r="B121">
        <v>8</v>
      </c>
      <c r="C121">
        <v>2011</v>
      </c>
      <c r="D121">
        <v>0</v>
      </c>
      <c r="E121">
        <v>744.425118426224</v>
      </c>
      <c r="F121">
        <v>254.87606085655699</v>
      </c>
      <c r="G121">
        <v>180.41541918436701</v>
      </c>
      <c r="H121">
        <v>90.207709592183505</v>
      </c>
      <c r="I121">
        <v>0</v>
      </c>
      <c r="J121">
        <v>0</v>
      </c>
      <c r="K121" t="s">
        <v>97</v>
      </c>
    </row>
    <row r="122" spans="1:11" x14ac:dyDescent="0.2">
      <c r="A122">
        <v>3</v>
      </c>
      <c r="B122">
        <v>1</v>
      </c>
      <c r="C122">
        <v>2011</v>
      </c>
      <c r="D122">
        <v>749.96250580054596</v>
      </c>
      <c r="E122">
        <v>2739.34719468813</v>
      </c>
      <c r="F122">
        <v>3634.2087278550398</v>
      </c>
      <c r="G122">
        <v>5007.0541146419901</v>
      </c>
      <c r="H122">
        <v>6144.4831665217998</v>
      </c>
      <c r="I122">
        <v>4014.8806352838601</v>
      </c>
      <c r="J122">
        <v>1583.7908106903101</v>
      </c>
      <c r="K122" t="s">
        <v>97</v>
      </c>
    </row>
    <row r="123" spans="1:11" x14ac:dyDescent="0.2">
      <c r="A123">
        <v>3</v>
      </c>
      <c r="B123">
        <v>2</v>
      </c>
      <c r="C123">
        <v>2011</v>
      </c>
      <c r="D123">
        <v>3011.78528387095</v>
      </c>
      <c r="E123">
        <v>8186.9066041664</v>
      </c>
      <c r="F123">
        <v>5481.0627874121201</v>
      </c>
      <c r="G123">
        <v>4707.4221237514903</v>
      </c>
      <c r="H123">
        <v>2779.8721553871501</v>
      </c>
      <c r="I123">
        <v>1713.3713450395601</v>
      </c>
      <c r="J123">
        <v>963.75922469465002</v>
      </c>
      <c r="K123" t="s">
        <v>97</v>
      </c>
    </row>
    <row r="124" spans="1:11" x14ac:dyDescent="0.2">
      <c r="A124">
        <v>3</v>
      </c>
      <c r="B124">
        <v>8</v>
      </c>
      <c r="C124">
        <v>2011</v>
      </c>
      <c r="D124">
        <v>0</v>
      </c>
      <c r="E124">
        <v>360.34476008356802</v>
      </c>
      <c r="F124">
        <v>270.62312877655103</v>
      </c>
      <c r="G124">
        <v>90.207709592183605</v>
      </c>
      <c r="H124">
        <v>0</v>
      </c>
      <c r="I124">
        <v>479.85872729353798</v>
      </c>
      <c r="J124">
        <v>0</v>
      </c>
      <c r="K124" t="s">
        <v>97</v>
      </c>
    </row>
    <row r="125" spans="1:11" x14ac:dyDescent="0.2">
      <c r="A125">
        <v>4</v>
      </c>
      <c r="B125">
        <v>1</v>
      </c>
      <c r="C125">
        <v>2011</v>
      </c>
      <c r="D125">
        <v>558.25387780926701</v>
      </c>
      <c r="E125">
        <v>4796.5597343309801</v>
      </c>
      <c r="F125">
        <v>6304.5014145114701</v>
      </c>
      <c r="G125">
        <v>7185.6234758044102</v>
      </c>
      <c r="H125">
        <v>7038.8151595812096</v>
      </c>
      <c r="I125">
        <v>2278.96650777893</v>
      </c>
      <c r="J125">
        <v>1302.31017510889</v>
      </c>
      <c r="K125" t="s">
        <v>97</v>
      </c>
    </row>
    <row r="126" spans="1:11" x14ac:dyDescent="0.2">
      <c r="A126">
        <v>4</v>
      </c>
      <c r="B126">
        <v>2</v>
      </c>
      <c r="C126">
        <v>2011</v>
      </c>
      <c r="D126">
        <v>1334.0598185485901</v>
      </c>
      <c r="E126">
        <v>3620.14762896098</v>
      </c>
      <c r="F126">
        <v>5636.02056504761</v>
      </c>
      <c r="G126">
        <v>5043.5179851028397</v>
      </c>
      <c r="H126">
        <v>1932.71049749954</v>
      </c>
      <c r="I126">
        <v>984.87420798794301</v>
      </c>
      <c r="J126">
        <v>451.03854796091798</v>
      </c>
      <c r="K126" t="s">
        <v>97</v>
      </c>
    </row>
    <row r="127" spans="1:11" x14ac:dyDescent="0.2">
      <c r="A127">
        <v>4</v>
      </c>
      <c r="B127">
        <v>8</v>
      </c>
      <c r="C127">
        <v>2011</v>
      </c>
      <c r="D127">
        <v>0</v>
      </c>
      <c r="E127">
        <v>0</v>
      </c>
      <c r="F127">
        <v>0</v>
      </c>
      <c r="G127">
        <v>90.207709592183605</v>
      </c>
      <c r="H127">
        <v>0</v>
      </c>
      <c r="I127">
        <v>0</v>
      </c>
      <c r="J127">
        <v>0</v>
      </c>
      <c r="K127" t="s">
        <v>97</v>
      </c>
    </row>
    <row r="128" spans="1:11" x14ac:dyDescent="0.2">
      <c r="A128">
        <v>5</v>
      </c>
      <c r="B128">
        <v>1</v>
      </c>
      <c r="C128">
        <v>2011</v>
      </c>
      <c r="D128">
        <v>721.66167673746895</v>
      </c>
      <c r="E128">
        <v>10806.7591343123</v>
      </c>
      <c r="F128">
        <v>17346.315041035799</v>
      </c>
      <c r="G128">
        <v>19326.447021465399</v>
      </c>
      <c r="H128">
        <v>11715.035922748701</v>
      </c>
      <c r="I128">
        <v>2841.9692353512901</v>
      </c>
      <c r="J128">
        <v>1084.4405951664301</v>
      </c>
      <c r="K128" t="s">
        <v>97</v>
      </c>
    </row>
    <row r="129" spans="1:11" x14ac:dyDescent="0.2">
      <c r="A129">
        <v>5</v>
      </c>
      <c r="B129">
        <v>2</v>
      </c>
      <c r="C129">
        <v>2011</v>
      </c>
      <c r="D129">
        <v>992.28480551402004</v>
      </c>
      <c r="E129">
        <v>3972.6884487370598</v>
      </c>
      <c r="F129">
        <v>2168.5778471001399</v>
      </c>
      <c r="G129">
        <v>3260.5371206494501</v>
      </c>
      <c r="H129">
        <v>2541.5549852624699</v>
      </c>
      <c r="I129">
        <v>360.83083836873402</v>
      </c>
      <c r="J129">
        <v>0</v>
      </c>
      <c r="K129" t="s">
        <v>97</v>
      </c>
    </row>
    <row r="130" spans="1:11" x14ac:dyDescent="0.2">
      <c r="A130">
        <v>5</v>
      </c>
      <c r="B130">
        <v>8</v>
      </c>
      <c r="C130">
        <v>2011</v>
      </c>
      <c r="D130">
        <v>0</v>
      </c>
      <c r="E130">
        <v>360.83083836873402</v>
      </c>
      <c r="F130">
        <v>90.207709592183605</v>
      </c>
      <c r="G130">
        <v>0</v>
      </c>
      <c r="H130">
        <v>180.41541918436701</v>
      </c>
      <c r="I130">
        <v>0</v>
      </c>
      <c r="J130">
        <v>90.207709592183605</v>
      </c>
      <c r="K130" t="s">
        <v>97</v>
      </c>
    </row>
    <row r="131" spans="1:11" x14ac:dyDescent="0.2">
      <c r="A131">
        <v>1</v>
      </c>
      <c r="B131">
        <v>1</v>
      </c>
      <c r="C131">
        <v>2016</v>
      </c>
      <c r="D131">
        <v>302.40180139104098</v>
      </c>
      <c r="E131">
        <v>804.38191035119803</v>
      </c>
      <c r="F131">
        <v>1506.73647751267</v>
      </c>
      <c r="G131">
        <v>2408.8669257206798</v>
      </c>
      <c r="H131">
        <v>3614.2755449422998</v>
      </c>
      <c r="I131">
        <v>200.403687430969</v>
      </c>
      <c r="J131">
        <v>200.580920630348</v>
      </c>
      <c r="K131" t="s">
        <v>97</v>
      </c>
    </row>
    <row r="132" spans="1:11" x14ac:dyDescent="0.2">
      <c r="A132">
        <v>1</v>
      </c>
      <c r="B132">
        <v>2</v>
      </c>
      <c r="C132">
        <v>2016</v>
      </c>
      <c r="D132">
        <v>4218.0088346377097</v>
      </c>
      <c r="E132">
        <v>5626.0414387860401</v>
      </c>
      <c r="F132">
        <v>6025.79202785501</v>
      </c>
      <c r="G132">
        <v>10046.615177457799</v>
      </c>
      <c r="H132">
        <v>8236.9061931296092</v>
      </c>
      <c r="I132">
        <v>602.15983933258303</v>
      </c>
      <c r="J132">
        <v>0</v>
      </c>
      <c r="K132" t="s">
        <v>97</v>
      </c>
    </row>
    <row r="133" spans="1:11" x14ac:dyDescent="0.2">
      <c r="A133">
        <v>2</v>
      </c>
      <c r="B133">
        <v>1</v>
      </c>
      <c r="C133">
        <v>2016</v>
      </c>
      <c r="D133">
        <v>602.86669618452504</v>
      </c>
      <c r="E133">
        <v>2007.3613287381199</v>
      </c>
      <c r="F133">
        <v>1707.8809335733299</v>
      </c>
      <c r="G133">
        <v>4316.02612695062</v>
      </c>
      <c r="H133">
        <v>6123.5559534969598</v>
      </c>
      <c r="I133">
        <v>7324.3629239969496</v>
      </c>
      <c r="J133">
        <v>5419.7501891904303</v>
      </c>
      <c r="K133" t="s">
        <v>97</v>
      </c>
    </row>
    <row r="134" spans="1:11" x14ac:dyDescent="0.2">
      <c r="A134">
        <v>2</v>
      </c>
      <c r="B134">
        <v>2</v>
      </c>
      <c r="C134">
        <v>2016</v>
      </c>
      <c r="D134">
        <v>8033.0910188860998</v>
      </c>
      <c r="E134">
        <v>12454.5948031063</v>
      </c>
      <c r="F134">
        <v>8035.3243357924503</v>
      </c>
      <c r="G134">
        <v>10550.672122579799</v>
      </c>
      <c r="H134">
        <v>7129.20159732512</v>
      </c>
      <c r="I134">
        <v>9341.5333667954092</v>
      </c>
      <c r="J134">
        <v>5423.1988545977702</v>
      </c>
      <c r="K134" t="s">
        <v>97</v>
      </c>
    </row>
    <row r="135" spans="1:11" x14ac:dyDescent="0.2">
      <c r="A135">
        <v>2</v>
      </c>
      <c r="B135">
        <v>8</v>
      </c>
      <c r="C135">
        <v>2016</v>
      </c>
      <c r="D135">
        <v>0</v>
      </c>
      <c r="E135">
        <v>0</v>
      </c>
      <c r="F135">
        <v>100.19688545621599</v>
      </c>
      <c r="G135">
        <v>0</v>
      </c>
      <c r="H135">
        <v>0</v>
      </c>
      <c r="I135">
        <v>0</v>
      </c>
      <c r="J135">
        <v>0</v>
      </c>
      <c r="K135" t="s">
        <v>97</v>
      </c>
    </row>
    <row r="136" spans="1:11" x14ac:dyDescent="0.2">
      <c r="A136">
        <v>3</v>
      </c>
      <c r="B136">
        <v>1</v>
      </c>
      <c r="C136">
        <v>2016</v>
      </c>
      <c r="D136">
        <v>602.16300872168802</v>
      </c>
      <c r="E136">
        <v>3012.1513461915001</v>
      </c>
      <c r="F136">
        <v>3416.7867525135198</v>
      </c>
      <c r="G136">
        <v>5921.0764147315203</v>
      </c>
      <c r="H136">
        <v>6223.2042456695199</v>
      </c>
      <c r="I136">
        <v>7628.2112554308696</v>
      </c>
      <c r="J136">
        <v>3012.2933974693101</v>
      </c>
      <c r="K136" t="s">
        <v>97</v>
      </c>
    </row>
    <row r="137" spans="1:11" x14ac:dyDescent="0.2">
      <c r="A137">
        <v>3</v>
      </c>
      <c r="B137">
        <v>2</v>
      </c>
      <c r="C137">
        <v>2016</v>
      </c>
      <c r="D137">
        <v>3717.34523637762</v>
      </c>
      <c r="E137">
        <v>10346.252208366401</v>
      </c>
      <c r="F137">
        <v>7534.56981466255</v>
      </c>
      <c r="G137">
        <v>6630.06037659309</v>
      </c>
      <c r="H137">
        <v>5020.2693638481596</v>
      </c>
      <c r="I137">
        <v>3516.0483922662302</v>
      </c>
      <c r="J137">
        <v>1709.3273266752999</v>
      </c>
      <c r="K137" t="s">
        <v>97</v>
      </c>
    </row>
    <row r="138" spans="1:11" x14ac:dyDescent="0.2">
      <c r="A138">
        <v>4</v>
      </c>
      <c r="B138">
        <v>1</v>
      </c>
      <c r="C138">
        <v>2016</v>
      </c>
      <c r="D138">
        <v>502.18058310604602</v>
      </c>
      <c r="E138">
        <v>4920.4201017043797</v>
      </c>
      <c r="F138">
        <v>6627.3060567278799</v>
      </c>
      <c r="G138">
        <v>7328.40244101605</v>
      </c>
      <c r="H138">
        <v>7630.9599097051496</v>
      </c>
      <c r="I138">
        <v>5621.4037468278202</v>
      </c>
      <c r="J138">
        <v>2006.6795735491701</v>
      </c>
      <c r="K138" t="s">
        <v>97</v>
      </c>
    </row>
    <row r="139" spans="1:11" x14ac:dyDescent="0.2">
      <c r="A139">
        <v>4</v>
      </c>
      <c r="B139">
        <v>2</v>
      </c>
      <c r="C139">
        <v>2016</v>
      </c>
      <c r="D139">
        <v>1907.4604809990301</v>
      </c>
      <c r="E139">
        <v>6226.02240754167</v>
      </c>
      <c r="F139">
        <v>5426.6196735562398</v>
      </c>
      <c r="G139">
        <v>5323.7799725819204</v>
      </c>
      <c r="H139">
        <v>2511.4137657143101</v>
      </c>
      <c r="I139">
        <v>1303.8559038948899</v>
      </c>
      <c r="J139">
        <v>803.83557131203395</v>
      </c>
      <c r="K139" t="s">
        <v>97</v>
      </c>
    </row>
    <row r="140" spans="1:11" x14ac:dyDescent="0.2">
      <c r="A140">
        <v>5</v>
      </c>
      <c r="B140">
        <v>1</v>
      </c>
      <c r="C140">
        <v>2016</v>
      </c>
      <c r="D140">
        <v>502.73991593982697</v>
      </c>
      <c r="E140">
        <v>11247.75432632</v>
      </c>
      <c r="F140">
        <v>21285.8004714692</v>
      </c>
      <c r="G140">
        <v>22899.196847497798</v>
      </c>
      <c r="H140">
        <v>15868.3446572294</v>
      </c>
      <c r="I140">
        <v>4921.7044197411496</v>
      </c>
      <c r="J140">
        <v>1305.1791663439701</v>
      </c>
      <c r="K140" t="s">
        <v>97</v>
      </c>
    </row>
    <row r="141" spans="1:11" x14ac:dyDescent="0.2">
      <c r="A141">
        <v>5</v>
      </c>
      <c r="B141">
        <v>2</v>
      </c>
      <c r="C141">
        <v>2016</v>
      </c>
      <c r="D141">
        <v>803.10344468705796</v>
      </c>
      <c r="E141">
        <v>4821.8394537303002</v>
      </c>
      <c r="F141">
        <v>4017.6417743616098</v>
      </c>
      <c r="G141">
        <v>2815.9824380866198</v>
      </c>
      <c r="H141">
        <v>2612.2260247445502</v>
      </c>
      <c r="I141">
        <v>804.09597854742003</v>
      </c>
      <c r="J141">
        <v>200.898439282635</v>
      </c>
      <c r="K141" t="s">
        <v>97</v>
      </c>
    </row>
    <row r="142" spans="1:11" x14ac:dyDescent="0.2">
      <c r="A142">
        <v>5</v>
      </c>
      <c r="B142">
        <v>8</v>
      </c>
      <c r="C142">
        <v>2016</v>
      </c>
      <c r="D142">
        <v>0</v>
      </c>
      <c r="E142">
        <v>0</v>
      </c>
      <c r="F142">
        <v>0</v>
      </c>
      <c r="G142">
        <v>100.744144144137</v>
      </c>
      <c r="H142">
        <v>0</v>
      </c>
      <c r="I142">
        <v>0</v>
      </c>
      <c r="J142">
        <v>0</v>
      </c>
      <c r="K142" t="s">
        <v>97</v>
      </c>
    </row>
    <row r="143" spans="1:11" x14ac:dyDescent="0.2">
      <c r="A143">
        <v>1</v>
      </c>
      <c r="B143">
        <v>1</v>
      </c>
      <c r="C143">
        <v>2021</v>
      </c>
      <c r="D143">
        <v>402.82772369162097</v>
      </c>
      <c r="E143">
        <v>501.52710527231397</v>
      </c>
      <c r="F143">
        <v>1304.7696264556</v>
      </c>
      <c r="G143">
        <v>1706.71184052539</v>
      </c>
      <c r="H143">
        <v>1705.4478680104301</v>
      </c>
      <c r="I143">
        <v>502.70880809939598</v>
      </c>
      <c r="J143">
        <v>100.42794720070999</v>
      </c>
      <c r="K143" t="s">
        <v>97</v>
      </c>
    </row>
    <row r="144" spans="1:11" x14ac:dyDescent="0.2">
      <c r="A144">
        <v>1</v>
      </c>
      <c r="B144">
        <v>2</v>
      </c>
      <c r="C144">
        <v>2021</v>
      </c>
      <c r="D144">
        <v>1608.5829370464801</v>
      </c>
      <c r="E144">
        <v>3318.4062209079698</v>
      </c>
      <c r="F144">
        <v>2009.0389041910801</v>
      </c>
      <c r="G144">
        <v>4318.8578603147998</v>
      </c>
      <c r="H144">
        <v>5824.9545042586597</v>
      </c>
      <c r="I144">
        <v>501.34955288790098</v>
      </c>
      <c r="J144">
        <v>301.82036493511703</v>
      </c>
      <c r="K144" t="s">
        <v>97</v>
      </c>
    </row>
    <row r="145" spans="1:11" x14ac:dyDescent="0.2">
      <c r="A145">
        <v>2</v>
      </c>
      <c r="B145">
        <v>1</v>
      </c>
      <c r="C145">
        <v>2021</v>
      </c>
      <c r="D145">
        <v>301.86325315792402</v>
      </c>
      <c r="E145">
        <v>1907.7844626958599</v>
      </c>
      <c r="F145">
        <v>2409.27398835842</v>
      </c>
      <c r="G145">
        <v>3412.4198452310002</v>
      </c>
      <c r="H145">
        <v>8629.5595397924699</v>
      </c>
      <c r="I145">
        <v>9133.0775282265695</v>
      </c>
      <c r="J145">
        <v>6525.6251597099999</v>
      </c>
      <c r="K145" t="s">
        <v>97</v>
      </c>
    </row>
    <row r="146" spans="1:11" x14ac:dyDescent="0.2">
      <c r="A146">
        <v>2</v>
      </c>
      <c r="B146">
        <v>2</v>
      </c>
      <c r="C146">
        <v>2021</v>
      </c>
      <c r="D146">
        <v>6331.1187306930897</v>
      </c>
      <c r="E146">
        <v>16388.066881815299</v>
      </c>
      <c r="F146">
        <v>10551.3288751817</v>
      </c>
      <c r="G146">
        <v>9747.6820020947707</v>
      </c>
      <c r="H146">
        <v>13958.001871271699</v>
      </c>
      <c r="I146">
        <v>12554.559664431101</v>
      </c>
      <c r="J146">
        <v>7630.2937045705803</v>
      </c>
      <c r="K146" t="s">
        <v>97</v>
      </c>
    </row>
    <row r="147" spans="1:11" x14ac:dyDescent="0.2">
      <c r="A147">
        <v>2</v>
      </c>
      <c r="B147">
        <v>8</v>
      </c>
      <c r="C147">
        <v>2021</v>
      </c>
      <c r="D147">
        <v>0</v>
      </c>
      <c r="E147">
        <v>0</v>
      </c>
      <c r="F147">
        <v>0</v>
      </c>
      <c r="G147">
        <v>0</v>
      </c>
      <c r="H147">
        <v>0</v>
      </c>
      <c r="I147">
        <v>0</v>
      </c>
      <c r="J147">
        <v>0</v>
      </c>
      <c r="K147" t="s">
        <v>97</v>
      </c>
    </row>
    <row r="148" spans="1:11" x14ac:dyDescent="0.2">
      <c r="A148">
        <v>3</v>
      </c>
      <c r="B148">
        <v>1</v>
      </c>
      <c r="C148">
        <v>2021</v>
      </c>
      <c r="D148">
        <v>903.488331407803</v>
      </c>
      <c r="E148">
        <v>3816.58854185788</v>
      </c>
      <c r="F148">
        <v>5223.5792743845304</v>
      </c>
      <c r="G148">
        <v>6230.7460578958699</v>
      </c>
      <c r="H148">
        <v>8636.4502055414305</v>
      </c>
      <c r="I148">
        <v>10139.1498597093</v>
      </c>
      <c r="J148">
        <v>4815.8110050154701</v>
      </c>
      <c r="K148" t="s">
        <v>97</v>
      </c>
    </row>
    <row r="149" spans="1:11" x14ac:dyDescent="0.2">
      <c r="A149">
        <v>3</v>
      </c>
      <c r="B149">
        <v>2</v>
      </c>
      <c r="C149">
        <v>2021</v>
      </c>
      <c r="D149">
        <v>4017.7874357586202</v>
      </c>
      <c r="E149">
        <v>15382.6394427264</v>
      </c>
      <c r="F149">
        <v>12253.585609571999</v>
      </c>
      <c r="G149">
        <v>9648.6796355754504</v>
      </c>
      <c r="H149">
        <v>7835.4851223737196</v>
      </c>
      <c r="I149">
        <v>4117.28479546378</v>
      </c>
      <c r="J149">
        <v>2309.6720310710998</v>
      </c>
      <c r="K149" t="s">
        <v>97</v>
      </c>
    </row>
    <row r="150" spans="1:11" x14ac:dyDescent="0.2">
      <c r="A150">
        <v>3</v>
      </c>
      <c r="B150">
        <v>8</v>
      </c>
      <c r="C150">
        <v>2021</v>
      </c>
      <c r="D150">
        <v>0</v>
      </c>
      <c r="E150">
        <v>0</v>
      </c>
      <c r="F150">
        <v>0</v>
      </c>
      <c r="G150">
        <v>0</v>
      </c>
      <c r="H150">
        <v>0</v>
      </c>
      <c r="I150">
        <v>0</v>
      </c>
      <c r="J150">
        <v>0</v>
      </c>
      <c r="K150" t="s">
        <v>97</v>
      </c>
    </row>
    <row r="151" spans="1:11" x14ac:dyDescent="0.2">
      <c r="A151">
        <v>4</v>
      </c>
      <c r="B151">
        <v>1</v>
      </c>
      <c r="C151">
        <v>2021</v>
      </c>
      <c r="D151">
        <v>501.47668717330703</v>
      </c>
      <c r="E151">
        <v>6126.6588792038201</v>
      </c>
      <c r="F151">
        <v>10145.950951405101</v>
      </c>
      <c r="G151">
        <v>9037.4553655990294</v>
      </c>
      <c r="H151">
        <v>12748.980679812599</v>
      </c>
      <c r="I151">
        <v>7634.0270006811197</v>
      </c>
      <c r="J151">
        <v>2409.4031593524601</v>
      </c>
      <c r="K151" t="s">
        <v>97</v>
      </c>
    </row>
    <row r="152" spans="1:11" x14ac:dyDescent="0.2">
      <c r="A152">
        <v>4</v>
      </c>
      <c r="B152">
        <v>2</v>
      </c>
      <c r="C152">
        <v>2021</v>
      </c>
      <c r="D152">
        <v>3416.5173965640502</v>
      </c>
      <c r="E152">
        <v>12855.4515665379</v>
      </c>
      <c r="F152">
        <v>7939.4304060738305</v>
      </c>
      <c r="G152">
        <v>8343.7315373500696</v>
      </c>
      <c r="H152">
        <v>5927.5245041029002</v>
      </c>
      <c r="I152">
        <v>2208.7451565906199</v>
      </c>
      <c r="J152">
        <v>805.36004357737102</v>
      </c>
      <c r="K152" t="s">
        <v>97</v>
      </c>
    </row>
    <row r="153" spans="1:11" x14ac:dyDescent="0.2">
      <c r="A153">
        <v>4</v>
      </c>
      <c r="B153">
        <v>8</v>
      </c>
      <c r="C153">
        <v>2021</v>
      </c>
      <c r="D153">
        <v>0</v>
      </c>
      <c r="E153">
        <v>0</v>
      </c>
      <c r="F153">
        <v>0</v>
      </c>
      <c r="G153">
        <v>0</v>
      </c>
      <c r="H153">
        <v>0</v>
      </c>
      <c r="I153">
        <v>0</v>
      </c>
      <c r="J153">
        <v>0</v>
      </c>
      <c r="K153" t="s">
        <v>97</v>
      </c>
    </row>
    <row r="154" spans="1:11" x14ac:dyDescent="0.2">
      <c r="A154">
        <v>5</v>
      </c>
      <c r="B154">
        <v>1</v>
      </c>
      <c r="C154">
        <v>2021</v>
      </c>
      <c r="D154">
        <v>1206.4292104332001</v>
      </c>
      <c r="E154">
        <v>13764.667366573</v>
      </c>
      <c r="F154">
        <v>24410.4716148035</v>
      </c>
      <c r="G154">
        <v>27223.581047334199</v>
      </c>
      <c r="H154">
        <v>20689.153688521201</v>
      </c>
      <c r="I154">
        <v>7631.53457980437</v>
      </c>
      <c r="J154">
        <v>1807.34530226023</v>
      </c>
      <c r="K154" t="s">
        <v>97</v>
      </c>
    </row>
    <row r="155" spans="1:11" x14ac:dyDescent="0.2">
      <c r="A155">
        <v>5</v>
      </c>
      <c r="B155">
        <v>2</v>
      </c>
      <c r="C155">
        <v>2021</v>
      </c>
      <c r="D155">
        <v>1305.9942121152101</v>
      </c>
      <c r="E155">
        <v>7234.4096927095698</v>
      </c>
      <c r="F155">
        <v>7135.0605053910704</v>
      </c>
      <c r="G155">
        <v>7136.4369658515798</v>
      </c>
      <c r="H155">
        <v>6227.9030647476602</v>
      </c>
      <c r="I155">
        <v>1708.63391615708</v>
      </c>
      <c r="J155">
        <v>200.59298084064201</v>
      </c>
      <c r="K155" t="s">
        <v>97</v>
      </c>
    </row>
    <row r="156" spans="1:11" x14ac:dyDescent="0.2">
      <c r="A156">
        <v>5</v>
      </c>
      <c r="B156">
        <v>8</v>
      </c>
      <c r="C156">
        <v>2021</v>
      </c>
      <c r="D156">
        <v>0</v>
      </c>
      <c r="E156">
        <v>0</v>
      </c>
      <c r="F156">
        <v>0</v>
      </c>
      <c r="G156">
        <v>0</v>
      </c>
      <c r="H156">
        <v>0</v>
      </c>
      <c r="I156">
        <v>0</v>
      </c>
      <c r="J156">
        <v>0</v>
      </c>
      <c r="K156" t="s">
        <v>97</v>
      </c>
    </row>
    <row r="157" spans="1:11" x14ac:dyDescent="0.2">
      <c r="A157">
        <v>1</v>
      </c>
      <c r="B157">
        <v>1</v>
      </c>
      <c r="C157">
        <v>2011</v>
      </c>
      <c r="D157">
        <v>663.22988627523603</v>
      </c>
      <c r="E157">
        <v>2071.64497043345</v>
      </c>
      <c r="F157">
        <v>2273.3480184240598</v>
      </c>
      <c r="G157">
        <v>4823.8308931787897</v>
      </c>
      <c r="H157">
        <v>5695.0522043471201</v>
      </c>
      <c r="I157">
        <v>4749.0335587522204</v>
      </c>
      <c r="J157">
        <v>2400.28717798769</v>
      </c>
      <c r="K157" t="s">
        <v>493</v>
      </c>
    </row>
    <row r="158" spans="1:11" x14ac:dyDescent="0.2">
      <c r="A158">
        <v>1</v>
      </c>
      <c r="B158">
        <v>2</v>
      </c>
      <c r="C158">
        <v>2011</v>
      </c>
      <c r="D158">
        <v>2129.7596840533902</v>
      </c>
      <c r="E158">
        <v>4344.6089301565598</v>
      </c>
      <c r="F158">
        <v>4439.8672425745899</v>
      </c>
      <c r="G158">
        <v>6627.6725017919798</v>
      </c>
      <c r="H158">
        <v>7332.44783915468</v>
      </c>
      <c r="I158">
        <v>4018.3221433116501</v>
      </c>
      <c r="J158">
        <v>1893.53450038047</v>
      </c>
      <c r="K158" t="s">
        <v>493</v>
      </c>
    </row>
    <row r="159" spans="1:11" x14ac:dyDescent="0.2">
      <c r="A159">
        <v>1</v>
      </c>
      <c r="B159">
        <v>8</v>
      </c>
      <c r="C159">
        <v>2011</v>
      </c>
      <c r="D159">
        <v>32.393611160969698</v>
      </c>
      <c r="E159">
        <v>226.755278126788</v>
      </c>
      <c r="F159">
        <v>194.36166696581799</v>
      </c>
      <c r="G159">
        <v>388.72333393163598</v>
      </c>
      <c r="H159">
        <v>329.18125162355102</v>
      </c>
      <c r="I159">
        <v>97.180833482909094</v>
      </c>
      <c r="J159">
        <v>97.180833482909094</v>
      </c>
      <c r="K159" t="s">
        <v>493</v>
      </c>
    </row>
    <row r="160" spans="1:11" x14ac:dyDescent="0.2">
      <c r="A160">
        <v>2</v>
      </c>
      <c r="B160">
        <v>1</v>
      </c>
      <c r="C160">
        <v>2011</v>
      </c>
      <c r="D160">
        <v>647.87222321939396</v>
      </c>
      <c r="E160">
        <v>3422.5903659872001</v>
      </c>
      <c r="F160">
        <v>4142.7259551806401</v>
      </c>
      <c r="G160">
        <v>10568.6873788182</v>
      </c>
      <c r="H160">
        <v>13070.201780928999</v>
      </c>
      <c r="I160">
        <v>7793.05530476481</v>
      </c>
      <c r="J160">
        <v>2942.11368220138</v>
      </c>
      <c r="K160" t="s">
        <v>493</v>
      </c>
    </row>
    <row r="161" spans="1:11" x14ac:dyDescent="0.2">
      <c r="A161">
        <v>2</v>
      </c>
      <c r="B161">
        <v>2</v>
      </c>
      <c r="C161">
        <v>2011</v>
      </c>
      <c r="D161">
        <v>4562.14664591357</v>
      </c>
      <c r="E161">
        <v>4557.2758973643204</v>
      </c>
      <c r="F161">
        <v>3844.1369762445602</v>
      </c>
      <c r="G161">
        <v>5469.7825813627496</v>
      </c>
      <c r="H161">
        <v>3900.9211904868098</v>
      </c>
      <c r="I161">
        <v>1780.2935191941999</v>
      </c>
      <c r="J161">
        <v>826.71487910545295</v>
      </c>
      <c r="K161" t="s">
        <v>493</v>
      </c>
    </row>
    <row r="162" spans="1:11" x14ac:dyDescent="0.2">
      <c r="A162">
        <v>2</v>
      </c>
      <c r="B162">
        <v>8</v>
      </c>
      <c r="C162">
        <v>2011</v>
      </c>
      <c r="D162">
        <v>233.826753579079</v>
      </c>
      <c r="E162">
        <v>574.864233550932</v>
      </c>
      <c r="F162">
        <v>388.72333393163598</v>
      </c>
      <c r="G162">
        <v>388.72333393163598</v>
      </c>
      <c r="H162">
        <v>259.14888928775798</v>
      </c>
      <c r="I162">
        <v>97.180833482909094</v>
      </c>
      <c r="J162">
        <v>32.393611160969698</v>
      </c>
      <c r="K162" t="s">
        <v>493</v>
      </c>
    </row>
    <row r="163" spans="1:11" x14ac:dyDescent="0.2">
      <c r="A163">
        <v>3</v>
      </c>
      <c r="B163">
        <v>1</v>
      </c>
      <c r="C163">
        <v>2011</v>
      </c>
      <c r="D163">
        <v>259.14888928775798</v>
      </c>
      <c r="E163">
        <v>3337.8186249495102</v>
      </c>
      <c r="F163">
        <v>5304.7007615446601</v>
      </c>
      <c r="G163">
        <v>7315.1013439581302</v>
      </c>
      <c r="H163">
        <v>4569.0542014052598</v>
      </c>
      <c r="I163">
        <v>1101.38277947297</v>
      </c>
      <c r="J163">
        <v>385.57618217223398</v>
      </c>
      <c r="K163" t="s">
        <v>493</v>
      </c>
    </row>
    <row r="164" spans="1:11" x14ac:dyDescent="0.2">
      <c r="A164">
        <v>3</v>
      </c>
      <c r="B164">
        <v>2</v>
      </c>
      <c r="C164">
        <v>2011</v>
      </c>
      <c r="D164">
        <v>2466.3304673981702</v>
      </c>
      <c r="E164">
        <v>4673.6820634119304</v>
      </c>
      <c r="F164">
        <v>5034.4021252011798</v>
      </c>
      <c r="G164">
        <v>3692.4126942790899</v>
      </c>
      <c r="H164">
        <v>2533.7487477616301</v>
      </c>
      <c r="I164">
        <v>1066.1037182933301</v>
      </c>
      <c r="J164">
        <v>226.755278126788</v>
      </c>
      <c r="K164" t="s">
        <v>493</v>
      </c>
    </row>
    <row r="165" spans="1:11" x14ac:dyDescent="0.2">
      <c r="A165">
        <v>3</v>
      </c>
      <c r="B165">
        <v>8</v>
      </c>
      <c r="C165">
        <v>2011</v>
      </c>
      <c r="D165">
        <v>129.57444464387899</v>
      </c>
      <c r="E165">
        <v>259.14888928775798</v>
      </c>
      <c r="F165">
        <v>190.66889809506799</v>
      </c>
      <c r="G165">
        <v>356.08398367540099</v>
      </c>
      <c r="H165">
        <v>32.393611160969698</v>
      </c>
      <c r="I165">
        <v>97.180833482909094</v>
      </c>
      <c r="J165">
        <v>97.881064295908004</v>
      </c>
      <c r="K165" t="s">
        <v>493</v>
      </c>
    </row>
    <row r="166" spans="1:11" x14ac:dyDescent="0.2">
      <c r="A166">
        <v>4</v>
      </c>
      <c r="B166">
        <v>1</v>
      </c>
      <c r="C166">
        <v>2011</v>
      </c>
      <c r="D166">
        <v>323.93611160969698</v>
      </c>
      <c r="E166">
        <v>3782.1064310015799</v>
      </c>
      <c r="F166">
        <v>8327.5671512280605</v>
      </c>
      <c r="G166">
        <v>6185.0201971061497</v>
      </c>
      <c r="H166">
        <v>1695.8336168860401</v>
      </c>
      <c r="I166">
        <v>194.36166696581799</v>
      </c>
      <c r="J166">
        <v>97.180833482909094</v>
      </c>
      <c r="K166" t="s">
        <v>493</v>
      </c>
    </row>
    <row r="167" spans="1:11" x14ac:dyDescent="0.2">
      <c r="A167">
        <v>4</v>
      </c>
      <c r="B167">
        <v>2</v>
      </c>
      <c r="C167">
        <v>2011</v>
      </c>
      <c r="D167">
        <v>1606.0232219243701</v>
      </c>
      <c r="E167">
        <v>5127.4991890821702</v>
      </c>
      <c r="F167">
        <v>5053.4240145704298</v>
      </c>
      <c r="G167">
        <v>2235.1591701069101</v>
      </c>
      <c r="H167">
        <v>950.70825388117896</v>
      </c>
      <c r="I167">
        <v>356.32972277066699</v>
      </c>
      <c r="J167">
        <v>287.50969550008301</v>
      </c>
      <c r="K167" t="s">
        <v>493</v>
      </c>
    </row>
    <row r="168" spans="1:11" x14ac:dyDescent="0.2">
      <c r="A168">
        <v>4</v>
      </c>
      <c r="B168">
        <v>8</v>
      </c>
      <c r="C168">
        <v>2011</v>
      </c>
      <c r="D168">
        <v>32.393611160969698</v>
      </c>
      <c r="E168">
        <v>519.36451595590995</v>
      </c>
      <c r="F168">
        <v>485.90416741454499</v>
      </c>
      <c r="G168">
        <v>356.32972277066699</v>
      </c>
      <c r="H168">
        <v>123.909714832288</v>
      </c>
      <c r="I168">
        <v>32.393611160969698</v>
      </c>
      <c r="J168">
        <v>32.393611160969698</v>
      </c>
      <c r="K168" t="s">
        <v>493</v>
      </c>
    </row>
    <row r="169" spans="1:11" x14ac:dyDescent="0.2">
      <c r="A169">
        <v>5</v>
      </c>
      <c r="B169">
        <v>1</v>
      </c>
      <c r="C169">
        <v>2011</v>
      </c>
      <c r="D169">
        <v>161.96805580484801</v>
      </c>
      <c r="E169">
        <v>2754.1059218164</v>
      </c>
      <c r="F169">
        <v>5992.4329856878803</v>
      </c>
      <c r="G169">
        <v>3833.9356702371902</v>
      </c>
      <c r="H169">
        <v>809.84027902424202</v>
      </c>
      <c r="I169">
        <v>194.36166696581799</v>
      </c>
      <c r="J169">
        <v>156.817280361634</v>
      </c>
      <c r="K169" t="s">
        <v>493</v>
      </c>
    </row>
    <row r="170" spans="1:11" x14ac:dyDescent="0.2">
      <c r="A170">
        <v>5</v>
      </c>
      <c r="B170">
        <v>2</v>
      </c>
      <c r="C170">
        <v>2011</v>
      </c>
      <c r="D170">
        <v>983.202129992805</v>
      </c>
      <c r="E170">
        <v>6891.9064066132896</v>
      </c>
      <c r="F170">
        <v>7754.1527419669701</v>
      </c>
      <c r="G170">
        <v>4205.4744286119703</v>
      </c>
      <c r="H170">
        <v>1554.89333572655</v>
      </c>
      <c r="I170">
        <v>680.26583438036403</v>
      </c>
      <c r="J170">
        <v>129.57444464387899</v>
      </c>
      <c r="K170" t="s">
        <v>493</v>
      </c>
    </row>
    <row r="171" spans="1:11" x14ac:dyDescent="0.2">
      <c r="A171">
        <v>5</v>
      </c>
      <c r="B171">
        <v>8</v>
      </c>
      <c r="C171">
        <v>2011</v>
      </c>
      <c r="D171">
        <v>32.393611160969698</v>
      </c>
      <c r="E171">
        <v>597.09590597148804</v>
      </c>
      <c r="F171">
        <v>647.87222321939396</v>
      </c>
      <c r="G171">
        <v>712.65944554133296</v>
      </c>
      <c r="H171">
        <v>161.96805580484801</v>
      </c>
      <c r="I171">
        <v>64.787222321939396</v>
      </c>
      <c r="J171">
        <v>64.787222321939396</v>
      </c>
      <c r="K171" t="s">
        <v>493</v>
      </c>
    </row>
    <row r="172" spans="1:11" x14ac:dyDescent="0.2">
      <c r="A172">
        <v>1</v>
      </c>
      <c r="B172">
        <v>1</v>
      </c>
      <c r="C172">
        <v>2016</v>
      </c>
      <c r="D172">
        <v>592.64028211215305</v>
      </c>
      <c r="E172">
        <v>3259.3529043519002</v>
      </c>
      <c r="F172">
        <v>3851.86700253343</v>
      </c>
      <c r="G172">
        <v>7185.1480639483698</v>
      </c>
      <c r="H172">
        <v>9518.5636941596094</v>
      </c>
      <c r="I172">
        <v>6333.3645257020098</v>
      </c>
      <c r="J172">
        <v>3629.7086052150498</v>
      </c>
      <c r="K172" t="s">
        <v>493</v>
      </c>
    </row>
    <row r="173" spans="1:11" x14ac:dyDescent="0.2">
      <c r="A173">
        <v>1</v>
      </c>
      <c r="B173">
        <v>2</v>
      </c>
      <c r="C173">
        <v>2016</v>
      </c>
      <c r="D173">
        <v>2703.69171956027</v>
      </c>
      <c r="E173">
        <v>5888.7844569168301</v>
      </c>
      <c r="F173">
        <v>4962.7944936727299</v>
      </c>
      <c r="G173">
        <v>9889.0932499889805</v>
      </c>
      <c r="H173">
        <v>9703.6888268592393</v>
      </c>
      <c r="I173">
        <v>6111.0291871227801</v>
      </c>
      <c r="J173">
        <v>2851.91317414796</v>
      </c>
      <c r="K173" t="s">
        <v>493</v>
      </c>
    </row>
    <row r="174" spans="1:11" x14ac:dyDescent="0.2">
      <c r="A174">
        <v>1</v>
      </c>
      <c r="B174">
        <v>8</v>
      </c>
      <c r="C174">
        <v>2016</v>
      </c>
      <c r="D174">
        <v>0</v>
      </c>
      <c r="E174">
        <v>0</v>
      </c>
      <c r="F174">
        <v>0</v>
      </c>
      <c r="G174">
        <v>37.019784105785199</v>
      </c>
      <c r="H174">
        <v>74.062063711737906</v>
      </c>
      <c r="I174">
        <v>37.041550216091998</v>
      </c>
      <c r="J174">
        <v>0</v>
      </c>
      <c r="K174" t="s">
        <v>493</v>
      </c>
    </row>
    <row r="175" spans="1:11" x14ac:dyDescent="0.2">
      <c r="A175">
        <v>2</v>
      </c>
      <c r="B175">
        <v>1</v>
      </c>
      <c r="C175">
        <v>2016</v>
      </c>
      <c r="D175">
        <v>963.02907960617802</v>
      </c>
      <c r="E175">
        <v>4777.5311142860701</v>
      </c>
      <c r="F175">
        <v>5111.0591169642503</v>
      </c>
      <c r="G175">
        <v>12184.8211662299</v>
      </c>
      <c r="H175">
        <v>17889.238127538101</v>
      </c>
      <c r="I175">
        <v>11481.646834781001</v>
      </c>
      <c r="J175">
        <v>4148.1593284968903</v>
      </c>
      <c r="K175" t="s">
        <v>493</v>
      </c>
    </row>
    <row r="176" spans="1:11" x14ac:dyDescent="0.2">
      <c r="A176">
        <v>2</v>
      </c>
      <c r="B176">
        <v>2</v>
      </c>
      <c r="C176">
        <v>2016</v>
      </c>
      <c r="D176">
        <v>5074.1144811369304</v>
      </c>
      <c r="E176">
        <v>7332.9082738852703</v>
      </c>
      <c r="F176">
        <v>5443.95025032378</v>
      </c>
      <c r="G176">
        <v>6925.5509264749198</v>
      </c>
      <c r="H176">
        <v>6148.14888184345</v>
      </c>
      <c r="I176">
        <v>2925.93206723092</v>
      </c>
      <c r="J176">
        <v>1444.4383745422699</v>
      </c>
      <c r="K176" t="s">
        <v>493</v>
      </c>
    </row>
    <row r="177" spans="1:11" x14ac:dyDescent="0.2">
      <c r="A177">
        <v>2</v>
      </c>
      <c r="B177">
        <v>8</v>
      </c>
      <c r="C177">
        <v>2016</v>
      </c>
      <c r="D177">
        <v>37.012589123242797</v>
      </c>
      <c r="E177">
        <v>0</v>
      </c>
      <c r="F177">
        <v>111.111747780241</v>
      </c>
      <c r="G177">
        <v>148.15577450461601</v>
      </c>
      <c r="H177">
        <v>111.10455279769801</v>
      </c>
      <c r="I177">
        <v>0</v>
      </c>
      <c r="J177">
        <v>37.041550216091998</v>
      </c>
      <c r="K177" t="s">
        <v>493</v>
      </c>
    </row>
    <row r="178" spans="1:11" x14ac:dyDescent="0.2">
      <c r="A178">
        <v>3</v>
      </c>
      <c r="B178">
        <v>1</v>
      </c>
      <c r="C178">
        <v>2016</v>
      </c>
      <c r="D178">
        <v>481.48839784888003</v>
      </c>
      <c r="E178">
        <v>4333.2237261791497</v>
      </c>
      <c r="F178">
        <v>6148.1483705014398</v>
      </c>
      <c r="G178">
        <v>8518.4551736520207</v>
      </c>
      <c r="H178">
        <v>5592.5255899655604</v>
      </c>
      <c r="I178">
        <v>2629.6733496582901</v>
      </c>
      <c r="J178">
        <v>1111.1337759267501</v>
      </c>
      <c r="K178" t="s">
        <v>493</v>
      </c>
    </row>
    <row r="179" spans="1:11" x14ac:dyDescent="0.2">
      <c r="A179">
        <v>3</v>
      </c>
      <c r="B179">
        <v>2</v>
      </c>
      <c r="C179">
        <v>2016</v>
      </c>
      <c r="D179">
        <v>2962.7229000736902</v>
      </c>
      <c r="E179">
        <v>8073.7886665191099</v>
      </c>
      <c r="F179">
        <v>5518.1645463334298</v>
      </c>
      <c r="G179">
        <v>4629.37447123127</v>
      </c>
      <c r="H179">
        <v>2888.8419281442202</v>
      </c>
      <c r="I179">
        <v>999.93060042477396</v>
      </c>
      <c r="J179">
        <v>518.54734701519203</v>
      </c>
      <c r="K179" t="s">
        <v>493</v>
      </c>
    </row>
    <row r="180" spans="1:11" x14ac:dyDescent="0.2">
      <c r="A180">
        <v>3</v>
      </c>
      <c r="B180">
        <v>8</v>
      </c>
      <c r="C180">
        <v>2016</v>
      </c>
      <c r="D180">
        <v>0</v>
      </c>
      <c r="E180">
        <v>74.092771923010105</v>
      </c>
      <c r="F180">
        <v>37.054158214997798</v>
      </c>
      <c r="G180">
        <v>185.163361168406</v>
      </c>
      <c r="H180">
        <v>0</v>
      </c>
      <c r="I180">
        <v>37.012589123242797</v>
      </c>
      <c r="J180">
        <v>74.088499072084105</v>
      </c>
      <c r="K180" t="s">
        <v>493</v>
      </c>
    </row>
    <row r="181" spans="1:11" x14ac:dyDescent="0.2">
      <c r="A181">
        <v>4</v>
      </c>
      <c r="B181">
        <v>1</v>
      </c>
      <c r="C181">
        <v>2016</v>
      </c>
      <c r="D181">
        <v>333.32350355191602</v>
      </c>
      <c r="E181">
        <v>4407.1811235576997</v>
      </c>
      <c r="F181">
        <v>8999.5082409562001</v>
      </c>
      <c r="G181">
        <v>6555.4282877743099</v>
      </c>
      <c r="H181">
        <v>2888.6719290644701</v>
      </c>
      <c r="I181">
        <v>703.61474713733003</v>
      </c>
      <c r="J181">
        <v>333.33316581501902</v>
      </c>
      <c r="K181" t="s">
        <v>493</v>
      </c>
    </row>
    <row r="182" spans="1:11" x14ac:dyDescent="0.2">
      <c r="A182">
        <v>4</v>
      </c>
      <c r="B182">
        <v>2</v>
      </c>
      <c r="C182">
        <v>2016</v>
      </c>
      <c r="D182">
        <v>1555.44673131339</v>
      </c>
      <c r="E182">
        <v>6444.3847628065096</v>
      </c>
      <c r="F182">
        <v>5481.2179401228896</v>
      </c>
      <c r="G182">
        <v>3296.1205321784601</v>
      </c>
      <c r="H182">
        <v>1073.9653419178401</v>
      </c>
      <c r="I182">
        <v>629.61517782145199</v>
      </c>
      <c r="J182">
        <v>259.24265419740101</v>
      </c>
      <c r="K182" t="s">
        <v>493</v>
      </c>
    </row>
    <row r="183" spans="1:11" x14ac:dyDescent="0.2">
      <c r="A183">
        <v>4</v>
      </c>
      <c r="B183">
        <v>8</v>
      </c>
      <c r="C183">
        <v>2016</v>
      </c>
      <c r="D183">
        <v>37.0327788649588</v>
      </c>
      <c r="E183">
        <v>111.123118431591</v>
      </c>
      <c r="F183">
        <v>111.12605493967099</v>
      </c>
      <c r="G183">
        <v>185.176449522371</v>
      </c>
      <c r="H183">
        <v>148.13635266426999</v>
      </c>
      <c r="I183">
        <v>0</v>
      </c>
      <c r="J183">
        <v>74.091963674455499</v>
      </c>
      <c r="K183" t="s">
        <v>493</v>
      </c>
    </row>
    <row r="184" spans="1:11" x14ac:dyDescent="0.2">
      <c r="A184">
        <v>5</v>
      </c>
      <c r="B184">
        <v>1</v>
      </c>
      <c r="C184">
        <v>2016</v>
      </c>
      <c r="D184">
        <v>259.26239487932003</v>
      </c>
      <c r="E184">
        <v>3036.86803506455</v>
      </c>
      <c r="F184">
        <v>6777.4132610869001</v>
      </c>
      <c r="G184">
        <v>4703.3059587313701</v>
      </c>
      <c r="H184">
        <v>1962.78584740632</v>
      </c>
      <c r="I184">
        <v>481.49652170738699</v>
      </c>
      <c r="J184">
        <v>222.205431513017</v>
      </c>
      <c r="K184" t="s">
        <v>493</v>
      </c>
    </row>
    <row r="185" spans="1:11" x14ac:dyDescent="0.2">
      <c r="A185">
        <v>5</v>
      </c>
      <c r="B185">
        <v>2</v>
      </c>
      <c r="C185">
        <v>2016</v>
      </c>
      <c r="D185">
        <v>1666.3706804646999</v>
      </c>
      <c r="E185">
        <v>8443.8307585456005</v>
      </c>
      <c r="F185">
        <v>9814.2089949551992</v>
      </c>
      <c r="G185">
        <v>5518.0132722914004</v>
      </c>
      <c r="H185">
        <v>2555.2491622164398</v>
      </c>
      <c r="I185">
        <v>1147.90385737836</v>
      </c>
      <c r="J185">
        <v>259.26913878196598</v>
      </c>
      <c r="K185" t="s">
        <v>493</v>
      </c>
    </row>
    <row r="186" spans="1:11" x14ac:dyDescent="0.2">
      <c r="A186">
        <v>5</v>
      </c>
      <c r="B186">
        <v>8</v>
      </c>
      <c r="C186">
        <v>2016</v>
      </c>
      <c r="D186">
        <v>74.032373229027996</v>
      </c>
      <c r="E186">
        <v>111.099643933037</v>
      </c>
      <c r="F186">
        <v>407.401389345143</v>
      </c>
      <c r="G186">
        <v>518.49313904039104</v>
      </c>
      <c r="H186">
        <v>333.35790036299898</v>
      </c>
      <c r="I186">
        <v>37.012589123242797</v>
      </c>
      <c r="J186">
        <v>0</v>
      </c>
      <c r="K186" t="s">
        <v>493</v>
      </c>
    </row>
    <row r="187" spans="1:11" x14ac:dyDescent="0.2">
      <c r="A187">
        <v>1</v>
      </c>
      <c r="B187">
        <v>1</v>
      </c>
      <c r="C187">
        <v>2021</v>
      </c>
      <c r="D187">
        <v>629.59237126999994</v>
      </c>
      <c r="E187">
        <v>4258.7563345400004</v>
      </c>
      <c r="F187">
        <v>4370.3996784000001</v>
      </c>
      <c r="G187">
        <v>5851.0833455800002</v>
      </c>
      <c r="H187">
        <v>11184.14531754</v>
      </c>
      <c r="I187">
        <v>7369.9667772599996</v>
      </c>
      <c r="J187">
        <v>4296.2378042600003</v>
      </c>
      <c r="K187" t="s">
        <v>493</v>
      </c>
    </row>
    <row r="188" spans="1:11" x14ac:dyDescent="0.2">
      <c r="A188">
        <v>1</v>
      </c>
      <c r="B188">
        <v>2</v>
      </c>
      <c r="C188">
        <v>2021</v>
      </c>
      <c r="D188">
        <v>4481.1584443000002</v>
      </c>
      <c r="E188">
        <v>7962.5562729599997</v>
      </c>
      <c r="F188">
        <v>6369.9342926600002</v>
      </c>
      <c r="G188">
        <v>8628.3337284999998</v>
      </c>
      <c r="H188">
        <v>12961.532444570001</v>
      </c>
      <c r="I188">
        <v>8407.7057989599998</v>
      </c>
      <c r="J188">
        <v>4333.1862942999996</v>
      </c>
      <c r="K188" t="s">
        <v>493</v>
      </c>
    </row>
    <row r="189" spans="1:11" x14ac:dyDescent="0.2">
      <c r="A189">
        <v>1</v>
      </c>
      <c r="B189">
        <v>8</v>
      </c>
      <c r="C189">
        <v>2021</v>
      </c>
      <c r="D189">
        <v>111.08507321</v>
      </c>
      <c r="E189">
        <v>74.062310319999995</v>
      </c>
      <c r="F189">
        <v>74.086387079999994</v>
      </c>
      <c r="G189">
        <v>147.95185957999999</v>
      </c>
      <c r="H189">
        <v>296.21229534000003</v>
      </c>
      <c r="I189">
        <v>111.1364268</v>
      </c>
      <c r="J189">
        <v>37.019257459999999</v>
      </c>
      <c r="K189" t="s">
        <v>493</v>
      </c>
    </row>
    <row r="190" spans="1:11" x14ac:dyDescent="0.2">
      <c r="A190">
        <v>2</v>
      </c>
      <c r="B190">
        <v>1</v>
      </c>
      <c r="C190">
        <v>2021</v>
      </c>
      <c r="D190">
        <v>1073.84363261</v>
      </c>
      <c r="E190">
        <v>5369.7939407900003</v>
      </c>
      <c r="F190">
        <v>5740.3140150299996</v>
      </c>
      <c r="G190">
        <v>10517.654722990001</v>
      </c>
      <c r="H190">
        <v>20370.650998320001</v>
      </c>
      <c r="I190">
        <v>14999.551849560001</v>
      </c>
      <c r="J190">
        <v>6740.7223762699996</v>
      </c>
      <c r="K190" t="s">
        <v>493</v>
      </c>
    </row>
    <row r="191" spans="1:11" x14ac:dyDescent="0.2">
      <c r="A191">
        <v>2</v>
      </c>
      <c r="B191">
        <v>2</v>
      </c>
      <c r="C191">
        <v>2021</v>
      </c>
      <c r="D191">
        <v>4740.5625209999998</v>
      </c>
      <c r="E191">
        <v>8294.5611250399998</v>
      </c>
      <c r="F191">
        <v>6221.9774857900002</v>
      </c>
      <c r="G191">
        <v>7812.9749905799999</v>
      </c>
      <c r="H191">
        <v>7369.4735374299999</v>
      </c>
      <c r="I191">
        <v>4703.4145202399995</v>
      </c>
      <c r="J191">
        <v>2185.3962832799998</v>
      </c>
      <c r="K191" t="s">
        <v>493</v>
      </c>
    </row>
    <row r="192" spans="1:11" x14ac:dyDescent="0.2">
      <c r="A192">
        <v>2</v>
      </c>
      <c r="B192">
        <v>8</v>
      </c>
      <c r="C192">
        <v>2021</v>
      </c>
      <c r="D192">
        <v>110.98803009</v>
      </c>
      <c r="E192">
        <v>111.10684594999999</v>
      </c>
      <c r="F192">
        <v>148.20389564000001</v>
      </c>
      <c r="G192">
        <v>148.07484837000001</v>
      </c>
      <c r="H192">
        <v>296.22135897999999</v>
      </c>
      <c r="I192">
        <v>74.048550239999997</v>
      </c>
      <c r="J192">
        <v>74.086692439999993</v>
      </c>
      <c r="K192" t="s">
        <v>493</v>
      </c>
    </row>
    <row r="193" spans="1:11" x14ac:dyDescent="0.2">
      <c r="A193">
        <v>3</v>
      </c>
      <c r="B193">
        <v>1</v>
      </c>
      <c r="C193">
        <v>2021</v>
      </c>
      <c r="D193">
        <v>518.46351496</v>
      </c>
      <c r="E193">
        <v>4036.9931660699999</v>
      </c>
      <c r="F193">
        <v>5666.1849535199999</v>
      </c>
      <c r="G193">
        <v>7703.3689593899999</v>
      </c>
      <c r="H193">
        <v>6665.9495204000004</v>
      </c>
      <c r="I193">
        <v>2481.23032104</v>
      </c>
      <c r="J193">
        <v>888.78177368000001</v>
      </c>
      <c r="K193" t="s">
        <v>493</v>
      </c>
    </row>
    <row r="194" spans="1:11" x14ac:dyDescent="0.2">
      <c r="A194">
        <v>3</v>
      </c>
      <c r="B194">
        <v>2</v>
      </c>
      <c r="C194">
        <v>2021</v>
      </c>
      <c r="D194">
        <v>1962.7196695</v>
      </c>
      <c r="E194">
        <v>6146.8481499500003</v>
      </c>
      <c r="F194">
        <v>6480.4308554500003</v>
      </c>
      <c r="G194">
        <v>4962.1694236200001</v>
      </c>
      <c r="H194">
        <v>3999.17701055</v>
      </c>
      <c r="I194">
        <v>1851.6694224800001</v>
      </c>
      <c r="J194">
        <v>407.36895543000003</v>
      </c>
      <c r="K194" t="s">
        <v>493</v>
      </c>
    </row>
    <row r="195" spans="1:11" x14ac:dyDescent="0.2">
      <c r="A195">
        <v>3</v>
      </c>
      <c r="B195">
        <v>8</v>
      </c>
      <c r="C195">
        <v>2021</v>
      </c>
      <c r="D195">
        <v>74.069331039999994</v>
      </c>
      <c r="E195">
        <v>111.01542605</v>
      </c>
      <c r="F195">
        <v>0</v>
      </c>
      <c r="G195">
        <v>185.04052010999999</v>
      </c>
      <c r="H195">
        <v>74.086692439999993</v>
      </c>
      <c r="I195">
        <v>0</v>
      </c>
      <c r="J195">
        <v>37.050073580000003</v>
      </c>
      <c r="K195" t="s">
        <v>493</v>
      </c>
    </row>
    <row r="196" spans="1:11" x14ac:dyDescent="0.2">
      <c r="A196">
        <v>4</v>
      </c>
      <c r="B196">
        <v>1</v>
      </c>
      <c r="C196">
        <v>2021</v>
      </c>
      <c r="D196">
        <v>74.047219080000005</v>
      </c>
      <c r="E196">
        <v>4110.7768984800005</v>
      </c>
      <c r="F196">
        <v>8814.3930692499998</v>
      </c>
      <c r="G196">
        <v>7962.3128020200002</v>
      </c>
      <c r="H196">
        <v>2777.2170968400001</v>
      </c>
      <c r="I196">
        <v>703.54783019000001</v>
      </c>
      <c r="J196">
        <v>185.21994316999999</v>
      </c>
      <c r="K196" t="s">
        <v>493</v>
      </c>
    </row>
    <row r="197" spans="1:11" x14ac:dyDescent="0.2">
      <c r="A197">
        <v>4</v>
      </c>
      <c r="B197">
        <v>2</v>
      </c>
      <c r="C197">
        <v>2021</v>
      </c>
      <c r="D197">
        <v>1259.28184164</v>
      </c>
      <c r="E197">
        <v>5814.09014733</v>
      </c>
      <c r="F197">
        <v>5554.4350843499997</v>
      </c>
      <c r="G197">
        <v>4221.3382317699998</v>
      </c>
      <c r="H197">
        <v>2332.5105146699998</v>
      </c>
      <c r="I197">
        <v>703.44123302000003</v>
      </c>
      <c r="J197">
        <v>259.29916672000002</v>
      </c>
      <c r="K197" t="s">
        <v>493</v>
      </c>
    </row>
    <row r="198" spans="1:11" x14ac:dyDescent="0.2">
      <c r="A198">
        <v>4</v>
      </c>
      <c r="B198">
        <v>8</v>
      </c>
      <c r="C198">
        <v>2021</v>
      </c>
      <c r="D198">
        <v>37.067434980000002</v>
      </c>
      <c r="E198">
        <v>37.012236739999999</v>
      </c>
      <c r="F198">
        <v>185.06452497999999</v>
      </c>
      <c r="G198">
        <v>259.13835339000002</v>
      </c>
      <c r="H198">
        <v>184.96067615999999</v>
      </c>
      <c r="I198">
        <v>0</v>
      </c>
      <c r="J198">
        <v>0</v>
      </c>
      <c r="K198" t="s">
        <v>493</v>
      </c>
    </row>
    <row r="199" spans="1:11" x14ac:dyDescent="0.2">
      <c r="A199">
        <v>5</v>
      </c>
      <c r="B199">
        <v>1</v>
      </c>
      <c r="C199">
        <v>2021</v>
      </c>
      <c r="D199">
        <v>296.21283426999997</v>
      </c>
      <c r="E199">
        <v>2962.8641594999999</v>
      </c>
      <c r="F199">
        <v>6258.5421690700005</v>
      </c>
      <c r="G199">
        <v>5665.87981012</v>
      </c>
      <c r="H199">
        <v>2184.73434296</v>
      </c>
      <c r="I199">
        <v>666.52878635000002</v>
      </c>
      <c r="J199">
        <v>185.14605237000001</v>
      </c>
      <c r="K199" t="s">
        <v>493</v>
      </c>
    </row>
    <row r="200" spans="1:11" x14ac:dyDescent="0.2">
      <c r="A200">
        <v>5</v>
      </c>
      <c r="B200">
        <v>2</v>
      </c>
      <c r="C200">
        <v>2021</v>
      </c>
      <c r="D200">
        <v>1111.0705809200001</v>
      </c>
      <c r="E200">
        <v>8665.2557969900008</v>
      </c>
      <c r="F200">
        <v>9850.3520485200006</v>
      </c>
      <c r="G200">
        <v>6146.9738875599996</v>
      </c>
      <c r="H200">
        <v>3443.8102125800001</v>
      </c>
      <c r="I200">
        <v>1147.7051431800001</v>
      </c>
      <c r="J200">
        <v>185.02381635</v>
      </c>
      <c r="K200" t="s">
        <v>493</v>
      </c>
    </row>
    <row r="201" spans="1:11" x14ac:dyDescent="0.2">
      <c r="A201">
        <v>5</v>
      </c>
      <c r="B201">
        <v>8</v>
      </c>
      <c r="C201">
        <v>2021</v>
      </c>
      <c r="D201">
        <v>0</v>
      </c>
      <c r="E201">
        <v>185.22435451000001</v>
      </c>
      <c r="F201">
        <v>518.47746573999996</v>
      </c>
      <c r="G201">
        <v>259.27729625000001</v>
      </c>
      <c r="H201">
        <v>333.40832339999997</v>
      </c>
      <c r="I201">
        <v>148.09220977000001</v>
      </c>
      <c r="J201">
        <v>73.892868460000003</v>
      </c>
      <c r="K201" t="s">
        <v>493</v>
      </c>
    </row>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50"/>
  <sheetViews>
    <sheetView zoomScale="85" zoomScaleNormal="85" workbookViewId="0">
      <pane ySplit="2" topLeftCell="A3" activePane="bottomLeft" state="frozen"/>
      <selection pane="bottomLeft"/>
    </sheetView>
  </sheetViews>
  <sheetFormatPr defaultColWidth="11" defaultRowHeight="14.25" x14ac:dyDescent="0.2"/>
  <cols>
    <col min="2" max="2" width="15.625" customWidth="1"/>
    <col min="3" max="8" width="8.625" customWidth="1"/>
    <col min="10" max="10" width="16.5" customWidth="1"/>
    <col min="12" max="15" width="8.625" customWidth="1"/>
  </cols>
  <sheetData>
    <row r="1" spans="1:27" ht="20.100000000000001" customHeight="1" x14ac:dyDescent="0.2">
      <c r="D1" s="1202">
        <v>1</v>
      </c>
      <c r="E1" s="1202">
        <v>2</v>
      </c>
      <c r="F1" s="1202">
        <v>3</v>
      </c>
      <c r="G1" s="1202">
        <v>4</v>
      </c>
      <c r="H1" s="1202">
        <v>5</v>
      </c>
    </row>
    <row r="2" spans="1:27" ht="25.5" customHeight="1" x14ac:dyDescent="0.2">
      <c r="B2" s="1164"/>
      <c r="C2" s="1165" t="s">
        <v>6</v>
      </c>
      <c r="D2" s="1166" t="s">
        <v>83</v>
      </c>
      <c r="E2" s="1167" t="s">
        <v>84</v>
      </c>
      <c r="F2" s="1167" t="s">
        <v>85</v>
      </c>
      <c r="G2" s="1167" t="s">
        <v>86</v>
      </c>
      <c r="H2" s="1168" t="s">
        <v>87</v>
      </c>
      <c r="I2" s="788"/>
      <c r="J2" s="1169"/>
      <c r="K2" s="1165" t="s">
        <v>6</v>
      </c>
      <c r="L2" s="1170" t="s">
        <v>88</v>
      </c>
      <c r="M2" s="1167" t="s">
        <v>57</v>
      </c>
      <c r="N2" s="1167" t="s">
        <v>58</v>
      </c>
      <c r="O2" s="1168" t="s">
        <v>59</v>
      </c>
      <c r="P2" s="788"/>
      <c r="Q2" s="788"/>
      <c r="R2" s="788"/>
      <c r="S2" s="788"/>
      <c r="T2" s="788"/>
    </row>
    <row r="3" spans="1:27" ht="20.100000000000001" customHeight="1" x14ac:dyDescent="0.2">
      <c r="B3" s="1171" t="s">
        <v>6</v>
      </c>
      <c r="C3" s="1172">
        <f t="array" ref="C3:H10">C11:H18+C19:H26+C27:H34+C35:H42+C43:H50</f>
        <v>303917.93938424997</v>
      </c>
      <c r="D3" s="1173">
        <v>192148.64986298999</v>
      </c>
      <c r="E3" s="1174">
        <v>66551.288035000005</v>
      </c>
      <c r="F3" s="1174">
        <v>22405.981518330002</v>
      </c>
      <c r="G3" s="1174">
        <v>12295.129709940002</v>
      </c>
      <c r="H3" s="1175">
        <v>10516.89025799</v>
      </c>
      <c r="I3" s="788"/>
      <c r="J3" s="1176" t="s">
        <v>6</v>
      </c>
      <c r="K3" s="1177">
        <f t="shared" ref="K3:O10" si="0">SUM(K11,K19,K27,K35,K43)</f>
        <v>303917.93938424997</v>
      </c>
      <c r="L3" s="1178">
        <f t="shared" si="0"/>
        <v>209184.68868831499</v>
      </c>
      <c r="M3" s="1179">
        <f t="shared" si="0"/>
        <v>45570.73620124501</v>
      </c>
      <c r="N3" s="1179">
        <f t="shared" si="0"/>
        <v>26627.550149680003</v>
      </c>
      <c r="O3" s="1180">
        <f t="shared" si="0"/>
        <v>22349.7419391</v>
      </c>
      <c r="P3" s="788"/>
      <c r="Q3" s="788"/>
      <c r="R3" s="788"/>
      <c r="S3" s="788"/>
      <c r="T3" s="788"/>
    </row>
    <row r="4" spans="1:27" ht="20.100000000000001" customHeight="1" x14ac:dyDescent="0.2">
      <c r="B4" s="1181" t="s">
        <v>60</v>
      </c>
      <c r="C4" s="1182">
        <v>10036.323810309999</v>
      </c>
      <c r="D4" s="1183">
        <v>4407.2291615100003</v>
      </c>
      <c r="E4" s="1184">
        <v>3592.1450947499998</v>
      </c>
      <c r="F4" s="1184">
        <v>1444.3108406099998</v>
      </c>
      <c r="G4" s="1184">
        <v>407.44668181999998</v>
      </c>
      <c r="H4" s="1185">
        <v>185.19203161999999</v>
      </c>
      <c r="I4" s="788"/>
      <c r="J4" s="1186" t="s">
        <v>60</v>
      </c>
      <c r="K4" s="1182">
        <f t="shared" si="0"/>
        <v>10036.323810309999</v>
      </c>
      <c r="L4" s="1183">
        <f t="shared" si="0"/>
        <v>5055.2066692349999</v>
      </c>
      <c r="M4" s="1184">
        <f t="shared" si="0"/>
        <v>2758.8897648399998</v>
      </c>
      <c r="N4" s="1184">
        <f t="shared" si="0"/>
        <v>1425.8922679949997</v>
      </c>
      <c r="O4" s="1185">
        <f t="shared" si="0"/>
        <v>722.26248123999994</v>
      </c>
      <c r="P4" s="788"/>
      <c r="Q4" s="788"/>
      <c r="R4" s="788"/>
      <c r="S4" s="788"/>
      <c r="T4" s="788"/>
    </row>
    <row r="5" spans="1:27" ht="20.100000000000001" customHeight="1" x14ac:dyDescent="0.2">
      <c r="B5" s="1187" t="s">
        <v>61</v>
      </c>
      <c r="C5" s="1188">
        <v>31517.222613990001</v>
      </c>
      <c r="D5" s="1189">
        <v>12296.4107451</v>
      </c>
      <c r="E5" s="1190">
        <v>7888.3649714900002</v>
      </c>
      <c r="F5" s="1190">
        <v>5221.8371465399996</v>
      </c>
      <c r="G5" s="1190">
        <v>3296.2442418499995</v>
      </c>
      <c r="H5" s="1191">
        <v>2814.3655090099996</v>
      </c>
      <c r="I5" s="788"/>
      <c r="J5" s="1192" t="s">
        <v>61</v>
      </c>
      <c r="K5" s="1188">
        <f t="shared" si="0"/>
        <v>31517.222613990001</v>
      </c>
      <c r="L5" s="1189">
        <f t="shared" si="0"/>
        <v>13481.450898555</v>
      </c>
      <c r="M5" s="1190">
        <f t="shared" si="0"/>
        <v>6092.0678998450003</v>
      </c>
      <c r="N5" s="1190">
        <f t="shared" si="0"/>
        <v>5814.6039246849996</v>
      </c>
      <c r="O5" s="1191">
        <f t="shared" si="0"/>
        <v>6129.0998909050004</v>
      </c>
      <c r="P5" s="788"/>
      <c r="Q5" s="788"/>
      <c r="R5" s="788"/>
      <c r="S5" s="788"/>
      <c r="T5" s="788"/>
    </row>
    <row r="6" spans="1:27" ht="20.100000000000001" customHeight="1" x14ac:dyDescent="0.2">
      <c r="B6" s="1181" t="s">
        <v>62</v>
      </c>
      <c r="C6" s="1182">
        <v>37961.35096648</v>
      </c>
      <c r="D6" s="1183">
        <v>15222.13350998</v>
      </c>
      <c r="E6" s="1184">
        <v>7814.59382843</v>
      </c>
      <c r="F6" s="1184">
        <v>6814.6339807699997</v>
      </c>
      <c r="G6" s="1184">
        <v>4221.66611371</v>
      </c>
      <c r="H6" s="1185">
        <v>3888.3235335899999</v>
      </c>
      <c r="I6" s="788"/>
      <c r="J6" s="1186" t="s">
        <v>62</v>
      </c>
      <c r="K6" s="1182">
        <f t="shared" si="0"/>
        <v>37961.35096648</v>
      </c>
      <c r="L6" s="1183">
        <f t="shared" si="0"/>
        <v>15888.799729815</v>
      </c>
      <c r="M6" s="1184">
        <f t="shared" si="0"/>
        <v>5907.0706709550004</v>
      </c>
      <c r="N6" s="1184">
        <f t="shared" si="0"/>
        <v>7684.8594689350011</v>
      </c>
      <c r="O6" s="1185">
        <f t="shared" si="0"/>
        <v>8443.5536617950002</v>
      </c>
      <c r="P6" s="788"/>
      <c r="Q6" s="788"/>
      <c r="R6" s="788"/>
      <c r="S6" s="788"/>
      <c r="T6" s="788"/>
    </row>
    <row r="7" spans="1:27" ht="20.100000000000001" customHeight="1" x14ac:dyDescent="0.2">
      <c r="B7" s="1187" t="s">
        <v>63</v>
      </c>
      <c r="C7" s="1188">
        <v>42665.519860149994</v>
      </c>
      <c r="D7" s="1189">
        <v>22408.380902699999</v>
      </c>
      <c r="E7" s="1190">
        <v>10221.292614690001</v>
      </c>
      <c r="F7" s="1190">
        <v>4592.374893019999</v>
      </c>
      <c r="G7" s="1190">
        <v>2851.4537050099998</v>
      </c>
      <c r="H7" s="1191">
        <v>2592.0177447300002</v>
      </c>
      <c r="I7" s="788"/>
      <c r="J7" s="1192" t="s">
        <v>63</v>
      </c>
      <c r="K7" s="1188">
        <f t="shared" si="0"/>
        <v>42665.519860149994</v>
      </c>
      <c r="L7" s="1189">
        <f t="shared" si="0"/>
        <v>24111.997864049998</v>
      </c>
      <c r="M7" s="1190">
        <f t="shared" si="0"/>
        <v>7962.4450920499994</v>
      </c>
      <c r="N7" s="1190">
        <f t="shared" si="0"/>
        <v>5721.3380153100006</v>
      </c>
      <c r="O7" s="1191">
        <f t="shared" si="0"/>
        <v>4869.7388887400002</v>
      </c>
      <c r="P7" s="788"/>
      <c r="Q7" s="788"/>
      <c r="R7" s="788"/>
      <c r="S7" s="788" t="s">
        <v>137</v>
      </c>
      <c r="T7" s="788" t="s">
        <v>138</v>
      </c>
      <c r="U7" s="1202" t="s">
        <v>44</v>
      </c>
      <c r="V7" s="1202" t="s">
        <v>45</v>
      </c>
      <c r="W7" s="1202" t="s">
        <v>46</v>
      </c>
      <c r="X7" s="1202" t="s">
        <v>47</v>
      </c>
      <c r="Y7" s="1202" t="s">
        <v>48</v>
      </c>
      <c r="Z7" s="1202" t="s">
        <v>49</v>
      </c>
      <c r="AA7" s="1202" t="s">
        <v>139</v>
      </c>
    </row>
    <row r="8" spans="1:27" ht="20.100000000000001" customHeight="1" x14ac:dyDescent="0.2">
      <c r="B8" s="1181" t="s">
        <v>64</v>
      </c>
      <c r="C8" s="1182">
        <v>76555.145742800014</v>
      </c>
      <c r="D8" s="1183">
        <v>54223.327140510002</v>
      </c>
      <c r="E8" s="1184">
        <v>17851.020568219999</v>
      </c>
      <c r="F8" s="1184">
        <v>2555.1074272400001</v>
      </c>
      <c r="G8" s="1184">
        <v>1184.9949990699999</v>
      </c>
      <c r="H8" s="1185">
        <v>740.69560776000003</v>
      </c>
      <c r="I8" s="788"/>
      <c r="J8" s="1186" t="s">
        <v>64</v>
      </c>
      <c r="K8" s="1182">
        <f t="shared" si="0"/>
        <v>76555.145742800014</v>
      </c>
      <c r="L8" s="1183">
        <f t="shared" si="0"/>
        <v>59926.878673520005</v>
      </c>
      <c r="M8" s="1184">
        <f t="shared" si="0"/>
        <v>11591.784527104999</v>
      </c>
      <c r="N8" s="1184">
        <f t="shared" si="0"/>
        <v>3536.6123713850002</v>
      </c>
      <c r="O8" s="1185">
        <f t="shared" si="0"/>
        <v>1462.8509133299999</v>
      </c>
      <c r="P8" s="788"/>
      <c r="Q8" s="788"/>
      <c r="R8" s="788"/>
      <c r="S8" s="788" t="s">
        <v>80</v>
      </c>
      <c r="T8" s="788">
        <v>3</v>
      </c>
      <c r="U8" s="1202">
        <v>407.40802861999998</v>
      </c>
      <c r="V8" s="1202">
        <v>1333.09034258</v>
      </c>
      <c r="W8" s="1202">
        <v>1259.1192061300001</v>
      </c>
      <c r="X8" s="1202">
        <v>1888.8127051900001</v>
      </c>
      <c r="Y8" s="1202">
        <v>1296.0797384800001</v>
      </c>
      <c r="Z8" s="1202">
        <v>407.39950116</v>
      </c>
      <c r="AA8" s="1202">
        <v>222.24780397999999</v>
      </c>
    </row>
    <row r="9" spans="1:27" ht="20.100000000000001" customHeight="1" x14ac:dyDescent="0.2">
      <c r="B9" s="1187" t="s">
        <v>65</v>
      </c>
      <c r="C9" s="1188">
        <v>57591.806001789999</v>
      </c>
      <c r="D9" s="1189">
        <v>44222.375746979997</v>
      </c>
      <c r="E9" s="1190">
        <v>11628.78492011</v>
      </c>
      <c r="F9" s="1190">
        <v>1222.1121487800001</v>
      </c>
      <c r="G9" s="1190">
        <v>259.27520877000001</v>
      </c>
      <c r="H9" s="1191">
        <v>259.25797714999999</v>
      </c>
      <c r="I9" s="788"/>
      <c r="J9" s="1192" t="s">
        <v>65</v>
      </c>
      <c r="K9" s="1188">
        <f t="shared" si="0"/>
        <v>57591.806001789999</v>
      </c>
      <c r="L9" s="1189">
        <f t="shared" si="0"/>
        <v>48722.067256109993</v>
      </c>
      <c r="M9" s="1190">
        <f t="shared" si="0"/>
        <v>6999.4619655749993</v>
      </c>
      <c r="N9" s="1190">
        <f t="shared" si="0"/>
        <v>1314.6906777449999</v>
      </c>
      <c r="O9" s="1191">
        <f t="shared" si="0"/>
        <v>518.52301589000001</v>
      </c>
      <c r="P9" s="788"/>
      <c r="Q9" s="788"/>
      <c r="R9" s="788"/>
      <c r="S9" s="788" t="s">
        <v>80</v>
      </c>
      <c r="T9" s="788">
        <v>4</v>
      </c>
      <c r="U9" s="1202">
        <v>148.16993242000001</v>
      </c>
      <c r="V9" s="1202">
        <v>1555.49550847</v>
      </c>
      <c r="W9" s="1202">
        <v>1962.7322597699999</v>
      </c>
      <c r="X9" s="1202">
        <v>1518.16448954</v>
      </c>
      <c r="Y9" s="1202">
        <v>555.39923023999995</v>
      </c>
      <c r="Z9" s="1202">
        <v>37.010905579999999</v>
      </c>
      <c r="AA9" s="1202">
        <v>0</v>
      </c>
    </row>
    <row r="10" spans="1:27" ht="20.100000000000001" customHeight="1" x14ac:dyDescent="0.2">
      <c r="B10" s="1181" t="s">
        <v>11</v>
      </c>
      <c r="C10" s="1182">
        <v>47590.570388730004</v>
      </c>
      <c r="D10" s="1183">
        <v>39368.792656209996</v>
      </c>
      <c r="E10" s="1184">
        <v>7555.0860373099995</v>
      </c>
      <c r="F10" s="1184">
        <v>555.60508136999999</v>
      </c>
      <c r="G10" s="1184">
        <v>74.048759709999999</v>
      </c>
      <c r="H10" s="1185">
        <v>37.037854129999999</v>
      </c>
      <c r="I10" s="788"/>
      <c r="J10" s="1186" t="s">
        <v>11</v>
      </c>
      <c r="K10" s="1182">
        <f t="shared" si="0"/>
        <v>47590.570388730004</v>
      </c>
      <c r="L10" s="1183">
        <f t="shared" si="0"/>
        <v>41998.287597029994</v>
      </c>
      <c r="M10" s="1184">
        <f t="shared" si="0"/>
        <v>4259.0162808749992</v>
      </c>
      <c r="N10" s="1184">
        <f t="shared" si="0"/>
        <v>1129.5534236250001</v>
      </c>
      <c r="O10" s="1185">
        <f t="shared" si="0"/>
        <v>203.71308720000002</v>
      </c>
      <c r="P10" s="788"/>
      <c r="Q10" s="788"/>
      <c r="R10" s="788"/>
      <c r="S10" s="788" t="s">
        <v>80</v>
      </c>
      <c r="T10" s="788">
        <v>5</v>
      </c>
      <c r="U10" s="1202">
        <v>0</v>
      </c>
      <c r="V10" s="1202">
        <v>1703.41229045</v>
      </c>
      <c r="W10" s="1202">
        <v>2295.9727739599998</v>
      </c>
      <c r="X10" s="1202">
        <v>1666.24703886</v>
      </c>
      <c r="Y10" s="1202">
        <v>296.33386661999998</v>
      </c>
      <c r="Z10" s="1202">
        <v>37.067434980000002</v>
      </c>
      <c r="AA10" s="1202">
        <v>0</v>
      </c>
    </row>
    <row r="11" spans="1:27" ht="20.100000000000001" customHeight="1" x14ac:dyDescent="0.2">
      <c r="B11" s="1193" t="s">
        <v>89</v>
      </c>
      <c r="C11" s="1194">
        <f t="shared" ref="C11:H11" si="1">SUM(C12:C18)</f>
        <v>34072.077650650004</v>
      </c>
      <c r="D11" s="1195">
        <f t="shared" si="1"/>
        <v>0</v>
      </c>
      <c r="E11" s="1196">
        <f t="shared" si="1"/>
        <v>34072.077650650004</v>
      </c>
      <c r="F11" s="1196">
        <f t="shared" si="1"/>
        <v>0</v>
      </c>
      <c r="G11" s="1196">
        <f t="shared" si="1"/>
        <v>0</v>
      </c>
      <c r="H11" s="1197">
        <f t="shared" si="1"/>
        <v>0</v>
      </c>
      <c r="I11" s="788"/>
      <c r="J11" s="1176" t="s">
        <v>90</v>
      </c>
      <c r="K11" s="1177">
        <f>SUM(K12:K18)</f>
        <v>34072.077650650004</v>
      </c>
      <c r="L11" s="1178">
        <f>SUM(L12:L18)</f>
        <v>17036.038825325002</v>
      </c>
      <c r="M11" s="1179">
        <f>SUM(M12:M18)</f>
        <v>17036.038825325002</v>
      </c>
      <c r="N11" s="1179">
        <f>SUM(N12:N18)</f>
        <v>0</v>
      </c>
      <c r="O11" s="1180">
        <f>SUM(O12:O18)</f>
        <v>0</v>
      </c>
      <c r="P11" s="788"/>
      <c r="Q11" s="788"/>
      <c r="R11" s="788"/>
      <c r="S11" s="788" t="s">
        <v>79</v>
      </c>
      <c r="T11" s="788">
        <v>2</v>
      </c>
      <c r="U11" s="1202">
        <v>1295.95501545</v>
      </c>
      <c r="V11" s="1202">
        <v>2370.0803069100002</v>
      </c>
      <c r="W11" s="1202">
        <v>1333.33243967</v>
      </c>
      <c r="X11" s="1202">
        <v>3407.2339227000002</v>
      </c>
      <c r="Y11" s="1202">
        <v>11407.103066019999</v>
      </c>
      <c r="Z11" s="1202">
        <v>8999.3830182599995</v>
      </c>
      <c r="AA11" s="1202">
        <v>5258.98988164</v>
      </c>
    </row>
    <row r="12" spans="1:27" ht="20.100000000000001" customHeight="1" x14ac:dyDescent="0.2">
      <c r="A12" s="1202" t="s">
        <v>79</v>
      </c>
      <c r="B12" s="1181" t="s">
        <v>44</v>
      </c>
      <c r="C12" s="1182">
        <f t="shared" ref="C12:C18" si="2">SUM(D12:H12)</f>
        <v>1295.95501545</v>
      </c>
      <c r="D12" s="1183">
        <f t="array" ref="D12">IFERROR(INDEX($U$8:$AA$40,MATCH(1, ($T$8:$T$40=D$1) * ($S$8:$S$40 = $A12), 0), MATCH($B12, $U$7:$AA$7,0)),0)</f>
        <v>0</v>
      </c>
      <c r="E12" s="1184">
        <f t="array" ref="E12">IFERROR(INDEX($U$8:$AA$40,MATCH(1, ($T$8:$T$40=E$1) * ($S$8:$S$40 = $A12), 0), MATCH($B12, $U$7:$AA$7,0)),0)</f>
        <v>1295.95501545</v>
      </c>
      <c r="F12" s="1184">
        <f t="array" ref="F12">IFERROR(INDEX($U$8:$AA$40,MATCH(1, ($T$8:$T$40=F$1) * ($S$8:$S$40 = $A12), 0), MATCH($B12, $U$7:$AA$7,0)),0)</f>
        <v>0</v>
      </c>
      <c r="G12" s="1184">
        <f t="array" ref="G12">IFERROR(INDEX($U$8:$AA$40,MATCH(1, ($T$8:$T$40=G$1) * ($S$8:$S$40 = $A12), 0), MATCH($B12, $U$7:$AA$7,0)),0)</f>
        <v>0</v>
      </c>
      <c r="H12" s="1185">
        <f t="array" ref="H12">IFERROR(INDEX($U$8:$AA$40,MATCH(1, ($T$8:$T$40=H$1) * ($S$8:$S$40 = $A12), 0), MATCH($B12, $U$7:$AA$7,0)),0)</f>
        <v>0</v>
      </c>
      <c r="I12" s="788"/>
      <c r="J12" s="1186" t="s">
        <v>60</v>
      </c>
      <c r="K12" s="1182">
        <f t="shared" ref="K12:K18" si="3">SUM(L12:P12)</f>
        <v>1295.95501545</v>
      </c>
      <c r="L12" s="1183">
        <f>$E12/2</f>
        <v>647.97750772500001</v>
      </c>
      <c r="M12" s="1184">
        <f>$E12/2</f>
        <v>647.97750772500001</v>
      </c>
      <c r="N12" s="1184">
        <v>0</v>
      </c>
      <c r="O12" s="1185">
        <v>0</v>
      </c>
      <c r="P12" s="788"/>
      <c r="Q12" s="1203"/>
      <c r="R12" s="1203"/>
      <c r="S12" s="1203" t="s">
        <v>140</v>
      </c>
      <c r="T12" s="788">
        <v>2</v>
      </c>
      <c r="U12" s="1202">
        <v>1370.4162995199999</v>
      </c>
      <c r="V12" s="1202">
        <v>4184.9921081499997</v>
      </c>
      <c r="W12" s="1202">
        <v>5407.3007054999998</v>
      </c>
      <c r="X12" s="1202">
        <v>5295.4404888999998</v>
      </c>
      <c r="Y12" s="1202">
        <v>4110.9098127300003</v>
      </c>
      <c r="Z12" s="1202">
        <v>1444.37036349</v>
      </c>
      <c r="AA12" s="1202">
        <v>1851.7008101500001</v>
      </c>
    </row>
    <row r="13" spans="1:27" ht="20.100000000000001" customHeight="1" x14ac:dyDescent="0.2">
      <c r="A13" s="1202" t="s">
        <v>79</v>
      </c>
      <c r="B13" s="1187" t="s">
        <v>45</v>
      </c>
      <c r="C13" s="1188">
        <f t="shared" si="2"/>
        <v>2370.0803069100002</v>
      </c>
      <c r="D13" s="1189">
        <f t="array" ref="D13">IFERROR(INDEX($U$8:$AA$40,MATCH(1, ($T$8:$T$40=D$1) * ($S$8:$S$40 = $A13), 0), MATCH($B13, $U$7:$AA$7,0)),0)</f>
        <v>0</v>
      </c>
      <c r="E13" s="1190">
        <f t="array" ref="E13">IFERROR(INDEX($U$8:$AA$40,MATCH(1, ($T$8:$T$40=E$1) * ($S$8:$S$40 = $A13), 0), MATCH($B13, $U$7:$AA$7,0)),0)</f>
        <v>2370.0803069100002</v>
      </c>
      <c r="F13" s="1190">
        <f t="array" ref="F13">IFERROR(INDEX($U$8:$AA$40,MATCH(1, ($T$8:$T$40=F$1) * ($S$8:$S$40 = $A13), 0), MATCH($B13, $U$7:$AA$7,0)),0)</f>
        <v>0</v>
      </c>
      <c r="G13" s="1190">
        <f t="array" ref="G13">IFERROR(INDEX($U$8:$AA$40,MATCH(1, ($T$8:$T$40=G$1) * ($S$8:$S$40 = $A13), 0), MATCH($B13, $U$7:$AA$7,0)),0)</f>
        <v>0</v>
      </c>
      <c r="H13" s="1191">
        <f t="array" ref="H13">IFERROR(INDEX($U$8:$AA$40,MATCH(1, ($T$8:$T$40=H$1) * ($S$8:$S$40 = $A13), 0), MATCH($B13, $U$7:$AA$7,0)),0)</f>
        <v>0</v>
      </c>
      <c r="I13" s="788"/>
      <c r="J13" s="1192" t="s">
        <v>61</v>
      </c>
      <c r="K13" s="1188">
        <f t="shared" si="3"/>
        <v>2370.0803069100002</v>
      </c>
      <c r="L13" s="1189">
        <f t="shared" ref="L13:M18" si="4">$E13/2</f>
        <v>1185.0401534550001</v>
      </c>
      <c r="M13" s="1190">
        <f t="shared" si="4"/>
        <v>1185.0401534550001</v>
      </c>
      <c r="N13" s="1190">
        <v>0</v>
      </c>
      <c r="O13" s="1191">
        <v>0</v>
      </c>
      <c r="P13" s="788"/>
      <c r="Q13" s="1203"/>
      <c r="R13" s="1203"/>
      <c r="S13" s="1203" t="s">
        <v>140</v>
      </c>
      <c r="T13" s="788">
        <v>3</v>
      </c>
      <c r="U13" s="1202">
        <v>777.83640291999995</v>
      </c>
      <c r="V13" s="1202">
        <v>3481.2823824000002</v>
      </c>
      <c r="W13" s="1202">
        <v>5037.0558755499997</v>
      </c>
      <c r="X13" s="1202">
        <v>2222.1780688499998</v>
      </c>
      <c r="Y13" s="1202">
        <v>666.50456944999996</v>
      </c>
      <c r="Z13" s="1202">
        <v>296.27443866999999</v>
      </c>
      <c r="AA13" s="1202">
        <v>259.30170643000002</v>
      </c>
    </row>
    <row r="14" spans="1:27" ht="20.100000000000001" customHeight="1" x14ac:dyDescent="0.2">
      <c r="A14" s="1202" t="s">
        <v>79</v>
      </c>
      <c r="B14" s="1181" t="s">
        <v>46</v>
      </c>
      <c r="C14" s="1182">
        <f t="shared" si="2"/>
        <v>1333.33243967</v>
      </c>
      <c r="D14" s="1183">
        <f t="array" ref="D14">IFERROR(INDEX($U$8:$AA$40,MATCH(1, ($T$8:$T$40=D$1) * ($S$8:$S$40 = $A14), 0), MATCH($B14, $U$7:$AA$7,0)),0)</f>
        <v>0</v>
      </c>
      <c r="E14" s="1184">
        <f t="array" ref="E14">IFERROR(INDEX($U$8:$AA$40,MATCH(1, ($T$8:$T$40=E$1) * ($S$8:$S$40 = $A14), 0), MATCH($B14, $U$7:$AA$7,0)),0)</f>
        <v>1333.33243967</v>
      </c>
      <c r="F14" s="1184">
        <f t="array" ref="F14">IFERROR(INDEX($U$8:$AA$40,MATCH(1, ($T$8:$T$40=F$1) * ($S$8:$S$40 = $A14), 0), MATCH($B14, $U$7:$AA$7,0)),0)</f>
        <v>0</v>
      </c>
      <c r="G14" s="1184">
        <f t="array" ref="G14">IFERROR(INDEX($U$8:$AA$40,MATCH(1, ($T$8:$T$40=G$1) * ($S$8:$S$40 = $A14), 0), MATCH($B14, $U$7:$AA$7,0)),0)</f>
        <v>0</v>
      </c>
      <c r="H14" s="1185">
        <f t="array" ref="H14">IFERROR(INDEX($U$8:$AA$40,MATCH(1, ($T$8:$T$40=H$1) * ($S$8:$S$40 = $A14), 0), MATCH($B14, $U$7:$AA$7,0)),0)</f>
        <v>0</v>
      </c>
      <c r="I14" s="788"/>
      <c r="J14" s="1186" t="s">
        <v>62</v>
      </c>
      <c r="K14" s="1182">
        <f t="shared" si="3"/>
        <v>1333.33243967</v>
      </c>
      <c r="L14" s="1183">
        <f t="shared" si="4"/>
        <v>666.66621983499999</v>
      </c>
      <c r="M14" s="1184">
        <f t="shared" si="4"/>
        <v>666.66621983499999</v>
      </c>
      <c r="N14" s="1184">
        <v>0</v>
      </c>
      <c r="O14" s="1185">
        <v>0</v>
      </c>
      <c r="P14" s="788"/>
      <c r="Q14" s="1203"/>
      <c r="R14" s="1203"/>
      <c r="S14" s="1203" t="s">
        <v>140</v>
      </c>
      <c r="T14" s="788">
        <v>4</v>
      </c>
      <c r="U14" s="1202">
        <v>185.17300091999999</v>
      </c>
      <c r="V14" s="1202">
        <v>1370.40133451</v>
      </c>
      <c r="W14" s="1202">
        <v>1851.5379619</v>
      </c>
      <c r="X14" s="1202">
        <v>999.9750037</v>
      </c>
      <c r="Y14" s="1202">
        <v>185.21247428000001</v>
      </c>
      <c r="Z14" s="1202">
        <v>37.067434980000002</v>
      </c>
      <c r="AA14" s="1202">
        <v>0</v>
      </c>
    </row>
    <row r="15" spans="1:27" ht="20.100000000000001" customHeight="1" x14ac:dyDescent="0.2">
      <c r="A15" s="1202" t="s">
        <v>79</v>
      </c>
      <c r="B15" s="1187" t="s">
        <v>47</v>
      </c>
      <c r="C15" s="1188">
        <f t="shared" si="2"/>
        <v>3407.2339227000002</v>
      </c>
      <c r="D15" s="1189">
        <f t="array" ref="D15">IFERROR(INDEX($U$8:$AA$40,MATCH(1, ($T$8:$T$40=D$1) * ($S$8:$S$40 = $A15), 0), MATCH($B15, $U$7:$AA$7,0)),0)</f>
        <v>0</v>
      </c>
      <c r="E15" s="1190">
        <f t="array" ref="E15">IFERROR(INDEX($U$8:$AA$40,MATCH(1, ($T$8:$T$40=E$1) * ($S$8:$S$40 = $A15), 0), MATCH($B15, $U$7:$AA$7,0)),0)</f>
        <v>3407.2339227000002</v>
      </c>
      <c r="F15" s="1190">
        <f t="array" ref="F15">IFERROR(INDEX($U$8:$AA$40,MATCH(1, ($T$8:$T$40=F$1) * ($S$8:$S$40 = $A15), 0), MATCH($B15, $U$7:$AA$7,0)),0)</f>
        <v>0</v>
      </c>
      <c r="G15" s="1190">
        <f t="array" ref="G15">IFERROR(INDEX($U$8:$AA$40,MATCH(1, ($T$8:$T$40=G$1) * ($S$8:$S$40 = $A15), 0), MATCH($B15, $U$7:$AA$7,0)),0)</f>
        <v>0</v>
      </c>
      <c r="H15" s="1191">
        <f t="array" ref="H15">IFERROR(INDEX($U$8:$AA$40,MATCH(1, ($T$8:$T$40=H$1) * ($S$8:$S$40 = $A15), 0), MATCH($B15, $U$7:$AA$7,0)),0)</f>
        <v>0</v>
      </c>
      <c r="I15" s="788"/>
      <c r="J15" s="1192" t="s">
        <v>63</v>
      </c>
      <c r="K15" s="1188">
        <f t="shared" si="3"/>
        <v>3407.2339227000002</v>
      </c>
      <c r="L15" s="1189">
        <f t="shared" si="4"/>
        <v>1703.6169613500001</v>
      </c>
      <c r="M15" s="1190">
        <f t="shared" si="4"/>
        <v>1703.6169613500001</v>
      </c>
      <c r="N15" s="1190">
        <v>0</v>
      </c>
      <c r="O15" s="1191">
        <v>0</v>
      </c>
      <c r="P15" s="788"/>
      <c r="Q15" s="1203"/>
      <c r="R15" s="1203"/>
      <c r="S15" s="1203" t="s">
        <v>140</v>
      </c>
      <c r="T15" s="788">
        <v>5</v>
      </c>
      <c r="U15" s="1202">
        <v>0</v>
      </c>
      <c r="V15" s="1202">
        <v>777.66927736000002</v>
      </c>
      <c r="W15" s="1202">
        <v>1073.84547221</v>
      </c>
      <c r="X15" s="1202">
        <v>222.20759820999999</v>
      </c>
      <c r="Y15" s="1202">
        <v>111.11619469</v>
      </c>
      <c r="Z15" s="1202">
        <v>0</v>
      </c>
      <c r="AA15" s="1202">
        <v>0</v>
      </c>
    </row>
    <row r="16" spans="1:27" ht="20.100000000000001" customHeight="1" x14ac:dyDescent="0.2">
      <c r="A16" s="1202" t="s">
        <v>79</v>
      </c>
      <c r="B16" s="1181" t="s">
        <v>48</v>
      </c>
      <c r="C16" s="1182">
        <f t="shared" si="2"/>
        <v>11407.103066019999</v>
      </c>
      <c r="D16" s="1183">
        <f t="array" ref="D16">IFERROR(INDEX($U$8:$AA$40,MATCH(1, ($T$8:$T$40=D$1) * ($S$8:$S$40 = $A16), 0), MATCH($B16, $U$7:$AA$7,0)),0)</f>
        <v>0</v>
      </c>
      <c r="E16" s="1184">
        <f t="array" ref="E16">IFERROR(INDEX($U$8:$AA$40,MATCH(1, ($T$8:$T$40=E$1) * ($S$8:$S$40 = $A16), 0), MATCH($B16, $U$7:$AA$7,0)),0)</f>
        <v>11407.103066019999</v>
      </c>
      <c r="F16" s="1184">
        <f t="array" ref="F16">IFERROR(INDEX($U$8:$AA$40,MATCH(1, ($T$8:$T$40=F$1) * ($S$8:$S$40 = $A16), 0), MATCH($B16, $U$7:$AA$7,0)),0)</f>
        <v>0</v>
      </c>
      <c r="G16" s="1184">
        <f t="array" ref="G16">IFERROR(INDEX($U$8:$AA$40,MATCH(1, ($T$8:$T$40=G$1) * ($S$8:$S$40 = $A16), 0), MATCH($B16, $U$7:$AA$7,0)),0)</f>
        <v>0</v>
      </c>
      <c r="H16" s="1185">
        <f t="array" ref="H16">IFERROR(INDEX($U$8:$AA$40,MATCH(1, ($T$8:$T$40=H$1) * ($S$8:$S$40 = $A16), 0), MATCH($B16, $U$7:$AA$7,0)),0)</f>
        <v>0</v>
      </c>
      <c r="I16" s="788"/>
      <c r="J16" s="1186" t="s">
        <v>64</v>
      </c>
      <c r="K16" s="1182">
        <f t="shared" si="3"/>
        <v>11407.103066019999</v>
      </c>
      <c r="L16" s="1183">
        <f t="shared" si="4"/>
        <v>5703.5515330099997</v>
      </c>
      <c r="M16" s="1184">
        <f t="shared" si="4"/>
        <v>5703.5515330099997</v>
      </c>
      <c r="N16" s="1184">
        <v>0</v>
      </c>
      <c r="O16" s="1185">
        <v>0</v>
      </c>
      <c r="P16" s="788"/>
      <c r="Q16" s="1203"/>
      <c r="R16" s="1203"/>
      <c r="S16" s="1203" t="s">
        <v>141</v>
      </c>
      <c r="T16" s="788">
        <v>1</v>
      </c>
      <c r="U16" s="1202">
        <v>4407.2291615100003</v>
      </c>
      <c r="V16" s="1202">
        <v>12296.4107451</v>
      </c>
      <c r="W16" s="1202">
        <v>15222.13350998</v>
      </c>
      <c r="X16" s="1202">
        <v>22408.380902699999</v>
      </c>
      <c r="Y16" s="1202">
        <v>54223.327140510002</v>
      </c>
      <c r="Z16" s="1202">
        <v>44222.375746979997</v>
      </c>
      <c r="AA16" s="1202">
        <v>39368.792656209996</v>
      </c>
    </row>
    <row r="17" spans="1:27" ht="20.100000000000001" customHeight="1" x14ac:dyDescent="0.2">
      <c r="A17" s="1202" t="s">
        <v>79</v>
      </c>
      <c r="B17" s="1187" t="s">
        <v>49</v>
      </c>
      <c r="C17" s="1188">
        <f t="shared" si="2"/>
        <v>8999.3830182599995</v>
      </c>
      <c r="D17" s="1189">
        <f t="array" ref="D17">IFERROR(INDEX($U$8:$AA$40,MATCH(1, ($T$8:$T$40=D$1) * ($S$8:$S$40 = $A17), 0), MATCH($B17, $U$7:$AA$7,0)),0)</f>
        <v>0</v>
      </c>
      <c r="E17" s="1190">
        <f t="array" ref="E17">IFERROR(INDEX($U$8:$AA$40,MATCH(1, ($T$8:$T$40=E$1) * ($S$8:$S$40 = $A17), 0), MATCH($B17, $U$7:$AA$7,0)),0)</f>
        <v>8999.3830182599995</v>
      </c>
      <c r="F17" s="1190">
        <f t="array" ref="F17">IFERROR(INDEX($U$8:$AA$40,MATCH(1, ($T$8:$T$40=F$1) * ($S$8:$S$40 = $A17), 0), MATCH($B17, $U$7:$AA$7,0)),0)</f>
        <v>0</v>
      </c>
      <c r="G17" s="1190">
        <f t="array" ref="G17">IFERROR(INDEX($U$8:$AA$40,MATCH(1, ($T$8:$T$40=G$1) * ($S$8:$S$40 = $A17), 0), MATCH($B17, $U$7:$AA$7,0)),0)</f>
        <v>0</v>
      </c>
      <c r="H17" s="1191">
        <f t="array" ref="H17">IFERROR(INDEX($U$8:$AA$40,MATCH(1, ($T$8:$T$40=H$1) * ($S$8:$S$40 = $A17), 0), MATCH($B17, $U$7:$AA$7,0)),0)</f>
        <v>0</v>
      </c>
      <c r="I17" s="788"/>
      <c r="J17" s="1192" t="s">
        <v>65</v>
      </c>
      <c r="K17" s="1188">
        <f t="shared" si="3"/>
        <v>8999.3830182599995</v>
      </c>
      <c r="L17" s="1189">
        <f t="shared" si="4"/>
        <v>4499.6915091299998</v>
      </c>
      <c r="M17" s="1190">
        <f t="shared" si="4"/>
        <v>4499.6915091299998</v>
      </c>
      <c r="N17" s="1190">
        <v>0</v>
      </c>
      <c r="O17" s="1191">
        <v>0</v>
      </c>
      <c r="P17" s="788"/>
      <c r="Q17" s="1203"/>
      <c r="R17" s="1203"/>
      <c r="S17" s="1203" t="s">
        <v>141</v>
      </c>
      <c r="T17" s="788">
        <v>2</v>
      </c>
      <c r="U17" s="1202">
        <v>925.77377978000004</v>
      </c>
      <c r="V17" s="1202">
        <v>1333.2925564300001</v>
      </c>
      <c r="W17" s="1202">
        <v>1073.96068326</v>
      </c>
      <c r="X17" s="1202">
        <v>1518.61820309</v>
      </c>
      <c r="Y17" s="1202">
        <v>2333.0076894700001</v>
      </c>
      <c r="Z17" s="1202">
        <v>1185.03153836</v>
      </c>
      <c r="AA17" s="1202">
        <v>444.39534551999998</v>
      </c>
    </row>
    <row r="18" spans="1:27" ht="20.100000000000001" customHeight="1" x14ac:dyDescent="0.2">
      <c r="A18" s="1202" t="s">
        <v>79</v>
      </c>
      <c r="B18" s="1181" t="s">
        <v>139</v>
      </c>
      <c r="C18" s="1182">
        <f t="shared" si="2"/>
        <v>5258.98988164</v>
      </c>
      <c r="D18" s="1183">
        <f t="array" ref="D18">IFERROR(INDEX($U$8:$AA$40,MATCH(1, ($T$8:$T$40=D$1) * ($S$8:$S$40 = $A18), 0), MATCH($B18, $U$7:$AA$7,0)),0)</f>
        <v>0</v>
      </c>
      <c r="E18" s="1184">
        <f t="array" ref="E18">IFERROR(INDEX($U$8:$AA$40,MATCH(1, ($T$8:$T$40=E$1) * ($S$8:$S$40 = $A18), 0), MATCH($B18, $U$7:$AA$7,0)),0)</f>
        <v>5258.98988164</v>
      </c>
      <c r="F18" s="1184">
        <f t="array" ref="F18">IFERROR(INDEX($U$8:$AA$40,MATCH(1, ($T$8:$T$40=F$1) * ($S$8:$S$40 = $A18), 0), MATCH($B18, $U$7:$AA$7,0)),0)</f>
        <v>0</v>
      </c>
      <c r="G18" s="1184">
        <f t="array" ref="G18">IFERROR(INDEX($U$8:$AA$40,MATCH(1, ($T$8:$T$40=G$1) * ($S$8:$S$40 = $A18), 0), MATCH($B18, $U$7:$AA$7,0)),0)</f>
        <v>0</v>
      </c>
      <c r="H18" s="1185">
        <f t="array" ref="H18">IFERROR(INDEX($U$8:$AA$40,MATCH(1, ($T$8:$T$40=H$1) * ($S$8:$S$40 = $A18), 0), MATCH($B18, $U$7:$AA$7,0)),0)</f>
        <v>0</v>
      </c>
      <c r="I18" s="788"/>
      <c r="J18" s="1186" t="s">
        <v>11</v>
      </c>
      <c r="K18" s="1182">
        <f t="shared" si="3"/>
        <v>5258.98988164</v>
      </c>
      <c r="L18" s="1183">
        <f t="shared" si="4"/>
        <v>2629.49494082</v>
      </c>
      <c r="M18" s="1200">
        <f t="shared" si="4"/>
        <v>2629.49494082</v>
      </c>
      <c r="N18" s="1200">
        <v>0</v>
      </c>
      <c r="O18" s="1201">
        <v>0</v>
      </c>
      <c r="P18" s="788"/>
      <c r="Q18" s="1203"/>
      <c r="R18" s="1203"/>
      <c r="S18" s="1203" t="s">
        <v>141</v>
      </c>
      <c r="T18" s="788">
        <v>3</v>
      </c>
      <c r="U18" s="1202">
        <v>74.021811159999999</v>
      </c>
      <c r="V18" s="1202">
        <v>111.16683494999999</v>
      </c>
      <c r="W18" s="1202">
        <v>111.11048113</v>
      </c>
      <c r="X18" s="1202">
        <v>74.030163040000005</v>
      </c>
      <c r="Y18" s="1202">
        <v>185.14179974999999</v>
      </c>
      <c r="Z18" s="1202">
        <v>148.12973858999999</v>
      </c>
      <c r="AA18" s="1202">
        <v>0</v>
      </c>
    </row>
    <row r="19" spans="1:27" ht="20.100000000000001" customHeight="1" x14ac:dyDescent="0.2">
      <c r="B19" s="1193" t="s">
        <v>91</v>
      </c>
      <c r="C19" s="1194">
        <f t="shared" ref="C19:H19" si="5">SUM(C20:C26)</f>
        <v>18590.16305703</v>
      </c>
      <c r="D19" s="1195">
        <f t="shared" si="5"/>
        <v>0</v>
      </c>
      <c r="E19" s="1196">
        <f t="shared" si="5"/>
        <v>0</v>
      </c>
      <c r="F19" s="1196">
        <f t="shared" si="5"/>
        <v>6814.1573261399999</v>
      </c>
      <c r="G19" s="1196">
        <f t="shared" si="5"/>
        <v>5776.9723260200008</v>
      </c>
      <c r="H19" s="1197">
        <f t="shared" si="5"/>
        <v>5999.0334048699997</v>
      </c>
      <c r="I19" s="788"/>
      <c r="J19" s="1176" t="s">
        <v>91</v>
      </c>
      <c r="K19" s="1177">
        <f>SUM(K20:K26)</f>
        <v>18590.16305703</v>
      </c>
      <c r="L19" s="1178">
        <f>SUM(L20:L26)</f>
        <v>0</v>
      </c>
      <c r="M19" s="1179">
        <f>SUM(M20:M26)</f>
        <v>6814.1573261399999</v>
      </c>
      <c r="N19" s="1179">
        <f>SUM(N20:N26)</f>
        <v>5776.9723260200008</v>
      </c>
      <c r="O19" s="1180">
        <f>SUM(O20:O26)</f>
        <v>5999.0334048699997</v>
      </c>
      <c r="P19" s="788"/>
      <c r="Q19" s="1203"/>
      <c r="R19" s="1203"/>
      <c r="S19" s="1203" t="s">
        <v>141</v>
      </c>
      <c r="T19" s="788">
        <v>4</v>
      </c>
      <c r="U19" s="1202">
        <v>0</v>
      </c>
      <c r="V19" s="1202">
        <v>37.036313499999999</v>
      </c>
      <c r="W19" s="1202">
        <v>37.067434980000002</v>
      </c>
      <c r="X19" s="1202">
        <v>0</v>
      </c>
      <c r="Y19" s="1202">
        <v>37.036313499999999</v>
      </c>
      <c r="Z19" s="1202">
        <v>37.050073580000003</v>
      </c>
      <c r="AA19" s="1202">
        <v>0</v>
      </c>
    </row>
    <row r="20" spans="1:27" ht="20.100000000000001" customHeight="1" x14ac:dyDescent="0.2">
      <c r="A20" s="1202" t="s">
        <v>80</v>
      </c>
      <c r="B20" s="1181" t="s">
        <v>44</v>
      </c>
      <c r="C20" s="1182">
        <f>SUM(D20:H20)</f>
        <v>555.57796103999999</v>
      </c>
      <c r="D20" s="1183">
        <f t="array" ref="D20">IFERROR(INDEX($U$8:$AA$40,MATCH(1, ($T$8:$T$40=D$1) * ($S$8:$S$40 = $A20), 0), MATCH($B20, $U$7:$AA$7,0)),0)</f>
        <v>0</v>
      </c>
      <c r="E20" s="1184">
        <f t="array" ref="E20">IFERROR(INDEX($U$8:$AA$40,MATCH(1, ($T$8:$T$40=E$1) * ($S$8:$S$40 = $A20), 0), MATCH($B20, $U$7:$AA$7,0)),0)</f>
        <v>0</v>
      </c>
      <c r="F20" s="1184">
        <f t="array" ref="F20">IFERROR(INDEX($U$8:$AA$40,MATCH(1, ($T$8:$T$40=F$1) * ($S$8:$S$40 = $A20), 0), MATCH($B20, $U$7:$AA$7,0)),0)</f>
        <v>407.40802861999998</v>
      </c>
      <c r="G20" s="1184">
        <f t="array" ref="G20">IFERROR(INDEX($U$8:$AA$40,MATCH(1, ($T$8:$T$40=G$1) * ($S$8:$S$40 = $A20), 0), MATCH($B20, $U$7:$AA$7,0)),0)</f>
        <v>148.16993242000001</v>
      </c>
      <c r="H20" s="1185">
        <f t="array" ref="H20">IFERROR(INDEX($U$8:$AA$40,MATCH(1, ($T$8:$T$40=H$1) * ($S$8:$S$40 = $A20), 0), MATCH($B20, $U$7:$AA$7,0)),0)</f>
        <v>0</v>
      </c>
      <c r="I20" s="788"/>
      <c r="J20" s="1186" t="s">
        <v>60</v>
      </c>
      <c r="K20" s="1182">
        <f t="shared" ref="K20:K26" si="6">C20</f>
        <v>555.57796103999999</v>
      </c>
      <c r="L20" s="1183">
        <f>MROUND($C20*Q20,5)</f>
        <v>0</v>
      </c>
      <c r="M20" s="1184">
        <f>F20</f>
        <v>407.40802861999998</v>
      </c>
      <c r="N20" s="1184">
        <f>G20</f>
        <v>148.16993242000001</v>
      </c>
      <c r="O20" s="1185">
        <f>H20</f>
        <v>0</v>
      </c>
      <c r="P20" s="788"/>
      <c r="Q20" s="1203"/>
      <c r="R20" s="1203"/>
      <c r="S20" s="1203" t="s">
        <v>141</v>
      </c>
      <c r="T20" s="788">
        <v>5</v>
      </c>
      <c r="U20" s="1202">
        <v>74.072626999999997</v>
      </c>
      <c r="V20" s="1202">
        <v>0</v>
      </c>
      <c r="W20" s="1202">
        <v>37.067434980000002</v>
      </c>
      <c r="X20" s="1202">
        <v>0</v>
      </c>
      <c r="Y20" s="1202">
        <v>37.019257459999999</v>
      </c>
      <c r="Z20" s="1202">
        <v>37.063086470000002</v>
      </c>
      <c r="AA20" s="1202">
        <v>0</v>
      </c>
    </row>
    <row r="21" spans="1:27" ht="20.100000000000001" customHeight="1" x14ac:dyDescent="0.2">
      <c r="A21" s="1202" t="s">
        <v>80</v>
      </c>
      <c r="B21" s="1187" t="s">
        <v>45</v>
      </c>
      <c r="C21" s="1188">
        <f t="shared" ref="C21:C26" si="7">SUM(D21:H21)</f>
        <v>4591.9981415000002</v>
      </c>
      <c r="D21" s="1189">
        <f t="array" ref="D21">IFERROR(INDEX($U$8:$AA$40,MATCH(1, ($T$8:$T$40=D$1) * ($S$8:$S$40 = $A21), 0), MATCH($B21, $U$7:$AA$7,0)),0)</f>
        <v>0</v>
      </c>
      <c r="E21" s="1190">
        <f t="array" ref="E21">IFERROR(INDEX($U$8:$AA$40,MATCH(1, ($T$8:$T$40=E$1) * ($S$8:$S$40 = $A21), 0), MATCH($B21, $U$7:$AA$7,0)),0)</f>
        <v>0</v>
      </c>
      <c r="F21" s="1190">
        <f t="array" ref="F21">IFERROR(INDEX($U$8:$AA$40,MATCH(1, ($T$8:$T$40=F$1) * ($S$8:$S$40 = $A21), 0), MATCH($B21, $U$7:$AA$7,0)),0)</f>
        <v>1333.09034258</v>
      </c>
      <c r="G21" s="1190">
        <f t="array" ref="G21">IFERROR(INDEX($U$8:$AA$40,MATCH(1, ($T$8:$T$40=G$1) * ($S$8:$S$40 = $A21), 0), MATCH($B21, $U$7:$AA$7,0)),0)</f>
        <v>1555.49550847</v>
      </c>
      <c r="H21" s="1191">
        <f t="array" ref="H21">IFERROR(INDEX($U$8:$AA$40,MATCH(1, ($T$8:$T$40=H$1) * ($S$8:$S$40 = $A21), 0), MATCH($B21, $U$7:$AA$7,0)),0)</f>
        <v>1703.41229045</v>
      </c>
      <c r="I21" s="788"/>
      <c r="J21" s="1192" t="s">
        <v>61</v>
      </c>
      <c r="K21" s="1188">
        <f t="shared" si="6"/>
        <v>4591.9981415000002</v>
      </c>
      <c r="L21" s="1189">
        <f t="shared" ref="L21:L26" si="8">MROUND($C21*Q21,5)</f>
        <v>0</v>
      </c>
      <c r="M21" s="1190">
        <f t="shared" ref="M21:M26" si="9">F21</f>
        <v>1333.09034258</v>
      </c>
      <c r="N21" s="1190">
        <f t="shared" ref="N21:N26" si="10">G21</f>
        <v>1555.49550847</v>
      </c>
      <c r="O21" s="1191">
        <f t="shared" ref="O21:O26" si="11">H21</f>
        <v>1703.41229045</v>
      </c>
      <c r="P21" s="788"/>
      <c r="Q21" s="1203"/>
      <c r="R21" s="1203"/>
      <c r="S21" s="1203" t="s">
        <v>136</v>
      </c>
      <c r="T21" s="788">
        <v>3</v>
      </c>
      <c r="U21" s="1202">
        <v>185.04459790999999</v>
      </c>
      <c r="V21" s="1202">
        <v>296.29758661</v>
      </c>
      <c r="W21" s="1202">
        <v>407.34841796000001</v>
      </c>
      <c r="X21" s="1202">
        <v>407.35395593999999</v>
      </c>
      <c r="Y21" s="1202">
        <v>407.38131956000001</v>
      </c>
      <c r="Z21" s="1202">
        <v>370.30847036</v>
      </c>
      <c r="AA21" s="1202">
        <v>74.055570959999997</v>
      </c>
    </row>
    <row r="22" spans="1:27" ht="20.100000000000001" customHeight="1" x14ac:dyDescent="0.2">
      <c r="A22" s="1202" t="s">
        <v>80</v>
      </c>
      <c r="B22" s="1181" t="s">
        <v>46</v>
      </c>
      <c r="C22" s="1182">
        <f t="shared" si="7"/>
        <v>5517.8242398599996</v>
      </c>
      <c r="D22" s="1183">
        <f t="array" ref="D22">IFERROR(INDEX($U$8:$AA$40,MATCH(1, ($T$8:$T$40=D$1) * ($S$8:$S$40 = $A22), 0), MATCH($B22, $U$7:$AA$7,0)),0)</f>
        <v>0</v>
      </c>
      <c r="E22" s="1184">
        <f t="array" ref="E22">IFERROR(INDEX($U$8:$AA$40,MATCH(1, ($T$8:$T$40=E$1) * ($S$8:$S$40 = $A22), 0), MATCH($B22, $U$7:$AA$7,0)),0)</f>
        <v>0</v>
      </c>
      <c r="F22" s="1184">
        <f t="array" ref="F22">IFERROR(INDEX($U$8:$AA$40,MATCH(1, ($T$8:$T$40=F$1) * ($S$8:$S$40 = $A22), 0), MATCH($B22, $U$7:$AA$7,0)),0)</f>
        <v>1259.1192061300001</v>
      </c>
      <c r="G22" s="1184">
        <f t="array" ref="G22">IFERROR(INDEX($U$8:$AA$40,MATCH(1, ($T$8:$T$40=G$1) * ($S$8:$S$40 = $A22), 0), MATCH($B22, $U$7:$AA$7,0)),0)</f>
        <v>1962.7322597699999</v>
      </c>
      <c r="H22" s="1185">
        <f t="array" ref="H22">IFERROR(INDEX($U$8:$AA$40,MATCH(1, ($T$8:$T$40=H$1) * ($S$8:$S$40 = $A22), 0), MATCH($B22, $U$7:$AA$7,0)),0)</f>
        <v>2295.9727739599998</v>
      </c>
      <c r="I22" s="788"/>
      <c r="J22" s="1186" t="s">
        <v>62</v>
      </c>
      <c r="K22" s="1182">
        <f t="shared" si="6"/>
        <v>5517.8242398599996</v>
      </c>
      <c r="L22" s="1183">
        <f t="shared" si="8"/>
        <v>0</v>
      </c>
      <c r="M22" s="1184">
        <f t="shared" si="9"/>
        <v>1259.1192061300001</v>
      </c>
      <c r="N22" s="1184">
        <f t="shared" si="10"/>
        <v>1962.7322597699999</v>
      </c>
      <c r="O22" s="1185">
        <f t="shared" si="11"/>
        <v>2295.9727739599998</v>
      </c>
      <c r="P22" s="788"/>
      <c r="Q22" s="1203"/>
      <c r="R22" s="1203"/>
      <c r="S22" s="1203" t="s">
        <v>136</v>
      </c>
      <c r="T22" s="788">
        <v>4</v>
      </c>
      <c r="U22" s="1202">
        <v>74.103748479999993</v>
      </c>
      <c r="V22" s="1202">
        <v>333.31108537</v>
      </c>
      <c r="W22" s="1202">
        <v>370.32845706000001</v>
      </c>
      <c r="X22" s="1202">
        <v>333.31421176999999</v>
      </c>
      <c r="Y22" s="1202">
        <v>407.34698105000001</v>
      </c>
      <c r="Z22" s="1202">
        <v>148.14679462999999</v>
      </c>
      <c r="AA22" s="1202">
        <v>74.048759709999999</v>
      </c>
    </row>
    <row r="23" spans="1:27" ht="20.100000000000001" customHeight="1" x14ac:dyDescent="0.2">
      <c r="A23" s="1202" t="s">
        <v>80</v>
      </c>
      <c r="B23" s="1187" t="s">
        <v>47</v>
      </c>
      <c r="C23" s="1188">
        <f t="shared" si="7"/>
        <v>5073.22423359</v>
      </c>
      <c r="D23" s="1189">
        <f t="array" ref="D23">IFERROR(INDEX($U$8:$AA$40,MATCH(1, ($T$8:$T$40=D$1) * ($S$8:$S$40 = $A23), 0), MATCH($B23, $U$7:$AA$7,0)),0)</f>
        <v>0</v>
      </c>
      <c r="E23" s="1190">
        <f t="array" ref="E23">IFERROR(INDEX($U$8:$AA$40,MATCH(1, ($T$8:$T$40=E$1) * ($S$8:$S$40 = $A23), 0), MATCH($B23, $U$7:$AA$7,0)),0)</f>
        <v>0</v>
      </c>
      <c r="F23" s="1190">
        <f t="array" ref="F23">IFERROR(INDEX($U$8:$AA$40,MATCH(1, ($T$8:$T$40=F$1) * ($S$8:$S$40 = $A23), 0), MATCH($B23, $U$7:$AA$7,0)),0)</f>
        <v>1888.8127051900001</v>
      </c>
      <c r="G23" s="1190">
        <f t="array" ref="G23">IFERROR(INDEX($U$8:$AA$40,MATCH(1, ($T$8:$T$40=G$1) * ($S$8:$S$40 = $A23), 0), MATCH($B23, $U$7:$AA$7,0)),0)</f>
        <v>1518.16448954</v>
      </c>
      <c r="H23" s="1191">
        <f t="array" ref="H23">IFERROR(INDEX($U$8:$AA$40,MATCH(1, ($T$8:$T$40=H$1) * ($S$8:$S$40 = $A23), 0), MATCH($B23, $U$7:$AA$7,0)),0)</f>
        <v>1666.24703886</v>
      </c>
      <c r="I23" s="788"/>
      <c r="J23" s="1192" t="s">
        <v>63</v>
      </c>
      <c r="K23" s="1188">
        <f t="shared" si="6"/>
        <v>5073.22423359</v>
      </c>
      <c r="L23" s="1189">
        <f t="shared" si="8"/>
        <v>0</v>
      </c>
      <c r="M23" s="1190">
        <f t="shared" si="9"/>
        <v>1888.8127051900001</v>
      </c>
      <c r="N23" s="1190">
        <f t="shared" si="10"/>
        <v>1518.16448954</v>
      </c>
      <c r="O23" s="1191">
        <f t="shared" si="11"/>
        <v>1666.24703886</v>
      </c>
      <c r="P23" s="788"/>
      <c r="Q23" s="1203"/>
      <c r="R23" s="1203"/>
      <c r="S23" s="1203" t="s">
        <v>136</v>
      </c>
      <c r="T23" s="788">
        <v>5</v>
      </c>
      <c r="U23" s="1202">
        <v>111.11940462</v>
      </c>
      <c r="V23" s="1202">
        <v>333.28394120000002</v>
      </c>
      <c r="W23" s="1202">
        <v>481.43785243999997</v>
      </c>
      <c r="X23" s="1202">
        <v>703.56310766000001</v>
      </c>
      <c r="Y23" s="1202">
        <v>296.22628899</v>
      </c>
      <c r="Z23" s="1202">
        <v>185.12745570000001</v>
      </c>
      <c r="AA23" s="1202">
        <v>37.037854129999999</v>
      </c>
    </row>
    <row r="24" spans="1:27" ht="20.100000000000001" customHeight="1" x14ac:dyDescent="0.2">
      <c r="A24" s="1202" t="s">
        <v>80</v>
      </c>
      <c r="B24" s="1181" t="s">
        <v>48</v>
      </c>
      <c r="C24" s="1182">
        <f t="shared" si="7"/>
        <v>2147.8128353399998</v>
      </c>
      <c r="D24" s="1183">
        <f t="array" ref="D24">IFERROR(INDEX($U$8:$AA$40,MATCH(1, ($T$8:$T$40=D$1) * ($S$8:$S$40 = $A24), 0), MATCH($B24, $U$7:$AA$7,0)),0)</f>
        <v>0</v>
      </c>
      <c r="E24" s="1184">
        <f t="array" ref="E24">IFERROR(INDEX($U$8:$AA$40,MATCH(1, ($T$8:$T$40=E$1) * ($S$8:$S$40 = $A24), 0), MATCH($B24, $U$7:$AA$7,0)),0)</f>
        <v>0</v>
      </c>
      <c r="F24" s="1184">
        <f t="array" ref="F24">IFERROR(INDEX($U$8:$AA$40,MATCH(1, ($T$8:$T$40=F$1) * ($S$8:$S$40 = $A24), 0), MATCH($B24, $U$7:$AA$7,0)),0)</f>
        <v>1296.0797384800001</v>
      </c>
      <c r="G24" s="1184">
        <f t="array" ref="G24">IFERROR(INDEX($U$8:$AA$40,MATCH(1, ($T$8:$T$40=G$1) * ($S$8:$S$40 = $A24), 0), MATCH($B24, $U$7:$AA$7,0)),0)</f>
        <v>555.39923023999995</v>
      </c>
      <c r="H24" s="1185">
        <f t="array" ref="H24">IFERROR(INDEX($U$8:$AA$40,MATCH(1, ($T$8:$T$40=H$1) * ($S$8:$S$40 = $A24), 0), MATCH($B24, $U$7:$AA$7,0)),0)</f>
        <v>296.33386661999998</v>
      </c>
      <c r="I24" s="788"/>
      <c r="J24" s="1186" t="s">
        <v>64</v>
      </c>
      <c r="K24" s="1182">
        <f t="shared" si="6"/>
        <v>2147.8128353399998</v>
      </c>
      <c r="L24" s="1183">
        <f t="shared" si="8"/>
        <v>0</v>
      </c>
      <c r="M24" s="1184">
        <f t="shared" si="9"/>
        <v>1296.0797384800001</v>
      </c>
      <c r="N24" s="1184">
        <f t="shared" si="10"/>
        <v>555.39923023999995</v>
      </c>
      <c r="O24" s="1185">
        <f t="shared" si="11"/>
        <v>296.33386661999998</v>
      </c>
      <c r="P24" s="788"/>
      <c r="Q24" s="1203"/>
      <c r="R24" s="1203"/>
      <c r="S24" s="1203"/>
      <c r="T24" s="1203"/>
    </row>
    <row r="25" spans="1:27" ht="20.100000000000001" customHeight="1" x14ac:dyDescent="0.2">
      <c r="A25" s="1202" t="s">
        <v>80</v>
      </c>
      <c r="B25" s="1187" t="s">
        <v>49</v>
      </c>
      <c r="C25" s="1188">
        <f t="shared" si="7"/>
        <v>481.47784172000001</v>
      </c>
      <c r="D25" s="1189">
        <f t="array" ref="D25">IFERROR(INDEX($U$8:$AA$40,MATCH(1, ($T$8:$T$40=D$1) * ($S$8:$S$40 = $A25), 0), MATCH($B25, $U$7:$AA$7,0)),0)</f>
        <v>0</v>
      </c>
      <c r="E25" s="1190">
        <f t="array" ref="E25">IFERROR(INDEX($U$8:$AA$40,MATCH(1, ($T$8:$T$40=E$1) * ($S$8:$S$40 = $A25), 0), MATCH($B25, $U$7:$AA$7,0)),0)</f>
        <v>0</v>
      </c>
      <c r="F25" s="1190">
        <f t="array" ref="F25">IFERROR(INDEX($U$8:$AA$40,MATCH(1, ($T$8:$T$40=F$1) * ($S$8:$S$40 = $A25), 0), MATCH($B25, $U$7:$AA$7,0)),0)</f>
        <v>407.39950116</v>
      </c>
      <c r="G25" s="1190">
        <f t="array" ref="G25">IFERROR(INDEX($U$8:$AA$40,MATCH(1, ($T$8:$T$40=G$1) * ($S$8:$S$40 = $A25), 0), MATCH($B25, $U$7:$AA$7,0)),0)</f>
        <v>37.010905579999999</v>
      </c>
      <c r="H25" s="1191">
        <f t="array" ref="H25">IFERROR(INDEX($U$8:$AA$40,MATCH(1, ($T$8:$T$40=H$1) * ($S$8:$S$40 = $A25), 0), MATCH($B25, $U$7:$AA$7,0)),0)</f>
        <v>37.067434980000002</v>
      </c>
      <c r="I25" s="788"/>
      <c r="J25" s="1192" t="s">
        <v>65</v>
      </c>
      <c r="K25" s="1188">
        <f t="shared" si="6"/>
        <v>481.47784172000001</v>
      </c>
      <c r="L25" s="1189">
        <f t="shared" si="8"/>
        <v>0</v>
      </c>
      <c r="M25" s="1190">
        <f t="shared" si="9"/>
        <v>407.39950116</v>
      </c>
      <c r="N25" s="1190">
        <f t="shared" si="10"/>
        <v>37.010905579999999</v>
      </c>
      <c r="O25" s="1191">
        <f t="shared" si="11"/>
        <v>37.067434980000002</v>
      </c>
      <c r="P25" s="788"/>
      <c r="Q25" s="1203"/>
      <c r="R25" s="1203"/>
      <c r="S25" s="1203"/>
      <c r="T25" s="1203"/>
    </row>
    <row r="26" spans="1:27" ht="20.100000000000001" customHeight="1" x14ac:dyDescent="0.2">
      <c r="A26" s="1202" t="s">
        <v>80</v>
      </c>
      <c r="B26" s="1181" t="s">
        <v>139</v>
      </c>
      <c r="C26" s="1182">
        <f t="shared" si="7"/>
        <v>222.24780397999999</v>
      </c>
      <c r="D26" s="1183">
        <f t="array" ref="D26">IFERROR(INDEX($U$8:$AA$40,MATCH(1, ($T$8:$T$40=D$1) * ($S$8:$S$40 = $A26), 0), MATCH($B26, $U$7:$AA$7,0)),0)</f>
        <v>0</v>
      </c>
      <c r="E26" s="1184">
        <f t="array" ref="E26">IFERROR(INDEX($U$8:$AA$40,MATCH(1, ($T$8:$T$40=E$1) * ($S$8:$S$40 = $A26), 0), MATCH($B26, $U$7:$AA$7,0)),0)</f>
        <v>0</v>
      </c>
      <c r="F26" s="1184">
        <f t="array" ref="F26">IFERROR(INDEX($U$8:$AA$40,MATCH(1, ($T$8:$T$40=F$1) * ($S$8:$S$40 = $A26), 0), MATCH($B26, $U$7:$AA$7,0)),0)</f>
        <v>222.24780397999999</v>
      </c>
      <c r="G26" s="1184">
        <f t="array" ref="G26">IFERROR(INDEX($U$8:$AA$40,MATCH(1, ($T$8:$T$40=G$1) * ($S$8:$S$40 = $A26), 0), MATCH($B26, $U$7:$AA$7,0)),0)</f>
        <v>0</v>
      </c>
      <c r="H26" s="1185">
        <f t="array" ref="H26">IFERROR(INDEX($U$8:$AA$40,MATCH(1, ($T$8:$T$40=H$1) * ($S$8:$S$40 = $A26), 0), MATCH($B26, $U$7:$AA$7,0)),0)</f>
        <v>0</v>
      </c>
      <c r="I26" s="788"/>
      <c r="J26" s="1186" t="s">
        <v>11</v>
      </c>
      <c r="K26" s="1182">
        <f t="shared" si="6"/>
        <v>222.24780397999999</v>
      </c>
      <c r="L26" s="1183">
        <f t="shared" si="8"/>
        <v>0</v>
      </c>
      <c r="M26" s="1184">
        <f t="shared" si="9"/>
        <v>222.24780397999999</v>
      </c>
      <c r="N26" s="1184">
        <f t="shared" si="10"/>
        <v>0</v>
      </c>
      <c r="O26" s="1185">
        <f t="shared" si="11"/>
        <v>0</v>
      </c>
      <c r="P26" s="788"/>
      <c r="Q26" s="1203"/>
      <c r="R26" s="1203"/>
      <c r="S26" s="1203"/>
      <c r="T26" s="1203"/>
    </row>
    <row r="27" spans="1:27" ht="20.100000000000001" customHeight="1" x14ac:dyDescent="0.2">
      <c r="B27" s="1193" t="s">
        <v>92</v>
      </c>
      <c r="C27" s="1194">
        <f t="shared" ref="C27:H27" si="12">SUM(C28:C34)</f>
        <v>43219.769785469995</v>
      </c>
      <c r="D27" s="1195">
        <f t="shared" si="12"/>
        <v>0</v>
      </c>
      <c r="E27" s="1196">
        <f t="shared" si="12"/>
        <v>23665.130588440003</v>
      </c>
      <c r="F27" s="1196">
        <f t="shared" si="12"/>
        <v>12740.43344427</v>
      </c>
      <c r="G27" s="1196">
        <f t="shared" si="12"/>
        <v>4629.36721029</v>
      </c>
      <c r="H27" s="1197">
        <f t="shared" si="12"/>
        <v>2184.83854247</v>
      </c>
      <c r="I27" s="788"/>
      <c r="J27" s="1176" t="s">
        <v>92</v>
      </c>
      <c r="K27" s="1177">
        <f>SUM(K28:K34)</f>
        <v>43219.769785469995</v>
      </c>
      <c r="L27" s="1178">
        <f>SUM(L28:L34)</f>
        <v>0</v>
      </c>
      <c r="M27" s="1179">
        <f>SUM(M28:M34)</f>
        <v>11832.565294220001</v>
      </c>
      <c r="N27" s="1179">
        <f>SUM(N28:N34)</f>
        <v>18202.782016355002</v>
      </c>
      <c r="O27" s="1180">
        <f>SUM(O28:O34)</f>
        <v>13184.422474895002</v>
      </c>
      <c r="P27" s="788"/>
      <c r="Q27" s="1203"/>
      <c r="R27" s="1203"/>
      <c r="S27" s="1203"/>
      <c r="T27" s="1203"/>
    </row>
    <row r="28" spans="1:27" ht="20.100000000000001" customHeight="1" x14ac:dyDescent="0.2">
      <c r="A28" s="1202" t="s">
        <v>140</v>
      </c>
      <c r="B28" s="1181" t="s">
        <v>44</v>
      </c>
      <c r="C28" s="1182">
        <f t="shared" ref="C28:C34" si="13">SUM(D28:H28)</f>
        <v>2333.4257033599997</v>
      </c>
      <c r="D28" s="1183">
        <f t="array" ref="D28">IFERROR(INDEX($U$8:$AA$40,MATCH(1, ($T$8:$T$40=D$1) * ($S$8:$S$40 = $A28), 0), MATCH($B28, $U$7:$AA$7,0)),0)</f>
        <v>0</v>
      </c>
      <c r="E28" s="1184">
        <f t="array" ref="E28">IFERROR(INDEX($U$8:$AA$40,MATCH(1, ($T$8:$T$40=E$1) * ($S$8:$S$40 = $A28), 0), MATCH($B28, $U$7:$AA$7,0)),0)</f>
        <v>1370.4162995199999</v>
      </c>
      <c r="F28" s="1184">
        <f t="array" ref="F28">IFERROR(INDEX($U$8:$AA$40,MATCH(1, ($T$8:$T$40=F$1) * ($S$8:$S$40 = $A28), 0), MATCH($B28, $U$7:$AA$7,0)),0)</f>
        <v>777.83640291999995</v>
      </c>
      <c r="G28" s="1184">
        <f t="array" ref="G28">IFERROR(INDEX($U$8:$AA$40,MATCH(1, ($T$8:$T$40=G$1) * ($S$8:$S$40 = $A28), 0), MATCH($B28, $U$7:$AA$7,0)),0)</f>
        <v>185.17300091999999</v>
      </c>
      <c r="H28" s="1185">
        <f t="array" ref="H28">IFERROR(INDEX($U$8:$AA$40,MATCH(1, ($T$8:$T$40=H$1) * ($S$8:$S$40 = $A28), 0), MATCH($B28, $U$7:$AA$7,0)),0)</f>
        <v>0</v>
      </c>
      <c r="I28" s="788"/>
      <c r="J28" s="1186" t="s">
        <v>60</v>
      </c>
      <c r="K28" s="1182">
        <f t="shared" ref="K28:K34" si="14">C28</f>
        <v>2333.4257033599997</v>
      </c>
      <c r="L28" s="1183"/>
      <c r="M28" s="1184">
        <f>SUM(E28)/2</f>
        <v>685.20814975999997</v>
      </c>
      <c r="N28" s="1184">
        <f>SUM(E28:F28)/2</f>
        <v>1074.1263512199998</v>
      </c>
      <c r="O28" s="1185">
        <f>SUM(G28:H28)+F28/2</f>
        <v>574.09120237999991</v>
      </c>
      <c r="P28" s="788"/>
      <c r="Q28" s="1203"/>
      <c r="R28" s="1203"/>
      <c r="S28" s="1203"/>
      <c r="T28" s="1203"/>
    </row>
    <row r="29" spans="1:27" ht="20.100000000000001" customHeight="1" x14ac:dyDescent="0.2">
      <c r="A29" s="1202" t="s">
        <v>140</v>
      </c>
      <c r="B29" s="1187" t="s">
        <v>45</v>
      </c>
      <c r="C29" s="1188">
        <f t="shared" si="13"/>
        <v>9814.3451024200003</v>
      </c>
      <c r="D29" s="1189">
        <f t="array" ref="D29">IFERROR(INDEX($U$8:$AA$40,MATCH(1, ($T$8:$T$40=D$1) * ($S$8:$S$40 = $A29), 0), MATCH($B29, $U$7:$AA$7,0)),0)</f>
        <v>0</v>
      </c>
      <c r="E29" s="1190">
        <f t="array" ref="E29">IFERROR(INDEX($U$8:$AA$40,MATCH(1, ($T$8:$T$40=E$1) * ($S$8:$S$40 = $A29), 0), MATCH($B29, $U$7:$AA$7,0)),0)</f>
        <v>4184.9921081499997</v>
      </c>
      <c r="F29" s="1190">
        <f t="array" ref="F29">IFERROR(INDEX($U$8:$AA$40,MATCH(1, ($T$8:$T$40=F$1) * ($S$8:$S$40 = $A29), 0), MATCH($B29, $U$7:$AA$7,0)),0)</f>
        <v>3481.2823824000002</v>
      </c>
      <c r="G29" s="1190">
        <f t="array" ref="G29">IFERROR(INDEX($U$8:$AA$40,MATCH(1, ($T$8:$T$40=G$1) * ($S$8:$S$40 = $A29), 0), MATCH($B29, $U$7:$AA$7,0)),0)</f>
        <v>1370.40133451</v>
      </c>
      <c r="H29" s="1191">
        <f t="array" ref="H29">IFERROR(INDEX($U$8:$AA$40,MATCH(1, ($T$8:$T$40=H$1) * ($S$8:$S$40 = $A29), 0), MATCH($B29, $U$7:$AA$7,0)),0)</f>
        <v>777.66927736000002</v>
      </c>
      <c r="I29" s="788"/>
      <c r="J29" s="1192" t="s">
        <v>61</v>
      </c>
      <c r="K29" s="1188">
        <f t="shared" si="14"/>
        <v>9814.3451024200003</v>
      </c>
      <c r="L29" s="1189"/>
      <c r="M29" s="1190">
        <f t="shared" ref="M29:M34" si="15">SUM(E29)/2</f>
        <v>2092.4960540749998</v>
      </c>
      <c r="N29" s="1190">
        <f t="shared" ref="N29:N34" si="16">SUM(E29:F29)/2</f>
        <v>3833.1372452750002</v>
      </c>
      <c r="O29" s="1191">
        <f t="shared" ref="O29:O34" si="17">SUM(G29:H29)+F29/2</f>
        <v>3888.7118030700003</v>
      </c>
      <c r="P29" s="788"/>
      <c r="Q29" s="1203"/>
      <c r="R29" s="1203"/>
      <c r="S29" s="1203"/>
      <c r="T29" s="1203"/>
    </row>
    <row r="30" spans="1:27" ht="20.100000000000001" customHeight="1" x14ac:dyDescent="0.2">
      <c r="A30" s="1202" t="s">
        <v>140</v>
      </c>
      <c r="B30" s="1181" t="s">
        <v>46</v>
      </c>
      <c r="C30" s="1182">
        <f t="shared" si="13"/>
        <v>13369.74001516</v>
      </c>
      <c r="D30" s="1183">
        <f t="array" ref="D30">IFERROR(INDEX($U$8:$AA$40,MATCH(1, ($T$8:$T$40=D$1) * ($S$8:$S$40 = $A30), 0), MATCH($B30, $U$7:$AA$7,0)),0)</f>
        <v>0</v>
      </c>
      <c r="E30" s="1184">
        <f t="array" ref="E30">IFERROR(INDEX($U$8:$AA$40,MATCH(1, ($T$8:$T$40=E$1) * ($S$8:$S$40 = $A30), 0), MATCH($B30, $U$7:$AA$7,0)),0)</f>
        <v>5407.3007054999998</v>
      </c>
      <c r="F30" s="1184">
        <f t="array" ref="F30">IFERROR(INDEX($U$8:$AA$40,MATCH(1, ($T$8:$T$40=F$1) * ($S$8:$S$40 = $A30), 0), MATCH($B30, $U$7:$AA$7,0)),0)</f>
        <v>5037.0558755499997</v>
      </c>
      <c r="G30" s="1184">
        <f t="array" ref="G30">IFERROR(INDEX($U$8:$AA$40,MATCH(1, ($T$8:$T$40=G$1) * ($S$8:$S$40 = $A30), 0), MATCH($B30, $U$7:$AA$7,0)),0)</f>
        <v>1851.5379619</v>
      </c>
      <c r="H30" s="1185">
        <f t="array" ref="H30">IFERROR(INDEX($U$8:$AA$40,MATCH(1, ($T$8:$T$40=H$1) * ($S$8:$S$40 = $A30), 0), MATCH($B30, $U$7:$AA$7,0)),0)</f>
        <v>1073.84547221</v>
      </c>
      <c r="I30" s="788"/>
      <c r="J30" s="1186" t="s">
        <v>62</v>
      </c>
      <c r="K30" s="1182">
        <f t="shared" si="14"/>
        <v>13369.74001516</v>
      </c>
      <c r="L30" s="1183"/>
      <c r="M30" s="1184">
        <f t="shared" si="15"/>
        <v>2703.6503527499999</v>
      </c>
      <c r="N30" s="1184">
        <f t="shared" si="16"/>
        <v>5222.1782905250002</v>
      </c>
      <c r="O30" s="1185">
        <f t="shared" si="17"/>
        <v>5443.9113718850003</v>
      </c>
      <c r="P30" s="788"/>
      <c r="Q30" s="1203"/>
      <c r="R30" s="1203"/>
      <c r="S30" s="1203"/>
      <c r="T30" s="1203"/>
    </row>
    <row r="31" spans="1:27" ht="20.100000000000001" customHeight="1" x14ac:dyDescent="0.2">
      <c r="A31" s="1202" t="s">
        <v>140</v>
      </c>
      <c r="B31" s="1187" t="s">
        <v>47</v>
      </c>
      <c r="C31" s="1188">
        <f t="shared" si="13"/>
        <v>8739.801159659999</v>
      </c>
      <c r="D31" s="1189">
        <f t="array" ref="D31">IFERROR(INDEX($U$8:$AA$40,MATCH(1, ($T$8:$T$40=D$1) * ($S$8:$S$40 = $A31), 0), MATCH($B31, $U$7:$AA$7,0)),0)</f>
        <v>0</v>
      </c>
      <c r="E31" s="1190">
        <f t="array" ref="E31">IFERROR(INDEX($U$8:$AA$40,MATCH(1, ($T$8:$T$40=E$1) * ($S$8:$S$40 = $A31), 0), MATCH($B31, $U$7:$AA$7,0)),0)</f>
        <v>5295.4404888999998</v>
      </c>
      <c r="F31" s="1190">
        <f t="array" ref="F31">IFERROR(INDEX($U$8:$AA$40,MATCH(1, ($T$8:$T$40=F$1) * ($S$8:$S$40 = $A31), 0), MATCH($B31, $U$7:$AA$7,0)),0)</f>
        <v>2222.1780688499998</v>
      </c>
      <c r="G31" s="1190">
        <f t="array" ref="G31">IFERROR(INDEX($U$8:$AA$40,MATCH(1, ($T$8:$T$40=G$1) * ($S$8:$S$40 = $A31), 0), MATCH($B31, $U$7:$AA$7,0)),0)</f>
        <v>999.9750037</v>
      </c>
      <c r="H31" s="1191">
        <f t="array" ref="H31">IFERROR(INDEX($U$8:$AA$40,MATCH(1, ($T$8:$T$40=H$1) * ($S$8:$S$40 = $A31), 0), MATCH($B31, $U$7:$AA$7,0)),0)</f>
        <v>222.20759820999999</v>
      </c>
      <c r="I31" s="788"/>
      <c r="J31" s="1192" t="s">
        <v>63</v>
      </c>
      <c r="K31" s="1188">
        <f t="shared" si="14"/>
        <v>8739.801159659999</v>
      </c>
      <c r="L31" s="1189"/>
      <c r="M31" s="1190">
        <f t="shared" si="15"/>
        <v>2647.7202444499999</v>
      </c>
      <c r="N31" s="1190">
        <f t="shared" si="16"/>
        <v>3758.809278875</v>
      </c>
      <c r="O31" s="1191">
        <f t="shared" si="17"/>
        <v>2333.271636335</v>
      </c>
      <c r="P31" s="788"/>
      <c r="Q31" s="1203"/>
      <c r="R31" s="1203"/>
      <c r="S31" s="1203"/>
      <c r="T31" s="1203"/>
    </row>
    <row r="32" spans="1:27" ht="20.100000000000001" customHeight="1" x14ac:dyDescent="0.2">
      <c r="A32" s="1202" t="s">
        <v>140</v>
      </c>
      <c r="B32" s="1181" t="s">
        <v>48</v>
      </c>
      <c r="C32" s="1182">
        <f t="shared" si="13"/>
        <v>5073.7430511500006</v>
      </c>
      <c r="D32" s="1183">
        <f t="array" ref="D32">IFERROR(INDEX($U$8:$AA$40,MATCH(1, ($T$8:$T$40=D$1) * ($S$8:$S$40 = $A32), 0), MATCH($B32, $U$7:$AA$7,0)),0)</f>
        <v>0</v>
      </c>
      <c r="E32" s="1184">
        <f t="array" ref="E32">IFERROR(INDEX($U$8:$AA$40,MATCH(1, ($T$8:$T$40=E$1) * ($S$8:$S$40 = $A32), 0), MATCH($B32, $U$7:$AA$7,0)),0)</f>
        <v>4110.9098127300003</v>
      </c>
      <c r="F32" s="1184">
        <f t="array" ref="F32">IFERROR(INDEX($U$8:$AA$40,MATCH(1, ($T$8:$T$40=F$1) * ($S$8:$S$40 = $A32), 0), MATCH($B32, $U$7:$AA$7,0)),0)</f>
        <v>666.50456944999996</v>
      </c>
      <c r="G32" s="1184">
        <f t="array" ref="G32">IFERROR(INDEX($U$8:$AA$40,MATCH(1, ($T$8:$T$40=G$1) * ($S$8:$S$40 = $A32), 0), MATCH($B32, $U$7:$AA$7,0)),0)</f>
        <v>185.21247428000001</v>
      </c>
      <c r="H32" s="1185">
        <f t="array" ref="H32">IFERROR(INDEX($U$8:$AA$40,MATCH(1, ($T$8:$T$40=H$1) * ($S$8:$S$40 = $A32), 0), MATCH($B32, $U$7:$AA$7,0)),0)</f>
        <v>111.11619469</v>
      </c>
      <c r="I32" s="788"/>
      <c r="J32" s="1186" t="s">
        <v>64</v>
      </c>
      <c r="K32" s="1182">
        <f t="shared" si="14"/>
        <v>5073.7430511500006</v>
      </c>
      <c r="L32" s="1183"/>
      <c r="M32" s="1184">
        <f t="shared" si="15"/>
        <v>2055.4549063650002</v>
      </c>
      <c r="N32" s="1184">
        <f t="shared" si="16"/>
        <v>2388.7071910900004</v>
      </c>
      <c r="O32" s="1185">
        <f t="shared" si="17"/>
        <v>629.58095369500006</v>
      </c>
      <c r="P32" s="788"/>
      <c r="Q32" s="1203"/>
      <c r="R32" s="1203"/>
      <c r="S32" s="1203"/>
      <c r="T32" s="1203"/>
    </row>
    <row r="33" spans="1:20" ht="20.100000000000001" customHeight="1" x14ac:dyDescent="0.2">
      <c r="A33" s="1202" t="s">
        <v>140</v>
      </c>
      <c r="B33" s="1187" t="s">
        <v>49</v>
      </c>
      <c r="C33" s="1188">
        <f t="shared" si="13"/>
        <v>1777.7122371399998</v>
      </c>
      <c r="D33" s="1189">
        <f t="array" ref="D33">IFERROR(INDEX($U$8:$AA$40,MATCH(1, ($T$8:$T$40=D$1) * ($S$8:$S$40 = $A33), 0), MATCH($B33, $U$7:$AA$7,0)),0)</f>
        <v>0</v>
      </c>
      <c r="E33" s="1190">
        <f t="array" ref="E33">IFERROR(INDEX($U$8:$AA$40,MATCH(1, ($T$8:$T$40=E$1) * ($S$8:$S$40 = $A33), 0), MATCH($B33, $U$7:$AA$7,0)),0)</f>
        <v>1444.37036349</v>
      </c>
      <c r="F33" s="1190">
        <f t="array" ref="F33">IFERROR(INDEX($U$8:$AA$40,MATCH(1, ($T$8:$T$40=F$1) * ($S$8:$S$40 = $A33), 0), MATCH($B33, $U$7:$AA$7,0)),0)</f>
        <v>296.27443866999999</v>
      </c>
      <c r="G33" s="1190">
        <f t="array" ref="G33">IFERROR(INDEX($U$8:$AA$40,MATCH(1, ($T$8:$T$40=G$1) * ($S$8:$S$40 = $A33), 0), MATCH($B33, $U$7:$AA$7,0)),0)</f>
        <v>37.067434980000002</v>
      </c>
      <c r="H33" s="1191">
        <f t="array" ref="H33">IFERROR(INDEX($U$8:$AA$40,MATCH(1, ($T$8:$T$40=H$1) * ($S$8:$S$40 = $A33), 0), MATCH($B33, $U$7:$AA$7,0)),0)</f>
        <v>0</v>
      </c>
      <c r="I33" s="788"/>
      <c r="J33" s="1192" t="s">
        <v>65</v>
      </c>
      <c r="K33" s="1188">
        <f t="shared" si="14"/>
        <v>1777.7122371399998</v>
      </c>
      <c r="L33" s="1189"/>
      <c r="M33" s="1190">
        <f t="shared" si="15"/>
        <v>722.18518174500002</v>
      </c>
      <c r="N33" s="1190">
        <f t="shared" si="16"/>
        <v>870.32240107999996</v>
      </c>
      <c r="O33" s="1191">
        <f t="shared" si="17"/>
        <v>185.204654315</v>
      </c>
      <c r="P33" s="788"/>
      <c r="Q33" s="1203"/>
      <c r="R33" s="1203"/>
      <c r="S33" s="1203"/>
      <c r="T33" s="1203"/>
    </row>
    <row r="34" spans="1:20" ht="20.100000000000001" customHeight="1" x14ac:dyDescent="0.2">
      <c r="A34" s="1202" t="s">
        <v>140</v>
      </c>
      <c r="B34" s="1181" t="s">
        <v>139</v>
      </c>
      <c r="C34" s="1182">
        <f t="shared" si="13"/>
        <v>2111.0025165800002</v>
      </c>
      <c r="D34" s="1183">
        <f t="array" ref="D34">IFERROR(INDEX($U$8:$AA$40,MATCH(1, ($T$8:$T$40=D$1) * ($S$8:$S$40 = $A34), 0), MATCH($B34, $U$7:$AA$7,0)),0)</f>
        <v>0</v>
      </c>
      <c r="E34" s="1184">
        <f t="array" ref="E34">IFERROR(INDEX($U$8:$AA$40,MATCH(1, ($T$8:$T$40=E$1) * ($S$8:$S$40 = $A34), 0), MATCH($B34, $U$7:$AA$7,0)),0)</f>
        <v>1851.7008101500001</v>
      </c>
      <c r="F34" s="1184">
        <f t="array" ref="F34">IFERROR(INDEX($U$8:$AA$40,MATCH(1, ($T$8:$T$40=F$1) * ($S$8:$S$40 = $A34), 0), MATCH($B34, $U$7:$AA$7,0)),0)</f>
        <v>259.30170643000002</v>
      </c>
      <c r="G34" s="1184">
        <f t="array" ref="G34">IFERROR(INDEX($U$8:$AA$40,MATCH(1, ($T$8:$T$40=G$1) * ($S$8:$S$40 = $A34), 0), MATCH($B34, $U$7:$AA$7,0)),0)</f>
        <v>0</v>
      </c>
      <c r="H34" s="1185">
        <f t="array" ref="H34">IFERROR(INDEX($U$8:$AA$40,MATCH(1, ($T$8:$T$40=H$1) * ($S$8:$S$40 = $A34), 0), MATCH($B34, $U$7:$AA$7,0)),0)</f>
        <v>0</v>
      </c>
      <c r="I34" s="788"/>
      <c r="J34" s="1186" t="s">
        <v>11</v>
      </c>
      <c r="K34" s="1182">
        <f t="shared" si="14"/>
        <v>2111.0025165800002</v>
      </c>
      <c r="L34" s="1183"/>
      <c r="M34" s="1200">
        <f t="shared" si="15"/>
        <v>925.85040507500003</v>
      </c>
      <c r="N34" s="1200">
        <f t="shared" si="16"/>
        <v>1055.5012582900001</v>
      </c>
      <c r="O34" s="1201">
        <f t="shared" si="17"/>
        <v>129.65085321500001</v>
      </c>
      <c r="P34" s="788"/>
      <c r="Q34" s="1203"/>
      <c r="R34" s="1203"/>
      <c r="S34" s="1203"/>
      <c r="T34" s="1203"/>
    </row>
    <row r="35" spans="1:20" ht="20.100000000000001" customHeight="1" x14ac:dyDescent="0.2">
      <c r="B35" s="1193" t="s">
        <v>93</v>
      </c>
      <c r="C35" s="1194">
        <f t="shared" ref="C35:H35" si="18">SUM(C36:C42)</f>
        <v>201999.74302898999</v>
      </c>
      <c r="D35" s="1195">
        <f t="shared" si="18"/>
        <v>192148.64986298999</v>
      </c>
      <c r="E35" s="1196">
        <f t="shared" si="18"/>
        <v>8814.07979591</v>
      </c>
      <c r="F35" s="1196">
        <f t="shared" si="18"/>
        <v>703.6008286199999</v>
      </c>
      <c r="G35" s="1196">
        <f t="shared" si="18"/>
        <v>148.19013556000002</v>
      </c>
      <c r="H35" s="1197">
        <f t="shared" si="18"/>
        <v>185.22240590999999</v>
      </c>
      <c r="I35" s="788"/>
      <c r="J35" s="1176" t="s">
        <v>93</v>
      </c>
      <c r="K35" s="1177">
        <f>SUM(K36:K42)</f>
        <v>201999.74302898999</v>
      </c>
      <c r="L35" s="1178">
        <f>SUM(L36:L42)</f>
        <v>192148.64986298999</v>
      </c>
      <c r="M35" s="1179">
        <f>SUM(M36:M42)</f>
        <v>8814.07979591</v>
      </c>
      <c r="N35" s="1179">
        <f>SUM(N36:N42)</f>
        <v>703.6008286199999</v>
      </c>
      <c r="O35" s="1180">
        <f>SUM(O36:O42)</f>
        <v>148.19013556000002</v>
      </c>
      <c r="P35" s="788"/>
      <c r="Q35" s="1203"/>
      <c r="R35" s="1203"/>
      <c r="S35" s="1203"/>
      <c r="T35" s="1203"/>
    </row>
    <row r="36" spans="1:20" ht="20.100000000000001" customHeight="1" x14ac:dyDescent="0.2">
      <c r="A36" s="1202" t="s">
        <v>141</v>
      </c>
      <c r="B36" s="1181" t="s">
        <v>44</v>
      </c>
      <c r="C36" s="1182">
        <f>SUM(D36:H36)</f>
        <v>5481.0973794499996</v>
      </c>
      <c r="D36" s="1183">
        <f t="array" ref="D36">IFERROR(INDEX($U$8:$AA$40,MATCH(1, ($T$8:$T$40=D$1) * ($S$8:$S$40 = $A36), 0), MATCH($B36, $U$7:$AA$7,0)),0)</f>
        <v>4407.2291615100003</v>
      </c>
      <c r="E36" s="1184">
        <f t="array" ref="E36">IFERROR(INDEX($U$8:$AA$40,MATCH(1, ($T$8:$T$40=E$1) * ($S$8:$S$40 = $A36), 0), MATCH($B36, $U$7:$AA$7,0)),0)</f>
        <v>925.77377978000004</v>
      </c>
      <c r="F36" s="1184">
        <f t="array" ref="F36">IFERROR(INDEX($U$8:$AA$40,MATCH(1, ($T$8:$T$40=F$1) * ($S$8:$S$40 = $A36), 0), MATCH($B36, $U$7:$AA$7,0)),0)</f>
        <v>74.021811159999999</v>
      </c>
      <c r="G36" s="1184">
        <f t="array" ref="G36">IFERROR(INDEX($U$8:$AA$40,MATCH(1, ($T$8:$T$40=G$1) * ($S$8:$S$40 = $A36), 0), MATCH($B36, $U$7:$AA$7,0)),0)</f>
        <v>0</v>
      </c>
      <c r="H36" s="1185">
        <f t="array" ref="H36">IFERROR(INDEX($U$8:$AA$40,MATCH(1, ($T$8:$T$40=H$1) * ($S$8:$S$40 = $A36), 0), MATCH($B36, $U$7:$AA$7,0)),0)</f>
        <v>74.072626999999997</v>
      </c>
      <c r="I36" s="788"/>
      <c r="J36" s="1186" t="s">
        <v>60</v>
      </c>
      <c r="K36" s="1182">
        <f>C36</f>
        <v>5481.0973794499996</v>
      </c>
      <c r="L36" s="1183">
        <f>D36</f>
        <v>4407.2291615100003</v>
      </c>
      <c r="M36" s="1184">
        <f>E36</f>
        <v>925.77377978000004</v>
      </c>
      <c r="N36" s="1184">
        <f>F36</f>
        <v>74.021811159999999</v>
      </c>
      <c r="O36" s="1185">
        <f>G36</f>
        <v>0</v>
      </c>
      <c r="P36" s="788"/>
      <c r="Q36" s="1203"/>
      <c r="R36" s="1203"/>
      <c r="S36" s="1203"/>
      <c r="T36" s="1203"/>
    </row>
    <row r="37" spans="1:20" ht="20.100000000000001" customHeight="1" x14ac:dyDescent="0.2">
      <c r="A37" s="1202" t="s">
        <v>141</v>
      </c>
      <c r="B37" s="1187" t="s">
        <v>45</v>
      </c>
      <c r="C37" s="1188">
        <f t="shared" ref="C37:C42" si="19">SUM(D37:H37)</f>
        <v>13777.906449980001</v>
      </c>
      <c r="D37" s="1189">
        <f t="array" ref="D37">IFERROR(INDEX($U$8:$AA$40,MATCH(1, ($T$8:$T$40=D$1) * ($S$8:$S$40 = $A37), 0), MATCH($B37, $U$7:$AA$7,0)),0)</f>
        <v>12296.4107451</v>
      </c>
      <c r="E37" s="1190">
        <f t="array" ref="E37">IFERROR(INDEX($U$8:$AA$40,MATCH(1, ($T$8:$T$40=E$1) * ($S$8:$S$40 = $A37), 0), MATCH($B37, $U$7:$AA$7,0)),0)</f>
        <v>1333.2925564300001</v>
      </c>
      <c r="F37" s="1190">
        <f t="array" ref="F37">IFERROR(INDEX($U$8:$AA$40,MATCH(1, ($T$8:$T$40=F$1) * ($S$8:$S$40 = $A37), 0), MATCH($B37, $U$7:$AA$7,0)),0)</f>
        <v>111.16683494999999</v>
      </c>
      <c r="G37" s="1190">
        <f t="array" ref="G37">IFERROR(INDEX($U$8:$AA$40,MATCH(1, ($T$8:$T$40=G$1) * ($S$8:$S$40 = $A37), 0), MATCH($B37, $U$7:$AA$7,0)),0)</f>
        <v>37.036313499999999</v>
      </c>
      <c r="H37" s="1191">
        <f t="array" ref="H37">IFERROR(INDEX($U$8:$AA$40,MATCH(1, ($T$8:$T$40=H$1) * ($S$8:$S$40 = $A37), 0), MATCH($B37, $U$7:$AA$7,0)),0)</f>
        <v>0</v>
      </c>
      <c r="I37" s="788"/>
      <c r="J37" s="1192" t="s">
        <v>61</v>
      </c>
      <c r="K37" s="1188">
        <f t="shared" ref="K37:K42" si="20">C37</f>
        <v>13777.906449980001</v>
      </c>
      <c r="L37" s="1189">
        <f t="shared" ref="L37:L42" si="21">D37</f>
        <v>12296.4107451</v>
      </c>
      <c r="M37" s="1190">
        <f t="shared" ref="M37:M42" si="22">E37</f>
        <v>1333.2925564300001</v>
      </c>
      <c r="N37" s="1190">
        <f t="shared" ref="N37:N42" si="23">F37</f>
        <v>111.16683494999999</v>
      </c>
      <c r="O37" s="1191">
        <f t="shared" ref="O37:O42" si="24">G37</f>
        <v>37.036313499999999</v>
      </c>
      <c r="P37" s="788"/>
      <c r="Q37" s="1203"/>
      <c r="R37" s="1203"/>
      <c r="S37" s="1203"/>
      <c r="T37" s="1203"/>
    </row>
    <row r="38" spans="1:20" ht="20.100000000000001" customHeight="1" x14ac:dyDescent="0.2">
      <c r="A38" s="1202" t="s">
        <v>141</v>
      </c>
      <c r="B38" s="1181" t="s">
        <v>46</v>
      </c>
      <c r="C38" s="1182">
        <f t="shared" si="19"/>
        <v>16481.33954433</v>
      </c>
      <c r="D38" s="1183">
        <f t="array" ref="D38">IFERROR(INDEX($U$8:$AA$40,MATCH(1, ($T$8:$T$40=D$1) * ($S$8:$S$40 = $A38), 0), MATCH($B38, $U$7:$AA$7,0)),0)</f>
        <v>15222.13350998</v>
      </c>
      <c r="E38" s="1184">
        <f t="array" ref="E38">IFERROR(INDEX($U$8:$AA$40,MATCH(1, ($T$8:$T$40=E$1) * ($S$8:$S$40 = $A38), 0), MATCH($B38, $U$7:$AA$7,0)),0)</f>
        <v>1073.96068326</v>
      </c>
      <c r="F38" s="1184">
        <f t="array" ref="F38">IFERROR(INDEX($U$8:$AA$40,MATCH(1, ($T$8:$T$40=F$1) * ($S$8:$S$40 = $A38), 0), MATCH($B38, $U$7:$AA$7,0)),0)</f>
        <v>111.11048113</v>
      </c>
      <c r="G38" s="1184">
        <f t="array" ref="G38">IFERROR(INDEX($U$8:$AA$40,MATCH(1, ($T$8:$T$40=G$1) * ($S$8:$S$40 = $A38), 0), MATCH($B38, $U$7:$AA$7,0)),0)</f>
        <v>37.067434980000002</v>
      </c>
      <c r="H38" s="1185">
        <f t="array" ref="H38">IFERROR(INDEX($U$8:$AA$40,MATCH(1, ($T$8:$T$40=H$1) * ($S$8:$S$40 = $A38), 0), MATCH($B38, $U$7:$AA$7,0)),0)</f>
        <v>37.067434980000002</v>
      </c>
      <c r="I38" s="788"/>
      <c r="J38" s="1186" t="s">
        <v>62</v>
      </c>
      <c r="K38" s="1182">
        <f t="shared" si="20"/>
        <v>16481.33954433</v>
      </c>
      <c r="L38" s="1183">
        <f t="shared" si="21"/>
        <v>15222.13350998</v>
      </c>
      <c r="M38" s="1184">
        <f t="shared" si="22"/>
        <v>1073.96068326</v>
      </c>
      <c r="N38" s="1184">
        <f t="shared" si="23"/>
        <v>111.11048113</v>
      </c>
      <c r="O38" s="1185">
        <f t="shared" si="24"/>
        <v>37.067434980000002</v>
      </c>
      <c r="P38" s="788"/>
      <c r="Q38" s="1203"/>
      <c r="R38" s="1203"/>
      <c r="S38" s="1203"/>
      <c r="T38" s="1203"/>
    </row>
    <row r="39" spans="1:20" ht="20.100000000000001" customHeight="1" x14ac:dyDescent="0.2">
      <c r="A39" s="1202" t="s">
        <v>141</v>
      </c>
      <c r="B39" s="1187" t="s">
        <v>47</v>
      </c>
      <c r="C39" s="1188">
        <f t="shared" si="19"/>
        <v>24001.029268829996</v>
      </c>
      <c r="D39" s="1189">
        <f t="array" ref="D39">IFERROR(INDEX($U$8:$AA$40,MATCH(1, ($T$8:$T$40=D$1) * ($S$8:$S$40 = $A39), 0), MATCH($B39, $U$7:$AA$7,0)),0)</f>
        <v>22408.380902699999</v>
      </c>
      <c r="E39" s="1190">
        <f t="array" ref="E39">IFERROR(INDEX($U$8:$AA$40,MATCH(1, ($T$8:$T$40=E$1) * ($S$8:$S$40 = $A39), 0), MATCH($B39, $U$7:$AA$7,0)),0)</f>
        <v>1518.61820309</v>
      </c>
      <c r="F39" s="1190">
        <f t="array" ref="F39">IFERROR(INDEX($U$8:$AA$40,MATCH(1, ($T$8:$T$40=F$1) * ($S$8:$S$40 = $A39), 0), MATCH($B39, $U$7:$AA$7,0)),0)</f>
        <v>74.030163040000005</v>
      </c>
      <c r="G39" s="1190">
        <f t="array" ref="G39">IFERROR(INDEX($U$8:$AA$40,MATCH(1, ($T$8:$T$40=G$1) * ($S$8:$S$40 = $A39), 0), MATCH($B39, $U$7:$AA$7,0)),0)</f>
        <v>0</v>
      </c>
      <c r="H39" s="1191">
        <f t="array" ref="H39">IFERROR(INDEX($U$8:$AA$40,MATCH(1, ($T$8:$T$40=H$1) * ($S$8:$S$40 = $A39), 0), MATCH($B39, $U$7:$AA$7,0)),0)</f>
        <v>0</v>
      </c>
      <c r="I39" s="788"/>
      <c r="J39" s="1192" t="s">
        <v>63</v>
      </c>
      <c r="K39" s="1188">
        <f t="shared" si="20"/>
        <v>24001.029268829996</v>
      </c>
      <c r="L39" s="1189">
        <f t="shared" si="21"/>
        <v>22408.380902699999</v>
      </c>
      <c r="M39" s="1190">
        <f t="shared" si="22"/>
        <v>1518.61820309</v>
      </c>
      <c r="N39" s="1190">
        <f t="shared" si="23"/>
        <v>74.030163040000005</v>
      </c>
      <c r="O39" s="1191">
        <f t="shared" si="24"/>
        <v>0</v>
      </c>
      <c r="P39" s="788"/>
      <c r="Q39" s="1203"/>
      <c r="R39" s="1203"/>
      <c r="S39" s="1203"/>
      <c r="T39" s="1203"/>
    </row>
    <row r="40" spans="1:20" ht="20.100000000000001" customHeight="1" x14ac:dyDescent="0.2">
      <c r="A40" s="1202" t="s">
        <v>141</v>
      </c>
      <c r="B40" s="1181" t="s">
        <v>48</v>
      </c>
      <c r="C40" s="1182">
        <f t="shared" si="19"/>
        <v>56815.53220069001</v>
      </c>
      <c r="D40" s="1183">
        <f t="array" ref="D40">IFERROR(INDEX($U$8:$AA$40,MATCH(1, ($T$8:$T$40=D$1) * ($S$8:$S$40 = $A40), 0), MATCH($B40, $U$7:$AA$7,0)),0)</f>
        <v>54223.327140510002</v>
      </c>
      <c r="E40" s="1184">
        <f t="array" ref="E40">IFERROR(INDEX($U$8:$AA$40,MATCH(1, ($T$8:$T$40=E$1) * ($S$8:$S$40 = $A40), 0), MATCH($B40, $U$7:$AA$7,0)),0)</f>
        <v>2333.0076894700001</v>
      </c>
      <c r="F40" s="1184">
        <f t="array" ref="F40">IFERROR(INDEX($U$8:$AA$40,MATCH(1, ($T$8:$T$40=F$1) * ($S$8:$S$40 = $A40), 0), MATCH($B40, $U$7:$AA$7,0)),0)</f>
        <v>185.14179974999999</v>
      </c>
      <c r="G40" s="1184">
        <f t="array" ref="G40">IFERROR(INDEX($U$8:$AA$40,MATCH(1, ($T$8:$T$40=G$1) * ($S$8:$S$40 = $A40), 0), MATCH($B40, $U$7:$AA$7,0)),0)</f>
        <v>37.036313499999999</v>
      </c>
      <c r="H40" s="1185">
        <f t="array" ref="H40">IFERROR(INDEX($U$8:$AA$40,MATCH(1, ($T$8:$T$40=H$1) * ($S$8:$S$40 = $A40), 0), MATCH($B40, $U$7:$AA$7,0)),0)</f>
        <v>37.019257459999999</v>
      </c>
      <c r="I40" s="788"/>
      <c r="J40" s="1186" t="s">
        <v>64</v>
      </c>
      <c r="K40" s="1182">
        <f t="shared" si="20"/>
        <v>56815.53220069001</v>
      </c>
      <c r="L40" s="1183">
        <f t="shared" si="21"/>
        <v>54223.327140510002</v>
      </c>
      <c r="M40" s="1184">
        <f t="shared" si="22"/>
        <v>2333.0076894700001</v>
      </c>
      <c r="N40" s="1184">
        <f t="shared" si="23"/>
        <v>185.14179974999999</v>
      </c>
      <c r="O40" s="1185">
        <f t="shared" si="24"/>
        <v>37.036313499999999</v>
      </c>
      <c r="P40" s="788"/>
      <c r="Q40" s="1203"/>
      <c r="R40" s="1203"/>
      <c r="S40" s="1203"/>
      <c r="T40" s="1203"/>
    </row>
    <row r="41" spans="1:20" ht="20.100000000000001" customHeight="1" x14ac:dyDescent="0.2">
      <c r="A41" s="1202" t="s">
        <v>141</v>
      </c>
      <c r="B41" s="1187" t="s">
        <v>49</v>
      </c>
      <c r="C41" s="1188">
        <f t="shared" si="19"/>
        <v>45629.650183980004</v>
      </c>
      <c r="D41" s="1189">
        <f t="array" ref="D41">IFERROR(INDEX($U$8:$AA$40,MATCH(1, ($T$8:$T$40=D$1) * ($S$8:$S$40 = $A41), 0), MATCH($B41, $U$7:$AA$7,0)),0)</f>
        <v>44222.375746979997</v>
      </c>
      <c r="E41" s="1190">
        <f t="array" ref="E41">IFERROR(INDEX($U$8:$AA$40,MATCH(1, ($T$8:$T$40=E$1) * ($S$8:$S$40 = $A41), 0), MATCH($B41, $U$7:$AA$7,0)),0)</f>
        <v>1185.03153836</v>
      </c>
      <c r="F41" s="1190">
        <f t="array" ref="F41">IFERROR(INDEX($U$8:$AA$40,MATCH(1, ($T$8:$T$40=F$1) * ($S$8:$S$40 = $A41), 0), MATCH($B41, $U$7:$AA$7,0)),0)</f>
        <v>148.12973858999999</v>
      </c>
      <c r="G41" s="1190">
        <f t="array" ref="G41">IFERROR(INDEX($U$8:$AA$40,MATCH(1, ($T$8:$T$40=G$1) * ($S$8:$S$40 = $A41), 0), MATCH($B41, $U$7:$AA$7,0)),0)</f>
        <v>37.050073580000003</v>
      </c>
      <c r="H41" s="1191">
        <f t="array" ref="H41">IFERROR(INDEX($U$8:$AA$40,MATCH(1, ($T$8:$T$40=H$1) * ($S$8:$S$40 = $A41), 0), MATCH($B41, $U$7:$AA$7,0)),0)</f>
        <v>37.063086470000002</v>
      </c>
      <c r="I41" s="788"/>
      <c r="J41" s="1192" t="s">
        <v>65</v>
      </c>
      <c r="K41" s="1188">
        <f t="shared" si="20"/>
        <v>45629.650183980004</v>
      </c>
      <c r="L41" s="1189">
        <f t="shared" si="21"/>
        <v>44222.375746979997</v>
      </c>
      <c r="M41" s="1190">
        <f t="shared" si="22"/>
        <v>1185.03153836</v>
      </c>
      <c r="N41" s="1190">
        <f t="shared" si="23"/>
        <v>148.12973858999999</v>
      </c>
      <c r="O41" s="1191">
        <f t="shared" si="24"/>
        <v>37.050073580000003</v>
      </c>
      <c r="P41" s="788"/>
      <c r="Q41" s="1203"/>
      <c r="R41" s="1203"/>
      <c r="S41" s="1203"/>
      <c r="T41" s="1203"/>
    </row>
    <row r="42" spans="1:20" ht="20.100000000000001" customHeight="1" x14ac:dyDescent="0.2">
      <c r="A42" s="1202" t="s">
        <v>141</v>
      </c>
      <c r="B42" s="1181" t="s">
        <v>139</v>
      </c>
      <c r="C42" s="1182">
        <f t="shared" si="19"/>
        <v>39813.188001729999</v>
      </c>
      <c r="D42" s="1183">
        <f t="array" ref="D42">IFERROR(INDEX($U$8:$AA$40,MATCH(1, ($T$8:$T$40=D$1) * ($S$8:$S$40 = $A42), 0), MATCH($B42, $U$7:$AA$7,0)),0)</f>
        <v>39368.792656209996</v>
      </c>
      <c r="E42" s="1184">
        <f t="array" ref="E42">IFERROR(INDEX($U$8:$AA$40,MATCH(1, ($T$8:$T$40=E$1) * ($S$8:$S$40 = $A42), 0), MATCH($B42, $U$7:$AA$7,0)),0)</f>
        <v>444.39534551999998</v>
      </c>
      <c r="F42" s="1184">
        <f t="array" ref="F42">IFERROR(INDEX($U$8:$AA$40,MATCH(1, ($T$8:$T$40=F$1) * ($S$8:$S$40 = $A42), 0), MATCH($B42, $U$7:$AA$7,0)),0)</f>
        <v>0</v>
      </c>
      <c r="G42" s="1184">
        <f t="array" ref="G42">IFERROR(INDEX($U$8:$AA$40,MATCH(1, ($T$8:$T$40=G$1) * ($S$8:$S$40 = $A42), 0), MATCH($B42, $U$7:$AA$7,0)),0)</f>
        <v>0</v>
      </c>
      <c r="H42" s="1185">
        <f t="array" ref="H42">IFERROR(INDEX($U$8:$AA$40,MATCH(1, ($T$8:$T$40=H$1) * ($S$8:$S$40 = $A42), 0), MATCH($B42, $U$7:$AA$7,0)),0)</f>
        <v>0</v>
      </c>
      <c r="I42" s="788"/>
      <c r="J42" s="1186" t="s">
        <v>11</v>
      </c>
      <c r="K42" s="1182">
        <f t="shared" si="20"/>
        <v>39813.188001729999</v>
      </c>
      <c r="L42" s="1183">
        <f t="shared" si="21"/>
        <v>39368.792656209996</v>
      </c>
      <c r="M42" s="1184">
        <f t="shared" si="22"/>
        <v>444.39534551999998</v>
      </c>
      <c r="N42" s="1184">
        <f t="shared" si="23"/>
        <v>0</v>
      </c>
      <c r="O42" s="1185">
        <f t="shared" si="24"/>
        <v>0</v>
      </c>
      <c r="P42" s="788"/>
      <c r="Q42" s="1203"/>
      <c r="R42" s="1203"/>
      <c r="S42" s="1203"/>
      <c r="T42" s="1203"/>
    </row>
    <row r="43" spans="1:20" ht="20.100000000000001" customHeight="1" x14ac:dyDescent="0.2">
      <c r="B43" s="1193" t="s">
        <v>94</v>
      </c>
      <c r="C43" s="1194">
        <f t="shared" ref="C43:H43" si="25">SUM(C44:C50)</f>
        <v>6036.18586211</v>
      </c>
      <c r="D43" s="1195">
        <f t="shared" si="25"/>
        <v>0</v>
      </c>
      <c r="E43" s="1196">
        <f t="shared" si="25"/>
        <v>0</v>
      </c>
      <c r="F43" s="1196">
        <f t="shared" si="25"/>
        <v>2147.7899192999998</v>
      </c>
      <c r="G43" s="1196">
        <f t="shared" si="25"/>
        <v>1740.60003807</v>
      </c>
      <c r="H43" s="1197">
        <f t="shared" si="25"/>
        <v>2147.7959047400004</v>
      </c>
      <c r="I43" s="788"/>
      <c r="J43" s="1176" t="s">
        <v>94</v>
      </c>
      <c r="K43" s="1177">
        <f>SUM(K44:K50)</f>
        <v>6036.18586211</v>
      </c>
      <c r="L43" s="1178">
        <f>SUM(L44:L50)</f>
        <v>0</v>
      </c>
      <c r="M43" s="1179">
        <f>SUM(M44:M50)</f>
        <v>1073.8949596499999</v>
      </c>
      <c r="N43" s="1179">
        <f>SUM(N44:N50)</f>
        <v>1944.1949786849998</v>
      </c>
      <c r="O43" s="1180">
        <f>SUM(O44:O50)</f>
        <v>3018.0959237750003</v>
      </c>
      <c r="P43" s="788"/>
      <c r="Q43" s="788"/>
      <c r="R43" s="788"/>
      <c r="S43" s="788"/>
      <c r="T43" s="788"/>
    </row>
    <row r="44" spans="1:20" ht="20.100000000000001" customHeight="1" x14ac:dyDescent="0.2">
      <c r="A44" s="1202" t="s">
        <v>136</v>
      </c>
      <c r="B44" s="1181" t="s">
        <v>44</v>
      </c>
      <c r="C44" s="1182">
        <f t="shared" ref="C44:C50" si="26">SUM(D44:H44)</f>
        <v>370.26775100999998</v>
      </c>
      <c r="D44" s="1183">
        <f t="array" ref="D44">IFERROR(INDEX($U$8:$AA$40,MATCH(1, ($T$8:$T$40=D$1) * ($S$8:$S$40 = $A44), 0), MATCH($B44, $U$7:$AA$7,0)),0)</f>
        <v>0</v>
      </c>
      <c r="E44" s="1184">
        <f t="array" ref="E44">IFERROR(INDEX($U$8:$AA$40,MATCH(1, ($T$8:$T$40=E$1) * ($S$8:$S$40 = $A44), 0), MATCH($B44, $U$7:$AA$7,0)),0)</f>
        <v>0</v>
      </c>
      <c r="F44" s="1184">
        <f t="array" ref="F44">IFERROR(INDEX($U$8:$AA$40,MATCH(1, ($T$8:$T$40=F$1) * ($S$8:$S$40 = $A44), 0), MATCH($B44, $U$7:$AA$7,0)),0)</f>
        <v>185.04459790999999</v>
      </c>
      <c r="G44" s="1184">
        <f t="array" ref="G44">IFERROR(INDEX($U$8:$AA$40,MATCH(1, ($T$8:$T$40=G$1) * ($S$8:$S$40 = $A44), 0), MATCH($B44, $U$7:$AA$7,0)),0)</f>
        <v>74.103748479999993</v>
      </c>
      <c r="H44" s="1185">
        <f t="array" ref="H44">IFERROR(INDEX($U$8:$AA$40,MATCH(1, ($T$8:$T$40=H$1) * ($S$8:$S$40 = $A44), 0), MATCH($B44, $U$7:$AA$7,0)),0)</f>
        <v>111.11940462</v>
      </c>
      <c r="I44" s="788"/>
      <c r="J44" s="1186" t="s">
        <v>60</v>
      </c>
      <c r="K44" s="1182">
        <f t="shared" ref="K44:K50" si="27">C44</f>
        <v>370.26775100999998</v>
      </c>
      <c r="L44" s="1183"/>
      <c r="M44" s="1184">
        <f>F44/2</f>
        <v>92.522298954999997</v>
      </c>
      <c r="N44" s="1184">
        <f>SUM(F44:G44)/2</f>
        <v>129.57417319499999</v>
      </c>
      <c r="O44" s="1185">
        <f>G44/2+H44</f>
        <v>148.17127886</v>
      </c>
      <c r="P44" s="788"/>
      <c r="Q44" s="788"/>
      <c r="R44" s="788"/>
      <c r="S44" s="788"/>
      <c r="T44" s="788"/>
    </row>
    <row r="45" spans="1:20" ht="20.100000000000001" customHeight="1" x14ac:dyDescent="0.2">
      <c r="A45" s="1202" t="s">
        <v>136</v>
      </c>
      <c r="B45" s="1187" t="s">
        <v>45</v>
      </c>
      <c r="C45" s="1188">
        <f t="shared" si="26"/>
        <v>962.89261318000013</v>
      </c>
      <c r="D45" s="1189">
        <f t="array" ref="D45">IFERROR(INDEX($U$8:$AA$40,MATCH(1, ($T$8:$T$40=D$1) * ($S$8:$S$40 = $A45), 0), MATCH($B45, $U$7:$AA$7,0)),0)</f>
        <v>0</v>
      </c>
      <c r="E45" s="1190">
        <f t="array" ref="E45">IFERROR(INDEX($U$8:$AA$40,MATCH(1, ($T$8:$T$40=E$1) * ($S$8:$S$40 = $A45), 0), MATCH($B45, $U$7:$AA$7,0)),0)</f>
        <v>0</v>
      </c>
      <c r="F45" s="1190">
        <f t="array" ref="F45">IFERROR(INDEX($U$8:$AA$40,MATCH(1, ($T$8:$T$40=F$1) * ($S$8:$S$40 = $A45), 0), MATCH($B45, $U$7:$AA$7,0)),0)</f>
        <v>296.29758661</v>
      </c>
      <c r="G45" s="1190">
        <f t="array" ref="G45">IFERROR(INDEX($U$8:$AA$40,MATCH(1, ($T$8:$T$40=G$1) * ($S$8:$S$40 = $A45), 0), MATCH($B45, $U$7:$AA$7,0)),0)</f>
        <v>333.31108537</v>
      </c>
      <c r="H45" s="1191">
        <f t="array" ref="H45">IFERROR(INDEX($U$8:$AA$40,MATCH(1, ($T$8:$T$40=H$1) * ($S$8:$S$40 = $A45), 0), MATCH($B45, $U$7:$AA$7,0)),0)</f>
        <v>333.28394120000002</v>
      </c>
      <c r="I45" s="788"/>
      <c r="J45" s="1192" t="s">
        <v>61</v>
      </c>
      <c r="K45" s="1188">
        <f t="shared" si="27"/>
        <v>962.89261318000013</v>
      </c>
      <c r="L45" s="1189"/>
      <c r="M45" s="1190">
        <f t="shared" ref="M45:M50" si="28">F45/2</f>
        <v>148.148793305</v>
      </c>
      <c r="N45" s="1190">
        <f t="shared" ref="N45:N50" si="29">SUM(F45:G45)/2</f>
        <v>314.80433599000003</v>
      </c>
      <c r="O45" s="1191">
        <f t="shared" ref="O45:O50" si="30">G45/2+H45</f>
        <v>499.93948388500002</v>
      </c>
      <c r="P45" s="788"/>
      <c r="Q45" s="788"/>
      <c r="R45" s="788"/>
      <c r="S45" s="788"/>
      <c r="T45" s="788"/>
    </row>
    <row r="46" spans="1:20" ht="20.100000000000001" customHeight="1" x14ac:dyDescent="0.2">
      <c r="A46" s="1202" t="s">
        <v>136</v>
      </c>
      <c r="B46" s="1181" t="s">
        <v>46</v>
      </c>
      <c r="C46" s="1182">
        <f t="shared" si="26"/>
        <v>1259.11472746</v>
      </c>
      <c r="D46" s="1183">
        <f t="array" ref="D46">IFERROR(INDEX($U$8:$AA$40,MATCH(1, ($T$8:$T$40=D$1) * ($S$8:$S$40 = $A46), 0), MATCH($B46, $U$7:$AA$7,0)),0)</f>
        <v>0</v>
      </c>
      <c r="E46" s="1184">
        <f t="array" ref="E46">IFERROR(INDEX($U$8:$AA$40,MATCH(1, ($T$8:$T$40=E$1) * ($S$8:$S$40 = $A46), 0), MATCH($B46, $U$7:$AA$7,0)),0)</f>
        <v>0</v>
      </c>
      <c r="F46" s="1184">
        <f t="array" ref="F46">IFERROR(INDEX($U$8:$AA$40,MATCH(1, ($T$8:$T$40=F$1) * ($S$8:$S$40 = $A46), 0), MATCH($B46, $U$7:$AA$7,0)),0)</f>
        <v>407.34841796000001</v>
      </c>
      <c r="G46" s="1184">
        <f t="array" ref="G46">IFERROR(INDEX($U$8:$AA$40,MATCH(1, ($T$8:$T$40=G$1) * ($S$8:$S$40 = $A46), 0), MATCH($B46, $U$7:$AA$7,0)),0)</f>
        <v>370.32845706000001</v>
      </c>
      <c r="H46" s="1185">
        <f t="array" ref="H46">IFERROR(INDEX($U$8:$AA$40,MATCH(1, ($T$8:$T$40=H$1) * ($S$8:$S$40 = $A46), 0), MATCH($B46, $U$7:$AA$7,0)),0)</f>
        <v>481.43785243999997</v>
      </c>
      <c r="I46" s="788"/>
      <c r="J46" s="1186" t="s">
        <v>62</v>
      </c>
      <c r="K46" s="1182">
        <f t="shared" si="27"/>
        <v>1259.11472746</v>
      </c>
      <c r="L46" s="1183"/>
      <c r="M46" s="1184">
        <f t="shared" si="28"/>
        <v>203.67420898</v>
      </c>
      <c r="N46" s="1184">
        <f t="shared" si="29"/>
        <v>388.83843751000001</v>
      </c>
      <c r="O46" s="1185">
        <f t="shared" si="30"/>
        <v>666.60208096999997</v>
      </c>
      <c r="P46" s="788"/>
      <c r="Q46" s="788"/>
      <c r="R46" s="788"/>
      <c r="S46" s="788"/>
      <c r="T46" s="788"/>
    </row>
    <row r="47" spans="1:20" ht="20.100000000000001" customHeight="1" x14ac:dyDescent="0.2">
      <c r="A47" s="1202" t="s">
        <v>136</v>
      </c>
      <c r="B47" s="1187" t="s">
        <v>47</v>
      </c>
      <c r="C47" s="1188">
        <f t="shared" si="26"/>
        <v>1444.23127537</v>
      </c>
      <c r="D47" s="1189">
        <f t="array" ref="D47">IFERROR(INDEX($U$8:$AA$40,MATCH(1, ($T$8:$T$40=D$1) * ($S$8:$S$40 = $A47), 0), MATCH($B47, $U$7:$AA$7,0)),0)</f>
        <v>0</v>
      </c>
      <c r="E47" s="1190">
        <f t="array" ref="E47">IFERROR(INDEX($U$8:$AA$40,MATCH(1, ($T$8:$T$40=E$1) * ($S$8:$S$40 = $A47), 0), MATCH($B47, $U$7:$AA$7,0)),0)</f>
        <v>0</v>
      </c>
      <c r="F47" s="1190">
        <f t="array" ref="F47">IFERROR(INDEX($U$8:$AA$40,MATCH(1, ($T$8:$T$40=F$1) * ($S$8:$S$40 = $A47), 0), MATCH($B47, $U$7:$AA$7,0)),0)</f>
        <v>407.35395593999999</v>
      </c>
      <c r="G47" s="1190">
        <f t="array" ref="G47">IFERROR(INDEX($U$8:$AA$40,MATCH(1, ($T$8:$T$40=G$1) * ($S$8:$S$40 = $A47), 0), MATCH($B47, $U$7:$AA$7,0)),0)</f>
        <v>333.31421176999999</v>
      </c>
      <c r="H47" s="1191">
        <f t="array" ref="H47">IFERROR(INDEX($U$8:$AA$40,MATCH(1, ($T$8:$T$40=H$1) * ($S$8:$S$40 = $A47), 0), MATCH($B47, $U$7:$AA$7,0)),0)</f>
        <v>703.56310766000001</v>
      </c>
      <c r="I47" s="788"/>
      <c r="J47" s="1192" t="s">
        <v>63</v>
      </c>
      <c r="K47" s="1188">
        <f t="shared" si="27"/>
        <v>1444.23127537</v>
      </c>
      <c r="L47" s="1189"/>
      <c r="M47" s="1190">
        <f t="shared" si="28"/>
        <v>203.67697797</v>
      </c>
      <c r="N47" s="1190">
        <f t="shared" si="29"/>
        <v>370.33408385500002</v>
      </c>
      <c r="O47" s="1191">
        <f t="shared" si="30"/>
        <v>870.22021354499998</v>
      </c>
      <c r="P47" s="788"/>
      <c r="Q47" s="788"/>
      <c r="R47" s="788"/>
      <c r="S47" s="788"/>
      <c r="T47" s="788"/>
    </row>
    <row r="48" spans="1:20" ht="20.100000000000001" customHeight="1" x14ac:dyDescent="0.2">
      <c r="A48" s="1202" t="s">
        <v>136</v>
      </c>
      <c r="B48" s="1181" t="s">
        <v>48</v>
      </c>
      <c r="C48" s="1182">
        <f t="shared" si="26"/>
        <v>1110.9545896</v>
      </c>
      <c r="D48" s="1183">
        <f t="array" ref="D48">IFERROR(INDEX($U$8:$AA$40,MATCH(1, ($T$8:$T$40=D$1) * ($S$8:$S$40 = $A48), 0), MATCH($B48, $U$7:$AA$7,0)),0)</f>
        <v>0</v>
      </c>
      <c r="E48" s="1184">
        <f t="array" ref="E48">IFERROR(INDEX($U$8:$AA$40,MATCH(1, ($T$8:$T$40=E$1) * ($S$8:$S$40 = $A48), 0), MATCH($B48, $U$7:$AA$7,0)),0)</f>
        <v>0</v>
      </c>
      <c r="F48" s="1184">
        <f t="array" ref="F48">IFERROR(INDEX($U$8:$AA$40,MATCH(1, ($T$8:$T$40=F$1) * ($S$8:$S$40 = $A48), 0), MATCH($B48, $U$7:$AA$7,0)),0)</f>
        <v>407.38131956000001</v>
      </c>
      <c r="G48" s="1184">
        <f t="array" ref="G48">IFERROR(INDEX($U$8:$AA$40,MATCH(1, ($T$8:$T$40=G$1) * ($S$8:$S$40 = $A48), 0), MATCH($B48, $U$7:$AA$7,0)),0)</f>
        <v>407.34698105000001</v>
      </c>
      <c r="H48" s="1185">
        <f t="array" ref="H48">IFERROR(INDEX($U$8:$AA$40,MATCH(1, ($T$8:$T$40=H$1) * ($S$8:$S$40 = $A48), 0), MATCH($B48, $U$7:$AA$7,0)),0)</f>
        <v>296.22628899</v>
      </c>
      <c r="I48" s="788"/>
      <c r="J48" s="1186" t="s">
        <v>64</v>
      </c>
      <c r="K48" s="1182">
        <f t="shared" si="27"/>
        <v>1110.9545896</v>
      </c>
      <c r="L48" s="1183"/>
      <c r="M48" s="1184">
        <f t="shared" si="28"/>
        <v>203.69065978</v>
      </c>
      <c r="N48" s="1184">
        <f t="shared" si="29"/>
        <v>407.36415030500001</v>
      </c>
      <c r="O48" s="1185">
        <f t="shared" si="30"/>
        <v>499.89977951499998</v>
      </c>
      <c r="P48" s="788"/>
      <c r="Q48" s="788"/>
      <c r="R48" s="788"/>
      <c r="S48" s="788"/>
      <c r="T48" s="788"/>
    </row>
    <row r="49" spans="1:20" ht="20.100000000000001" customHeight="1" x14ac:dyDescent="0.2">
      <c r="A49" s="1202" t="s">
        <v>136</v>
      </c>
      <c r="B49" s="1187" t="s">
        <v>49</v>
      </c>
      <c r="C49" s="1188">
        <f t="shared" si="26"/>
        <v>703.58272068999997</v>
      </c>
      <c r="D49" s="1189">
        <f t="array" ref="D49">IFERROR(INDEX($U$8:$AA$40,MATCH(1, ($T$8:$T$40=D$1) * ($S$8:$S$40 = $A49), 0), MATCH($B49, $U$7:$AA$7,0)),0)</f>
        <v>0</v>
      </c>
      <c r="E49" s="1190">
        <f t="array" ref="E49">IFERROR(INDEX($U$8:$AA$40,MATCH(1, ($T$8:$T$40=E$1) * ($S$8:$S$40 = $A49), 0), MATCH($B49, $U$7:$AA$7,0)),0)</f>
        <v>0</v>
      </c>
      <c r="F49" s="1190">
        <f t="array" ref="F49">IFERROR(INDEX($U$8:$AA$40,MATCH(1, ($T$8:$T$40=F$1) * ($S$8:$S$40 = $A49), 0), MATCH($B49, $U$7:$AA$7,0)),0)</f>
        <v>370.30847036</v>
      </c>
      <c r="G49" s="1190">
        <f t="array" ref="G49">IFERROR(INDEX($U$8:$AA$40,MATCH(1, ($T$8:$T$40=G$1) * ($S$8:$S$40 = $A49), 0), MATCH($B49, $U$7:$AA$7,0)),0)</f>
        <v>148.14679462999999</v>
      </c>
      <c r="H49" s="1191">
        <f t="array" ref="H49">IFERROR(INDEX($U$8:$AA$40,MATCH(1, ($T$8:$T$40=H$1) * ($S$8:$S$40 = $A49), 0), MATCH($B49, $U$7:$AA$7,0)),0)</f>
        <v>185.12745570000001</v>
      </c>
      <c r="I49" s="788"/>
      <c r="J49" s="1192" t="s">
        <v>65</v>
      </c>
      <c r="K49" s="1188">
        <f t="shared" si="27"/>
        <v>703.58272068999997</v>
      </c>
      <c r="L49" s="1189"/>
      <c r="M49" s="1190">
        <f t="shared" si="28"/>
        <v>185.15423518</v>
      </c>
      <c r="N49" s="1190">
        <f t="shared" si="29"/>
        <v>259.22763249499997</v>
      </c>
      <c r="O49" s="1191">
        <f t="shared" si="30"/>
        <v>259.20085301500001</v>
      </c>
      <c r="P49" s="788"/>
      <c r="Q49" s="788"/>
      <c r="R49" s="788"/>
      <c r="S49" s="788"/>
      <c r="T49" s="788"/>
    </row>
    <row r="50" spans="1:20" ht="20.100000000000001" customHeight="1" x14ac:dyDescent="0.2">
      <c r="A50" s="1202" t="s">
        <v>136</v>
      </c>
      <c r="B50" s="1205" t="s">
        <v>139</v>
      </c>
      <c r="C50" s="1198">
        <f t="shared" si="26"/>
        <v>185.1421848</v>
      </c>
      <c r="D50" s="1199">
        <f t="array" ref="D50">IFERROR(INDEX($U$8:$AA$40,MATCH(1, ($T$8:$T$40=D$1) * ($S$8:$S$40 = $A50), 0), MATCH($B50, $U$7:$AA$7,0)),0)</f>
        <v>0</v>
      </c>
      <c r="E50" s="1200">
        <f t="array" ref="E50">IFERROR(INDEX($U$8:$AA$40,MATCH(1, ($T$8:$T$40=E$1) * ($S$8:$S$40 = $A50), 0), MATCH($B50, $U$7:$AA$7,0)),0)</f>
        <v>0</v>
      </c>
      <c r="F50" s="1200">
        <f t="array" ref="F50">IFERROR(INDEX($U$8:$AA$40,MATCH(1, ($T$8:$T$40=F$1) * ($S$8:$S$40 = $A50), 0), MATCH($B50, $U$7:$AA$7,0)),0)</f>
        <v>74.055570959999997</v>
      </c>
      <c r="G50" s="1200">
        <f t="array" ref="G50">IFERROR(INDEX($U$8:$AA$40,MATCH(1, ($T$8:$T$40=G$1) * ($S$8:$S$40 = $A50), 0), MATCH($B50, $U$7:$AA$7,0)),0)</f>
        <v>74.048759709999999</v>
      </c>
      <c r="H50" s="1201">
        <f t="array" ref="H50">IFERROR(INDEX($U$8:$AA$40,MATCH(1, ($T$8:$T$40=H$1) * ($S$8:$S$40 = $A50), 0), MATCH($B50, $U$7:$AA$7,0)),0)</f>
        <v>37.037854129999999</v>
      </c>
      <c r="I50" s="788"/>
      <c r="J50" s="1204" t="s">
        <v>11</v>
      </c>
      <c r="K50" s="1198">
        <f t="shared" si="27"/>
        <v>185.1421848</v>
      </c>
      <c r="L50" s="1199"/>
      <c r="M50" s="1200">
        <f t="shared" si="28"/>
        <v>37.027785479999999</v>
      </c>
      <c r="N50" s="1200">
        <f t="shared" si="29"/>
        <v>74.052165334999998</v>
      </c>
      <c r="O50" s="1201">
        <f t="shared" si="30"/>
        <v>74.062233985000006</v>
      </c>
      <c r="P50" s="788"/>
      <c r="Q50" s="788"/>
      <c r="R50" s="788"/>
      <c r="S50" s="788"/>
      <c r="T50" s="788"/>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4"/>
  <sheetViews>
    <sheetView workbookViewId="0"/>
  </sheetViews>
  <sheetFormatPr defaultRowHeight="14.25" x14ac:dyDescent="0.2"/>
  <sheetData>
    <row r="1" spans="1:2" x14ac:dyDescent="0.2">
      <c r="A1" t="s">
        <v>1405</v>
      </c>
      <c r="B1" t="s">
        <v>1406</v>
      </c>
    </row>
    <row r="2" spans="1:2" x14ac:dyDescent="0.2">
      <c r="A2">
        <v>1000000</v>
      </c>
      <c r="B2" t="e">
        <v>#N/A</v>
      </c>
    </row>
    <row r="3" spans="1:2" x14ac:dyDescent="0.2">
      <c r="A3">
        <v>1</v>
      </c>
      <c r="B3" t="s">
        <v>735</v>
      </c>
    </row>
    <row r="4" spans="1:2" x14ac:dyDescent="0.2">
      <c r="A4" t="e">
        <v>#N/A</v>
      </c>
      <c r="B4" t="e">
        <v>#N/A</v>
      </c>
    </row>
  </sheetData>
  <printOptions gridLines="1"/>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
  <sheetViews>
    <sheetView workbookViewId="0"/>
  </sheetViews>
  <sheetFormatPr defaultRowHeight="14.25" x14ac:dyDescent="0.2"/>
  <sheetData>
    <row r="1" spans="1:9" x14ac:dyDescent="0.2">
      <c r="A1" t="s">
        <v>1407</v>
      </c>
      <c r="B1" t="s">
        <v>1408</v>
      </c>
      <c r="C1" t="s">
        <v>1409</v>
      </c>
      <c r="D1" t="s">
        <v>1410</v>
      </c>
      <c r="E1" t="s">
        <v>1411</v>
      </c>
      <c r="F1" t="s">
        <v>1412</v>
      </c>
      <c r="G1" t="s">
        <v>1413</v>
      </c>
      <c r="H1" t="s">
        <v>1414</v>
      </c>
      <c r="I1" t="s">
        <v>1415</v>
      </c>
    </row>
  </sheetData>
  <printOptions gridLines="1"/>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
  <sheetViews>
    <sheetView workbookViewId="0"/>
  </sheetViews>
  <sheetFormatPr defaultRowHeight="14.25" x14ac:dyDescent="0.2"/>
  <sheetData>
    <row r="1" spans="1:16" x14ac:dyDescent="0.2">
      <c r="A1" t="s">
        <v>1435</v>
      </c>
      <c r="B1" t="s">
        <v>1436</v>
      </c>
      <c r="C1" t="s">
        <v>1437</v>
      </c>
      <c r="D1" t="s">
        <v>1438</v>
      </c>
      <c r="E1" t="s">
        <v>1439</v>
      </c>
      <c r="F1" t="s">
        <v>549</v>
      </c>
      <c r="G1" t="s">
        <v>1440</v>
      </c>
      <c r="H1" t="s">
        <v>550</v>
      </c>
      <c r="I1" t="s">
        <v>551</v>
      </c>
      <c r="J1" t="s">
        <v>552</v>
      </c>
      <c r="K1" t="s">
        <v>553</v>
      </c>
      <c r="L1" t="s">
        <v>554</v>
      </c>
      <c r="M1" t="s">
        <v>555</v>
      </c>
      <c r="N1" t="s">
        <v>556</v>
      </c>
      <c r="O1" t="s">
        <v>1441</v>
      </c>
      <c r="P1" t="s">
        <v>1442</v>
      </c>
    </row>
  </sheetData>
  <printOptions gridLines="1"/>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
  <sheetViews>
    <sheetView workbookViewId="0"/>
  </sheetViews>
  <sheetFormatPr defaultRowHeight="14.25" x14ac:dyDescent="0.2"/>
  <sheetData>
    <row r="1" spans="1:16" x14ac:dyDescent="0.2">
      <c r="A1" t="s">
        <v>1435</v>
      </c>
      <c r="B1" t="s">
        <v>1436</v>
      </c>
      <c r="C1" t="s">
        <v>1437</v>
      </c>
      <c r="D1" t="s">
        <v>1438</v>
      </c>
      <c r="E1" t="s">
        <v>1439</v>
      </c>
      <c r="F1" t="s">
        <v>549</v>
      </c>
      <c r="G1" t="s">
        <v>1440</v>
      </c>
      <c r="H1" t="s">
        <v>550</v>
      </c>
      <c r="I1" t="s">
        <v>551</v>
      </c>
      <c r="J1" t="s">
        <v>552</v>
      </c>
      <c r="K1" t="s">
        <v>553</v>
      </c>
      <c r="L1" t="s">
        <v>554</v>
      </c>
      <c r="M1" t="s">
        <v>555</v>
      </c>
      <c r="N1" t="s">
        <v>556</v>
      </c>
      <c r="O1" t="s">
        <v>1441</v>
      </c>
      <c r="P1" t="s">
        <v>1442</v>
      </c>
    </row>
  </sheetData>
  <printOptions gridLines="1"/>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35"/>
  <sheetViews>
    <sheetView workbookViewId="0"/>
  </sheetViews>
  <sheetFormatPr defaultRowHeight="14.25" x14ac:dyDescent="0.2"/>
  <sheetData>
    <row r="1" spans="1:4" x14ac:dyDescent="0.2">
      <c r="A1" t="s">
        <v>1407</v>
      </c>
      <c r="B1" t="s">
        <v>1443</v>
      </c>
      <c r="C1" t="s">
        <v>1444</v>
      </c>
      <c r="D1" t="s">
        <v>1445</v>
      </c>
    </row>
    <row r="2" spans="1:4" x14ac:dyDescent="0.2">
      <c r="A2">
        <v>1</v>
      </c>
      <c r="B2">
        <v>2224</v>
      </c>
      <c r="C2">
        <v>19310345</v>
      </c>
      <c r="D2" t="s">
        <v>240</v>
      </c>
    </row>
    <row r="3" spans="1:4" x14ac:dyDescent="0.2">
      <c r="A3">
        <v>1</v>
      </c>
      <c r="B3">
        <v>2225</v>
      </c>
      <c r="C3">
        <v>17321695</v>
      </c>
      <c r="D3" t="s">
        <v>241</v>
      </c>
    </row>
    <row r="4" spans="1:4" x14ac:dyDescent="0.2">
      <c r="A4">
        <v>1</v>
      </c>
      <c r="B4">
        <v>2226</v>
      </c>
      <c r="C4">
        <v>1988645</v>
      </c>
      <c r="D4" t="s">
        <v>242</v>
      </c>
    </row>
    <row r="5" spans="1:4" x14ac:dyDescent="0.2">
      <c r="A5">
        <v>1</v>
      </c>
      <c r="B5">
        <v>2227</v>
      </c>
      <c r="C5">
        <v>11025575</v>
      </c>
      <c r="D5" t="s">
        <v>243</v>
      </c>
    </row>
    <row r="6" spans="1:4" x14ac:dyDescent="0.2">
      <c r="A6">
        <v>1</v>
      </c>
      <c r="B6">
        <v>2228</v>
      </c>
      <c r="C6">
        <v>63.7</v>
      </c>
      <c r="D6" t="s">
        <v>244</v>
      </c>
    </row>
    <row r="7" spans="1:4" x14ac:dyDescent="0.2">
      <c r="A7">
        <v>1</v>
      </c>
      <c r="B7">
        <v>2229</v>
      </c>
      <c r="C7">
        <v>57.1</v>
      </c>
      <c r="D7" t="s">
        <v>245</v>
      </c>
    </row>
    <row r="8" spans="1:4" x14ac:dyDescent="0.2">
      <c r="A8">
        <v>1</v>
      </c>
      <c r="B8">
        <v>2230</v>
      </c>
      <c r="C8">
        <v>10.3</v>
      </c>
      <c r="D8" t="s">
        <v>246</v>
      </c>
    </row>
    <row r="9" spans="1:4" x14ac:dyDescent="0.2">
      <c r="A9">
        <v>1</v>
      </c>
      <c r="B9">
        <v>2237</v>
      </c>
      <c r="C9">
        <v>19310340</v>
      </c>
      <c r="D9" t="s">
        <v>1446</v>
      </c>
    </row>
    <row r="10" spans="1:4" x14ac:dyDescent="0.2">
      <c r="A10">
        <v>1</v>
      </c>
      <c r="B10">
        <v>2238</v>
      </c>
      <c r="C10">
        <v>486865</v>
      </c>
      <c r="D10" t="s">
        <v>1447</v>
      </c>
    </row>
    <row r="11" spans="1:4" x14ac:dyDescent="0.2">
      <c r="A11">
        <v>1</v>
      </c>
      <c r="B11">
        <v>2239</v>
      </c>
      <c r="C11">
        <v>18823480</v>
      </c>
      <c r="D11" t="s">
        <v>1448</v>
      </c>
    </row>
    <row r="12" spans="1:4" x14ac:dyDescent="0.2">
      <c r="A12">
        <v>1</v>
      </c>
      <c r="B12">
        <v>2240</v>
      </c>
      <c r="C12">
        <v>16103455</v>
      </c>
      <c r="D12" t="s">
        <v>1449</v>
      </c>
    </row>
    <row r="13" spans="1:4" x14ac:dyDescent="0.2">
      <c r="A13">
        <v>1</v>
      </c>
      <c r="B13">
        <v>2241</v>
      </c>
      <c r="C13">
        <v>13431685</v>
      </c>
      <c r="D13" t="s">
        <v>948</v>
      </c>
    </row>
    <row r="14" spans="1:4" x14ac:dyDescent="0.2">
      <c r="A14">
        <v>1</v>
      </c>
      <c r="B14">
        <v>2242</v>
      </c>
      <c r="C14">
        <v>2671765</v>
      </c>
      <c r="D14" t="s">
        <v>949</v>
      </c>
    </row>
    <row r="15" spans="1:4" x14ac:dyDescent="0.2">
      <c r="A15">
        <v>1</v>
      </c>
      <c r="B15">
        <v>2243</v>
      </c>
      <c r="C15">
        <v>867740</v>
      </c>
      <c r="D15" t="s">
        <v>1450</v>
      </c>
    </row>
    <row r="16" spans="1:4" x14ac:dyDescent="0.2">
      <c r="A16">
        <v>1</v>
      </c>
      <c r="B16">
        <v>2244</v>
      </c>
      <c r="C16">
        <v>1804030</v>
      </c>
      <c r="D16" t="s">
        <v>1062</v>
      </c>
    </row>
    <row r="17" spans="1:4" x14ac:dyDescent="0.2">
      <c r="A17">
        <v>1</v>
      </c>
      <c r="B17">
        <v>2245</v>
      </c>
      <c r="C17">
        <v>2720025</v>
      </c>
      <c r="D17" t="s">
        <v>952</v>
      </c>
    </row>
    <row r="18" spans="1:4" x14ac:dyDescent="0.2">
      <c r="A18">
        <v>1</v>
      </c>
      <c r="B18">
        <v>2593</v>
      </c>
      <c r="C18">
        <v>17321700</v>
      </c>
      <c r="D18" t="s">
        <v>1451</v>
      </c>
    </row>
    <row r="19" spans="1:4" x14ac:dyDescent="0.2">
      <c r="A19">
        <v>1</v>
      </c>
      <c r="B19">
        <v>2594</v>
      </c>
      <c r="C19">
        <v>4214860</v>
      </c>
      <c r="D19" t="s">
        <v>1452</v>
      </c>
    </row>
    <row r="20" spans="1:4" x14ac:dyDescent="0.2">
      <c r="A20">
        <v>1</v>
      </c>
      <c r="B20">
        <v>2595</v>
      </c>
      <c r="C20">
        <v>58335</v>
      </c>
      <c r="D20" t="s">
        <v>1453</v>
      </c>
    </row>
    <row r="21" spans="1:4" x14ac:dyDescent="0.2">
      <c r="A21">
        <v>1</v>
      </c>
      <c r="B21">
        <v>2596</v>
      </c>
      <c r="C21">
        <v>2201745</v>
      </c>
      <c r="D21" t="s">
        <v>1454</v>
      </c>
    </row>
    <row r="22" spans="1:4" x14ac:dyDescent="0.2">
      <c r="A22">
        <v>1</v>
      </c>
      <c r="B22">
        <v>2597</v>
      </c>
      <c r="C22">
        <v>10846770</v>
      </c>
      <c r="D22" t="s">
        <v>1455</v>
      </c>
    </row>
    <row r="23" spans="1:4" x14ac:dyDescent="0.2">
      <c r="A23">
        <v>1</v>
      </c>
      <c r="B23">
        <v>2598</v>
      </c>
      <c r="C23">
        <v>10846770</v>
      </c>
      <c r="D23" t="s">
        <v>1456</v>
      </c>
    </row>
    <row r="24" spans="1:4" x14ac:dyDescent="0.2">
      <c r="A24">
        <v>1</v>
      </c>
      <c r="B24">
        <v>2599</v>
      </c>
      <c r="C24">
        <v>6397120</v>
      </c>
      <c r="D24" t="s">
        <v>1457</v>
      </c>
    </row>
    <row r="25" spans="1:4" x14ac:dyDescent="0.2">
      <c r="A25">
        <v>1</v>
      </c>
      <c r="B25">
        <v>2600</v>
      </c>
      <c r="C25">
        <v>2343640</v>
      </c>
      <c r="D25" t="s">
        <v>1458</v>
      </c>
    </row>
    <row r="26" spans="1:4" x14ac:dyDescent="0.2">
      <c r="A26">
        <v>1</v>
      </c>
      <c r="B26">
        <v>2601</v>
      </c>
      <c r="C26">
        <v>2007950</v>
      </c>
      <c r="D26" t="s">
        <v>1459</v>
      </c>
    </row>
    <row r="27" spans="1:4" x14ac:dyDescent="0.2">
      <c r="A27">
        <v>1</v>
      </c>
      <c r="B27">
        <v>2602</v>
      </c>
      <c r="C27">
        <v>98060</v>
      </c>
      <c r="D27" t="s">
        <v>1460</v>
      </c>
    </row>
    <row r="28" spans="1:4" x14ac:dyDescent="0.2">
      <c r="A28">
        <v>1</v>
      </c>
      <c r="B28">
        <v>2603</v>
      </c>
      <c r="C28">
        <v>13048510</v>
      </c>
      <c r="D28" t="s">
        <v>1461</v>
      </c>
    </row>
    <row r="29" spans="1:4" x14ac:dyDescent="0.2">
      <c r="A29">
        <v>1</v>
      </c>
      <c r="B29">
        <v>2604</v>
      </c>
      <c r="C29">
        <v>10950750</v>
      </c>
      <c r="D29" t="s">
        <v>1063</v>
      </c>
    </row>
    <row r="30" spans="1:4" x14ac:dyDescent="0.2">
      <c r="A30">
        <v>1</v>
      </c>
      <c r="B30">
        <v>2605</v>
      </c>
      <c r="C30">
        <v>10106595</v>
      </c>
      <c r="D30" t="s">
        <v>1064</v>
      </c>
    </row>
    <row r="31" spans="1:4" x14ac:dyDescent="0.2">
      <c r="A31">
        <v>1</v>
      </c>
      <c r="B31">
        <v>2606</v>
      </c>
      <c r="C31">
        <v>844155</v>
      </c>
      <c r="D31" t="s">
        <v>1065</v>
      </c>
    </row>
    <row r="32" spans="1:4" x14ac:dyDescent="0.2">
      <c r="A32">
        <v>1</v>
      </c>
      <c r="B32">
        <v>2607</v>
      </c>
      <c r="C32">
        <v>1000510</v>
      </c>
      <c r="D32" t="s">
        <v>961</v>
      </c>
    </row>
    <row r="33" spans="1:4" x14ac:dyDescent="0.2">
      <c r="A33">
        <v>1</v>
      </c>
      <c r="B33">
        <v>2608</v>
      </c>
      <c r="C33">
        <v>672815</v>
      </c>
      <c r="D33" t="s">
        <v>962</v>
      </c>
    </row>
    <row r="34" spans="1:4" x14ac:dyDescent="0.2">
      <c r="A34">
        <v>1</v>
      </c>
      <c r="B34">
        <v>2609</v>
      </c>
      <c r="C34">
        <v>138615</v>
      </c>
      <c r="D34" t="s">
        <v>963</v>
      </c>
    </row>
    <row r="35" spans="1:4" x14ac:dyDescent="0.2">
      <c r="A35">
        <v>1</v>
      </c>
      <c r="B35">
        <v>2610</v>
      </c>
      <c r="C35">
        <v>285820</v>
      </c>
      <c r="D35" t="s">
        <v>964</v>
      </c>
    </row>
  </sheetData>
  <printOptions gridLines="1"/>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24"/>
  <sheetViews>
    <sheetView workbookViewId="0"/>
  </sheetViews>
  <sheetFormatPr defaultRowHeight="14.25" x14ac:dyDescent="0.2"/>
  <sheetData>
    <row r="1" spans="1:4" x14ac:dyDescent="0.2">
      <c r="A1" t="s">
        <v>1407</v>
      </c>
      <c r="B1" t="s">
        <v>1443</v>
      </c>
      <c r="C1" t="s">
        <v>1444</v>
      </c>
      <c r="D1" t="s">
        <v>1445</v>
      </c>
    </row>
    <row r="2" spans="1:4" x14ac:dyDescent="0.2">
      <c r="A2">
        <v>1</v>
      </c>
      <c r="B2">
        <v>2259</v>
      </c>
      <c r="C2">
        <v>19310340</v>
      </c>
      <c r="D2" t="s">
        <v>1462</v>
      </c>
    </row>
    <row r="3" spans="1:4" x14ac:dyDescent="0.2">
      <c r="A3">
        <v>1</v>
      </c>
      <c r="B3">
        <v>2260</v>
      </c>
      <c r="C3">
        <v>486865</v>
      </c>
      <c r="D3" t="s">
        <v>1463</v>
      </c>
    </row>
    <row r="4" spans="1:4" x14ac:dyDescent="0.2">
      <c r="A4">
        <v>1</v>
      </c>
      <c r="B4">
        <v>2261</v>
      </c>
      <c r="C4">
        <v>18823480</v>
      </c>
      <c r="D4" t="s">
        <v>1464</v>
      </c>
    </row>
    <row r="5" spans="1:4" x14ac:dyDescent="0.2">
      <c r="A5">
        <v>1</v>
      </c>
      <c r="B5">
        <v>2262</v>
      </c>
      <c r="C5">
        <v>434800</v>
      </c>
      <c r="D5" t="s">
        <v>152</v>
      </c>
    </row>
    <row r="6" spans="1:4" x14ac:dyDescent="0.2">
      <c r="A6">
        <v>1</v>
      </c>
      <c r="B6">
        <v>2263</v>
      </c>
      <c r="C6">
        <v>239030</v>
      </c>
      <c r="D6" t="s">
        <v>153</v>
      </c>
    </row>
    <row r="7" spans="1:4" x14ac:dyDescent="0.2">
      <c r="A7">
        <v>1</v>
      </c>
      <c r="B7">
        <v>2264</v>
      </c>
      <c r="C7">
        <v>147750</v>
      </c>
      <c r="D7" t="s">
        <v>1465</v>
      </c>
    </row>
    <row r="8" spans="1:4" x14ac:dyDescent="0.2">
      <c r="A8">
        <v>1</v>
      </c>
      <c r="B8">
        <v>2265</v>
      </c>
      <c r="C8">
        <v>1469085</v>
      </c>
      <c r="D8" t="s">
        <v>1466</v>
      </c>
    </row>
    <row r="9" spans="1:4" x14ac:dyDescent="0.2">
      <c r="A9">
        <v>1</v>
      </c>
      <c r="B9">
        <v>2266</v>
      </c>
      <c r="C9">
        <v>1540490</v>
      </c>
      <c r="D9" t="s">
        <v>1467</v>
      </c>
    </row>
    <row r="10" spans="1:4" x14ac:dyDescent="0.2">
      <c r="A10">
        <v>1</v>
      </c>
      <c r="B10">
        <v>2267</v>
      </c>
      <c r="C10">
        <v>610295</v>
      </c>
      <c r="D10" t="s">
        <v>1468</v>
      </c>
    </row>
    <row r="11" spans="1:4" x14ac:dyDescent="0.2">
      <c r="A11">
        <v>1</v>
      </c>
      <c r="B11">
        <v>2268</v>
      </c>
      <c r="C11">
        <v>2149640</v>
      </c>
      <c r="D11" t="s">
        <v>1469</v>
      </c>
    </row>
    <row r="12" spans="1:4" x14ac:dyDescent="0.2">
      <c r="A12">
        <v>1</v>
      </c>
      <c r="B12">
        <v>2269</v>
      </c>
      <c r="C12">
        <v>981030</v>
      </c>
      <c r="D12" t="s">
        <v>1470</v>
      </c>
    </row>
    <row r="13" spans="1:4" x14ac:dyDescent="0.2">
      <c r="A13">
        <v>1</v>
      </c>
      <c r="B13">
        <v>2270</v>
      </c>
      <c r="C13">
        <v>400460</v>
      </c>
      <c r="D13" t="s">
        <v>1471</v>
      </c>
    </row>
    <row r="14" spans="1:4" x14ac:dyDescent="0.2">
      <c r="A14">
        <v>1</v>
      </c>
      <c r="B14">
        <v>2271</v>
      </c>
      <c r="C14">
        <v>815225</v>
      </c>
      <c r="D14" t="s">
        <v>1472</v>
      </c>
    </row>
    <row r="15" spans="1:4" x14ac:dyDescent="0.2">
      <c r="A15">
        <v>1</v>
      </c>
      <c r="B15">
        <v>2272</v>
      </c>
      <c r="C15">
        <v>343940</v>
      </c>
      <c r="D15" t="s">
        <v>1473</v>
      </c>
    </row>
    <row r="16" spans="1:4" x14ac:dyDescent="0.2">
      <c r="A16">
        <v>1</v>
      </c>
      <c r="B16">
        <v>2273</v>
      </c>
      <c r="C16">
        <v>1571160</v>
      </c>
      <c r="D16" t="s">
        <v>154</v>
      </c>
    </row>
    <row r="17" spans="1:4" x14ac:dyDescent="0.2">
      <c r="A17">
        <v>1</v>
      </c>
      <c r="B17">
        <v>2274</v>
      </c>
      <c r="C17">
        <v>45455</v>
      </c>
      <c r="D17" t="s">
        <v>1474</v>
      </c>
    </row>
    <row r="18" spans="1:4" x14ac:dyDescent="0.2">
      <c r="A18">
        <v>1</v>
      </c>
      <c r="B18">
        <v>2275</v>
      </c>
      <c r="C18">
        <v>792600</v>
      </c>
      <c r="D18" t="s">
        <v>155</v>
      </c>
    </row>
    <row r="19" spans="1:4" x14ac:dyDescent="0.2">
      <c r="A19">
        <v>1</v>
      </c>
      <c r="B19">
        <v>2276</v>
      </c>
      <c r="C19">
        <v>1413320</v>
      </c>
      <c r="D19" t="s">
        <v>1475</v>
      </c>
    </row>
    <row r="20" spans="1:4" x14ac:dyDescent="0.2">
      <c r="A20">
        <v>1</v>
      </c>
      <c r="B20">
        <v>2277</v>
      </c>
      <c r="C20">
        <v>2446370</v>
      </c>
      <c r="D20" t="s">
        <v>1476</v>
      </c>
    </row>
    <row r="21" spans="1:4" x14ac:dyDescent="0.2">
      <c r="A21">
        <v>1</v>
      </c>
      <c r="B21">
        <v>2278</v>
      </c>
      <c r="C21">
        <v>350710</v>
      </c>
      <c r="D21" t="s">
        <v>156</v>
      </c>
    </row>
    <row r="22" spans="1:4" x14ac:dyDescent="0.2">
      <c r="A22">
        <v>1</v>
      </c>
      <c r="B22">
        <v>2279</v>
      </c>
      <c r="C22">
        <v>1085270</v>
      </c>
      <c r="D22" t="s">
        <v>1477</v>
      </c>
    </row>
    <row r="23" spans="1:4" x14ac:dyDescent="0.2">
      <c r="A23">
        <v>1</v>
      </c>
      <c r="B23">
        <v>2280</v>
      </c>
      <c r="C23">
        <v>797935</v>
      </c>
      <c r="D23" t="s">
        <v>1478</v>
      </c>
    </row>
    <row r="24" spans="1:4" x14ac:dyDescent="0.2">
      <c r="A24">
        <v>1</v>
      </c>
      <c r="B24">
        <v>2281</v>
      </c>
      <c r="C24">
        <v>1188915</v>
      </c>
      <c r="D24" t="s">
        <v>1479</v>
      </c>
    </row>
  </sheetData>
  <printOptions gridLines="1"/>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29"/>
  <sheetViews>
    <sheetView workbookViewId="0"/>
  </sheetViews>
  <sheetFormatPr defaultRowHeight="14.25" x14ac:dyDescent="0.2"/>
  <sheetData>
    <row r="1" spans="1:7" x14ac:dyDescent="0.2">
      <c r="A1" t="s">
        <v>1480</v>
      </c>
      <c r="B1" t="s">
        <v>1481</v>
      </c>
      <c r="C1" t="s">
        <v>1482</v>
      </c>
      <c r="D1" t="s">
        <v>496</v>
      </c>
      <c r="E1" t="s">
        <v>497</v>
      </c>
      <c r="F1" t="s">
        <v>498</v>
      </c>
      <c r="G1" t="s">
        <v>1483</v>
      </c>
    </row>
    <row r="2" spans="1:7" x14ac:dyDescent="0.2">
      <c r="A2">
        <v>2021</v>
      </c>
      <c r="B2">
        <v>1</v>
      </c>
      <c r="C2" t="s">
        <v>6</v>
      </c>
      <c r="D2">
        <v>14978940</v>
      </c>
      <c r="E2">
        <v>9955975</v>
      </c>
      <c r="F2">
        <v>4953835</v>
      </c>
      <c r="G2">
        <v>69130</v>
      </c>
    </row>
    <row r="3" spans="1:7" x14ac:dyDescent="0.2">
      <c r="A3">
        <v>2021</v>
      </c>
      <c r="B3">
        <v>1</v>
      </c>
      <c r="C3" t="s">
        <v>60</v>
      </c>
      <c r="D3">
        <v>424695</v>
      </c>
      <c r="E3">
        <v>78845</v>
      </c>
      <c r="F3">
        <v>342590</v>
      </c>
      <c r="G3">
        <v>3260</v>
      </c>
    </row>
    <row r="4" spans="1:7" x14ac:dyDescent="0.2">
      <c r="A4">
        <v>2021</v>
      </c>
      <c r="B4">
        <v>1</v>
      </c>
      <c r="C4" t="s">
        <v>61</v>
      </c>
      <c r="D4">
        <v>2077900</v>
      </c>
      <c r="E4">
        <v>946155</v>
      </c>
      <c r="F4">
        <v>1120690</v>
      </c>
      <c r="G4">
        <v>11055</v>
      </c>
    </row>
    <row r="5" spans="1:7" x14ac:dyDescent="0.2">
      <c r="A5">
        <v>2021</v>
      </c>
      <c r="B5">
        <v>1</v>
      </c>
      <c r="C5" t="s">
        <v>62</v>
      </c>
      <c r="D5">
        <v>2600000</v>
      </c>
      <c r="E5">
        <v>1667765</v>
      </c>
      <c r="F5">
        <v>918990</v>
      </c>
      <c r="G5">
        <v>13245</v>
      </c>
    </row>
    <row r="6" spans="1:7" x14ac:dyDescent="0.2">
      <c r="A6">
        <v>2021</v>
      </c>
      <c r="B6">
        <v>1</v>
      </c>
      <c r="C6" t="s">
        <v>63</v>
      </c>
      <c r="D6">
        <v>2646945</v>
      </c>
      <c r="E6">
        <v>1898275</v>
      </c>
      <c r="F6">
        <v>733980</v>
      </c>
      <c r="G6">
        <v>14690</v>
      </c>
    </row>
    <row r="7" spans="1:7" x14ac:dyDescent="0.2">
      <c r="A7">
        <v>2021</v>
      </c>
      <c r="B7">
        <v>1</v>
      </c>
      <c r="C7" t="s">
        <v>64</v>
      </c>
      <c r="D7">
        <v>3046565</v>
      </c>
      <c r="E7">
        <v>2284020</v>
      </c>
      <c r="F7">
        <v>747975</v>
      </c>
      <c r="G7">
        <v>14565</v>
      </c>
    </row>
    <row r="8" spans="1:7" x14ac:dyDescent="0.2">
      <c r="A8">
        <v>2021</v>
      </c>
      <c r="B8">
        <v>1</v>
      </c>
      <c r="C8" t="s">
        <v>65</v>
      </c>
      <c r="D8">
        <v>2432140</v>
      </c>
      <c r="E8">
        <v>1829885</v>
      </c>
      <c r="F8">
        <v>593825</v>
      </c>
      <c r="G8">
        <v>8425</v>
      </c>
    </row>
    <row r="9" spans="1:7" x14ac:dyDescent="0.2">
      <c r="A9">
        <v>2021</v>
      </c>
      <c r="B9">
        <v>1</v>
      </c>
      <c r="C9" t="s">
        <v>133</v>
      </c>
      <c r="D9">
        <v>1292805</v>
      </c>
      <c r="E9">
        <v>937925</v>
      </c>
      <c r="F9">
        <v>351640</v>
      </c>
      <c r="G9">
        <v>3240</v>
      </c>
    </row>
    <row r="10" spans="1:7" x14ac:dyDescent="0.2">
      <c r="A10">
        <v>2021</v>
      </c>
      <c r="B10">
        <v>1</v>
      </c>
      <c r="C10" t="s">
        <v>5</v>
      </c>
      <c r="D10">
        <v>457895</v>
      </c>
      <c r="E10">
        <v>313110</v>
      </c>
      <c r="F10">
        <v>144145</v>
      </c>
      <c r="G10">
        <v>645</v>
      </c>
    </row>
    <row r="11" spans="1:7" x14ac:dyDescent="0.2">
      <c r="A11">
        <v>2021</v>
      </c>
      <c r="B11">
        <v>1</v>
      </c>
      <c r="C11" t="s">
        <v>6</v>
      </c>
      <c r="D11">
        <v>14978940</v>
      </c>
      <c r="E11">
        <v>9955975</v>
      </c>
      <c r="F11">
        <v>4953835</v>
      </c>
      <c r="G11">
        <v>69130</v>
      </c>
    </row>
    <row r="12" spans="1:7" x14ac:dyDescent="0.2">
      <c r="A12">
        <v>2021</v>
      </c>
      <c r="B12">
        <v>1</v>
      </c>
      <c r="C12" t="s">
        <v>302</v>
      </c>
      <c r="D12">
        <v>3837605</v>
      </c>
      <c r="E12">
        <v>3028445</v>
      </c>
      <c r="F12">
        <v>803140</v>
      </c>
      <c r="G12">
        <v>6020</v>
      </c>
    </row>
    <row r="13" spans="1:7" x14ac:dyDescent="0.2">
      <c r="A13">
        <v>2021</v>
      </c>
      <c r="B13">
        <v>1</v>
      </c>
      <c r="C13" t="s">
        <v>301</v>
      </c>
      <c r="D13">
        <v>3796325</v>
      </c>
      <c r="E13">
        <v>3079585</v>
      </c>
      <c r="F13">
        <v>700780</v>
      </c>
      <c r="G13">
        <v>15965</v>
      </c>
    </row>
    <row r="14" spans="1:7" x14ac:dyDescent="0.2">
      <c r="A14">
        <v>2021</v>
      </c>
      <c r="B14">
        <v>1</v>
      </c>
      <c r="C14" t="s">
        <v>92</v>
      </c>
      <c r="D14">
        <v>1296755</v>
      </c>
      <c r="E14">
        <v>700670</v>
      </c>
      <c r="F14">
        <v>581980</v>
      </c>
      <c r="G14">
        <v>14100</v>
      </c>
    </row>
    <row r="15" spans="1:7" x14ac:dyDescent="0.2">
      <c r="A15">
        <v>2021</v>
      </c>
      <c r="B15">
        <v>1</v>
      </c>
      <c r="C15" t="s">
        <v>94</v>
      </c>
      <c r="D15">
        <v>986570</v>
      </c>
      <c r="E15">
        <v>737020</v>
      </c>
      <c r="F15">
        <v>233405</v>
      </c>
      <c r="G15">
        <v>16140</v>
      </c>
    </row>
    <row r="16" spans="1:7" x14ac:dyDescent="0.2">
      <c r="A16">
        <v>2021</v>
      </c>
      <c r="B16">
        <v>1</v>
      </c>
      <c r="C16" t="s">
        <v>93</v>
      </c>
      <c r="D16">
        <v>5061690</v>
      </c>
      <c r="E16">
        <v>2410245</v>
      </c>
      <c r="F16">
        <v>2634540</v>
      </c>
      <c r="G16">
        <v>16905</v>
      </c>
    </row>
    <row r="17" spans="1:7" x14ac:dyDescent="0.2">
      <c r="A17">
        <v>2021</v>
      </c>
      <c r="B17">
        <v>1</v>
      </c>
      <c r="C17" t="s">
        <v>6</v>
      </c>
      <c r="D17">
        <v>14978945</v>
      </c>
      <c r="E17">
        <v>9955970</v>
      </c>
      <c r="F17">
        <v>4953835</v>
      </c>
      <c r="G17">
        <v>69130</v>
      </c>
    </row>
    <row r="18" spans="1:7" x14ac:dyDescent="0.2">
      <c r="A18">
        <v>2021</v>
      </c>
      <c r="B18">
        <v>1</v>
      </c>
      <c r="C18" t="s">
        <v>83</v>
      </c>
      <c r="D18">
        <v>4394500</v>
      </c>
      <c r="E18">
        <v>2166035</v>
      </c>
      <c r="F18">
        <v>2214470</v>
      </c>
      <c r="G18">
        <v>13990</v>
      </c>
    </row>
    <row r="19" spans="1:7" x14ac:dyDescent="0.2">
      <c r="A19">
        <v>2021</v>
      </c>
      <c r="B19">
        <v>1</v>
      </c>
      <c r="C19" t="s">
        <v>308</v>
      </c>
      <c r="D19">
        <v>5124900</v>
      </c>
      <c r="E19">
        <v>3663505</v>
      </c>
      <c r="F19">
        <v>1447190</v>
      </c>
      <c r="G19">
        <v>14210</v>
      </c>
    </row>
    <row r="20" spans="1:7" x14ac:dyDescent="0.2">
      <c r="A20">
        <v>2021</v>
      </c>
      <c r="B20">
        <v>1</v>
      </c>
      <c r="C20" t="s">
        <v>309</v>
      </c>
      <c r="D20">
        <v>2194630</v>
      </c>
      <c r="E20">
        <v>1578840</v>
      </c>
      <c r="F20">
        <v>604570</v>
      </c>
      <c r="G20">
        <v>11215</v>
      </c>
    </row>
    <row r="21" spans="1:7" x14ac:dyDescent="0.2">
      <c r="A21">
        <v>2021</v>
      </c>
      <c r="B21">
        <v>1</v>
      </c>
      <c r="C21" t="s">
        <v>310</v>
      </c>
      <c r="D21">
        <v>2003150</v>
      </c>
      <c r="E21">
        <v>1594475</v>
      </c>
      <c r="F21">
        <v>398850</v>
      </c>
      <c r="G21">
        <v>9825</v>
      </c>
    </row>
    <row r="22" spans="1:7" x14ac:dyDescent="0.2">
      <c r="A22">
        <v>2021</v>
      </c>
      <c r="B22">
        <v>1</v>
      </c>
      <c r="C22" t="s">
        <v>87</v>
      </c>
      <c r="D22">
        <v>1261765</v>
      </c>
      <c r="E22">
        <v>953120</v>
      </c>
      <c r="F22">
        <v>288750</v>
      </c>
      <c r="G22">
        <v>19895</v>
      </c>
    </row>
    <row r="23" spans="1:7" x14ac:dyDescent="0.2">
      <c r="A23">
        <v>2021</v>
      </c>
      <c r="B23">
        <v>1</v>
      </c>
      <c r="C23" t="s">
        <v>311</v>
      </c>
      <c r="D23">
        <v>2.4</v>
      </c>
      <c r="E23">
        <v>2.6</v>
      </c>
      <c r="F23">
        <v>2.1</v>
      </c>
      <c r="G23">
        <v>3.5</v>
      </c>
    </row>
    <row r="24" spans="1:7" x14ac:dyDescent="0.2">
      <c r="A24">
        <v>2021</v>
      </c>
      <c r="B24">
        <v>1</v>
      </c>
      <c r="C24" t="s">
        <v>6</v>
      </c>
      <c r="D24">
        <v>14978945</v>
      </c>
      <c r="E24">
        <v>9955970</v>
      </c>
      <c r="F24">
        <v>4953835</v>
      </c>
      <c r="G24">
        <v>69130</v>
      </c>
    </row>
    <row r="25" spans="1:7" x14ac:dyDescent="0.2">
      <c r="A25">
        <v>2021</v>
      </c>
      <c r="B25">
        <v>1</v>
      </c>
      <c r="C25" t="s">
        <v>380</v>
      </c>
      <c r="D25">
        <v>132060</v>
      </c>
      <c r="E25">
        <v>19185</v>
      </c>
      <c r="F25">
        <v>112515</v>
      </c>
      <c r="G25">
        <v>370</v>
      </c>
    </row>
    <row r="26" spans="1:7" x14ac:dyDescent="0.2">
      <c r="A26">
        <v>2021</v>
      </c>
      <c r="B26">
        <v>1</v>
      </c>
      <c r="C26" t="s">
        <v>142</v>
      </c>
      <c r="D26">
        <v>2124490</v>
      </c>
      <c r="E26">
        <v>464290</v>
      </c>
      <c r="F26">
        <v>1656000</v>
      </c>
      <c r="G26">
        <v>4195</v>
      </c>
    </row>
    <row r="27" spans="1:7" x14ac:dyDescent="0.2">
      <c r="A27">
        <v>2021</v>
      </c>
      <c r="B27">
        <v>1</v>
      </c>
      <c r="C27" t="s">
        <v>381</v>
      </c>
      <c r="D27">
        <v>3829965</v>
      </c>
      <c r="E27">
        <v>1908230</v>
      </c>
      <c r="F27">
        <v>1906160</v>
      </c>
      <c r="G27">
        <v>15565</v>
      </c>
    </row>
    <row r="28" spans="1:7" x14ac:dyDescent="0.2">
      <c r="A28">
        <v>2021</v>
      </c>
      <c r="B28">
        <v>1</v>
      </c>
      <c r="C28" t="s">
        <v>382</v>
      </c>
      <c r="D28">
        <v>4982905</v>
      </c>
      <c r="E28">
        <v>4012385</v>
      </c>
      <c r="F28">
        <v>942320</v>
      </c>
      <c r="G28">
        <v>28195</v>
      </c>
    </row>
    <row r="29" spans="1:7" x14ac:dyDescent="0.2">
      <c r="A29">
        <v>2021</v>
      </c>
      <c r="B29">
        <v>1</v>
      </c>
      <c r="C29" t="s">
        <v>383</v>
      </c>
      <c r="D29">
        <v>3909525</v>
      </c>
      <c r="E29">
        <v>3551880</v>
      </c>
      <c r="F29">
        <v>336845</v>
      </c>
      <c r="G29">
        <v>20795</v>
      </c>
    </row>
  </sheetData>
  <printOptions gridLines="1"/>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51"/>
  <sheetViews>
    <sheetView workbookViewId="0"/>
  </sheetViews>
  <sheetFormatPr defaultRowHeight="14.25" x14ac:dyDescent="0.2"/>
  <sheetData>
    <row r="1" spans="1:6" x14ac:dyDescent="0.2">
      <c r="A1" t="s">
        <v>1407</v>
      </c>
      <c r="B1" t="s">
        <v>1443</v>
      </c>
      <c r="C1" t="s">
        <v>1444</v>
      </c>
      <c r="D1" t="s">
        <v>1445</v>
      </c>
      <c r="E1" t="s">
        <v>147</v>
      </c>
      <c r="F1" t="s">
        <v>1484</v>
      </c>
    </row>
    <row r="2" spans="1:6" x14ac:dyDescent="0.2">
      <c r="A2">
        <v>1</v>
      </c>
      <c r="B2">
        <v>8</v>
      </c>
      <c r="C2">
        <v>35151730</v>
      </c>
      <c r="D2" t="s">
        <v>1485</v>
      </c>
      <c r="E2">
        <v>2016</v>
      </c>
      <c r="F2" t="s">
        <v>1486</v>
      </c>
    </row>
    <row r="3" spans="1:6" x14ac:dyDescent="0.2">
      <c r="A3">
        <v>1</v>
      </c>
      <c r="B3">
        <v>10</v>
      </c>
      <c r="C3">
        <v>1898790</v>
      </c>
      <c r="D3" t="s">
        <v>1487</v>
      </c>
      <c r="E3">
        <v>2016</v>
      </c>
      <c r="F3" t="s">
        <v>1486</v>
      </c>
    </row>
    <row r="4" spans="1:6" x14ac:dyDescent="0.2">
      <c r="A4">
        <v>1</v>
      </c>
      <c r="B4">
        <v>11</v>
      </c>
      <c r="C4">
        <v>2018130</v>
      </c>
      <c r="D4" t="s">
        <v>1488</v>
      </c>
      <c r="E4">
        <v>2016</v>
      </c>
      <c r="F4" t="s">
        <v>1486</v>
      </c>
    </row>
    <row r="5" spans="1:6" x14ac:dyDescent="0.2">
      <c r="A5">
        <v>1</v>
      </c>
      <c r="B5">
        <v>12</v>
      </c>
      <c r="C5">
        <v>1922645</v>
      </c>
      <c r="D5" t="s">
        <v>1489</v>
      </c>
      <c r="E5">
        <v>2016</v>
      </c>
      <c r="F5" t="s">
        <v>1486</v>
      </c>
    </row>
    <row r="6" spans="1:6" x14ac:dyDescent="0.2">
      <c r="A6">
        <v>1</v>
      </c>
      <c r="B6">
        <v>14</v>
      </c>
      <c r="C6">
        <v>2026160</v>
      </c>
      <c r="D6" t="s">
        <v>1094</v>
      </c>
      <c r="E6">
        <v>2016</v>
      </c>
      <c r="F6" t="s">
        <v>1486</v>
      </c>
    </row>
    <row r="7" spans="1:6" x14ac:dyDescent="0.2">
      <c r="A7">
        <v>1</v>
      </c>
      <c r="B7">
        <v>15</v>
      </c>
      <c r="C7">
        <v>2242690</v>
      </c>
      <c r="D7" t="s">
        <v>1095</v>
      </c>
      <c r="E7">
        <v>2016</v>
      </c>
      <c r="F7" t="s">
        <v>1486</v>
      </c>
    </row>
    <row r="8" spans="1:6" x14ac:dyDescent="0.2">
      <c r="A8">
        <v>1</v>
      </c>
      <c r="B8">
        <v>16</v>
      </c>
      <c r="C8">
        <v>2285990</v>
      </c>
      <c r="D8" t="s">
        <v>1490</v>
      </c>
      <c r="E8">
        <v>2016</v>
      </c>
      <c r="F8" t="s">
        <v>1486</v>
      </c>
    </row>
    <row r="9" spans="1:6" x14ac:dyDescent="0.2">
      <c r="A9">
        <v>1</v>
      </c>
      <c r="B9">
        <v>17</v>
      </c>
      <c r="C9">
        <v>2329395</v>
      </c>
      <c r="D9" t="s">
        <v>1491</v>
      </c>
      <c r="E9">
        <v>2016</v>
      </c>
      <c r="F9" t="s">
        <v>1486</v>
      </c>
    </row>
    <row r="10" spans="1:6" x14ac:dyDescent="0.2">
      <c r="A10">
        <v>1</v>
      </c>
      <c r="B10">
        <v>18</v>
      </c>
      <c r="C10">
        <v>2288365</v>
      </c>
      <c r="D10" t="s">
        <v>1492</v>
      </c>
      <c r="E10">
        <v>2016</v>
      </c>
      <c r="F10" t="s">
        <v>1486</v>
      </c>
    </row>
    <row r="11" spans="1:6" x14ac:dyDescent="0.2">
      <c r="A11">
        <v>1</v>
      </c>
      <c r="B11">
        <v>19</v>
      </c>
      <c r="C11">
        <v>2255135</v>
      </c>
      <c r="D11" t="s">
        <v>1493</v>
      </c>
      <c r="E11">
        <v>2016</v>
      </c>
      <c r="F11" t="s">
        <v>1486</v>
      </c>
    </row>
    <row r="12" spans="1:6" x14ac:dyDescent="0.2">
      <c r="A12">
        <v>1</v>
      </c>
      <c r="B12">
        <v>20</v>
      </c>
      <c r="C12">
        <v>2359965</v>
      </c>
      <c r="D12" t="s">
        <v>1494</v>
      </c>
      <c r="E12">
        <v>2016</v>
      </c>
      <c r="F12" t="s">
        <v>1486</v>
      </c>
    </row>
    <row r="13" spans="1:6" x14ac:dyDescent="0.2">
      <c r="A13">
        <v>1</v>
      </c>
      <c r="B13">
        <v>21</v>
      </c>
      <c r="C13">
        <v>2678075</v>
      </c>
      <c r="D13" t="s">
        <v>1495</v>
      </c>
      <c r="E13">
        <v>2016</v>
      </c>
      <c r="F13" t="s">
        <v>1486</v>
      </c>
    </row>
    <row r="14" spans="1:6" x14ac:dyDescent="0.2">
      <c r="A14">
        <v>1</v>
      </c>
      <c r="B14">
        <v>22</v>
      </c>
      <c r="C14">
        <v>2620240</v>
      </c>
      <c r="D14" t="s">
        <v>1496</v>
      </c>
      <c r="E14">
        <v>2016</v>
      </c>
      <c r="F14" t="s">
        <v>1486</v>
      </c>
    </row>
    <row r="15" spans="1:6" x14ac:dyDescent="0.2">
      <c r="A15">
        <v>1</v>
      </c>
      <c r="B15">
        <v>23</v>
      </c>
      <c r="C15">
        <v>2290510</v>
      </c>
      <c r="D15" t="s">
        <v>1497</v>
      </c>
      <c r="E15">
        <v>2016</v>
      </c>
      <c r="F15" t="s">
        <v>1486</v>
      </c>
    </row>
    <row r="16" spans="1:6" x14ac:dyDescent="0.2">
      <c r="A16">
        <v>1</v>
      </c>
      <c r="B16">
        <v>25</v>
      </c>
      <c r="C16">
        <v>1972480</v>
      </c>
      <c r="D16" t="s">
        <v>1498</v>
      </c>
      <c r="E16">
        <v>2016</v>
      </c>
      <c r="F16" t="s">
        <v>1486</v>
      </c>
    </row>
    <row r="17" spans="1:6" x14ac:dyDescent="0.2">
      <c r="A17">
        <v>1</v>
      </c>
      <c r="B17">
        <v>26</v>
      </c>
      <c r="C17">
        <v>1420875</v>
      </c>
      <c r="D17" t="s">
        <v>1499</v>
      </c>
      <c r="E17">
        <v>2016</v>
      </c>
      <c r="F17" t="s">
        <v>1486</v>
      </c>
    </row>
    <row r="18" spans="1:6" x14ac:dyDescent="0.2">
      <c r="A18">
        <v>1</v>
      </c>
      <c r="B18">
        <v>27</v>
      </c>
      <c r="C18">
        <v>1021850</v>
      </c>
      <c r="D18" t="s">
        <v>1500</v>
      </c>
      <c r="E18">
        <v>2016</v>
      </c>
      <c r="F18" t="s">
        <v>1486</v>
      </c>
    </row>
    <row r="19" spans="1:6" x14ac:dyDescent="0.2">
      <c r="A19">
        <v>1</v>
      </c>
      <c r="B19">
        <v>28</v>
      </c>
      <c r="C19">
        <v>749650</v>
      </c>
      <c r="D19" t="s">
        <v>1501</v>
      </c>
      <c r="E19">
        <v>2016</v>
      </c>
      <c r="F19" t="s">
        <v>1486</v>
      </c>
    </row>
    <row r="20" spans="1:6" x14ac:dyDescent="0.2">
      <c r="A20">
        <v>1</v>
      </c>
      <c r="B20">
        <v>29</v>
      </c>
      <c r="C20">
        <v>770780</v>
      </c>
      <c r="D20" t="s">
        <v>293</v>
      </c>
      <c r="E20">
        <v>2016</v>
      </c>
      <c r="F20" t="s">
        <v>1486</v>
      </c>
    </row>
    <row r="21" spans="1:6" x14ac:dyDescent="0.2">
      <c r="A21">
        <v>1</v>
      </c>
      <c r="B21">
        <v>39</v>
      </c>
      <c r="C21">
        <v>41</v>
      </c>
      <c r="D21" t="s">
        <v>1502</v>
      </c>
      <c r="E21">
        <v>2016</v>
      </c>
      <c r="F21" t="s">
        <v>1486</v>
      </c>
    </row>
    <row r="22" spans="1:6" x14ac:dyDescent="0.2">
      <c r="A22">
        <v>1</v>
      </c>
      <c r="B22">
        <v>40</v>
      </c>
      <c r="C22">
        <v>41.2</v>
      </c>
      <c r="D22" t="s">
        <v>1503</v>
      </c>
      <c r="E22">
        <v>2016</v>
      </c>
      <c r="F22" t="s">
        <v>1486</v>
      </c>
    </row>
    <row r="23" spans="1:6" x14ac:dyDescent="0.2">
      <c r="A23">
        <v>1</v>
      </c>
      <c r="B23">
        <v>8</v>
      </c>
      <c r="C23">
        <v>36991980</v>
      </c>
      <c r="D23" t="s">
        <v>1485</v>
      </c>
      <c r="E23">
        <v>2021</v>
      </c>
      <c r="F23" t="s">
        <v>1486</v>
      </c>
    </row>
    <row r="24" spans="1:6" x14ac:dyDescent="0.2">
      <c r="A24">
        <v>1</v>
      </c>
      <c r="B24">
        <v>10</v>
      </c>
      <c r="C24">
        <v>1831195</v>
      </c>
      <c r="D24" t="s">
        <v>1487</v>
      </c>
      <c r="E24">
        <v>2021</v>
      </c>
      <c r="F24" t="s">
        <v>1486</v>
      </c>
    </row>
    <row r="25" spans="1:6" x14ac:dyDescent="0.2">
      <c r="A25">
        <v>1</v>
      </c>
      <c r="B25">
        <v>11</v>
      </c>
      <c r="C25">
        <v>2054900</v>
      </c>
      <c r="D25" t="s">
        <v>1488</v>
      </c>
      <c r="E25">
        <v>2021</v>
      </c>
      <c r="F25" t="s">
        <v>1486</v>
      </c>
    </row>
    <row r="26" spans="1:6" x14ac:dyDescent="0.2">
      <c r="A26">
        <v>1</v>
      </c>
      <c r="B26">
        <v>12</v>
      </c>
      <c r="C26">
        <v>2126705</v>
      </c>
      <c r="D26" t="s">
        <v>1489</v>
      </c>
      <c r="E26">
        <v>2021</v>
      </c>
      <c r="F26" t="s">
        <v>1486</v>
      </c>
    </row>
    <row r="27" spans="1:6" x14ac:dyDescent="0.2">
      <c r="A27">
        <v>1</v>
      </c>
      <c r="B27">
        <v>14</v>
      </c>
      <c r="C27">
        <v>2012975</v>
      </c>
      <c r="D27" t="s">
        <v>1094</v>
      </c>
      <c r="E27">
        <v>2021</v>
      </c>
      <c r="F27" t="s">
        <v>1486</v>
      </c>
    </row>
    <row r="28" spans="1:6" x14ac:dyDescent="0.2">
      <c r="A28">
        <v>1</v>
      </c>
      <c r="B28">
        <v>15</v>
      </c>
      <c r="C28">
        <v>2202255</v>
      </c>
      <c r="D28" t="s">
        <v>1095</v>
      </c>
      <c r="E28">
        <v>2021</v>
      </c>
      <c r="F28" t="s">
        <v>1486</v>
      </c>
    </row>
    <row r="29" spans="1:6" x14ac:dyDescent="0.2">
      <c r="A29">
        <v>1</v>
      </c>
      <c r="B29">
        <v>16</v>
      </c>
      <c r="C29">
        <v>2421510</v>
      </c>
      <c r="D29" t="s">
        <v>1490</v>
      </c>
      <c r="E29">
        <v>2021</v>
      </c>
      <c r="F29" t="s">
        <v>1486</v>
      </c>
    </row>
    <row r="30" spans="1:6" x14ac:dyDescent="0.2">
      <c r="A30">
        <v>1</v>
      </c>
      <c r="B30">
        <v>17</v>
      </c>
      <c r="C30">
        <v>2518835</v>
      </c>
      <c r="D30" t="s">
        <v>1491</v>
      </c>
      <c r="E30">
        <v>2021</v>
      </c>
      <c r="F30" t="s">
        <v>1486</v>
      </c>
    </row>
    <row r="31" spans="1:6" x14ac:dyDescent="0.2">
      <c r="A31">
        <v>1</v>
      </c>
      <c r="B31">
        <v>18</v>
      </c>
      <c r="C31">
        <v>2511345</v>
      </c>
      <c r="D31" t="s">
        <v>1492</v>
      </c>
      <c r="E31">
        <v>2021</v>
      </c>
      <c r="F31" t="s">
        <v>1486</v>
      </c>
    </row>
    <row r="32" spans="1:6" x14ac:dyDescent="0.2">
      <c r="A32">
        <v>1</v>
      </c>
      <c r="B32">
        <v>19</v>
      </c>
      <c r="C32">
        <v>2399405</v>
      </c>
      <c r="D32" t="s">
        <v>1493</v>
      </c>
      <c r="E32">
        <v>2021</v>
      </c>
      <c r="F32" t="s">
        <v>1486</v>
      </c>
    </row>
    <row r="33" spans="1:6" x14ac:dyDescent="0.2">
      <c r="A33">
        <v>1</v>
      </c>
      <c r="B33">
        <v>20</v>
      </c>
      <c r="C33">
        <v>2304170</v>
      </c>
      <c r="D33" t="s">
        <v>1494</v>
      </c>
      <c r="E33">
        <v>2021</v>
      </c>
      <c r="F33" t="s">
        <v>1486</v>
      </c>
    </row>
    <row r="34" spans="1:6" x14ac:dyDescent="0.2">
      <c r="A34">
        <v>1</v>
      </c>
      <c r="B34">
        <v>21</v>
      </c>
      <c r="C34">
        <v>2368350</v>
      </c>
      <c r="D34" t="s">
        <v>1495</v>
      </c>
      <c r="E34">
        <v>2021</v>
      </c>
      <c r="F34" t="s">
        <v>1486</v>
      </c>
    </row>
    <row r="35" spans="1:6" x14ac:dyDescent="0.2">
      <c r="A35">
        <v>1</v>
      </c>
      <c r="B35">
        <v>22</v>
      </c>
      <c r="C35">
        <v>2647330</v>
      </c>
      <c r="D35" t="s">
        <v>1496</v>
      </c>
      <c r="E35">
        <v>2021</v>
      </c>
      <c r="F35" t="s">
        <v>1486</v>
      </c>
    </row>
    <row r="36" spans="1:6" x14ac:dyDescent="0.2">
      <c r="A36">
        <v>1</v>
      </c>
      <c r="B36">
        <v>23</v>
      </c>
      <c r="C36">
        <v>2571580</v>
      </c>
      <c r="D36" t="s">
        <v>1497</v>
      </c>
      <c r="E36">
        <v>2021</v>
      </c>
      <c r="F36" t="s">
        <v>1486</v>
      </c>
    </row>
    <row r="37" spans="1:6" x14ac:dyDescent="0.2">
      <c r="A37">
        <v>1</v>
      </c>
      <c r="B37">
        <v>25</v>
      </c>
      <c r="C37">
        <v>2210970</v>
      </c>
      <c r="D37" t="s">
        <v>1498</v>
      </c>
      <c r="E37">
        <v>2021</v>
      </c>
      <c r="F37" t="s">
        <v>1486</v>
      </c>
    </row>
    <row r="38" spans="1:6" x14ac:dyDescent="0.2">
      <c r="A38">
        <v>1</v>
      </c>
      <c r="B38">
        <v>26</v>
      </c>
      <c r="C38">
        <v>1847585</v>
      </c>
      <c r="D38" t="s">
        <v>1499</v>
      </c>
      <c r="E38">
        <v>2021</v>
      </c>
      <c r="F38" t="s">
        <v>1486</v>
      </c>
    </row>
    <row r="39" spans="1:6" x14ac:dyDescent="0.2">
      <c r="A39">
        <v>1</v>
      </c>
      <c r="B39">
        <v>27</v>
      </c>
      <c r="C39">
        <v>1260930</v>
      </c>
      <c r="D39" t="s">
        <v>1500</v>
      </c>
      <c r="E39">
        <v>2021</v>
      </c>
      <c r="F39" t="s">
        <v>1486</v>
      </c>
    </row>
    <row r="40" spans="1:6" x14ac:dyDescent="0.2">
      <c r="A40">
        <v>1</v>
      </c>
      <c r="B40">
        <v>28</v>
      </c>
      <c r="C40">
        <v>840545</v>
      </c>
      <c r="D40" t="s">
        <v>1501</v>
      </c>
      <c r="E40">
        <v>2021</v>
      </c>
      <c r="F40" t="s">
        <v>1486</v>
      </c>
    </row>
    <row r="41" spans="1:6" x14ac:dyDescent="0.2">
      <c r="A41">
        <v>1</v>
      </c>
      <c r="B41">
        <v>29</v>
      </c>
      <c r="C41">
        <v>861395</v>
      </c>
      <c r="D41" t="s">
        <v>293</v>
      </c>
      <c r="E41">
        <v>2021</v>
      </c>
      <c r="F41" t="s">
        <v>1486</v>
      </c>
    </row>
    <row r="42" spans="1:6" x14ac:dyDescent="0.2">
      <c r="A42">
        <v>1</v>
      </c>
      <c r="B42">
        <v>30</v>
      </c>
      <c r="C42">
        <v>525445</v>
      </c>
      <c r="D42" t="s">
        <v>1504</v>
      </c>
      <c r="E42">
        <v>2021</v>
      </c>
      <c r="F42" t="s">
        <v>1486</v>
      </c>
    </row>
    <row r="43" spans="1:6" x14ac:dyDescent="0.2">
      <c r="A43">
        <v>1</v>
      </c>
      <c r="B43">
        <v>31</v>
      </c>
      <c r="C43">
        <v>258035</v>
      </c>
      <c r="D43" t="s">
        <v>1505</v>
      </c>
      <c r="E43">
        <v>2021</v>
      </c>
      <c r="F43" t="s">
        <v>1486</v>
      </c>
    </row>
    <row r="44" spans="1:6" x14ac:dyDescent="0.2">
      <c r="A44">
        <v>1</v>
      </c>
      <c r="B44">
        <v>32</v>
      </c>
      <c r="C44">
        <v>68380</v>
      </c>
      <c r="D44" t="s">
        <v>1506</v>
      </c>
      <c r="E44">
        <v>2021</v>
      </c>
      <c r="F44" t="s">
        <v>1486</v>
      </c>
    </row>
    <row r="45" spans="1:6" x14ac:dyDescent="0.2">
      <c r="A45">
        <v>1</v>
      </c>
      <c r="B45">
        <v>33</v>
      </c>
      <c r="C45">
        <v>9535</v>
      </c>
      <c r="D45" t="s">
        <v>1507</v>
      </c>
      <c r="E45">
        <v>2021</v>
      </c>
      <c r="F45" t="s">
        <v>1486</v>
      </c>
    </row>
    <row r="46" spans="1:6" x14ac:dyDescent="0.2">
      <c r="A46">
        <v>1</v>
      </c>
      <c r="B46">
        <v>35</v>
      </c>
      <c r="C46">
        <v>16.3</v>
      </c>
      <c r="D46" t="s">
        <v>1508</v>
      </c>
      <c r="E46">
        <v>2021</v>
      </c>
      <c r="F46" t="s">
        <v>1486</v>
      </c>
    </row>
    <row r="47" spans="1:6" x14ac:dyDescent="0.2">
      <c r="A47">
        <v>1</v>
      </c>
      <c r="B47">
        <v>36</v>
      </c>
      <c r="C47">
        <v>64.8</v>
      </c>
      <c r="D47" t="s">
        <v>1509</v>
      </c>
      <c r="E47">
        <v>2021</v>
      </c>
      <c r="F47" t="s">
        <v>1486</v>
      </c>
    </row>
    <row r="48" spans="1:6" x14ac:dyDescent="0.2">
      <c r="A48">
        <v>1</v>
      </c>
      <c r="B48">
        <v>37</v>
      </c>
      <c r="C48">
        <v>19</v>
      </c>
      <c r="D48" t="s">
        <v>1510</v>
      </c>
      <c r="E48">
        <v>2021</v>
      </c>
      <c r="F48" t="s">
        <v>1486</v>
      </c>
    </row>
    <row r="49" spans="1:6" x14ac:dyDescent="0.2">
      <c r="A49">
        <v>1</v>
      </c>
      <c r="B49">
        <v>38</v>
      </c>
      <c r="C49">
        <v>2.2999999999999998</v>
      </c>
      <c r="D49" t="s">
        <v>293</v>
      </c>
      <c r="E49">
        <v>2021</v>
      </c>
      <c r="F49" t="s">
        <v>1486</v>
      </c>
    </row>
    <row r="50" spans="1:6" x14ac:dyDescent="0.2">
      <c r="A50">
        <v>1</v>
      </c>
      <c r="B50">
        <v>39</v>
      </c>
      <c r="C50">
        <v>41.9</v>
      </c>
      <c r="D50" t="s">
        <v>1502</v>
      </c>
      <c r="E50">
        <v>2021</v>
      </c>
      <c r="F50" t="s">
        <v>1486</v>
      </c>
    </row>
    <row r="51" spans="1:6" x14ac:dyDescent="0.2">
      <c r="A51">
        <v>1</v>
      </c>
      <c r="B51">
        <v>40</v>
      </c>
      <c r="C51">
        <v>41.6</v>
      </c>
      <c r="D51" t="s">
        <v>1503</v>
      </c>
      <c r="E51">
        <v>2021</v>
      </c>
      <c r="F51" t="s">
        <v>1486</v>
      </c>
    </row>
  </sheetData>
  <printOptions gridLines="1"/>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A1"/>
  <sheetViews>
    <sheetView workbookViewId="0"/>
  </sheetViews>
  <sheetFormatPr defaultRowHeight="14.25" x14ac:dyDescent="0.2"/>
  <sheetData>
    <row r="1" spans="1:27" x14ac:dyDescent="0.2">
      <c r="A1" t="s">
        <v>1405</v>
      </c>
      <c r="B1" t="s">
        <v>1481</v>
      </c>
      <c r="C1" t="s">
        <v>1511</v>
      </c>
      <c r="D1" t="s">
        <v>1512</v>
      </c>
      <c r="E1" t="s">
        <v>1513</v>
      </c>
      <c r="F1" t="s">
        <v>1514</v>
      </c>
      <c r="G1" t="s">
        <v>1515</v>
      </c>
      <c r="H1" t="s">
        <v>1516</v>
      </c>
      <c r="I1" t="s">
        <v>1517</v>
      </c>
      <c r="J1" t="s">
        <v>1518</v>
      </c>
      <c r="K1" t="s">
        <v>1519</v>
      </c>
      <c r="L1" t="s">
        <v>1520</v>
      </c>
      <c r="M1" t="s">
        <v>1521</v>
      </c>
      <c r="N1" t="s">
        <v>1522</v>
      </c>
      <c r="O1" t="s">
        <v>1523</v>
      </c>
      <c r="P1" t="s">
        <v>1524</v>
      </c>
      <c r="Q1" t="s">
        <v>1525</v>
      </c>
      <c r="R1" t="s">
        <v>1526</v>
      </c>
      <c r="S1" t="s">
        <v>1527</v>
      </c>
      <c r="T1" t="s">
        <v>1528</v>
      </c>
      <c r="U1" t="s">
        <v>1529</v>
      </c>
      <c r="V1" t="s">
        <v>1530</v>
      </c>
      <c r="W1" t="s">
        <v>1531</v>
      </c>
      <c r="X1" t="s">
        <v>1532</v>
      </c>
      <c r="Y1" t="s">
        <v>1533</v>
      </c>
      <c r="Z1" t="s">
        <v>1534</v>
      </c>
      <c r="AA1" t="s">
        <v>1535</v>
      </c>
    </row>
  </sheetData>
  <printOptions gridLines="1"/>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B93"/>
  <sheetViews>
    <sheetView workbookViewId="0"/>
  </sheetViews>
  <sheetFormatPr defaultRowHeight="14.25" x14ac:dyDescent="0.2"/>
  <sheetData>
    <row r="1" spans="1:28" x14ac:dyDescent="0.2">
      <c r="A1" t="s">
        <v>1405</v>
      </c>
      <c r="B1" t="s">
        <v>1481</v>
      </c>
      <c r="C1" t="s">
        <v>1536</v>
      </c>
      <c r="D1" t="s">
        <v>1511</v>
      </c>
      <c r="E1" t="s">
        <v>1512</v>
      </c>
      <c r="F1" t="s">
        <v>1513</v>
      </c>
      <c r="G1" t="s">
        <v>1514</v>
      </c>
      <c r="H1" t="s">
        <v>1515</v>
      </c>
      <c r="I1" t="s">
        <v>1516</v>
      </c>
      <c r="J1" t="s">
        <v>1517</v>
      </c>
      <c r="K1" t="s">
        <v>1518</v>
      </c>
      <c r="L1" t="s">
        <v>1519</v>
      </c>
      <c r="M1" t="s">
        <v>1520</v>
      </c>
      <c r="N1" t="s">
        <v>1521</v>
      </c>
      <c r="O1" t="s">
        <v>1522</v>
      </c>
      <c r="P1" t="s">
        <v>1523</v>
      </c>
      <c r="Q1" t="s">
        <v>1524</v>
      </c>
      <c r="R1" t="s">
        <v>1525</v>
      </c>
      <c r="S1" t="s">
        <v>1526</v>
      </c>
      <c r="T1" t="s">
        <v>1527</v>
      </c>
      <c r="U1" t="s">
        <v>1528</v>
      </c>
      <c r="V1" t="s">
        <v>1529</v>
      </c>
      <c r="W1" t="s">
        <v>1530</v>
      </c>
      <c r="X1" t="s">
        <v>1531</v>
      </c>
      <c r="Y1" t="s">
        <v>1532</v>
      </c>
      <c r="Z1" t="s">
        <v>1533</v>
      </c>
      <c r="AA1" t="s">
        <v>1534</v>
      </c>
      <c r="AB1" t="s">
        <v>1535</v>
      </c>
    </row>
    <row r="2" spans="1:28" x14ac:dyDescent="0.2">
      <c r="A2" t="s">
        <v>735</v>
      </c>
      <c r="B2">
        <v>1</v>
      </c>
      <c r="C2" t="s">
        <v>6</v>
      </c>
      <c r="D2">
        <v>31020855</v>
      </c>
      <c r="E2">
        <v>31359199</v>
      </c>
      <c r="F2">
        <v>31642461</v>
      </c>
      <c r="G2">
        <v>31938807</v>
      </c>
      <c r="H2">
        <v>32242732</v>
      </c>
      <c r="I2">
        <v>32571193</v>
      </c>
      <c r="J2">
        <v>32888886</v>
      </c>
      <c r="K2">
        <v>33247298</v>
      </c>
      <c r="L2">
        <v>33630069</v>
      </c>
      <c r="M2">
        <v>34005902</v>
      </c>
      <c r="N2">
        <v>34339221</v>
      </c>
      <c r="O2">
        <v>34713395</v>
      </c>
      <c r="P2">
        <v>35080992</v>
      </c>
      <c r="Q2">
        <v>35434066</v>
      </c>
      <c r="R2">
        <v>35704498</v>
      </c>
      <c r="S2">
        <v>36110803</v>
      </c>
      <c r="T2">
        <v>36545075</v>
      </c>
      <c r="U2">
        <v>37072620</v>
      </c>
      <c r="V2">
        <v>37618495</v>
      </c>
      <c r="W2">
        <v>38028638</v>
      </c>
      <c r="X2">
        <v>38239864</v>
      </c>
      <c r="Y2">
        <v>38950132</v>
      </c>
      <c r="Z2">
        <v>40049088</v>
      </c>
      <c r="AA2">
        <v>41262329</v>
      </c>
      <c r="AB2">
        <v>41651653</v>
      </c>
    </row>
    <row r="3" spans="1:28" x14ac:dyDescent="0.2">
      <c r="A3" t="s">
        <v>735</v>
      </c>
      <c r="B3">
        <v>1</v>
      </c>
      <c r="C3" t="s">
        <v>1537</v>
      </c>
      <c r="D3">
        <v>328628</v>
      </c>
      <c r="E3">
        <v>328819</v>
      </c>
      <c r="F3">
        <v>331109</v>
      </c>
      <c r="G3">
        <v>339272</v>
      </c>
      <c r="H3">
        <v>340836</v>
      </c>
      <c r="I3">
        <v>345182</v>
      </c>
      <c r="J3">
        <v>362735</v>
      </c>
      <c r="K3">
        <v>375553</v>
      </c>
      <c r="L3">
        <v>380879</v>
      </c>
      <c r="M3">
        <v>379571</v>
      </c>
      <c r="N3">
        <v>376665</v>
      </c>
      <c r="O3">
        <v>379123</v>
      </c>
      <c r="P3">
        <v>381323</v>
      </c>
      <c r="Q3">
        <v>381592</v>
      </c>
      <c r="R3">
        <v>382430</v>
      </c>
      <c r="S3">
        <v>383544</v>
      </c>
      <c r="T3">
        <v>380227</v>
      </c>
      <c r="U3">
        <v>377112</v>
      </c>
      <c r="V3">
        <v>373219</v>
      </c>
      <c r="W3">
        <v>370978</v>
      </c>
      <c r="X3">
        <v>362725</v>
      </c>
      <c r="Y3">
        <v>363802</v>
      </c>
      <c r="Z3">
        <v>352154</v>
      </c>
      <c r="AA3">
        <v>360967</v>
      </c>
      <c r="AB3">
        <v>368007</v>
      </c>
    </row>
    <row r="4" spans="1:28" x14ac:dyDescent="0.2">
      <c r="A4" t="s">
        <v>735</v>
      </c>
      <c r="B4">
        <v>1</v>
      </c>
      <c r="C4" t="s">
        <v>1538</v>
      </c>
      <c r="D4">
        <v>345304</v>
      </c>
      <c r="E4">
        <v>333119</v>
      </c>
      <c r="F4">
        <v>333163</v>
      </c>
      <c r="G4">
        <v>336005</v>
      </c>
      <c r="H4">
        <v>344490</v>
      </c>
      <c r="I4">
        <v>344530</v>
      </c>
      <c r="J4">
        <v>348921</v>
      </c>
      <c r="K4">
        <v>365905</v>
      </c>
      <c r="L4">
        <v>378124</v>
      </c>
      <c r="M4">
        <v>382080</v>
      </c>
      <c r="N4">
        <v>380165</v>
      </c>
      <c r="O4">
        <v>379667</v>
      </c>
      <c r="P4">
        <v>382301</v>
      </c>
      <c r="Q4">
        <v>384036</v>
      </c>
      <c r="R4">
        <v>383629</v>
      </c>
      <c r="S4">
        <v>385990</v>
      </c>
      <c r="T4">
        <v>388033</v>
      </c>
      <c r="U4">
        <v>385385</v>
      </c>
      <c r="V4">
        <v>381782</v>
      </c>
      <c r="W4">
        <v>377473</v>
      </c>
      <c r="X4">
        <v>371898</v>
      </c>
      <c r="Y4">
        <v>365527</v>
      </c>
      <c r="Z4">
        <v>369177</v>
      </c>
      <c r="AA4">
        <v>357012</v>
      </c>
      <c r="AB4">
        <v>364592</v>
      </c>
    </row>
    <row r="5" spans="1:28" x14ac:dyDescent="0.2">
      <c r="A5" t="s">
        <v>735</v>
      </c>
      <c r="B5">
        <v>1</v>
      </c>
      <c r="C5" t="s">
        <v>1539</v>
      </c>
      <c r="D5">
        <v>349573</v>
      </c>
      <c r="E5">
        <v>348814</v>
      </c>
      <c r="F5">
        <v>336808</v>
      </c>
      <c r="G5">
        <v>337266</v>
      </c>
      <c r="H5">
        <v>340380</v>
      </c>
      <c r="I5">
        <v>348406</v>
      </c>
      <c r="J5">
        <v>347234</v>
      </c>
      <c r="K5">
        <v>352792</v>
      </c>
      <c r="L5">
        <v>369224</v>
      </c>
      <c r="M5">
        <v>381379</v>
      </c>
      <c r="N5">
        <v>383324</v>
      </c>
      <c r="O5">
        <v>384477</v>
      </c>
      <c r="P5">
        <v>382863</v>
      </c>
      <c r="Q5">
        <v>385600</v>
      </c>
      <c r="R5">
        <v>386850</v>
      </c>
      <c r="S5">
        <v>388427</v>
      </c>
      <c r="T5">
        <v>390641</v>
      </c>
      <c r="U5">
        <v>394063</v>
      </c>
      <c r="V5">
        <v>391017</v>
      </c>
      <c r="W5">
        <v>386416</v>
      </c>
      <c r="X5">
        <v>380119</v>
      </c>
      <c r="Y5">
        <v>376554</v>
      </c>
      <c r="Z5">
        <v>372538</v>
      </c>
      <c r="AA5">
        <v>377368</v>
      </c>
      <c r="AB5">
        <v>363549</v>
      </c>
    </row>
    <row r="6" spans="1:28" x14ac:dyDescent="0.2">
      <c r="A6" t="s">
        <v>735</v>
      </c>
      <c r="B6">
        <v>1</v>
      </c>
      <c r="C6" t="s">
        <v>1540</v>
      </c>
      <c r="D6">
        <v>358497</v>
      </c>
      <c r="E6">
        <v>352256</v>
      </c>
      <c r="F6">
        <v>351491</v>
      </c>
      <c r="G6">
        <v>340151</v>
      </c>
      <c r="H6">
        <v>341139</v>
      </c>
      <c r="I6">
        <v>344406</v>
      </c>
      <c r="J6">
        <v>350885</v>
      </c>
      <c r="K6">
        <v>350136</v>
      </c>
      <c r="L6">
        <v>356464</v>
      </c>
      <c r="M6">
        <v>372758</v>
      </c>
      <c r="N6">
        <v>383919</v>
      </c>
      <c r="O6">
        <v>387333</v>
      </c>
      <c r="P6">
        <v>388560</v>
      </c>
      <c r="Q6">
        <v>385701</v>
      </c>
      <c r="R6">
        <v>388569</v>
      </c>
      <c r="S6">
        <v>391869</v>
      </c>
      <c r="T6">
        <v>392875</v>
      </c>
      <c r="U6">
        <v>396752</v>
      </c>
      <c r="V6">
        <v>400095</v>
      </c>
      <c r="W6">
        <v>396425</v>
      </c>
      <c r="X6">
        <v>388730</v>
      </c>
      <c r="Y6">
        <v>385951</v>
      </c>
      <c r="Z6">
        <v>385061</v>
      </c>
      <c r="AA6">
        <v>382379</v>
      </c>
      <c r="AB6">
        <v>385355</v>
      </c>
    </row>
    <row r="7" spans="1:28" x14ac:dyDescent="0.2">
      <c r="A7" t="s">
        <v>735</v>
      </c>
      <c r="B7">
        <v>1</v>
      </c>
      <c r="C7" t="s">
        <v>1541</v>
      </c>
      <c r="D7">
        <v>372442</v>
      </c>
      <c r="E7">
        <v>361171</v>
      </c>
      <c r="F7">
        <v>354228</v>
      </c>
      <c r="G7">
        <v>354470</v>
      </c>
      <c r="H7">
        <v>343914</v>
      </c>
      <c r="I7">
        <v>345361</v>
      </c>
      <c r="J7">
        <v>346476</v>
      </c>
      <c r="K7">
        <v>353871</v>
      </c>
      <c r="L7">
        <v>353033</v>
      </c>
      <c r="M7">
        <v>360706</v>
      </c>
      <c r="N7">
        <v>375909</v>
      </c>
      <c r="O7">
        <v>388126</v>
      </c>
      <c r="P7">
        <v>391449</v>
      </c>
      <c r="Q7">
        <v>392442</v>
      </c>
      <c r="R7">
        <v>388527</v>
      </c>
      <c r="S7">
        <v>393969</v>
      </c>
      <c r="T7">
        <v>396908</v>
      </c>
      <c r="U7">
        <v>398904</v>
      </c>
      <c r="V7">
        <v>403008</v>
      </c>
      <c r="W7">
        <v>405869</v>
      </c>
      <c r="X7">
        <v>399411</v>
      </c>
      <c r="Y7">
        <v>395358</v>
      </c>
      <c r="Z7">
        <v>395728</v>
      </c>
      <c r="AA7">
        <v>396299</v>
      </c>
      <c r="AB7">
        <v>389681</v>
      </c>
    </row>
    <row r="8" spans="1:28" x14ac:dyDescent="0.2">
      <c r="A8" t="s">
        <v>735</v>
      </c>
      <c r="B8">
        <v>1</v>
      </c>
      <c r="C8" t="s">
        <v>1542</v>
      </c>
      <c r="D8">
        <v>390020</v>
      </c>
      <c r="E8">
        <v>375251</v>
      </c>
      <c r="F8">
        <v>363027</v>
      </c>
      <c r="G8">
        <v>356390</v>
      </c>
      <c r="H8">
        <v>357839</v>
      </c>
      <c r="I8">
        <v>348800</v>
      </c>
      <c r="J8">
        <v>347868</v>
      </c>
      <c r="K8">
        <v>349076</v>
      </c>
      <c r="L8">
        <v>357175</v>
      </c>
      <c r="M8">
        <v>356686</v>
      </c>
      <c r="N8">
        <v>366649</v>
      </c>
      <c r="O8">
        <v>379952</v>
      </c>
      <c r="P8">
        <v>392600</v>
      </c>
      <c r="Q8">
        <v>395640</v>
      </c>
      <c r="R8">
        <v>396456</v>
      </c>
      <c r="S8">
        <v>394574</v>
      </c>
      <c r="T8">
        <v>399008</v>
      </c>
      <c r="U8">
        <v>403453</v>
      </c>
      <c r="V8">
        <v>404926</v>
      </c>
      <c r="W8">
        <v>409056</v>
      </c>
      <c r="X8">
        <v>408927</v>
      </c>
      <c r="Y8">
        <v>407125</v>
      </c>
      <c r="Z8">
        <v>407356</v>
      </c>
      <c r="AA8">
        <v>409613</v>
      </c>
      <c r="AB8">
        <v>404808</v>
      </c>
    </row>
    <row r="9" spans="1:28" x14ac:dyDescent="0.2">
      <c r="A9" t="s">
        <v>735</v>
      </c>
      <c r="B9">
        <v>1</v>
      </c>
      <c r="C9" t="s">
        <v>1543</v>
      </c>
      <c r="D9">
        <v>398157</v>
      </c>
      <c r="E9">
        <v>393344</v>
      </c>
      <c r="F9">
        <v>377255</v>
      </c>
      <c r="G9">
        <v>365089</v>
      </c>
      <c r="H9">
        <v>358908</v>
      </c>
      <c r="I9">
        <v>359788</v>
      </c>
      <c r="J9">
        <v>351601</v>
      </c>
      <c r="K9">
        <v>350952</v>
      </c>
      <c r="L9">
        <v>352008</v>
      </c>
      <c r="M9">
        <v>360894</v>
      </c>
      <c r="N9">
        <v>360857</v>
      </c>
      <c r="O9">
        <v>370773</v>
      </c>
      <c r="P9">
        <v>383882</v>
      </c>
      <c r="Q9">
        <v>396955</v>
      </c>
      <c r="R9">
        <v>399529</v>
      </c>
      <c r="S9">
        <v>402731</v>
      </c>
      <c r="T9">
        <v>399599</v>
      </c>
      <c r="U9">
        <v>405431</v>
      </c>
      <c r="V9">
        <v>409874</v>
      </c>
      <c r="W9">
        <v>410467</v>
      </c>
      <c r="X9">
        <v>412709</v>
      </c>
      <c r="Y9">
        <v>416683</v>
      </c>
      <c r="Z9">
        <v>419381</v>
      </c>
      <c r="AA9">
        <v>421380</v>
      </c>
      <c r="AB9">
        <v>417313</v>
      </c>
    </row>
    <row r="10" spans="1:28" x14ac:dyDescent="0.2">
      <c r="A10" t="s">
        <v>735</v>
      </c>
      <c r="B10">
        <v>1</v>
      </c>
      <c r="C10" t="s">
        <v>1544</v>
      </c>
      <c r="D10">
        <v>400848</v>
      </c>
      <c r="E10">
        <v>402096</v>
      </c>
      <c r="F10">
        <v>395235</v>
      </c>
      <c r="G10">
        <v>379054</v>
      </c>
      <c r="H10">
        <v>367314</v>
      </c>
      <c r="I10">
        <v>362122</v>
      </c>
      <c r="J10">
        <v>363036</v>
      </c>
      <c r="K10">
        <v>354796</v>
      </c>
      <c r="L10">
        <v>354134</v>
      </c>
      <c r="M10">
        <v>355032</v>
      </c>
      <c r="N10">
        <v>363364</v>
      </c>
      <c r="O10">
        <v>365006</v>
      </c>
      <c r="P10">
        <v>374553</v>
      </c>
      <c r="Q10">
        <v>387746</v>
      </c>
      <c r="R10">
        <v>400950</v>
      </c>
      <c r="S10">
        <v>405245</v>
      </c>
      <c r="T10">
        <v>407765</v>
      </c>
      <c r="U10">
        <v>405512</v>
      </c>
      <c r="V10">
        <v>411416</v>
      </c>
      <c r="W10">
        <v>415528</v>
      </c>
      <c r="X10">
        <v>413664</v>
      </c>
      <c r="Y10">
        <v>420672</v>
      </c>
      <c r="Z10">
        <v>428927</v>
      </c>
      <c r="AA10">
        <v>433399</v>
      </c>
      <c r="AB10">
        <v>428757</v>
      </c>
    </row>
    <row r="11" spans="1:28" x14ac:dyDescent="0.2">
      <c r="A11" t="s">
        <v>735</v>
      </c>
      <c r="B11">
        <v>1</v>
      </c>
      <c r="C11" t="s">
        <v>1545</v>
      </c>
      <c r="D11">
        <v>408793</v>
      </c>
      <c r="E11">
        <v>404670</v>
      </c>
      <c r="F11">
        <v>404472</v>
      </c>
      <c r="G11">
        <v>397115</v>
      </c>
      <c r="H11">
        <v>381008</v>
      </c>
      <c r="I11">
        <v>370024</v>
      </c>
      <c r="J11">
        <v>365310</v>
      </c>
      <c r="K11">
        <v>366576</v>
      </c>
      <c r="L11">
        <v>357944</v>
      </c>
      <c r="M11">
        <v>357230</v>
      </c>
      <c r="N11">
        <v>358503</v>
      </c>
      <c r="O11">
        <v>367985</v>
      </c>
      <c r="P11">
        <v>368770</v>
      </c>
      <c r="Q11">
        <v>377981</v>
      </c>
      <c r="R11">
        <v>391071</v>
      </c>
      <c r="S11">
        <v>405476</v>
      </c>
      <c r="T11">
        <v>410243</v>
      </c>
      <c r="U11">
        <v>413599</v>
      </c>
      <c r="V11">
        <v>411015</v>
      </c>
      <c r="W11">
        <v>416545</v>
      </c>
      <c r="X11">
        <v>418353</v>
      </c>
      <c r="Y11">
        <v>420976</v>
      </c>
      <c r="Z11">
        <v>432525</v>
      </c>
      <c r="AA11">
        <v>442065</v>
      </c>
      <c r="AB11">
        <v>439706</v>
      </c>
    </row>
    <row r="12" spans="1:28" x14ac:dyDescent="0.2">
      <c r="A12" t="s">
        <v>735</v>
      </c>
      <c r="B12">
        <v>1</v>
      </c>
      <c r="C12" t="s">
        <v>1546</v>
      </c>
      <c r="D12">
        <v>418884</v>
      </c>
      <c r="E12">
        <v>412972</v>
      </c>
      <c r="F12">
        <v>407247</v>
      </c>
      <c r="G12">
        <v>407037</v>
      </c>
      <c r="H12">
        <v>399450</v>
      </c>
      <c r="I12">
        <v>383781</v>
      </c>
      <c r="J12">
        <v>373956</v>
      </c>
      <c r="K12">
        <v>368828</v>
      </c>
      <c r="L12">
        <v>370235</v>
      </c>
      <c r="M12">
        <v>361091</v>
      </c>
      <c r="N12">
        <v>360499</v>
      </c>
      <c r="O12">
        <v>363079</v>
      </c>
      <c r="P12">
        <v>372436</v>
      </c>
      <c r="Q12">
        <v>372423</v>
      </c>
      <c r="R12">
        <v>381401</v>
      </c>
      <c r="S12">
        <v>396014</v>
      </c>
      <c r="T12">
        <v>410128</v>
      </c>
      <c r="U12">
        <v>415753</v>
      </c>
      <c r="V12">
        <v>419034</v>
      </c>
      <c r="W12">
        <v>415788</v>
      </c>
      <c r="X12">
        <v>418912</v>
      </c>
      <c r="Y12">
        <v>425236</v>
      </c>
      <c r="Z12">
        <v>432059</v>
      </c>
      <c r="AA12">
        <v>445323</v>
      </c>
      <c r="AB12">
        <v>447766</v>
      </c>
    </row>
    <row r="13" spans="1:28" x14ac:dyDescent="0.2">
      <c r="A13" t="s">
        <v>735</v>
      </c>
      <c r="B13">
        <v>1</v>
      </c>
      <c r="C13" t="s">
        <v>1547</v>
      </c>
      <c r="D13">
        <v>425219</v>
      </c>
      <c r="E13">
        <v>423199</v>
      </c>
      <c r="F13">
        <v>416033</v>
      </c>
      <c r="G13">
        <v>410097</v>
      </c>
      <c r="H13">
        <v>410102</v>
      </c>
      <c r="I13">
        <v>401277</v>
      </c>
      <c r="J13">
        <v>388248</v>
      </c>
      <c r="K13">
        <v>378434</v>
      </c>
      <c r="L13">
        <v>372484</v>
      </c>
      <c r="M13">
        <v>373985</v>
      </c>
      <c r="N13">
        <v>365093</v>
      </c>
      <c r="O13">
        <v>365250</v>
      </c>
      <c r="P13">
        <v>367305</v>
      </c>
      <c r="Q13">
        <v>376755</v>
      </c>
      <c r="R13">
        <v>375950</v>
      </c>
      <c r="S13">
        <v>386666</v>
      </c>
      <c r="T13">
        <v>400268</v>
      </c>
      <c r="U13">
        <v>415466</v>
      </c>
      <c r="V13">
        <v>421079</v>
      </c>
      <c r="W13">
        <v>423721</v>
      </c>
      <c r="X13">
        <v>419169</v>
      </c>
      <c r="Y13">
        <v>425409</v>
      </c>
      <c r="Z13">
        <v>435609</v>
      </c>
      <c r="AA13">
        <v>443935</v>
      </c>
      <c r="AB13">
        <v>450324</v>
      </c>
    </row>
    <row r="14" spans="1:28" x14ac:dyDescent="0.2">
      <c r="A14" t="s">
        <v>735</v>
      </c>
      <c r="B14">
        <v>1</v>
      </c>
      <c r="C14" t="s">
        <v>1416</v>
      </c>
      <c r="D14">
        <v>427248</v>
      </c>
      <c r="E14">
        <v>430431</v>
      </c>
      <c r="F14">
        <v>426363</v>
      </c>
      <c r="G14">
        <v>419554</v>
      </c>
      <c r="H14">
        <v>413570</v>
      </c>
      <c r="I14">
        <v>413117</v>
      </c>
      <c r="J14">
        <v>406753</v>
      </c>
      <c r="K14">
        <v>392699</v>
      </c>
      <c r="L14">
        <v>382801</v>
      </c>
      <c r="M14">
        <v>375977</v>
      </c>
      <c r="N14">
        <v>376453</v>
      </c>
      <c r="O14">
        <v>370039</v>
      </c>
      <c r="P14">
        <v>369747</v>
      </c>
      <c r="Q14">
        <v>371304</v>
      </c>
      <c r="R14">
        <v>380928</v>
      </c>
      <c r="S14">
        <v>381832</v>
      </c>
      <c r="T14">
        <v>390884</v>
      </c>
      <c r="U14">
        <v>405071</v>
      </c>
      <c r="V14">
        <v>420536</v>
      </c>
      <c r="W14">
        <v>425698</v>
      </c>
      <c r="X14">
        <v>425425</v>
      </c>
      <c r="Y14">
        <v>425065</v>
      </c>
      <c r="Z14">
        <v>435222</v>
      </c>
      <c r="AA14">
        <v>446749</v>
      </c>
      <c r="AB14">
        <v>448662</v>
      </c>
    </row>
    <row r="15" spans="1:28" x14ac:dyDescent="0.2">
      <c r="A15" t="s">
        <v>735</v>
      </c>
      <c r="B15">
        <v>1</v>
      </c>
      <c r="C15" t="s">
        <v>1548</v>
      </c>
      <c r="D15">
        <v>413774</v>
      </c>
      <c r="E15">
        <v>433000</v>
      </c>
      <c r="F15">
        <v>434585</v>
      </c>
      <c r="G15">
        <v>429741</v>
      </c>
      <c r="H15">
        <v>423188</v>
      </c>
      <c r="I15">
        <v>417525</v>
      </c>
      <c r="J15">
        <v>418113</v>
      </c>
      <c r="K15">
        <v>411375</v>
      </c>
      <c r="L15">
        <v>396710</v>
      </c>
      <c r="M15">
        <v>386646</v>
      </c>
      <c r="N15">
        <v>379666</v>
      </c>
      <c r="O15">
        <v>381755</v>
      </c>
      <c r="P15">
        <v>374549</v>
      </c>
      <c r="Q15">
        <v>373913</v>
      </c>
      <c r="R15">
        <v>375513</v>
      </c>
      <c r="S15">
        <v>385383</v>
      </c>
      <c r="T15">
        <v>385973</v>
      </c>
      <c r="U15">
        <v>395527</v>
      </c>
      <c r="V15">
        <v>409595</v>
      </c>
      <c r="W15">
        <v>424946</v>
      </c>
      <c r="X15">
        <v>427633</v>
      </c>
      <c r="Y15">
        <v>431424</v>
      </c>
      <c r="Z15">
        <v>434613</v>
      </c>
      <c r="AA15">
        <v>446713</v>
      </c>
      <c r="AB15">
        <v>452388</v>
      </c>
    </row>
    <row r="16" spans="1:28" x14ac:dyDescent="0.2">
      <c r="A16" t="s">
        <v>735</v>
      </c>
      <c r="B16">
        <v>1</v>
      </c>
      <c r="C16" t="s">
        <v>1549</v>
      </c>
      <c r="D16">
        <v>403950</v>
      </c>
      <c r="E16">
        <v>419385</v>
      </c>
      <c r="F16">
        <v>437678</v>
      </c>
      <c r="G16">
        <v>438914</v>
      </c>
      <c r="H16">
        <v>433454</v>
      </c>
      <c r="I16">
        <v>426865</v>
      </c>
      <c r="J16">
        <v>421839</v>
      </c>
      <c r="K16">
        <v>422762</v>
      </c>
      <c r="L16">
        <v>416255</v>
      </c>
      <c r="M16">
        <v>400597</v>
      </c>
      <c r="N16">
        <v>390976</v>
      </c>
      <c r="O16">
        <v>383966</v>
      </c>
      <c r="P16">
        <v>386771</v>
      </c>
      <c r="Q16">
        <v>379338</v>
      </c>
      <c r="R16">
        <v>378527</v>
      </c>
      <c r="S16">
        <v>381522</v>
      </c>
      <c r="T16">
        <v>389604</v>
      </c>
      <c r="U16">
        <v>390622</v>
      </c>
      <c r="V16">
        <v>400220</v>
      </c>
      <c r="W16">
        <v>413685</v>
      </c>
      <c r="X16">
        <v>426053</v>
      </c>
      <c r="Y16">
        <v>432996</v>
      </c>
      <c r="Z16">
        <v>439934</v>
      </c>
      <c r="AA16">
        <v>444592</v>
      </c>
      <c r="AB16">
        <v>451011</v>
      </c>
    </row>
    <row r="17" spans="1:28" x14ac:dyDescent="0.2">
      <c r="A17" t="s">
        <v>735</v>
      </c>
      <c r="B17">
        <v>1</v>
      </c>
      <c r="C17" t="s">
        <v>1550</v>
      </c>
      <c r="D17">
        <v>409307</v>
      </c>
      <c r="E17">
        <v>408411</v>
      </c>
      <c r="F17">
        <v>424097</v>
      </c>
      <c r="G17">
        <v>443102</v>
      </c>
      <c r="H17">
        <v>443896</v>
      </c>
      <c r="I17">
        <v>437304</v>
      </c>
      <c r="J17">
        <v>430766</v>
      </c>
      <c r="K17">
        <v>426747</v>
      </c>
      <c r="L17">
        <v>428180</v>
      </c>
      <c r="M17">
        <v>421669</v>
      </c>
      <c r="N17">
        <v>404928</v>
      </c>
      <c r="O17">
        <v>394605</v>
      </c>
      <c r="P17">
        <v>388709</v>
      </c>
      <c r="Q17">
        <v>392544</v>
      </c>
      <c r="R17">
        <v>384936</v>
      </c>
      <c r="S17">
        <v>384766</v>
      </c>
      <c r="T17">
        <v>385516</v>
      </c>
      <c r="U17">
        <v>394932</v>
      </c>
      <c r="V17">
        <v>396094</v>
      </c>
      <c r="W17">
        <v>404754</v>
      </c>
      <c r="X17">
        <v>415736</v>
      </c>
      <c r="Y17">
        <v>431743</v>
      </c>
      <c r="Z17">
        <v>442008</v>
      </c>
      <c r="AA17">
        <v>450449</v>
      </c>
      <c r="AB17">
        <v>449243</v>
      </c>
    </row>
    <row r="18" spans="1:28" x14ac:dyDescent="0.2">
      <c r="A18" t="s">
        <v>735</v>
      </c>
      <c r="B18">
        <v>1</v>
      </c>
      <c r="C18" t="s">
        <v>1551</v>
      </c>
      <c r="D18">
        <v>419348</v>
      </c>
      <c r="E18">
        <v>413616</v>
      </c>
      <c r="F18">
        <v>412104</v>
      </c>
      <c r="G18">
        <v>429495</v>
      </c>
      <c r="H18">
        <v>449015</v>
      </c>
      <c r="I18">
        <v>448456</v>
      </c>
      <c r="J18">
        <v>440598</v>
      </c>
      <c r="K18">
        <v>434910</v>
      </c>
      <c r="L18">
        <v>432050</v>
      </c>
      <c r="M18">
        <v>433985</v>
      </c>
      <c r="N18">
        <v>426291</v>
      </c>
      <c r="O18">
        <v>407870</v>
      </c>
      <c r="P18">
        <v>399046</v>
      </c>
      <c r="Q18">
        <v>394621</v>
      </c>
      <c r="R18">
        <v>400087</v>
      </c>
      <c r="S18">
        <v>393076</v>
      </c>
      <c r="T18">
        <v>388331</v>
      </c>
      <c r="U18">
        <v>391756</v>
      </c>
      <c r="V18">
        <v>401785</v>
      </c>
      <c r="W18">
        <v>402102</v>
      </c>
      <c r="X18">
        <v>407916</v>
      </c>
      <c r="Y18">
        <v>422742</v>
      </c>
      <c r="Z18">
        <v>441891</v>
      </c>
      <c r="AA18">
        <v>454367</v>
      </c>
      <c r="AB18">
        <v>456358</v>
      </c>
    </row>
    <row r="19" spans="1:28" x14ac:dyDescent="0.2">
      <c r="A19" t="s">
        <v>735</v>
      </c>
      <c r="B19">
        <v>1</v>
      </c>
      <c r="C19" t="s">
        <v>1552</v>
      </c>
      <c r="D19">
        <v>423485</v>
      </c>
      <c r="E19">
        <v>423973</v>
      </c>
      <c r="F19">
        <v>417709</v>
      </c>
      <c r="G19">
        <v>416592</v>
      </c>
      <c r="H19">
        <v>435706</v>
      </c>
      <c r="I19">
        <v>453447</v>
      </c>
      <c r="J19">
        <v>451390</v>
      </c>
      <c r="K19">
        <v>444658</v>
      </c>
      <c r="L19">
        <v>440485</v>
      </c>
      <c r="M19">
        <v>438443</v>
      </c>
      <c r="N19">
        <v>439738</v>
      </c>
      <c r="O19">
        <v>430133</v>
      </c>
      <c r="P19">
        <v>412471</v>
      </c>
      <c r="Q19">
        <v>405529</v>
      </c>
      <c r="R19">
        <v>402668</v>
      </c>
      <c r="S19">
        <v>409049</v>
      </c>
      <c r="T19">
        <v>397534</v>
      </c>
      <c r="U19">
        <v>394916</v>
      </c>
      <c r="V19">
        <v>400102</v>
      </c>
      <c r="W19">
        <v>409425</v>
      </c>
      <c r="X19">
        <v>406378</v>
      </c>
      <c r="Y19">
        <v>417778</v>
      </c>
      <c r="Z19">
        <v>434688</v>
      </c>
      <c r="AA19">
        <v>455948</v>
      </c>
      <c r="AB19">
        <v>462135</v>
      </c>
    </row>
    <row r="20" spans="1:28" x14ac:dyDescent="0.2">
      <c r="A20" t="s">
        <v>735</v>
      </c>
      <c r="B20">
        <v>1</v>
      </c>
      <c r="C20" t="s">
        <v>1553</v>
      </c>
      <c r="D20">
        <v>424065</v>
      </c>
      <c r="E20">
        <v>428933</v>
      </c>
      <c r="F20">
        <v>428215</v>
      </c>
      <c r="G20">
        <v>422412</v>
      </c>
      <c r="H20">
        <v>422039</v>
      </c>
      <c r="I20">
        <v>442785</v>
      </c>
      <c r="J20">
        <v>457047</v>
      </c>
      <c r="K20">
        <v>455474</v>
      </c>
      <c r="L20">
        <v>450109</v>
      </c>
      <c r="M20">
        <v>446788</v>
      </c>
      <c r="N20">
        <v>446027</v>
      </c>
      <c r="O20">
        <v>443734</v>
      </c>
      <c r="P20">
        <v>434350</v>
      </c>
      <c r="Q20">
        <v>418187</v>
      </c>
      <c r="R20">
        <v>413122</v>
      </c>
      <c r="S20">
        <v>413223</v>
      </c>
      <c r="T20">
        <v>415355</v>
      </c>
      <c r="U20">
        <v>404400</v>
      </c>
      <c r="V20">
        <v>402489</v>
      </c>
      <c r="W20">
        <v>406628</v>
      </c>
      <c r="X20">
        <v>411161</v>
      </c>
      <c r="Y20">
        <v>416741</v>
      </c>
      <c r="Z20">
        <v>428955</v>
      </c>
      <c r="AA20">
        <v>447942</v>
      </c>
      <c r="AB20">
        <v>462528</v>
      </c>
    </row>
    <row r="21" spans="1:28" x14ac:dyDescent="0.2">
      <c r="A21" t="s">
        <v>735</v>
      </c>
      <c r="B21">
        <v>1</v>
      </c>
      <c r="C21" t="s">
        <v>1554</v>
      </c>
      <c r="D21">
        <v>423388</v>
      </c>
      <c r="E21">
        <v>429683</v>
      </c>
      <c r="F21">
        <v>434176</v>
      </c>
      <c r="G21">
        <v>433208</v>
      </c>
      <c r="H21">
        <v>427981</v>
      </c>
      <c r="I21">
        <v>429818</v>
      </c>
      <c r="J21">
        <v>446200</v>
      </c>
      <c r="K21">
        <v>461947</v>
      </c>
      <c r="L21">
        <v>461336</v>
      </c>
      <c r="M21">
        <v>457448</v>
      </c>
      <c r="N21">
        <v>455398</v>
      </c>
      <c r="O21">
        <v>451997</v>
      </c>
      <c r="P21">
        <v>450589</v>
      </c>
      <c r="Q21">
        <v>443129</v>
      </c>
      <c r="R21">
        <v>428166</v>
      </c>
      <c r="S21">
        <v>427161</v>
      </c>
      <c r="T21">
        <v>427843</v>
      </c>
      <c r="U21">
        <v>434352</v>
      </c>
      <c r="V21">
        <v>421690</v>
      </c>
      <c r="W21">
        <v>417003</v>
      </c>
      <c r="X21">
        <v>410427</v>
      </c>
      <c r="Y21">
        <v>431103</v>
      </c>
      <c r="Z21">
        <v>441197</v>
      </c>
      <c r="AA21">
        <v>455945</v>
      </c>
      <c r="AB21">
        <v>458804</v>
      </c>
    </row>
    <row r="22" spans="1:28" x14ac:dyDescent="0.2">
      <c r="A22" t="s">
        <v>735</v>
      </c>
      <c r="B22">
        <v>1</v>
      </c>
      <c r="C22" t="s">
        <v>1555</v>
      </c>
      <c r="D22">
        <v>425693</v>
      </c>
      <c r="E22">
        <v>431932</v>
      </c>
      <c r="F22">
        <v>437462</v>
      </c>
      <c r="G22">
        <v>442107</v>
      </c>
      <c r="H22">
        <v>441122</v>
      </c>
      <c r="I22">
        <v>436994</v>
      </c>
      <c r="J22">
        <v>436651</v>
      </c>
      <c r="K22">
        <v>453658</v>
      </c>
      <c r="L22">
        <v>471476</v>
      </c>
      <c r="M22">
        <v>471982</v>
      </c>
      <c r="N22">
        <v>469125</v>
      </c>
      <c r="O22">
        <v>465615</v>
      </c>
      <c r="P22">
        <v>461911</v>
      </c>
      <c r="Q22">
        <v>462870</v>
      </c>
      <c r="R22">
        <v>456259</v>
      </c>
      <c r="S22">
        <v>447416</v>
      </c>
      <c r="T22">
        <v>452510</v>
      </c>
      <c r="U22">
        <v>458510</v>
      </c>
      <c r="V22">
        <v>463918</v>
      </c>
      <c r="W22">
        <v>447527</v>
      </c>
      <c r="X22">
        <v>424093</v>
      </c>
      <c r="Y22">
        <v>452375</v>
      </c>
      <c r="Z22">
        <v>483354</v>
      </c>
      <c r="AA22">
        <v>499762</v>
      </c>
      <c r="AB22">
        <v>479568</v>
      </c>
    </row>
    <row r="23" spans="1:28" x14ac:dyDescent="0.2">
      <c r="A23" t="s">
        <v>735</v>
      </c>
      <c r="B23">
        <v>1</v>
      </c>
      <c r="C23" t="s">
        <v>1556</v>
      </c>
      <c r="D23">
        <v>431011</v>
      </c>
      <c r="E23">
        <v>432400</v>
      </c>
      <c r="F23">
        <v>438066</v>
      </c>
      <c r="G23">
        <v>443407</v>
      </c>
      <c r="H23">
        <v>448407</v>
      </c>
      <c r="I23">
        <v>447125</v>
      </c>
      <c r="J23">
        <v>442140</v>
      </c>
      <c r="K23">
        <v>441528</v>
      </c>
      <c r="L23">
        <v>459807</v>
      </c>
      <c r="M23">
        <v>479792</v>
      </c>
      <c r="N23">
        <v>479163</v>
      </c>
      <c r="O23">
        <v>476376</v>
      </c>
      <c r="P23">
        <v>471411</v>
      </c>
      <c r="Q23">
        <v>468143</v>
      </c>
      <c r="R23">
        <v>469052</v>
      </c>
      <c r="S23">
        <v>466189</v>
      </c>
      <c r="T23">
        <v>464618</v>
      </c>
      <c r="U23">
        <v>472679</v>
      </c>
      <c r="V23">
        <v>475557</v>
      </c>
      <c r="W23">
        <v>475932</v>
      </c>
      <c r="X23">
        <v>451551</v>
      </c>
      <c r="Y23">
        <v>467393</v>
      </c>
      <c r="Z23">
        <v>500440</v>
      </c>
      <c r="AA23">
        <v>539119</v>
      </c>
      <c r="AB23">
        <v>517515</v>
      </c>
    </row>
    <row r="24" spans="1:28" x14ac:dyDescent="0.2">
      <c r="A24" t="s">
        <v>735</v>
      </c>
      <c r="B24">
        <v>1</v>
      </c>
      <c r="C24" t="s">
        <v>1417</v>
      </c>
      <c r="D24">
        <v>428971</v>
      </c>
      <c r="E24">
        <v>436690</v>
      </c>
      <c r="F24">
        <v>437387</v>
      </c>
      <c r="G24">
        <v>442569</v>
      </c>
      <c r="H24">
        <v>448156</v>
      </c>
      <c r="I24">
        <v>454037</v>
      </c>
      <c r="J24">
        <v>451955</v>
      </c>
      <c r="K24">
        <v>445979</v>
      </c>
      <c r="L24">
        <v>446509</v>
      </c>
      <c r="M24">
        <v>465440</v>
      </c>
      <c r="N24">
        <v>483698</v>
      </c>
      <c r="O24">
        <v>484292</v>
      </c>
      <c r="P24">
        <v>480336</v>
      </c>
      <c r="Q24">
        <v>476301</v>
      </c>
      <c r="R24">
        <v>470511</v>
      </c>
      <c r="S24">
        <v>475953</v>
      </c>
      <c r="T24">
        <v>479497</v>
      </c>
      <c r="U24">
        <v>479705</v>
      </c>
      <c r="V24">
        <v>485712</v>
      </c>
      <c r="W24">
        <v>478771</v>
      </c>
      <c r="X24">
        <v>473803</v>
      </c>
      <c r="Y24">
        <v>478009</v>
      </c>
      <c r="Z24">
        <v>503598</v>
      </c>
      <c r="AA24">
        <v>539165</v>
      </c>
      <c r="AB24">
        <v>544893</v>
      </c>
    </row>
    <row r="25" spans="1:28" x14ac:dyDescent="0.2">
      <c r="A25" t="s">
        <v>735</v>
      </c>
      <c r="B25">
        <v>1</v>
      </c>
      <c r="C25" t="s">
        <v>1418</v>
      </c>
      <c r="D25">
        <v>420718</v>
      </c>
      <c r="E25">
        <v>433359</v>
      </c>
      <c r="F25">
        <v>440555</v>
      </c>
      <c r="G25">
        <v>441424</v>
      </c>
      <c r="H25">
        <v>445821</v>
      </c>
      <c r="I25">
        <v>452689</v>
      </c>
      <c r="J25">
        <v>457613</v>
      </c>
      <c r="K25">
        <v>455714</v>
      </c>
      <c r="L25">
        <v>450785</v>
      </c>
      <c r="M25">
        <v>451633</v>
      </c>
      <c r="N25">
        <v>469629</v>
      </c>
      <c r="O25">
        <v>489600</v>
      </c>
      <c r="P25">
        <v>489075</v>
      </c>
      <c r="Q25">
        <v>484700</v>
      </c>
      <c r="R25">
        <v>477646</v>
      </c>
      <c r="S25">
        <v>475763</v>
      </c>
      <c r="T25">
        <v>488384</v>
      </c>
      <c r="U25">
        <v>495198</v>
      </c>
      <c r="V25">
        <v>493787</v>
      </c>
      <c r="W25">
        <v>490427</v>
      </c>
      <c r="X25">
        <v>477234</v>
      </c>
      <c r="Y25">
        <v>497401</v>
      </c>
      <c r="Z25">
        <v>511747</v>
      </c>
      <c r="AA25">
        <v>540644</v>
      </c>
      <c r="AB25">
        <v>543347</v>
      </c>
    </row>
    <row r="26" spans="1:28" x14ac:dyDescent="0.2">
      <c r="A26" t="s">
        <v>735</v>
      </c>
      <c r="B26">
        <v>1</v>
      </c>
      <c r="C26" t="s">
        <v>1419</v>
      </c>
      <c r="D26">
        <v>413002</v>
      </c>
      <c r="E26">
        <v>423709</v>
      </c>
      <c r="F26">
        <v>436132</v>
      </c>
      <c r="G26">
        <v>444571</v>
      </c>
      <c r="H26">
        <v>444500</v>
      </c>
      <c r="I26">
        <v>449658</v>
      </c>
      <c r="J26">
        <v>455889</v>
      </c>
      <c r="K26">
        <v>461081</v>
      </c>
      <c r="L26">
        <v>461651</v>
      </c>
      <c r="M26">
        <v>456888</v>
      </c>
      <c r="N26">
        <v>458461</v>
      </c>
      <c r="O26">
        <v>476030</v>
      </c>
      <c r="P26">
        <v>495752</v>
      </c>
      <c r="Q26">
        <v>494340</v>
      </c>
      <c r="R26">
        <v>486319</v>
      </c>
      <c r="S26">
        <v>484314</v>
      </c>
      <c r="T26">
        <v>489188</v>
      </c>
      <c r="U26">
        <v>505199</v>
      </c>
      <c r="V26">
        <v>513045</v>
      </c>
      <c r="W26">
        <v>504646</v>
      </c>
      <c r="X26">
        <v>492807</v>
      </c>
      <c r="Y26">
        <v>502466</v>
      </c>
      <c r="Z26">
        <v>533930</v>
      </c>
      <c r="AA26">
        <v>549927</v>
      </c>
      <c r="AB26">
        <v>544993</v>
      </c>
    </row>
    <row r="27" spans="1:28" x14ac:dyDescent="0.2">
      <c r="A27" t="s">
        <v>735</v>
      </c>
      <c r="B27">
        <v>1</v>
      </c>
      <c r="C27" t="s">
        <v>1557</v>
      </c>
      <c r="D27">
        <v>415392</v>
      </c>
      <c r="E27">
        <v>416125</v>
      </c>
      <c r="F27">
        <v>425772</v>
      </c>
      <c r="G27">
        <v>438800</v>
      </c>
      <c r="H27">
        <v>447203</v>
      </c>
      <c r="I27">
        <v>448195</v>
      </c>
      <c r="J27">
        <v>453502</v>
      </c>
      <c r="K27">
        <v>459978</v>
      </c>
      <c r="L27">
        <v>466896</v>
      </c>
      <c r="M27">
        <v>467944</v>
      </c>
      <c r="N27">
        <v>461504</v>
      </c>
      <c r="O27">
        <v>464149</v>
      </c>
      <c r="P27">
        <v>480923</v>
      </c>
      <c r="Q27">
        <v>500783</v>
      </c>
      <c r="R27">
        <v>495904</v>
      </c>
      <c r="S27">
        <v>492453</v>
      </c>
      <c r="T27">
        <v>496688</v>
      </c>
      <c r="U27">
        <v>504329</v>
      </c>
      <c r="V27">
        <v>521552</v>
      </c>
      <c r="W27">
        <v>523694</v>
      </c>
      <c r="X27">
        <v>509003</v>
      </c>
      <c r="Y27">
        <v>519887</v>
      </c>
      <c r="Z27">
        <v>540180</v>
      </c>
      <c r="AA27">
        <v>572861</v>
      </c>
      <c r="AB27">
        <v>553032</v>
      </c>
    </row>
    <row r="28" spans="1:28" x14ac:dyDescent="0.2">
      <c r="A28" t="s">
        <v>735</v>
      </c>
      <c r="B28">
        <v>1</v>
      </c>
      <c r="C28" t="s">
        <v>1558</v>
      </c>
      <c r="D28">
        <v>414596</v>
      </c>
      <c r="E28">
        <v>418065</v>
      </c>
      <c r="F28">
        <v>418345</v>
      </c>
      <c r="G28">
        <v>428112</v>
      </c>
      <c r="H28">
        <v>441171</v>
      </c>
      <c r="I28">
        <v>449872</v>
      </c>
      <c r="J28">
        <v>451685</v>
      </c>
      <c r="K28">
        <v>458191</v>
      </c>
      <c r="L28">
        <v>465638</v>
      </c>
      <c r="M28">
        <v>472749</v>
      </c>
      <c r="N28">
        <v>471279</v>
      </c>
      <c r="O28">
        <v>466762</v>
      </c>
      <c r="P28">
        <v>468556</v>
      </c>
      <c r="Q28">
        <v>485593</v>
      </c>
      <c r="R28">
        <v>502281</v>
      </c>
      <c r="S28">
        <v>501147</v>
      </c>
      <c r="T28">
        <v>502900</v>
      </c>
      <c r="U28">
        <v>510036</v>
      </c>
      <c r="V28">
        <v>518180</v>
      </c>
      <c r="W28">
        <v>530400</v>
      </c>
      <c r="X28">
        <v>527025</v>
      </c>
      <c r="Y28">
        <v>533544</v>
      </c>
      <c r="Z28">
        <v>559332</v>
      </c>
      <c r="AA28">
        <v>576467</v>
      </c>
      <c r="AB28">
        <v>575096</v>
      </c>
    </row>
    <row r="29" spans="1:28" x14ac:dyDescent="0.2">
      <c r="A29" t="s">
        <v>735</v>
      </c>
      <c r="B29">
        <v>1</v>
      </c>
      <c r="C29" t="s">
        <v>1559</v>
      </c>
      <c r="D29">
        <v>415251</v>
      </c>
      <c r="E29">
        <v>418323</v>
      </c>
      <c r="F29">
        <v>420453</v>
      </c>
      <c r="G29">
        <v>420735</v>
      </c>
      <c r="H29">
        <v>430149</v>
      </c>
      <c r="I29">
        <v>443194</v>
      </c>
      <c r="J29">
        <v>454464</v>
      </c>
      <c r="K29">
        <v>456117</v>
      </c>
      <c r="L29">
        <v>464369</v>
      </c>
      <c r="M29">
        <v>471139</v>
      </c>
      <c r="N29">
        <v>474756</v>
      </c>
      <c r="O29">
        <v>476910</v>
      </c>
      <c r="P29">
        <v>471514</v>
      </c>
      <c r="Q29">
        <v>473153</v>
      </c>
      <c r="R29">
        <v>486407</v>
      </c>
      <c r="S29">
        <v>506313</v>
      </c>
      <c r="T29">
        <v>511466</v>
      </c>
      <c r="U29">
        <v>515747</v>
      </c>
      <c r="V29">
        <v>523627</v>
      </c>
      <c r="W29">
        <v>526432</v>
      </c>
      <c r="X29">
        <v>533494</v>
      </c>
      <c r="Y29">
        <v>549607</v>
      </c>
      <c r="Z29">
        <v>571921</v>
      </c>
      <c r="AA29">
        <v>597494</v>
      </c>
      <c r="AB29">
        <v>579540</v>
      </c>
    </row>
    <row r="30" spans="1:28" x14ac:dyDescent="0.2">
      <c r="A30" t="s">
        <v>735</v>
      </c>
      <c r="B30">
        <v>1</v>
      </c>
      <c r="C30" t="s">
        <v>1560</v>
      </c>
      <c r="D30">
        <v>406970</v>
      </c>
      <c r="E30">
        <v>419570</v>
      </c>
      <c r="F30">
        <v>421226</v>
      </c>
      <c r="G30">
        <v>423443</v>
      </c>
      <c r="H30">
        <v>423611</v>
      </c>
      <c r="I30">
        <v>433067</v>
      </c>
      <c r="J30">
        <v>447715</v>
      </c>
      <c r="K30">
        <v>460310</v>
      </c>
      <c r="L30">
        <v>462408</v>
      </c>
      <c r="M30">
        <v>470397</v>
      </c>
      <c r="N30">
        <v>474010</v>
      </c>
      <c r="O30">
        <v>479937</v>
      </c>
      <c r="P30">
        <v>482613</v>
      </c>
      <c r="Q30">
        <v>476325</v>
      </c>
      <c r="R30">
        <v>474342</v>
      </c>
      <c r="S30">
        <v>492825</v>
      </c>
      <c r="T30">
        <v>515581</v>
      </c>
      <c r="U30">
        <v>525275</v>
      </c>
      <c r="V30">
        <v>529036</v>
      </c>
      <c r="W30">
        <v>532908</v>
      </c>
      <c r="X30">
        <v>531547</v>
      </c>
      <c r="Y30">
        <v>554375</v>
      </c>
      <c r="Z30">
        <v>586721</v>
      </c>
      <c r="AA30">
        <v>608171</v>
      </c>
      <c r="AB30">
        <v>600365</v>
      </c>
    </row>
    <row r="31" spans="1:28" x14ac:dyDescent="0.2">
      <c r="A31" t="s">
        <v>735</v>
      </c>
      <c r="B31">
        <v>1</v>
      </c>
      <c r="C31" t="s">
        <v>1561</v>
      </c>
      <c r="D31">
        <v>412736</v>
      </c>
      <c r="E31">
        <v>411608</v>
      </c>
      <c r="F31">
        <v>423258</v>
      </c>
      <c r="G31">
        <v>424746</v>
      </c>
      <c r="H31">
        <v>426956</v>
      </c>
      <c r="I31">
        <v>427911</v>
      </c>
      <c r="J31">
        <v>437771</v>
      </c>
      <c r="K31">
        <v>453913</v>
      </c>
      <c r="L31">
        <v>467742</v>
      </c>
      <c r="M31">
        <v>468264</v>
      </c>
      <c r="N31">
        <v>474985</v>
      </c>
      <c r="O31">
        <v>479494</v>
      </c>
      <c r="P31">
        <v>484986</v>
      </c>
      <c r="Q31">
        <v>487975</v>
      </c>
      <c r="R31">
        <v>478254</v>
      </c>
      <c r="S31">
        <v>482885</v>
      </c>
      <c r="T31">
        <v>500635</v>
      </c>
      <c r="U31">
        <v>528485</v>
      </c>
      <c r="V31">
        <v>539856</v>
      </c>
      <c r="W31">
        <v>538916</v>
      </c>
      <c r="X31">
        <v>538232</v>
      </c>
      <c r="Y31">
        <v>552274</v>
      </c>
      <c r="Z31">
        <v>591544</v>
      </c>
      <c r="AA31">
        <v>622900</v>
      </c>
      <c r="AB31">
        <v>612797</v>
      </c>
    </row>
    <row r="32" spans="1:28" x14ac:dyDescent="0.2">
      <c r="A32" t="s">
        <v>735</v>
      </c>
      <c r="B32">
        <v>1</v>
      </c>
      <c r="C32" t="s">
        <v>1562</v>
      </c>
      <c r="D32">
        <v>423517</v>
      </c>
      <c r="E32">
        <v>417958</v>
      </c>
      <c r="F32">
        <v>415208</v>
      </c>
      <c r="G32">
        <v>427751</v>
      </c>
      <c r="H32">
        <v>428995</v>
      </c>
      <c r="I32">
        <v>430600</v>
      </c>
      <c r="J32">
        <v>432780</v>
      </c>
      <c r="K32">
        <v>443995</v>
      </c>
      <c r="L32">
        <v>461381</v>
      </c>
      <c r="M32">
        <v>474578</v>
      </c>
      <c r="N32">
        <v>473331</v>
      </c>
      <c r="O32">
        <v>480011</v>
      </c>
      <c r="P32">
        <v>484825</v>
      </c>
      <c r="Q32">
        <v>490280</v>
      </c>
      <c r="R32">
        <v>490770</v>
      </c>
      <c r="S32">
        <v>486036</v>
      </c>
      <c r="T32">
        <v>490125</v>
      </c>
      <c r="U32">
        <v>512342</v>
      </c>
      <c r="V32">
        <v>542468</v>
      </c>
      <c r="W32">
        <v>550674</v>
      </c>
      <c r="X32">
        <v>544357</v>
      </c>
      <c r="Y32">
        <v>557827</v>
      </c>
      <c r="Z32">
        <v>588128</v>
      </c>
      <c r="AA32">
        <v>626455</v>
      </c>
      <c r="AB32">
        <v>627849</v>
      </c>
    </row>
    <row r="33" spans="1:28" x14ac:dyDescent="0.2">
      <c r="A33" t="s">
        <v>735</v>
      </c>
      <c r="B33">
        <v>1</v>
      </c>
      <c r="C33" t="s">
        <v>1563</v>
      </c>
      <c r="D33">
        <v>444412</v>
      </c>
      <c r="E33">
        <v>428379</v>
      </c>
      <c r="F33">
        <v>421625</v>
      </c>
      <c r="G33">
        <v>419211</v>
      </c>
      <c r="H33">
        <v>432261</v>
      </c>
      <c r="I33">
        <v>433310</v>
      </c>
      <c r="J33">
        <v>435627</v>
      </c>
      <c r="K33">
        <v>438784</v>
      </c>
      <c r="L33">
        <v>451223</v>
      </c>
      <c r="M33">
        <v>468186</v>
      </c>
      <c r="N33">
        <v>478972</v>
      </c>
      <c r="O33">
        <v>478628</v>
      </c>
      <c r="P33">
        <v>485143</v>
      </c>
      <c r="Q33">
        <v>489865</v>
      </c>
      <c r="R33">
        <v>492408</v>
      </c>
      <c r="S33">
        <v>497499</v>
      </c>
      <c r="T33">
        <v>493334</v>
      </c>
      <c r="U33">
        <v>500909</v>
      </c>
      <c r="V33">
        <v>525182</v>
      </c>
      <c r="W33">
        <v>553513</v>
      </c>
      <c r="X33">
        <v>556442</v>
      </c>
      <c r="Y33">
        <v>563192</v>
      </c>
      <c r="Z33">
        <v>593172</v>
      </c>
      <c r="AA33">
        <v>622577</v>
      </c>
      <c r="AB33">
        <v>633005</v>
      </c>
    </row>
    <row r="34" spans="1:28" x14ac:dyDescent="0.2">
      <c r="A34" t="s">
        <v>735</v>
      </c>
      <c r="B34">
        <v>1</v>
      </c>
      <c r="C34" t="s">
        <v>1420</v>
      </c>
      <c r="D34">
        <v>447636</v>
      </c>
      <c r="E34">
        <v>449630</v>
      </c>
      <c r="F34">
        <v>431530</v>
      </c>
      <c r="G34">
        <v>425256</v>
      </c>
      <c r="H34">
        <v>423180</v>
      </c>
      <c r="I34">
        <v>435727</v>
      </c>
      <c r="J34">
        <v>437996</v>
      </c>
      <c r="K34">
        <v>441609</v>
      </c>
      <c r="L34">
        <v>445337</v>
      </c>
      <c r="M34">
        <v>457193</v>
      </c>
      <c r="N34">
        <v>472596</v>
      </c>
      <c r="O34">
        <v>483738</v>
      </c>
      <c r="P34">
        <v>483616</v>
      </c>
      <c r="Q34">
        <v>489957</v>
      </c>
      <c r="R34">
        <v>491881</v>
      </c>
      <c r="S34">
        <v>498635</v>
      </c>
      <c r="T34">
        <v>504435</v>
      </c>
      <c r="U34">
        <v>503618</v>
      </c>
      <c r="V34">
        <v>512376</v>
      </c>
      <c r="W34">
        <v>534595</v>
      </c>
      <c r="X34">
        <v>556989</v>
      </c>
      <c r="Y34">
        <v>574469</v>
      </c>
      <c r="Z34">
        <v>597407</v>
      </c>
      <c r="AA34">
        <v>626182</v>
      </c>
      <c r="AB34">
        <v>629537</v>
      </c>
    </row>
    <row r="35" spans="1:28" x14ac:dyDescent="0.2">
      <c r="A35" t="s">
        <v>735</v>
      </c>
      <c r="B35">
        <v>1</v>
      </c>
      <c r="C35" t="s">
        <v>1564</v>
      </c>
      <c r="D35">
        <v>444822</v>
      </c>
      <c r="E35">
        <v>452546</v>
      </c>
      <c r="F35">
        <v>453067</v>
      </c>
      <c r="G35">
        <v>434527</v>
      </c>
      <c r="H35">
        <v>428893</v>
      </c>
      <c r="I35">
        <v>427849</v>
      </c>
      <c r="J35">
        <v>440392</v>
      </c>
      <c r="K35">
        <v>443696</v>
      </c>
      <c r="L35">
        <v>447606</v>
      </c>
      <c r="M35">
        <v>450810</v>
      </c>
      <c r="N35">
        <v>462610</v>
      </c>
      <c r="O35">
        <v>477611</v>
      </c>
      <c r="P35">
        <v>487931</v>
      </c>
      <c r="Q35">
        <v>487683</v>
      </c>
      <c r="R35">
        <v>491592</v>
      </c>
      <c r="S35">
        <v>497903</v>
      </c>
      <c r="T35">
        <v>505019</v>
      </c>
      <c r="U35">
        <v>513518</v>
      </c>
      <c r="V35">
        <v>513938</v>
      </c>
      <c r="W35">
        <v>520314</v>
      </c>
      <c r="X35">
        <v>539307</v>
      </c>
      <c r="Y35">
        <v>573782</v>
      </c>
      <c r="Z35">
        <v>607086</v>
      </c>
      <c r="AA35">
        <v>627695</v>
      </c>
      <c r="AB35">
        <v>633622</v>
      </c>
    </row>
    <row r="36" spans="1:28" x14ac:dyDescent="0.2">
      <c r="A36" t="s">
        <v>735</v>
      </c>
      <c r="B36">
        <v>1</v>
      </c>
      <c r="C36" t="s">
        <v>1565</v>
      </c>
      <c r="D36">
        <v>446640</v>
      </c>
      <c r="E36">
        <v>449784</v>
      </c>
      <c r="F36">
        <v>455660</v>
      </c>
      <c r="G36">
        <v>456545</v>
      </c>
      <c r="H36">
        <v>437493</v>
      </c>
      <c r="I36">
        <v>432883</v>
      </c>
      <c r="J36">
        <v>431493</v>
      </c>
      <c r="K36">
        <v>446310</v>
      </c>
      <c r="L36">
        <v>449267</v>
      </c>
      <c r="M36">
        <v>452653</v>
      </c>
      <c r="N36">
        <v>455691</v>
      </c>
      <c r="O36">
        <v>467017</v>
      </c>
      <c r="P36">
        <v>481645</v>
      </c>
      <c r="Q36">
        <v>491333</v>
      </c>
      <c r="R36">
        <v>488802</v>
      </c>
      <c r="S36">
        <v>496119</v>
      </c>
      <c r="T36">
        <v>503331</v>
      </c>
      <c r="U36">
        <v>514321</v>
      </c>
      <c r="V36">
        <v>523087</v>
      </c>
      <c r="W36">
        <v>521255</v>
      </c>
      <c r="X36">
        <v>525539</v>
      </c>
      <c r="Y36">
        <v>554627</v>
      </c>
      <c r="Z36">
        <v>604616</v>
      </c>
      <c r="AA36">
        <v>635856</v>
      </c>
      <c r="AB36">
        <v>635511</v>
      </c>
    </row>
    <row r="37" spans="1:28" x14ac:dyDescent="0.2">
      <c r="A37" t="s">
        <v>735</v>
      </c>
      <c r="B37">
        <v>1</v>
      </c>
      <c r="C37" t="s">
        <v>1566</v>
      </c>
      <c r="D37">
        <v>456887</v>
      </c>
      <c r="E37">
        <v>451013</v>
      </c>
      <c r="F37">
        <v>452887</v>
      </c>
      <c r="G37">
        <v>458831</v>
      </c>
      <c r="H37">
        <v>460003</v>
      </c>
      <c r="I37">
        <v>441456</v>
      </c>
      <c r="J37">
        <v>436473</v>
      </c>
      <c r="K37">
        <v>436698</v>
      </c>
      <c r="L37">
        <v>451609</v>
      </c>
      <c r="M37">
        <v>454143</v>
      </c>
      <c r="N37">
        <v>456571</v>
      </c>
      <c r="O37">
        <v>459978</v>
      </c>
      <c r="P37">
        <v>471146</v>
      </c>
      <c r="Q37">
        <v>485418</v>
      </c>
      <c r="R37">
        <v>492264</v>
      </c>
      <c r="S37">
        <v>494414</v>
      </c>
      <c r="T37">
        <v>501643</v>
      </c>
      <c r="U37">
        <v>512024</v>
      </c>
      <c r="V37">
        <v>524026</v>
      </c>
      <c r="W37">
        <v>530660</v>
      </c>
      <c r="X37">
        <v>525727</v>
      </c>
      <c r="Y37">
        <v>539294</v>
      </c>
      <c r="Z37">
        <v>581857</v>
      </c>
      <c r="AA37">
        <v>632925</v>
      </c>
      <c r="AB37">
        <v>644049</v>
      </c>
    </row>
    <row r="38" spans="1:28" x14ac:dyDescent="0.2">
      <c r="A38" t="s">
        <v>735</v>
      </c>
      <c r="B38">
        <v>1</v>
      </c>
      <c r="C38" t="s">
        <v>1567</v>
      </c>
      <c r="D38">
        <v>484675</v>
      </c>
      <c r="E38">
        <v>460957</v>
      </c>
      <c r="F38">
        <v>453543</v>
      </c>
      <c r="G38">
        <v>455818</v>
      </c>
      <c r="H38">
        <v>461997</v>
      </c>
      <c r="I38">
        <v>461419</v>
      </c>
      <c r="J38">
        <v>444821</v>
      </c>
      <c r="K38">
        <v>440744</v>
      </c>
      <c r="L38">
        <v>441087</v>
      </c>
      <c r="M38">
        <v>455982</v>
      </c>
      <c r="N38">
        <v>457725</v>
      </c>
      <c r="O38">
        <v>460772</v>
      </c>
      <c r="P38">
        <v>464142</v>
      </c>
      <c r="Q38">
        <v>474678</v>
      </c>
      <c r="R38">
        <v>486627</v>
      </c>
      <c r="S38">
        <v>494645</v>
      </c>
      <c r="T38">
        <v>499593</v>
      </c>
      <c r="U38">
        <v>509970</v>
      </c>
      <c r="V38">
        <v>520848</v>
      </c>
      <c r="W38">
        <v>531205</v>
      </c>
      <c r="X38">
        <v>532781</v>
      </c>
      <c r="Y38">
        <v>538250</v>
      </c>
      <c r="Z38">
        <v>564236</v>
      </c>
      <c r="AA38">
        <v>607848</v>
      </c>
      <c r="AB38">
        <v>640621</v>
      </c>
    </row>
    <row r="39" spans="1:28" x14ac:dyDescent="0.2">
      <c r="A39" t="s">
        <v>735</v>
      </c>
      <c r="B39">
        <v>1</v>
      </c>
      <c r="C39" t="s">
        <v>1568</v>
      </c>
      <c r="D39">
        <v>522434</v>
      </c>
      <c r="E39">
        <v>489154</v>
      </c>
      <c r="F39">
        <v>463157</v>
      </c>
      <c r="G39">
        <v>456169</v>
      </c>
      <c r="H39">
        <v>458997</v>
      </c>
      <c r="I39">
        <v>464385</v>
      </c>
      <c r="J39">
        <v>465600</v>
      </c>
      <c r="K39">
        <v>448744</v>
      </c>
      <c r="L39">
        <v>444649</v>
      </c>
      <c r="M39">
        <v>444578</v>
      </c>
      <c r="N39">
        <v>458304</v>
      </c>
      <c r="O39">
        <v>461971</v>
      </c>
      <c r="P39">
        <v>464365</v>
      </c>
      <c r="Q39">
        <v>467245</v>
      </c>
      <c r="R39">
        <v>475980</v>
      </c>
      <c r="S39">
        <v>489719</v>
      </c>
      <c r="T39">
        <v>499971</v>
      </c>
      <c r="U39">
        <v>507016</v>
      </c>
      <c r="V39">
        <v>518445</v>
      </c>
      <c r="W39">
        <v>526892</v>
      </c>
      <c r="X39">
        <v>534333</v>
      </c>
      <c r="Y39">
        <v>544360</v>
      </c>
      <c r="Z39">
        <v>561474</v>
      </c>
      <c r="AA39">
        <v>589315</v>
      </c>
      <c r="AB39">
        <v>615285</v>
      </c>
    </row>
    <row r="40" spans="1:28" x14ac:dyDescent="0.2">
      <c r="A40" t="s">
        <v>735</v>
      </c>
      <c r="B40">
        <v>1</v>
      </c>
      <c r="C40" t="s">
        <v>1569</v>
      </c>
      <c r="D40">
        <v>541671</v>
      </c>
      <c r="E40">
        <v>527663</v>
      </c>
      <c r="F40">
        <v>491912</v>
      </c>
      <c r="G40">
        <v>465563</v>
      </c>
      <c r="H40">
        <v>459070</v>
      </c>
      <c r="I40">
        <v>461939</v>
      </c>
      <c r="J40">
        <v>467380</v>
      </c>
      <c r="K40">
        <v>470795</v>
      </c>
      <c r="L40">
        <v>452164</v>
      </c>
      <c r="M40">
        <v>447487</v>
      </c>
      <c r="N40">
        <v>448496</v>
      </c>
      <c r="O40">
        <v>462319</v>
      </c>
      <c r="P40">
        <v>465463</v>
      </c>
      <c r="Q40">
        <v>467363</v>
      </c>
      <c r="R40">
        <v>468031</v>
      </c>
      <c r="S40">
        <v>479045</v>
      </c>
      <c r="T40">
        <v>494057</v>
      </c>
      <c r="U40">
        <v>506785</v>
      </c>
      <c r="V40">
        <v>513994</v>
      </c>
      <c r="W40">
        <v>523548</v>
      </c>
      <c r="X40">
        <v>529223</v>
      </c>
      <c r="Y40">
        <v>544376</v>
      </c>
      <c r="Z40">
        <v>564902</v>
      </c>
      <c r="AA40">
        <v>583801</v>
      </c>
      <c r="AB40">
        <v>595065</v>
      </c>
    </row>
    <row r="41" spans="1:28" x14ac:dyDescent="0.2">
      <c r="A41" t="s">
        <v>735</v>
      </c>
      <c r="B41">
        <v>1</v>
      </c>
      <c r="C41" t="s">
        <v>1570</v>
      </c>
      <c r="D41">
        <v>549175</v>
      </c>
      <c r="E41">
        <v>546753</v>
      </c>
      <c r="F41">
        <v>531253</v>
      </c>
      <c r="G41">
        <v>494603</v>
      </c>
      <c r="H41">
        <v>468224</v>
      </c>
      <c r="I41">
        <v>462290</v>
      </c>
      <c r="J41">
        <v>464713</v>
      </c>
      <c r="K41">
        <v>471083</v>
      </c>
      <c r="L41">
        <v>475527</v>
      </c>
      <c r="M41">
        <v>454773</v>
      </c>
      <c r="N41">
        <v>450086</v>
      </c>
      <c r="O41">
        <v>452286</v>
      </c>
      <c r="P41">
        <v>466053</v>
      </c>
      <c r="Q41">
        <v>468229</v>
      </c>
      <c r="R41">
        <v>468438</v>
      </c>
      <c r="S41">
        <v>471470</v>
      </c>
      <c r="T41">
        <v>482935</v>
      </c>
      <c r="U41">
        <v>500285</v>
      </c>
      <c r="V41">
        <v>513547</v>
      </c>
      <c r="W41">
        <v>518518</v>
      </c>
      <c r="X41">
        <v>526036</v>
      </c>
      <c r="Y41">
        <v>538548</v>
      </c>
      <c r="Z41">
        <v>563222</v>
      </c>
      <c r="AA41">
        <v>586342</v>
      </c>
      <c r="AB41">
        <v>589776</v>
      </c>
    </row>
    <row r="42" spans="1:28" x14ac:dyDescent="0.2">
      <c r="A42" t="s">
        <v>735</v>
      </c>
      <c r="B42">
        <v>1</v>
      </c>
      <c r="C42" t="s">
        <v>1571</v>
      </c>
      <c r="D42">
        <v>541261</v>
      </c>
      <c r="E42">
        <v>553739</v>
      </c>
      <c r="F42">
        <v>550225</v>
      </c>
      <c r="G42">
        <v>534839</v>
      </c>
      <c r="H42">
        <v>497770</v>
      </c>
      <c r="I42">
        <v>472712</v>
      </c>
      <c r="J42">
        <v>464402</v>
      </c>
      <c r="K42">
        <v>468255</v>
      </c>
      <c r="L42">
        <v>474285</v>
      </c>
      <c r="M42">
        <v>479243</v>
      </c>
      <c r="N42">
        <v>457972</v>
      </c>
      <c r="O42">
        <v>453781</v>
      </c>
      <c r="P42">
        <v>455574</v>
      </c>
      <c r="Q42">
        <v>468901</v>
      </c>
      <c r="R42">
        <v>469098</v>
      </c>
      <c r="S42">
        <v>471090</v>
      </c>
      <c r="T42">
        <v>474680</v>
      </c>
      <c r="U42">
        <v>488256</v>
      </c>
      <c r="V42">
        <v>506582</v>
      </c>
      <c r="W42">
        <v>518480</v>
      </c>
      <c r="X42">
        <v>520788</v>
      </c>
      <c r="Y42">
        <v>534364</v>
      </c>
      <c r="Z42">
        <v>555476</v>
      </c>
      <c r="AA42">
        <v>583126</v>
      </c>
      <c r="AB42">
        <v>591776</v>
      </c>
    </row>
    <row r="43" spans="1:28" x14ac:dyDescent="0.2">
      <c r="A43" t="s">
        <v>735</v>
      </c>
      <c r="B43">
        <v>1</v>
      </c>
      <c r="C43" t="s">
        <v>1572</v>
      </c>
      <c r="D43">
        <v>547079</v>
      </c>
      <c r="E43">
        <v>543860</v>
      </c>
      <c r="F43">
        <v>556770</v>
      </c>
      <c r="G43">
        <v>553769</v>
      </c>
      <c r="H43">
        <v>538659</v>
      </c>
      <c r="I43">
        <v>501324</v>
      </c>
      <c r="J43">
        <v>473665</v>
      </c>
      <c r="K43">
        <v>467009</v>
      </c>
      <c r="L43">
        <v>471194</v>
      </c>
      <c r="M43">
        <v>476765</v>
      </c>
      <c r="N43">
        <v>480166</v>
      </c>
      <c r="O43">
        <v>461421</v>
      </c>
      <c r="P43">
        <v>456989</v>
      </c>
      <c r="Q43">
        <v>458130</v>
      </c>
      <c r="R43">
        <v>470225</v>
      </c>
      <c r="S43">
        <v>471462</v>
      </c>
      <c r="T43">
        <v>473962</v>
      </c>
      <c r="U43">
        <v>479299</v>
      </c>
      <c r="V43">
        <v>493538</v>
      </c>
      <c r="W43">
        <v>510969</v>
      </c>
      <c r="X43">
        <v>520677</v>
      </c>
      <c r="Y43">
        <v>528446</v>
      </c>
      <c r="Z43">
        <v>550403</v>
      </c>
      <c r="AA43">
        <v>574259</v>
      </c>
      <c r="AB43">
        <v>588543</v>
      </c>
    </row>
    <row r="44" spans="1:28" x14ac:dyDescent="0.2">
      <c r="A44" t="s">
        <v>735</v>
      </c>
      <c r="B44">
        <v>1</v>
      </c>
      <c r="C44" t="s">
        <v>1421</v>
      </c>
      <c r="D44">
        <v>540719</v>
      </c>
      <c r="E44">
        <v>549311</v>
      </c>
      <c r="F44">
        <v>545316</v>
      </c>
      <c r="G44">
        <v>559647</v>
      </c>
      <c r="H44">
        <v>557671</v>
      </c>
      <c r="I44">
        <v>540094</v>
      </c>
      <c r="J44">
        <v>502051</v>
      </c>
      <c r="K44">
        <v>475144</v>
      </c>
      <c r="L44">
        <v>469363</v>
      </c>
      <c r="M44">
        <v>473576</v>
      </c>
      <c r="N44">
        <v>478042</v>
      </c>
      <c r="O44">
        <v>483820</v>
      </c>
      <c r="P44">
        <v>464312</v>
      </c>
      <c r="Q44">
        <v>459397</v>
      </c>
      <c r="R44">
        <v>459071</v>
      </c>
      <c r="S44">
        <v>471183</v>
      </c>
      <c r="T44">
        <v>473697</v>
      </c>
      <c r="U44">
        <v>477796</v>
      </c>
      <c r="V44">
        <v>483595</v>
      </c>
      <c r="W44">
        <v>496762</v>
      </c>
      <c r="X44">
        <v>512246</v>
      </c>
      <c r="Y44">
        <v>527179</v>
      </c>
      <c r="Z44">
        <v>542442</v>
      </c>
      <c r="AA44">
        <v>567952</v>
      </c>
      <c r="AB44">
        <v>579159</v>
      </c>
    </row>
    <row r="45" spans="1:28" x14ac:dyDescent="0.2">
      <c r="A45" t="s">
        <v>735</v>
      </c>
      <c r="B45">
        <v>1</v>
      </c>
      <c r="C45" t="s">
        <v>1573</v>
      </c>
      <c r="D45">
        <v>529124</v>
      </c>
      <c r="E45">
        <v>542293</v>
      </c>
      <c r="F45">
        <v>550414</v>
      </c>
      <c r="G45">
        <v>546487</v>
      </c>
      <c r="H45">
        <v>563054</v>
      </c>
      <c r="I45">
        <v>559391</v>
      </c>
      <c r="J45">
        <v>540934</v>
      </c>
      <c r="K45">
        <v>503339</v>
      </c>
      <c r="L45">
        <v>476416</v>
      </c>
      <c r="M45">
        <v>470745</v>
      </c>
      <c r="N45">
        <v>475591</v>
      </c>
      <c r="O45">
        <v>481661</v>
      </c>
      <c r="P45">
        <v>486785</v>
      </c>
      <c r="Q45">
        <v>466595</v>
      </c>
      <c r="R45">
        <v>460310</v>
      </c>
      <c r="S45">
        <v>462455</v>
      </c>
      <c r="T45">
        <v>473841</v>
      </c>
      <c r="U45">
        <v>477030</v>
      </c>
      <c r="V45">
        <v>481553</v>
      </c>
      <c r="W45">
        <v>486226</v>
      </c>
      <c r="X45">
        <v>499037</v>
      </c>
      <c r="Y45">
        <v>517829</v>
      </c>
      <c r="Z45">
        <v>539403</v>
      </c>
      <c r="AA45">
        <v>558484</v>
      </c>
      <c r="AB45">
        <v>572018</v>
      </c>
    </row>
    <row r="46" spans="1:28" x14ac:dyDescent="0.2">
      <c r="A46" t="s">
        <v>735</v>
      </c>
      <c r="B46">
        <v>1</v>
      </c>
      <c r="C46" t="s">
        <v>1574</v>
      </c>
      <c r="D46">
        <v>524549</v>
      </c>
      <c r="E46">
        <v>530248</v>
      </c>
      <c r="F46">
        <v>542720</v>
      </c>
      <c r="G46">
        <v>551407</v>
      </c>
      <c r="H46">
        <v>547908</v>
      </c>
      <c r="I46">
        <v>563989</v>
      </c>
      <c r="J46">
        <v>559722</v>
      </c>
      <c r="K46">
        <v>542387</v>
      </c>
      <c r="L46">
        <v>504565</v>
      </c>
      <c r="M46">
        <v>476817</v>
      </c>
      <c r="N46">
        <v>473106</v>
      </c>
      <c r="O46">
        <v>478545</v>
      </c>
      <c r="P46">
        <v>484439</v>
      </c>
      <c r="Q46">
        <v>489124</v>
      </c>
      <c r="R46">
        <v>467404</v>
      </c>
      <c r="S46">
        <v>462678</v>
      </c>
      <c r="T46">
        <v>464236</v>
      </c>
      <c r="U46">
        <v>477415</v>
      </c>
      <c r="V46">
        <v>480442</v>
      </c>
      <c r="W46">
        <v>483782</v>
      </c>
      <c r="X46">
        <v>488328</v>
      </c>
      <c r="Y46">
        <v>503923</v>
      </c>
      <c r="Z46">
        <v>528874</v>
      </c>
      <c r="AA46">
        <v>553676</v>
      </c>
      <c r="AB46">
        <v>562582</v>
      </c>
    </row>
    <row r="47" spans="1:28" x14ac:dyDescent="0.2">
      <c r="A47" t="s">
        <v>735</v>
      </c>
      <c r="B47">
        <v>1</v>
      </c>
      <c r="C47" t="s">
        <v>1422</v>
      </c>
      <c r="D47">
        <v>514559</v>
      </c>
      <c r="E47">
        <v>525944</v>
      </c>
      <c r="F47">
        <v>530330</v>
      </c>
      <c r="G47">
        <v>543136</v>
      </c>
      <c r="H47">
        <v>552629</v>
      </c>
      <c r="I47">
        <v>550765</v>
      </c>
      <c r="J47">
        <v>564591</v>
      </c>
      <c r="K47">
        <v>560404</v>
      </c>
      <c r="L47">
        <v>543576</v>
      </c>
      <c r="M47">
        <v>504887</v>
      </c>
      <c r="N47">
        <v>479211</v>
      </c>
      <c r="O47">
        <v>475551</v>
      </c>
      <c r="P47">
        <v>480806</v>
      </c>
      <c r="Q47">
        <v>486752</v>
      </c>
      <c r="R47">
        <v>490209</v>
      </c>
      <c r="S47">
        <v>470588</v>
      </c>
      <c r="T47">
        <v>463882</v>
      </c>
      <c r="U47">
        <v>466606</v>
      </c>
      <c r="V47">
        <v>480811</v>
      </c>
      <c r="W47">
        <v>482182</v>
      </c>
      <c r="X47">
        <v>484964</v>
      </c>
      <c r="Y47">
        <v>492756</v>
      </c>
      <c r="Z47">
        <v>513970</v>
      </c>
      <c r="AA47">
        <v>542304</v>
      </c>
      <c r="AB47">
        <v>557329</v>
      </c>
    </row>
    <row r="48" spans="1:28" x14ac:dyDescent="0.2">
      <c r="A48" t="s">
        <v>735</v>
      </c>
      <c r="B48">
        <v>1</v>
      </c>
      <c r="C48" t="s">
        <v>1575</v>
      </c>
      <c r="D48">
        <v>499417</v>
      </c>
      <c r="E48">
        <v>516250</v>
      </c>
      <c r="F48">
        <v>526144</v>
      </c>
      <c r="G48">
        <v>530300</v>
      </c>
      <c r="H48">
        <v>543701</v>
      </c>
      <c r="I48">
        <v>552544</v>
      </c>
      <c r="J48">
        <v>550901</v>
      </c>
      <c r="K48">
        <v>565354</v>
      </c>
      <c r="L48">
        <v>560610</v>
      </c>
      <c r="M48">
        <v>543786</v>
      </c>
      <c r="N48">
        <v>506257</v>
      </c>
      <c r="O48">
        <v>481117</v>
      </c>
      <c r="P48">
        <v>477556</v>
      </c>
      <c r="Q48">
        <v>482537</v>
      </c>
      <c r="R48">
        <v>487786</v>
      </c>
      <c r="S48">
        <v>488974</v>
      </c>
      <c r="T48">
        <v>471646</v>
      </c>
      <c r="U48">
        <v>465818</v>
      </c>
      <c r="V48">
        <v>469029</v>
      </c>
      <c r="W48">
        <v>482895</v>
      </c>
      <c r="X48">
        <v>482685</v>
      </c>
      <c r="Y48">
        <v>488559</v>
      </c>
      <c r="Z48">
        <v>501129</v>
      </c>
      <c r="AA48">
        <v>525566</v>
      </c>
      <c r="AB48">
        <v>545259</v>
      </c>
    </row>
    <row r="49" spans="1:28" x14ac:dyDescent="0.2">
      <c r="A49" t="s">
        <v>735</v>
      </c>
      <c r="B49">
        <v>1</v>
      </c>
      <c r="C49" t="s">
        <v>1576</v>
      </c>
      <c r="D49">
        <v>496541</v>
      </c>
      <c r="E49">
        <v>500823</v>
      </c>
      <c r="F49">
        <v>516867</v>
      </c>
      <c r="G49">
        <v>526321</v>
      </c>
      <c r="H49">
        <v>530448</v>
      </c>
      <c r="I49">
        <v>543665</v>
      </c>
      <c r="J49">
        <v>554660</v>
      </c>
      <c r="K49">
        <v>551186</v>
      </c>
      <c r="L49">
        <v>565786</v>
      </c>
      <c r="M49">
        <v>560301</v>
      </c>
      <c r="N49">
        <v>541562</v>
      </c>
      <c r="O49">
        <v>508288</v>
      </c>
      <c r="P49">
        <v>482442</v>
      </c>
      <c r="Q49">
        <v>478879</v>
      </c>
      <c r="R49">
        <v>482999</v>
      </c>
      <c r="S49">
        <v>489217</v>
      </c>
      <c r="T49">
        <v>490628</v>
      </c>
      <c r="U49">
        <v>473223</v>
      </c>
      <c r="V49">
        <v>467620</v>
      </c>
      <c r="W49">
        <v>469986</v>
      </c>
      <c r="X49">
        <v>482887</v>
      </c>
      <c r="Y49">
        <v>485794</v>
      </c>
      <c r="Z49">
        <v>496060</v>
      </c>
      <c r="AA49">
        <v>511514</v>
      </c>
      <c r="AB49">
        <v>528254</v>
      </c>
    </row>
    <row r="50" spans="1:28" x14ac:dyDescent="0.2">
      <c r="A50" t="s">
        <v>735</v>
      </c>
      <c r="B50">
        <v>1</v>
      </c>
      <c r="C50" t="s">
        <v>1577</v>
      </c>
      <c r="D50">
        <v>479802</v>
      </c>
      <c r="E50">
        <v>498130</v>
      </c>
      <c r="F50">
        <v>501105</v>
      </c>
      <c r="G50">
        <v>517344</v>
      </c>
      <c r="H50">
        <v>526467</v>
      </c>
      <c r="I50">
        <v>531644</v>
      </c>
      <c r="J50">
        <v>545269</v>
      </c>
      <c r="K50">
        <v>556727</v>
      </c>
      <c r="L50">
        <v>551214</v>
      </c>
      <c r="M50">
        <v>565491</v>
      </c>
      <c r="N50">
        <v>557965</v>
      </c>
      <c r="O50">
        <v>543833</v>
      </c>
      <c r="P50">
        <v>509836</v>
      </c>
      <c r="Q50">
        <v>483448</v>
      </c>
      <c r="R50">
        <v>479242</v>
      </c>
      <c r="S50">
        <v>483949</v>
      </c>
      <c r="T50">
        <v>489716</v>
      </c>
      <c r="U50">
        <v>492846</v>
      </c>
      <c r="V50">
        <v>474810</v>
      </c>
      <c r="W50">
        <v>468276</v>
      </c>
      <c r="X50">
        <v>470961</v>
      </c>
      <c r="Y50">
        <v>485338</v>
      </c>
      <c r="Z50">
        <v>491787</v>
      </c>
      <c r="AA50">
        <v>504575</v>
      </c>
      <c r="AB50">
        <v>513041</v>
      </c>
    </row>
    <row r="51" spans="1:28" x14ac:dyDescent="0.2">
      <c r="A51" t="s">
        <v>735</v>
      </c>
      <c r="B51">
        <v>1</v>
      </c>
      <c r="C51" t="s">
        <v>1423</v>
      </c>
      <c r="D51">
        <v>459604</v>
      </c>
      <c r="E51">
        <v>480832</v>
      </c>
      <c r="F51">
        <v>498889</v>
      </c>
      <c r="G51">
        <v>501262</v>
      </c>
      <c r="H51">
        <v>518069</v>
      </c>
      <c r="I51">
        <v>526463</v>
      </c>
      <c r="J51">
        <v>532913</v>
      </c>
      <c r="K51">
        <v>546927</v>
      </c>
      <c r="L51">
        <v>558504</v>
      </c>
      <c r="M51">
        <v>550629</v>
      </c>
      <c r="N51">
        <v>562632</v>
      </c>
      <c r="O51">
        <v>559882</v>
      </c>
      <c r="P51">
        <v>545655</v>
      </c>
      <c r="Q51">
        <v>510751</v>
      </c>
      <c r="R51">
        <v>483332</v>
      </c>
      <c r="S51">
        <v>480876</v>
      </c>
      <c r="T51">
        <v>484055</v>
      </c>
      <c r="U51">
        <v>490565</v>
      </c>
      <c r="V51">
        <v>495154</v>
      </c>
      <c r="W51">
        <v>475312</v>
      </c>
      <c r="X51">
        <v>469053</v>
      </c>
      <c r="Y51">
        <v>473019</v>
      </c>
      <c r="Z51">
        <v>490513</v>
      </c>
      <c r="AA51">
        <v>499639</v>
      </c>
      <c r="AB51">
        <v>506230</v>
      </c>
    </row>
    <row r="52" spans="1:28" x14ac:dyDescent="0.2">
      <c r="A52" t="s">
        <v>735</v>
      </c>
      <c r="B52">
        <v>1</v>
      </c>
      <c r="C52" t="s">
        <v>1578</v>
      </c>
      <c r="D52">
        <v>444049</v>
      </c>
      <c r="E52">
        <v>460034</v>
      </c>
      <c r="F52">
        <v>481095</v>
      </c>
      <c r="G52">
        <v>499351</v>
      </c>
      <c r="H52">
        <v>501489</v>
      </c>
      <c r="I52">
        <v>518227</v>
      </c>
      <c r="J52">
        <v>527695</v>
      </c>
      <c r="K52">
        <v>534244</v>
      </c>
      <c r="L52">
        <v>548172</v>
      </c>
      <c r="M52">
        <v>559656</v>
      </c>
      <c r="N52">
        <v>551933</v>
      </c>
      <c r="O52">
        <v>564514</v>
      </c>
      <c r="P52">
        <v>561353</v>
      </c>
      <c r="Q52">
        <v>546772</v>
      </c>
      <c r="R52">
        <v>510955</v>
      </c>
      <c r="S52">
        <v>486044</v>
      </c>
      <c r="T52">
        <v>480225</v>
      </c>
      <c r="U52">
        <v>484394</v>
      </c>
      <c r="V52">
        <v>491608</v>
      </c>
      <c r="W52">
        <v>496326</v>
      </c>
      <c r="X52">
        <v>476172</v>
      </c>
      <c r="Y52">
        <v>470708</v>
      </c>
      <c r="Z52">
        <v>477625</v>
      </c>
      <c r="AA52">
        <v>497139</v>
      </c>
      <c r="AB52">
        <v>500577</v>
      </c>
    </row>
    <row r="53" spans="1:28" x14ac:dyDescent="0.2">
      <c r="A53" t="s">
        <v>735</v>
      </c>
      <c r="B53">
        <v>1</v>
      </c>
      <c r="C53" t="s">
        <v>1579</v>
      </c>
      <c r="D53">
        <v>436348</v>
      </c>
      <c r="E53">
        <v>443676</v>
      </c>
      <c r="F53">
        <v>459765</v>
      </c>
      <c r="G53">
        <v>481158</v>
      </c>
      <c r="H53">
        <v>499876</v>
      </c>
      <c r="I53">
        <v>503211</v>
      </c>
      <c r="J53">
        <v>518491</v>
      </c>
      <c r="K53">
        <v>528939</v>
      </c>
      <c r="L53">
        <v>535114</v>
      </c>
      <c r="M53">
        <v>548931</v>
      </c>
      <c r="N53">
        <v>558985</v>
      </c>
      <c r="O53">
        <v>552120</v>
      </c>
      <c r="P53">
        <v>565753</v>
      </c>
      <c r="Q53">
        <v>562304</v>
      </c>
      <c r="R53">
        <v>547013</v>
      </c>
      <c r="S53">
        <v>512143</v>
      </c>
      <c r="T53">
        <v>484579</v>
      </c>
      <c r="U53">
        <v>479945</v>
      </c>
      <c r="V53">
        <v>484828</v>
      </c>
      <c r="W53">
        <v>491613</v>
      </c>
      <c r="X53">
        <v>494487</v>
      </c>
      <c r="Y53">
        <v>477308</v>
      </c>
      <c r="Z53">
        <v>474567</v>
      </c>
      <c r="AA53">
        <v>483445</v>
      </c>
      <c r="AB53">
        <v>497734</v>
      </c>
    </row>
    <row r="54" spans="1:28" x14ac:dyDescent="0.2">
      <c r="A54" t="s">
        <v>735</v>
      </c>
      <c r="B54">
        <v>1</v>
      </c>
      <c r="C54" t="s">
        <v>1424</v>
      </c>
      <c r="D54">
        <v>426437</v>
      </c>
      <c r="E54">
        <v>436050</v>
      </c>
      <c r="F54">
        <v>442778</v>
      </c>
      <c r="G54">
        <v>459408</v>
      </c>
      <c r="H54">
        <v>481116</v>
      </c>
      <c r="I54">
        <v>499022</v>
      </c>
      <c r="J54">
        <v>502885</v>
      </c>
      <c r="K54">
        <v>518735</v>
      </c>
      <c r="L54">
        <v>529811</v>
      </c>
      <c r="M54">
        <v>535609</v>
      </c>
      <c r="N54">
        <v>548858</v>
      </c>
      <c r="O54">
        <v>559251</v>
      </c>
      <c r="P54">
        <v>551865</v>
      </c>
      <c r="Q54">
        <v>566544</v>
      </c>
      <c r="R54">
        <v>562259</v>
      </c>
      <c r="S54">
        <v>545112</v>
      </c>
      <c r="T54">
        <v>510754</v>
      </c>
      <c r="U54">
        <v>483398</v>
      </c>
      <c r="V54">
        <v>479659</v>
      </c>
      <c r="W54">
        <v>484422</v>
      </c>
      <c r="X54">
        <v>490231</v>
      </c>
      <c r="Y54">
        <v>495221</v>
      </c>
      <c r="Z54">
        <v>480465</v>
      </c>
      <c r="AA54">
        <v>479612</v>
      </c>
      <c r="AB54">
        <v>483978</v>
      </c>
    </row>
    <row r="55" spans="1:28" x14ac:dyDescent="0.2">
      <c r="A55" t="s">
        <v>735</v>
      </c>
      <c r="B55">
        <v>1</v>
      </c>
      <c r="C55" t="s">
        <v>1425</v>
      </c>
      <c r="D55">
        <v>418909</v>
      </c>
      <c r="E55">
        <v>425951</v>
      </c>
      <c r="F55">
        <v>435314</v>
      </c>
      <c r="G55">
        <v>441788</v>
      </c>
      <c r="H55">
        <v>458907</v>
      </c>
      <c r="I55">
        <v>481027</v>
      </c>
      <c r="J55">
        <v>498833</v>
      </c>
      <c r="K55">
        <v>502523</v>
      </c>
      <c r="L55">
        <v>518664</v>
      </c>
      <c r="M55">
        <v>530221</v>
      </c>
      <c r="N55">
        <v>536627</v>
      </c>
      <c r="O55">
        <v>548895</v>
      </c>
      <c r="P55">
        <v>558882</v>
      </c>
      <c r="Q55">
        <v>551133</v>
      </c>
      <c r="R55">
        <v>566394</v>
      </c>
      <c r="S55">
        <v>560868</v>
      </c>
      <c r="T55">
        <v>544306</v>
      </c>
      <c r="U55">
        <v>509553</v>
      </c>
      <c r="V55">
        <v>482396</v>
      </c>
      <c r="W55">
        <v>478713</v>
      </c>
      <c r="X55">
        <v>483760</v>
      </c>
      <c r="Y55">
        <v>490499</v>
      </c>
      <c r="Z55">
        <v>497730</v>
      </c>
      <c r="AA55">
        <v>484943</v>
      </c>
      <c r="AB55">
        <v>479979</v>
      </c>
    </row>
    <row r="56" spans="1:28" x14ac:dyDescent="0.2">
      <c r="A56" t="s">
        <v>735</v>
      </c>
      <c r="B56">
        <v>1</v>
      </c>
      <c r="C56" t="s">
        <v>1426</v>
      </c>
      <c r="D56">
        <v>418748</v>
      </c>
      <c r="E56">
        <v>417995</v>
      </c>
      <c r="F56">
        <v>425101</v>
      </c>
      <c r="G56">
        <v>434242</v>
      </c>
      <c r="H56">
        <v>440523</v>
      </c>
      <c r="I56">
        <v>459294</v>
      </c>
      <c r="J56">
        <v>479965</v>
      </c>
      <c r="K56">
        <v>498308</v>
      </c>
      <c r="L56">
        <v>501942</v>
      </c>
      <c r="M56">
        <v>518388</v>
      </c>
      <c r="N56">
        <v>529913</v>
      </c>
      <c r="O56">
        <v>536215</v>
      </c>
      <c r="P56">
        <v>548533</v>
      </c>
      <c r="Q56">
        <v>558225</v>
      </c>
      <c r="R56">
        <v>549706</v>
      </c>
      <c r="S56">
        <v>564283</v>
      </c>
      <c r="T56">
        <v>559210</v>
      </c>
      <c r="U56">
        <v>543702</v>
      </c>
      <c r="V56">
        <v>508433</v>
      </c>
      <c r="W56">
        <v>480629</v>
      </c>
      <c r="X56">
        <v>478279</v>
      </c>
      <c r="Y56">
        <v>483615</v>
      </c>
      <c r="Z56">
        <v>492431</v>
      </c>
      <c r="AA56">
        <v>501122</v>
      </c>
      <c r="AB56">
        <v>484691</v>
      </c>
    </row>
    <row r="57" spans="1:28" x14ac:dyDescent="0.2">
      <c r="A57" t="s">
        <v>735</v>
      </c>
      <c r="B57">
        <v>1</v>
      </c>
      <c r="C57" t="s">
        <v>1427</v>
      </c>
      <c r="D57">
        <v>417061</v>
      </c>
      <c r="E57">
        <v>417695</v>
      </c>
      <c r="F57">
        <v>416574</v>
      </c>
      <c r="G57">
        <v>424095</v>
      </c>
      <c r="H57">
        <v>433076</v>
      </c>
      <c r="I57">
        <v>440406</v>
      </c>
      <c r="J57">
        <v>457826</v>
      </c>
      <c r="K57">
        <v>478703</v>
      </c>
      <c r="L57">
        <v>497623</v>
      </c>
      <c r="M57">
        <v>500948</v>
      </c>
      <c r="N57">
        <v>516897</v>
      </c>
      <c r="O57">
        <v>529635</v>
      </c>
      <c r="P57">
        <v>535455</v>
      </c>
      <c r="Q57">
        <v>547727</v>
      </c>
      <c r="R57">
        <v>556873</v>
      </c>
      <c r="S57">
        <v>550821</v>
      </c>
      <c r="T57">
        <v>562819</v>
      </c>
      <c r="U57">
        <v>557889</v>
      </c>
      <c r="V57">
        <v>543197</v>
      </c>
      <c r="W57">
        <v>506567</v>
      </c>
      <c r="X57">
        <v>481013</v>
      </c>
      <c r="Y57">
        <v>478158</v>
      </c>
      <c r="Z57">
        <v>485144</v>
      </c>
      <c r="AA57">
        <v>495675</v>
      </c>
      <c r="AB57">
        <v>500929</v>
      </c>
    </row>
    <row r="58" spans="1:28" x14ac:dyDescent="0.2">
      <c r="A58" t="s">
        <v>735</v>
      </c>
      <c r="B58">
        <v>1</v>
      </c>
      <c r="C58" t="s">
        <v>1428</v>
      </c>
      <c r="D58">
        <v>358542</v>
      </c>
      <c r="E58">
        <v>417567</v>
      </c>
      <c r="F58">
        <v>416259</v>
      </c>
      <c r="G58">
        <v>414979</v>
      </c>
      <c r="H58">
        <v>422708</v>
      </c>
      <c r="I58">
        <v>432124</v>
      </c>
      <c r="J58">
        <v>438967</v>
      </c>
      <c r="K58">
        <v>456226</v>
      </c>
      <c r="L58">
        <v>477457</v>
      </c>
      <c r="M58">
        <v>496745</v>
      </c>
      <c r="N58">
        <v>501132</v>
      </c>
      <c r="O58">
        <v>516282</v>
      </c>
      <c r="P58">
        <v>529135</v>
      </c>
      <c r="Q58">
        <v>534277</v>
      </c>
      <c r="R58">
        <v>546399</v>
      </c>
      <c r="S58">
        <v>553595</v>
      </c>
      <c r="T58">
        <v>548857</v>
      </c>
      <c r="U58">
        <v>561758</v>
      </c>
      <c r="V58">
        <v>556720</v>
      </c>
      <c r="W58">
        <v>541921</v>
      </c>
      <c r="X58">
        <v>504891</v>
      </c>
      <c r="Y58">
        <v>480418</v>
      </c>
      <c r="Z58">
        <v>479010</v>
      </c>
      <c r="AA58">
        <v>487397</v>
      </c>
      <c r="AB58">
        <v>494907</v>
      </c>
    </row>
    <row r="59" spans="1:28" x14ac:dyDescent="0.2">
      <c r="A59" t="s">
        <v>735</v>
      </c>
      <c r="B59">
        <v>1</v>
      </c>
      <c r="C59" t="s">
        <v>1429</v>
      </c>
      <c r="D59">
        <v>334647</v>
      </c>
      <c r="E59">
        <v>357170</v>
      </c>
      <c r="F59">
        <v>417569</v>
      </c>
      <c r="G59">
        <v>414547</v>
      </c>
      <c r="H59">
        <v>413031</v>
      </c>
      <c r="I59">
        <v>421998</v>
      </c>
      <c r="J59">
        <v>431003</v>
      </c>
      <c r="K59">
        <v>437402</v>
      </c>
      <c r="L59">
        <v>454521</v>
      </c>
      <c r="M59">
        <v>475874</v>
      </c>
      <c r="N59">
        <v>493961</v>
      </c>
      <c r="O59">
        <v>500097</v>
      </c>
      <c r="P59">
        <v>515563</v>
      </c>
      <c r="Q59">
        <v>528121</v>
      </c>
      <c r="R59">
        <v>532585</v>
      </c>
      <c r="S59">
        <v>544828</v>
      </c>
      <c r="T59">
        <v>552484</v>
      </c>
      <c r="U59">
        <v>547021</v>
      </c>
      <c r="V59">
        <v>560860</v>
      </c>
      <c r="W59">
        <v>554791</v>
      </c>
      <c r="X59">
        <v>538189</v>
      </c>
      <c r="Y59">
        <v>504101</v>
      </c>
      <c r="Z59">
        <v>480720</v>
      </c>
      <c r="AA59">
        <v>480917</v>
      </c>
      <c r="AB59">
        <v>486646</v>
      </c>
    </row>
    <row r="60" spans="1:28" x14ac:dyDescent="0.2">
      <c r="A60" t="s">
        <v>735</v>
      </c>
      <c r="B60">
        <v>1</v>
      </c>
      <c r="C60" t="s">
        <v>1580</v>
      </c>
      <c r="D60">
        <v>325996</v>
      </c>
      <c r="E60">
        <v>334129</v>
      </c>
      <c r="F60">
        <v>355511</v>
      </c>
      <c r="G60">
        <v>417395</v>
      </c>
      <c r="H60">
        <v>412391</v>
      </c>
      <c r="I60">
        <v>412425</v>
      </c>
      <c r="J60">
        <v>420731</v>
      </c>
      <c r="K60">
        <v>429601</v>
      </c>
      <c r="L60">
        <v>435790</v>
      </c>
      <c r="M60">
        <v>452813</v>
      </c>
      <c r="N60">
        <v>473612</v>
      </c>
      <c r="O60">
        <v>493293</v>
      </c>
      <c r="P60">
        <v>499088</v>
      </c>
      <c r="Q60">
        <v>514365</v>
      </c>
      <c r="R60">
        <v>526640</v>
      </c>
      <c r="S60">
        <v>531772</v>
      </c>
      <c r="T60">
        <v>543392</v>
      </c>
      <c r="U60">
        <v>551329</v>
      </c>
      <c r="V60">
        <v>545413</v>
      </c>
      <c r="W60">
        <v>559175</v>
      </c>
      <c r="X60">
        <v>550924</v>
      </c>
      <c r="Y60">
        <v>536940</v>
      </c>
      <c r="Z60">
        <v>504303</v>
      </c>
      <c r="AA60">
        <v>482133</v>
      </c>
      <c r="AB60">
        <v>479944</v>
      </c>
    </row>
    <row r="61" spans="1:28" x14ac:dyDescent="0.2">
      <c r="A61" t="s">
        <v>735</v>
      </c>
      <c r="B61">
        <v>1</v>
      </c>
      <c r="C61" t="s">
        <v>1581</v>
      </c>
      <c r="D61">
        <v>315803</v>
      </c>
      <c r="E61">
        <v>325863</v>
      </c>
      <c r="F61">
        <v>333298</v>
      </c>
      <c r="G61">
        <v>353612</v>
      </c>
      <c r="H61">
        <v>416788</v>
      </c>
      <c r="I61">
        <v>410669</v>
      </c>
      <c r="J61">
        <v>411162</v>
      </c>
      <c r="K61">
        <v>419341</v>
      </c>
      <c r="L61">
        <v>428088</v>
      </c>
      <c r="M61">
        <v>433978</v>
      </c>
      <c r="N61">
        <v>451077</v>
      </c>
      <c r="O61">
        <v>472425</v>
      </c>
      <c r="P61">
        <v>492702</v>
      </c>
      <c r="Q61">
        <v>497812</v>
      </c>
      <c r="R61">
        <v>512576</v>
      </c>
      <c r="S61">
        <v>524443</v>
      </c>
      <c r="T61">
        <v>529738</v>
      </c>
      <c r="U61">
        <v>542068</v>
      </c>
      <c r="V61">
        <v>550439</v>
      </c>
      <c r="W61">
        <v>542828</v>
      </c>
      <c r="X61">
        <v>554817</v>
      </c>
      <c r="Y61">
        <v>549523</v>
      </c>
      <c r="Z61">
        <v>536620</v>
      </c>
      <c r="AA61">
        <v>505213</v>
      </c>
      <c r="AB61">
        <v>480992</v>
      </c>
    </row>
    <row r="62" spans="1:28" x14ac:dyDescent="0.2">
      <c r="A62" t="s">
        <v>735</v>
      </c>
      <c r="B62">
        <v>1</v>
      </c>
      <c r="C62" t="s">
        <v>1582</v>
      </c>
      <c r="D62">
        <v>293830</v>
      </c>
      <c r="E62">
        <v>315188</v>
      </c>
      <c r="F62">
        <v>325349</v>
      </c>
      <c r="G62">
        <v>332180</v>
      </c>
      <c r="H62">
        <v>351223</v>
      </c>
      <c r="I62">
        <v>410695</v>
      </c>
      <c r="J62">
        <v>409753</v>
      </c>
      <c r="K62">
        <v>409777</v>
      </c>
      <c r="L62">
        <v>417915</v>
      </c>
      <c r="M62">
        <v>426413</v>
      </c>
      <c r="N62">
        <v>433224</v>
      </c>
      <c r="O62">
        <v>449639</v>
      </c>
      <c r="P62">
        <v>471465</v>
      </c>
      <c r="Q62">
        <v>491394</v>
      </c>
      <c r="R62">
        <v>495763</v>
      </c>
      <c r="S62">
        <v>510749</v>
      </c>
      <c r="T62">
        <v>522752</v>
      </c>
      <c r="U62">
        <v>527650</v>
      </c>
      <c r="V62">
        <v>540803</v>
      </c>
      <c r="W62">
        <v>548826</v>
      </c>
      <c r="X62">
        <v>541688</v>
      </c>
      <c r="Y62">
        <v>553399</v>
      </c>
      <c r="Z62">
        <v>548966</v>
      </c>
      <c r="AA62">
        <v>537183</v>
      </c>
      <c r="AB62">
        <v>503957</v>
      </c>
    </row>
    <row r="63" spans="1:28" x14ac:dyDescent="0.2">
      <c r="A63" t="s">
        <v>735</v>
      </c>
      <c r="B63">
        <v>1</v>
      </c>
      <c r="C63" t="s">
        <v>1583</v>
      </c>
      <c r="D63">
        <v>281896</v>
      </c>
      <c r="E63">
        <v>293093</v>
      </c>
      <c r="F63">
        <v>314236</v>
      </c>
      <c r="G63">
        <v>324545</v>
      </c>
      <c r="H63">
        <v>330659</v>
      </c>
      <c r="I63">
        <v>353035</v>
      </c>
      <c r="J63">
        <v>410626</v>
      </c>
      <c r="K63">
        <v>408594</v>
      </c>
      <c r="L63">
        <v>408220</v>
      </c>
      <c r="M63">
        <v>416274</v>
      </c>
      <c r="N63">
        <v>424359</v>
      </c>
      <c r="O63">
        <v>431676</v>
      </c>
      <c r="P63">
        <v>448598</v>
      </c>
      <c r="Q63">
        <v>469939</v>
      </c>
      <c r="R63">
        <v>489444</v>
      </c>
      <c r="S63">
        <v>494916</v>
      </c>
      <c r="T63">
        <v>508934</v>
      </c>
      <c r="U63">
        <v>520889</v>
      </c>
      <c r="V63">
        <v>525736</v>
      </c>
      <c r="W63">
        <v>538800</v>
      </c>
      <c r="X63">
        <v>545073</v>
      </c>
      <c r="Y63">
        <v>540015</v>
      </c>
      <c r="Z63">
        <v>552804</v>
      </c>
      <c r="AA63">
        <v>549458</v>
      </c>
      <c r="AB63">
        <v>535619</v>
      </c>
    </row>
    <row r="64" spans="1:28" x14ac:dyDescent="0.2">
      <c r="A64" t="s">
        <v>735</v>
      </c>
      <c r="B64">
        <v>1</v>
      </c>
      <c r="C64" t="s">
        <v>1430</v>
      </c>
      <c r="D64">
        <v>264672</v>
      </c>
      <c r="E64">
        <v>281317</v>
      </c>
      <c r="F64">
        <v>291855</v>
      </c>
      <c r="G64">
        <v>313066</v>
      </c>
      <c r="H64">
        <v>323282</v>
      </c>
      <c r="I64">
        <v>331114</v>
      </c>
      <c r="J64">
        <v>350750</v>
      </c>
      <c r="K64">
        <v>410287</v>
      </c>
      <c r="L64">
        <v>407337</v>
      </c>
      <c r="M64">
        <v>406563</v>
      </c>
      <c r="N64">
        <v>414379</v>
      </c>
      <c r="O64">
        <v>422466</v>
      </c>
      <c r="P64">
        <v>430378</v>
      </c>
      <c r="Q64">
        <v>446911</v>
      </c>
      <c r="R64">
        <v>467781</v>
      </c>
      <c r="S64">
        <v>485994</v>
      </c>
      <c r="T64">
        <v>492513</v>
      </c>
      <c r="U64">
        <v>506947</v>
      </c>
      <c r="V64">
        <v>519263</v>
      </c>
      <c r="W64">
        <v>523082</v>
      </c>
      <c r="X64">
        <v>535549</v>
      </c>
      <c r="Y64">
        <v>543147</v>
      </c>
      <c r="Z64">
        <v>539016</v>
      </c>
      <c r="AA64">
        <v>553125</v>
      </c>
      <c r="AB64">
        <v>547595</v>
      </c>
    </row>
    <row r="65" spans="1:28" x14ac:dyDescent="0.2">
      <c r="A65" t="s">
        <v>735</v>
      </c>
      <c r="B65">
        <v>1</v>
      </c>
      <c r="C65" t="s">
        <v>1431</v>
      </c>
      <c r="D65">
        <v>257100</v>
      </c>
      <c r="E65">
        <v>263275</v>
      </c>
      <c r="F65">
        <v>280240</v>
      </c>
      <c r="G65">
        <v>290433</v>
      </c>
      <c r="H65">
        <v>311476</v>
      </c>
      <c r="I65">
        <v>322199</v>
      </c>
      <c r="J65">
        <v>328569</v>
      </c>
      <c r="K65">
        <v>348367</v>
      </c>
      <c r="L65">
        <v>409959</v>
      </c>
      <c r="M65">
        <v>405880</v>
      </c>
      <c r="N65">
        <v>405488</v>
      </c>
      <c r="O65">
        <v>412056</v>
      </c>
      <c r="P65">
        <v>420912</v>
      </c>
      <c r="Q65">
        <v>428182</v>
      </c>
      <c r="R65">
        <v>444458</v>
      </c>
      <c r="S65">
        <v>465406</v>
      </c>
      <c r="T65">
        <v>483821</v>
      </c>
      <c r="U65">
        <v>489849</v>
      </c>
      <c r="V65">
        <v>505070</v>
      </c>
      <c r="W65">
        <v>516811</v>
      </c>
      <c r="X65">
        <v>520551</v>
      </c>
      <c r="Y65">
        <v>533306</v>
      </c>
      <c r="Z65">
        <v>541718</v>
      </c>
      <c r="AA65">
        <v>538619</v>
      </c>
      <c r="AB65">
        <v>550876</v>
      </c>
    </row>
    <row r="66" spans="1:28" x14ac:dyDescent="0.2">
      <c r="A66" t="s">
        <v>735</v>
      </c>
      <c r="B66">
        <v>1</v>
      </c>
      <c r="C66" t="s">
        <v>1584</v>
      </c>
      <c r="D66">
        <v>247508</v>
      </c>
      <c r="E66">
        <v>255396</v>
      </c>
      <c r="F66">
        <v>261509</v>
      </c>
      <c r="G66">
        <v>279050</v>
      </c>
      <c r="H66">
        <v>288541</v>
      </c>
      <c r="I66">
        <v>308948</v>
      </c>
      <c r="J66">
        <v>319619</v>
      </c>
      <c r="K66">
        <v>325823</v>
      </c>
      <c r="L66">
        <v>345674</v>
      </c>
      <c r="M66">
        <v>409387</v>
      </c>
      <c r="N66">
        <v>404136</v>
      </c>
      <c r="O66">
        <v>402794</v>
      </c>
      <c r="P66">
        <v>410182</v>
      </c>
      <c r="Q66">
        <v>418773</v>
      </c>
      <c r="R66">
        <v>425420</v>
      </c>
      <c r="S66">
        <v>442520</v>
      </c>
      <c r="T66">
        <v>462752</v>
      </c>
      <c r="U66">
        <v>481320</v>
      </c>
      <c r="V66">
        <v>487431</v>
      </c>
      <c r="W66">
        <v>502329</v>
      </c>
      <c r="X66">
        <v>512958</v>
      </c>
      <c r="Y66">
        <v>518230</v>
      </c>
      <c r="Z66">
        <v>531754</v>
      </c>
      <c r="AA66">
        <v>540931</v>
      </c>
      <c r="AB66">
        <v>535968</v>
      </c>
    </row>
    <row r="67" spans="1:28" x14ac:dyDescent="0.2">
      <c r="A67" t="s">
        <v>735</v>
      </c>
      <c r="B67">
        <v>1</v>
      </c>
      <c r="C67" t="s">
        <v>1585</v>
      </c>
      <c r="D67">
        <v>237693</v>
      </c>
      <c r="E67">
        <v>245411</v>
      </c>
      <c r="F67">
        <v>253362</v>
      </c>
      <c r="G67">
        <v>259490</v>
      </c>
      <c r="H67">
        <v>277319</v>
      </c>
      <c r="I67">
        <v>287760</v>
      </c>
      <c r="J67">
        <v>306320</v>
      </c>
      <c r="K67">
        <v>316866</v>
      </c>
      <c r="L67">
        <v>322937</v>
      </c>
      <c r="M67">
        <v>342908</v>
      </c>
      <c r="N67">
        <v>401565</v>
      </c>
      <c r="O67">
        <v>401041</v>
      </c>
      <c r="P67">
        <v>400418</v>
      </c>
      <c r="Q67">
        <v>407515</v>
      </c>
      <c r="R67">
        <v>415772</v>
      </c>
      <c r="S67">
        <v>423892</v>
      </c>
      <c r="T67">
        <v>439468</v>
      </c>
      <c r="U67">
        <v>459657</v>
      </c>
      <c r="V67">
        <v>479089</v>
      </c>
      <c r="W67">
        <v>484080</v>
      </c>
      <c r="X67">
        <v>498797</v>
      </c>
      <c r="Y67">
        <v>510452</v>
      </c>
      <c r="Z67">
        <v>516144</v>
      </c>
      <c r="AA67">
        <v>530645</v>
      </c>
      <c r="AB67">
        <v>538150</v>
      </c>
    </row>
    <row r="68" spans="1:28" x14ac:dyDescent="0.2">
      <c r="A68" t="s">
        <v>735</v>
      </c>
      <c r="B68">
        <v>1</v>
      </c>
      <c r="C68" t="s">
        <v>557</v>
      </c>
      <c r="D68">
        <v>237412</v>
      </c>
      <c r="E68">
        <v>235414</v>
      </c>
      <c r="F68">
        <v>242975</v>
      </c>
      <c r="G68">
        <v>251072</v>
      </c>
      <c r="H68">
        <v>256948</v>
      </c>
      <c r="I68">
        <v>275241</v>
      </c>
      <c r="J68">
        <v>284573</v>
      </c>
      <c r="K68">
        <v>303466</v>
      </c>
      <c r="L68">
        <v>313860</v>
      </c>
      <c r="M68">
        <v>319883</v>
      </c>
      <c r="N68">
        <v>343832</v>
      </c>
      <c r="O68">
        <v>399245</v>
      </c>
      <c r="P68">
        <v>398467</v>
      </c>
      <c r="Q68">
        <v>397089</v>
      </c>
      <c r="R68">
        <v>403914</v>
      </c>
      <c r="S68">
        <v>412449</v>
      </c>
      <c r="T68">
        <v>420348</v>
      </c>
      <c r="U68">
        <v>436093</v>
      </c>
      <c r="V68">
        <v>456830</v>
      </c>
      <c r="W68">
        <v>475848</v>
      </c>
      <c r="X68">
        <v>480946</v>
      </c>
      <c r="Y68">
        <v>495761</v>
      </c>
      <c r="Z68">
        <v>508140</v>
      </c>
      <c r="AA68">
        <v>514399</v>
      </c>
      <c r="AB68">
        <v>527392</v>
      </c>
    </row>
    <row r="69" spans="1:28" x14ac:dyDescent="0.2">
      <c r="A69" t="s">
        <v>735</v>
      </c>
      <c r="B69">
        <v>1</v>
      </c>
      <c r="C69" t="s">
        <v>1586</v>
      </c>
      <c r="D69">
        <v>230521</v>
      </c>
      <c r="E69">
        <v>234896</v>
      </c>
      <c r="F69">
        <v>232648</v>
      </c>
      <c r="G69">
        <v>240436</v>
      </c>
      <c r="H69">
        <v>248330</v>
      </c>
      <c r="I69">
        <v>255634</v>
      </c>
      <c r="J69">
        <v>272422</v>
      </c>
      <c r="K69">
        <v>281252</v>
      </c>
      <c r="L69">
        <v>300450</v>
      </c>
      <c r="M69">
        <v>310640</v>
      </c>
      <c r="N69">
        <v>317757</v>
      </c>
      <c r="O69">
        <v>339471</v>
      </c>
      <c r="P69">
        <v>397204</v>
      </c>
      <c r="Q69">
        <v>394807</v>
      </c>
      <c r="R69">
        <v>392926</v>
      </c>
      <c r="S69">
        <v>400330</v>
      </c>
      <c r="T69">
        <v>408829</v>
      </c>
      <c r="U69">
        <v>416491</v>
      </c>
      <c r="V69">
        <v>432699</v>
      </c>
      <c r="W69">
        <v>452867</v>
      </c>
      <c r="X69">
        <v>470207</v>
      </c>
      <c r="Y69">
        <v>477796</v>
      </c>
      <c r="Z69">
        <v>493053</v>
      </c>
      <c r="AA69">
        <v>506110</v>
      </c>
      <c r="AB69">
        <v>510978</v>
      </c>
    </row>
    <row r="70" spans="1:28" x14ac:dyDescent="0.2">
      <c r="A70" t="s">
        <v>735</v>
      </c>
      <c r="B70">
        <v>1</v>
      </c>
      <c r="C70" t="s">
        <v>1587</v>
      </c>
      <c r="D70">
        <v>223721</v>
      </c>
      <c r="E70">
        <v>227717</v>
      </c>
      <c r="F70">
        <v>231910</v>
      </c>
      <c r="G70">
        <v>229734</v>
      </c>
      <c r="H70">
        <v>237367</v>
      </c>
      <c r="I70">
        <v>245711</v>
      </c>
      <c r="J70">
        <v>252812</v>
      </c>
      <c r="K70">
        <v>269264</v>
      </c>
      <c r="L70">
        <v>277666</v>
      </c>
      <c r="M70">
        <v>297266</v>
      </c>
      <c r="N70">
        <v>306760</v>
      </c>
      <c r="O70">
        <v>313685</v>
      </c>
      <c r="P70">
        <v>335513</v>
      </c>
      <c r="Q70">
        <v>394232</v>
      </c>
      <c r="R70">
        <v>390520</v>
      </c>
      <c r="S70">
        <v>389806</v>
      </c>
      <c r="T70">
        <v>396682</v>
      </c>
      <c r="U70">
        <v>404859</v>
      </c>
      <c r="V70">
        <v>412809</v>
      </c>
      <c r="W70">
        <v>428276</v>
      </c>
      <c r="X70">
        <v>448024</v>
      </c>
      <c r="Y70">
        <v>466934</v>
      </c>
      <c r="Z70">
        <v>474643</v>
      </c>
      <c r="AA70">
        <v>490491</v>
      </c>
      <c r="AB70">
        <v>502192</v>
      </c>
    </row>
    <row r="71" spans="1:28" x14ac:dyDescent="0.2">
      <c r="A71" t="s">
        <v>735</v>
      </c>
      <c r="B71">
        <v>1</v>
      </c>
      <c r="C71" t="s">
        <v>1588</v>
      </c>
      <c r="D71">
        <v>225968</v>
      </c>
      <c r="E71">
        <v>220533</v>
      </c>
      <c r="F71">
        <v>224716</v>
      </c>
      <c r="G71">
        <v>228825</v>
      </c>
      <c r="H71">
        <v>226321</v>
      </c>
      <c r="I71">
        <v>234499</v>
      </c>
      <c r="J71">
        <v>243131</v>
      </c>
      <c r="K71">
        <v>249745</v>
      </c>
      <c r="L71">
        <v>265909</v>
      </c>
      <c r="M71">
        <v>273922</v>
      </c>
      <c r="N71">
        <v>292782</v>
      </c>
      <c r="O71">
        <v>303077</v>
      </c>
      <c r="P71">
        <v>310008</v>
      </c>
      <c r="Q71">
        <v>330644</v>
      </c>
      <c r="R71">
        <v>390432</v>
      </c>
      <c r="S71">
        <v>385930</v>
      </c>
      <c r="T71">
        <v>385799</v>
      </c>
      <c r="U71">
        <v>392625</v>
      </c>
      <c r="V71">
        <v>400973</v>
      </c>
      <c r="W71">
        <v>408109</v>
      </c>
      <c r="X71">
        <v>423816</v>
      </c>
      <c r="Y71">
        <v>444064</v>
      </c>
      <c r="Z71">
        <v>463586</v>
      </c>
      <c r="AA71">
        <v>471770</v>
      </c>
      <c r="AB71">
        <v>486520</v>
      </c>
    </row>
    <row r="72" spans="1:28" x14ac:dyDescent="0.2">
      <c r="A72" t="s">
        <v>735</v>
      </c>
      <c r="B72">
        <v>1</v>
      </c>
      <c r="C72" t="s">
        <v>1589</v>
      </c>
      <c r="D72">
        <v>224400</v>
      </c>
      <c r="E72">
        <v>222369</v>
      </c>
      <c r="F72">
        <v>216996</v>
      </c>
      <c r="G72">
        <v>221465</v>
      </c>
      <c r="H72">
        <v>225175</v>
      </c>
      <c r="I72">
        <v>224020</v>
      </c>
      <c r="J72">
        <v>231602</v>
      </c>
      <c r="K72">
        <v>240154</v>
      </c>
      <c r="L72">
        <v>246522</v>
      </c>
      <c r="M72">
        <v>262479</v>
      </c>
      <c r="N72">
        <v>270841</v>
      </c>
      <c r="O72">
        <v>289059</v>
      </c>
      <c r="P72">
        <v>299744</v>
      </c>
      <c r="Q72">
        <v>305644</v>
      </c>
      <c r="R72">
        <v>325006</v>
      </c>
      <c r="S72">
        <v>380486</v>
      </c>
      <c r="T72">
        <v>381826</v>
      </c>
      <c r="U72">
        <v>381229</v>
      </c>
      <c r="V72">
        <v>388573</v>
      </c>
      <c r="W72">
        <v>396030</v>
      </c>
      <c r="X72">
        <v>403499</v>
      </c>
      <c r="Y72">
        <v>419725</v>
      </c>
      <c r="Z72">
        <v>440077</v>
      </c>
      <c r="AA72">
        <v>460096</v>
      </c>
      <c r="AB72">
        <v>467204</v>
      </c>
    </row>
    <row r="73" spans="1:28" x14ac:dyDescent="0.2">
      <c r="A73" t="s">
        <v>735</v>
      </c>
      <c r="B73">
        <v>1</v>
      </c>
      <c r="C73" t="s">
        <v>1590</v>
      </c>
      <c r="D73">
        <v>220858</v>
      </c>
      <c r="E73">
        <v>220320</v>
      </c>
      <c r="F73">
        <v>218393</v>
      </c>
      <c r="G73">
        <v>213306</v>
      </c>
      <c r="H73">
        <v>217641</v>
      </c>
      <c r="I73">
        <v>220894</v>
      </c>
      <c r="J73">
        <v>220734</v>
      </c>
      <c r="K73">
        <v>228749</v>
      </c>
      <c r="L73">
        <v>237057</v>
      </c>
      <c r="M73">
        <v>243192</v>
      </c>
      <c r="N73">
        <v>257835</v>
      </c>
      <c r="O73">
        <v>266585</v>
      </c>
      <c r="P73">
        <v>285382</v>
      </c>
      <c r="Q73">
        <v>295603</v>
      </c>
      <c r="R73">
        <v>300480</v>
      </c>
      <c r="S73">
        <v>322991</v>
      </c>
      <c r="T73">
        <v>377037</v>
      </c>
      <c r="U73">
        <v>377166</v>
      </c>
      <c r="V73">
        <v>376613</v>
      </c>
      <c r="W73">
        <v>383536</v>
      </c>
      <c r="X73">
        <v>390574</v>
      </c>
      <c r="Y73">
        <v>398986</v>
      </c>
      <c r="Z73">
        <v>415622</v>
      </c>
      <c r="AA73">
        <v>436260</v>
      </c>
      <c r="AB73">
        <v>455480</v>
      </c>
    </row>
    <row r="74" spans="1:28" x14ac:dyDescent="0.2">
      <c r="A74" t="s">
        <v>735</v>
      </c>
      <c r="B74">
        <v>1</v>
      </c>
      <c r="C74" t="s">
        <v>1432</v>
      </c>
      <c r="D74">
        <v>213287</v>
      </c>
      <c r="E74">
        <v>216433</v>
      </c>
      <c r="F74">
        <v>215861</v>
      </c>
      <c r="G74">
        <v>214295</v>
      </c>
      <c r="H74">
        <v>209056</v>
      </c>
      <c r="I74">
        <v>214069</v>
      </c>
      <c r="J74">
        <v>217334</v>
      </c>
      <c r="K74">
        <v>217354</v>
      </c>
      <c r="L74">
        <v>225655</v>
      </c>
      <c r="M74">
        <v>233787</v>
      </c>
      <c r="N74">
        <v>240426</v>
      </c>
      <c r="O74">
        <v>253320</v>
      </c>
      <c r="P74">
        <v>262413</v>
      </c>
      <c r="Q74">
        <v>281066</v>
      </c>
      <c r="R74">
        <v>290751</v>
      </c>
      <c r="S74">
        <v>297014</v>
      </c>
      <c r="T74">
        <v>317808</v>
      </c>
      <c r="U74">
        <v>372966</v>
      </c>
      <c r="V74">
        <v>372404</v>
      </c>
      <c r="W74">
        <v>371136</v>
      </c>
      <c r="X74">
        <v>377829</v>
      </c>
      <c r="Y74">
        <v>385481</v>
      </c>
      <c r="Z74">
        <v>394245</v>
      </c>
      <c r="AA74">
        <v>411102</v>
      </c>
      <c r="AB74">
        <v>430902</v>
      </c>
    </row>
    <row r="75" spans="1:28" x14ac:dyDescent="0.2">
      <c r="A75" t="s">
        <v>735</v>
      </c>
      <c r="B75">
        <v>1</v>
      </c>
      <c r="C75" t="s">
        <v>1433</v>
      </c>
      <c r="D75">
        <v>201373</v>
      </c>
      <c r="E75">
        <v>208568</v>
      </c>
      <c r="F75">
        <v>211762</v>
      </c>
      <c r="G75">
        <v>211233</v>
      </c>
      <c r="H75">
        <v>209793</v>
      </c>
      <c r="I75">
        <v>205869</v>
      </c>
      <c r="J75">
        <v>209834</v>
      </c>
      <c r="K75">
        <v>213552</v>
      </c>
      <c r="L75">
        <v>213532</v>
      </c>
      <c r="M75">
        <v>222356</v>
      </c>
      <c r="N75">
        <v>229967</v>
      </c>
      <c r="O75">
        <v>235624</v>
      </c>
      <c r="P75">
        <v>249109</v>
      </c>
      <c r="Q75">
        <v>257504</v>
      </c>
      <c r="R75">
        <v>276102</v>
      </c>
      <c r="S75">
        <v>285460</v>
      </c>
      <c r="T75">
        <v>292140</v>
      </c>
      <c r="U75">
        <v>312035</v>
      </c>
      <c r="V75">
        <v>368797</v>
      </c>
      <c r="W75">
        <v>366683</v>
      </c>
      <c r="X75">
        <v>365780</v>
      </c>
      <c r="Y75">
        <v>372567</v>
      </c>
      <c r="Z75">
        <v>380334</v>
      </c>
      <c r="AA75">
        <v>389580</v>
      </c>
      <c r="AB75">
        <v>405768</v>
      </c>
    </row>
    <row r="76" spans="1:28" x14ac:dyDescent="0.2">
      <c r="A76" t="s">
        <v>735</v>
      </c>
      <c r="B76">
        <v>1</v>
      </c>
      <c r="C76" t="s">
        <v>1591</v>
      </c>
      <c r="D76">
        <v>196788</v>
      </c>
      <c r="E76">
        <v>196405</v>
      </c>
      <c r="F76">
        <v>203340</v>
      </c>
      <c r="G76">
        <v>206609</v>
      </c>
      <c r="H76">
        <v>206091</v>
      </c>
      <c r="I76">
        <v>204853</v>
      </c>
      <c r="J76">
        <v>201152</v>
      </c>
      <c r="K76">
        <v>205501</v>
      </c>
      <c r="L76">
        <v>209553</v>
      </c>
      <c r="M76">
        <v>209731</v>
      </c>
      <c r="N76">
        <v>218462</v>
      </c>
      <c r="O76">
        <v>225127</v>
      </c>
      <c r="P76">
        <v>230953</v>
      </c>
      <c r="Q76">
        <v>244101</v>
      </c>
      <c r="R76">
        <v>251969</v>
      </c>
      <c r="S76">
        <v>270101</v>
      </c>
      <c r="T76">
        <v>280492</v>
      </c>
      <c r="U76">
        <v>286673</v>
      </c>
      <c r="V76">
        <v>306124</v>
      </c>
      <c r="W76">
        <v>363468</v>
      </c>
      <c r="X76">
        <v>359901</v>
      </c>
      <c r="Y76">
        <v>359953</v>
      </c>
      <c r="Z76">
        <v>367084</v>
      </c>
      <c r="AA76">
        <v>374951</v>
      </c>
      <c r="AB76">
        <v>383798</v>
      </c>
    </row>
    <row r="77" spans="1:28" x14ac:dyDescent="0.2">
      <c r="A77" t="s">
        <v>735</v>
      </c>
      <c r="B77">
        <v>1</v>
      </c>
      <c r="C77" t="s">
        <v>1592</v>
      </c>
      <c r="D77">
        <v>187257</v>
      </c>
      <c r="E77">
        <v>191478</v>
      </c>
      <c r="F77">
        <v>191150</v>
      </c>
      <c r="G77">
        <v>197984</v>
      </c>
      <c r="H77">
        <v>201031</v>
      </c>
      <c r="I77">
        <v>200778</v>
      </c>
      <c r="J77">
        <v>199945</v>
      </c>
      <c r="K77">
        <v>196194</v>
      </c>
      <c r="L77">
        <v>200920</v>
      </c>
      <c r="M77">
        <v>205488</v>
      </c>
      <c r="N77">
        <v>206186</v>
      </c>
      <c r="O77">
        <v>213364</v>
      </c>
      <c r="P77">
        <v>220274</v>
      </c>
      <c r="Q77">
        <v>225620</v>
      </c>
      <c r="R77">
        <v>238302</v>
      </c>
      <c r="S77">
        <v>247209</v>
      </c>
      <c r="T77">
        <v>264734</v>
      </c>
      <c r="U77">
        <v>274776</v>
      </c>
      <c r="V77">
        <v>281268</v>
      </c>
      <c r="W77">
        <v>299335</v>
      </c>
      <c r="X77">
        <v>351695</v>
      </c>
      <c r="Y77">
        <v>353393</v>
      </c>
      <c r="Z77">
        <v>353697</v>
      </c>
      <c r="AA77">
        <v>361217</v>
      </c>
      <c r="AB77">
        <v>368585</v>
      </c>
    </row>
    <row r="78" spans="1:28" x14ac:dyDescent="0.2">
      <c r="A78" t="s">
        <v>735</v>
      </c>
      <c r="B78">
        <v>1</v>
      </c>
      <c r="C78" t="s">
        <v>1593</v>
      </c>
      <c r="D78">
        <v>181898</v>
      </c>
      <c r="E78">
        <v>181562</v>
      </c>
      <c r="F78">
        <v>185719</v>
      </c>
      <c r="G78">
        <v>185259</v>
      </c>
      <c r="H78">
        <v>192262</v>
      </c>
      <c r="I78">
        <v>195115</v>
      </c>
      <c r="J78">
        <v>195326</v>
      </c>
      <c r="K78">
        <v>194647</v>
      </c>
      <c r="L78">
        <v>190900</v>
      </c>
      <c r="M78">
        <v>196079</v>
      </c>
      <c r="N78">
        <v>200536</v>
      </c>
      <c r="O78">
        <v>200730</v>
      </c>
      <c r="P78">
        <v>208240</v>
      </c>
      <c r="Q78">
        <v>214778</v>
      </c>
      <c r="R78">
        <v>219581</v>
      </c>
      <c r="S78">
        <v>232260</v>
      </c>
      <c r="T78">
        <v>241598</v>
      </c>
      <c r="U78">
        <v>258874</v>
      </c>
      <c r="V78">
        <v>269099</v>
      </c>
      <c r="W78">
        <v>274756</v>
      </c>
      <c r="X78">
        <v>295570</v>
      </c>
      <c r="Y78">
        <v>344442</v>
      </c>
      <c r="Z78">
        <v>346442</v>
      </c>
      <c r="AA78">
        <v>347180</v>
      </c>
      <c r="AB78">
        <v>354423</v>
      </c>
    </row>
    <row r="79" spans="1:28" x14ac:dyDescent="0.2">
      <c r="A79" t="s">
        <v>735</v>
      </c>
      <c r="B79">
        <v>1</v>
      </c>
      <c r="C79" t="s">
        <v>1594</v>
      </c>
      <c r="D79">
        <v>172852</v>
      </c>
      <c r="E79">
        <v>176009</v>
      </c>
      <c r="F79">
        <v>175511</v>
      </c>
      <c r="G79">
        <v>179658</v>
      </c>
      <c r="H79">
        <v>179205</v>
      </c>
      <c r="I79">
        <v>186013</v>
      </c>
      <c r="J79">
        <v>189487</v>
      </c>
      <c r="K79">
        <v>189583</v>
      </c>
      <c r="L79">
        <v>189102</v>
      </c>
      <c r="M79">
        <v>185671</v>
      </c>
      <c r="N79">
        <v>190644</v>
      </c>
      <c r="O79">
        <v>195030</v>
      </c>
      <c r="P79">
        <v>195287</v>
      </c>
      <c r="Q79">
        <v>202515</v>
      </c>
      <c r="R79">
        <v>208494</v>
      </c>
      <c r="S79">
        <v>214218</v>
      </c>
      <c r="T79">
        <v>227014</v>
      </c>
      <c r="U79">
        <v>235511</v>
      </c>
      <c r="V79">
        <v>252911</v>
      </c>
      <c r="W79">
        <v>262595</v>
      </c>
      <c r="X79">
        <v>269219</v>
      </c>
      <c r="Y79">
        <v>288659</v>
      </c>
      <c r="Z79">
        <v>336644</v>
      </c>
      <c r="AA79">
        <v>338970</v>
      </c>
      <c r="AB79">
        <v>339619</v>
      </c>
    </row>
    <row r="80" spans="1:28" x14ac:dyDescent="0.2">
      <c r="A80" t="s">
        <v>735</v>
      </c>
      <c r="B80">
        <v>1</v>
      </c>
      <c r="C80" t="s">
        <v>1595</v>
      </c>
      <c r="D80">
        <v>163867</v>
      </c>
      <c r="E80">
        <v>166798</v>
      </c>
      <c r="F80">
        <v>169747</v>
      </c>
      <c r="G80">
        <v>169243</v>
      </c>
      <c r="H80">
        <v>173321</v>
      </c>
      <c r="I80">
        <v>173819</v>
      </c>
      <c r="J80">
        <v>179820</v>
      </c>
      <c r="K80">
        <v>183666</v>
      </c>
      <c r="L80">
        <v>183503</v>
      </c>
      <c r="M80">
        <v>183421</v>
      </c>
      <c r="N80">
        <v>180575</v>
      </c>
      <c r="O80">
        <v>184710</v>
      </c>
      <c r="P80">
        <v>189361</v>
      </c>
      <c r="Q80">
        <v>189109</v>
      </c>
      <c r="R80">
        <v>196088</v>
      </c>
      <c r="S80">
        <v>202136</v>
      </c>
      <c r="T80">
        <v>208717</v>
      </c>
      <c r="U80">
        <v>221162</v>
      </c>
      <c r="V80">
        <v>229016</v>
      </c>
      <c r="W80">
        <v>246373</v>
      </c>
      <c r="X80">
        <v>254985</v>
      </c>
      <c r="Y80">
        <v>262182</v>
      </c>
      <c r="Z80">
        <v>281458</v>
      </c>
      <c r="AA80">
        <v>328547</v>
      </c>
      <c r="AB80">
        <v>330747</v>
      </c>
    </row>
    <row r="81" spans="1:28" x14ac:dyDescent="0.2">
      <c r="A81" t="s">
        <v>735</v>
      </c>
      <c r="B81">
        <v>1</v>
      </c>
      <c r="C81" t="s">
        <v>1596</v>
      </c>
      <c r="D81">
        <v>153808</v>
      </c>
      <c r="E81">
        <v>157503</v>
      </c>
      <c r="F81">
        <v>160574</v>
      </c>
      <c r="G81">
        <v>163018</v>
      </c>
      <c r="H81">
        <v>162526</v>
      </c>
      <c r="I81">
        <v>166374</v>
      </c>
      <c r="J81">
        <v>167237</v>
      </c>
      <c r="K81">
        <v>173402</v>
      </c>
      <c r="L81">
        <v>177416</v>
      </c>
      <c r="M81">
        <v>177241</v>
      </c>
      <c r="N81">
        <v>176819</v>
      </c>
      <c r="O81">
        <v>174342</v>
      </c>
      <c r="P81">
        <v>178545</v>
      </c>
      <c r="Q81">
        <v>183193</v>
      </c>
      <c r="R81">
        <v>182388</v>
      </c>
      <c r="S81">
        <v>189473</v>
      </c>
      <c r="T81">
        <v>196302</v>
      </c>
      <c r="U81">
        <v>202678</v>
      </c>
      <c r="V81">
        <v>215234</v>
      </c>
      <c r="W81">
        <v>221756</v>
      </c>
      <c r="X81">
        <v>238051</v>
      </c>
      <c r="Y81">
        <v>247495</v>
      </c>
      <c r="Z81">
        <v>254835</v>
      </c>
      <c r="AA81">
        <v>273712</v>
      </c>
      <c r="AB81">
        <v>319619</v>
      </c>
    </row>
    <row r="82" spans="1:28" x14ac:dyDescent="0.2">
      <c r="A82" t="s">
        <v>735</v>
      </c>
      <c r="B82">
        <v>1</v>
      </c>
      <c r="C82" t="s">
        <v>1597</v>
      </c>
      <c r="D82">
        <v>146498</v>
      </c>
      <c r="E82">
        <v>147029</v>
      </c>
      <c r="F82">
        <v>150709</v>
      </c>
      <c r="G82">
        <v>153861</v>
      </c>
      <c r="H82">
        <v>156032</v>
      </c>
      <c r="I82">
        <v>156046</v>
      </c>
      <c r="J82">
        <v>159618</v>
      </c>
      <c r="K82">
        <v>160390</v>
      </c>
      <c r="L82">
        <v>166780</v>
      </c>
      <c r="M82">
        <v>170883</v>
      </c>
      <c r="N82">
        <v>170348</v>
      </c>
      <c r="O82">
        <v>170294</v>
      </c>
      <c r="P82">
        <v>167790</v>
      </c>
      <c r="Q82">
        <v>171911</v>
      </c>
      <c r="R82">
        <v>176394</v>
      </c>
      <c r="S82">
        <v>176142</v>
      </c>
      <c r="T82">
        <v>183335</v>
      </c>
      <c r="U82">
        <v>189891</v>
      </c>
      <c r="V82">
        <v>196235</v>
      </c>
      <c r="W82">
        <v>208210</v>
      </c>
      <c r="X82">
        <v>214514</v>
      </c>
      <c r="Y82">
        <v>229974</v>
      </c>
      <c r="Z82">
        <v>239204</v>
      </c>
      <c r="AA82">
        <v>246874</v>
      </c>
      <c r="AB82">
        <v>265134</v>
      </c>
    </row>
    <row r="83" spans="1:28" x14ac:dyDescent="0.2">
      <c r="A83" t="s">
        <v>735</v>
      </c>
      <c r="B83">
        <v>1</v>
      </c>
      <c r="C83" t="s">
        <v>1598</v>
      </c>
      <c r="D83">
        <v>134220</v>
      </c>
      <c r="E83">
        <v>139380</v>
      </c>
      <c r="F83">
        <v>139978</v>
      </c>
      <c r="G83">
        <v>143763</v>
      </c>
      <c r="H83">
        <v>146938</v>
      </c>
      <c r="I83">
        <v>148870</v>
      </c>
      <c r="J83">
        <v>148649</v>
      </c>
      <c r="K83">
        <v>152541</v>
      </c>
      <c r="L83">
        <v>153327</v>
      </c>
      <c r="M83">
        <v>159800</v>
      </c>
      <c r="N83">
        <v>163351</v>
      </c>
      <c r="O83">
        <v>163141</v>
      </c>
      <c r="P83">
        <v>163372</v>
      </c>
      <c r="Q83">
        <v>160841</v>
      </c>
      <c r="R83">
        <v>164392</v>
      </c>
      <c r="S83">
        <v>168948</v>
      </c>
      <c r="T83">
        <v>169309</v>
      </c>
      <c r="U83">
        <v>176605</v>
      </c>
      <c r="V83">
        <v>183054</v>
      </c>
      <c r="W83">
        <v>189137</v>
      </c>
      <c r="X83">
        <v>200578</v>
      </c>
      <c r="Y83">
        <v>206756</v>
      </c>
      <c r="Z83">
        <v>221383</v>
      </c>
      <c r="AA83">
        <v>230830</v>
      </c>
      <c r="AB83">
        <v>238248</v>
      </c>
    </row>
    <row r="84" spans="1:28" x14ac:dyDescent="0.2">
      <c r="A84" t="s">
        <v>735</v>
      </c>
      <c r="B84">
        <v>1</v>
      </c>
      <c r="C84" t="s">
        <v>1434</v>
      </c>
      <c r="D84">
        <v>120684</v>
      </c>
      <c r="E84">
        <v>127046</v>
      </c>
      <c r="F84">
        <v>131994</v>
      </c>
      <c r="G84">
        <v>132546</v>
      </c>
      <c r="H84">
        <v>136409</v>
      </c>
      <c r="I84">
        <v>140104</v>
      </c>
      <c r="J84">
        <v>141162</v>
      </c>
      <c r="K84">
        <v>141202</v>
      </c>
      <c r="L84">
        <v>145162</v>
      </c>
      <c r="M84">
        <v>146073</v>
      </c>
      <c r="N84">
        <v>152189</v>
      </c>
      <c r="O84">
        <v>155832</v>
      </c>
      <c r="P84">
        <v>155638</v>
      </c>
      <c r="Q84">
        <v>156027</v>
      </c>
      <c r="R84">
        <v>153174</v>
      </c>
      <c r="S84">
        <v>157059</v>
      </c>
      <c r="T84">
        <v>161829</v>
      </c>
      <c r="U84">
        <v>162245</v>
      </c>
      <c r="V84">
        <v>169667</v>
      </c>
      <c r="W84">
        <v>175441</v>
      </c>
      <c r="X84">
        <v>182002</v>
      </c>
      <c r="Y84">
        <v>192153</v>
      </c>
      <c r="Z84">
        <v>198383</v>
      </c>
      <c r="AA84">
        <v>212524</v>
      </c>
      <c r="AB84">
        <v>221748</v>
      </c>
    </row>
    <row r="85" spans="1:28" x14ac:dyDescent="0.2">
      <c r="A85" t="s">
        <v>735</v>
      </c>
      <c r="B85">
        <v>1</v>
      </c>
      <c r="C85" t="s">
        <v>1599</v>
      </c>
      <c r="D85">
        <v>99632</v>
      </c>
      <c r="E85">
        <v>113518</v>
      </c>
      <c r="F85">
        <v>119682</v>
      </c>
      <c r="G85">
        <v>124147</v>
      </c>
      <c r="H85">
        <v>124874</v>
      </c>
      <c r="I85">
        <v>129042</v>
      </c>
      <c r="J85">
        <v>131773</v>
      </c>
      <c r="K85">
        <v>133050</v>
      </c>
      <c r="L85">
        <v>133377</v>
      </c>
      <c r="M85">
        <v>137505</v>
      </c>
      <c r="N85">
        <v>138639</v>
      </c>
      <c r="O85">
        <v>144174</v>
      </c>
      <c r="P85">
        <v>147766</v>
      </c>
      <c r="Q85">
        <v>147896</v>
      </c>
      <c r="R85">
        <v>148037</v>
      </c>
      <c r="S85">
        <v>146120</v>
      </c>
      <c r="T85">
        <v>149475</v>
      </c>
      <c r="U85">
        <v>154248</v>
      </c>
      <c r="V85">
        <v>154621</v>
      </c>
      <c r="W85">
        <v>161727</v>
      </c>
      <c r="X85">
        <v>167384</v>
      </c>
      <c r="Y85">
        <v>173680</v>
      </c>
      <c r="Z85">
        <v>183438</v>
      </c>
      <c r="AA85">
        <v>189735</v>
      </c>
      <c r="AB85">
        <v>203205</v>
      </c>
    </row>
    <row r="86" spans="1:28" x14ac:dyDescent="0.2">
      <c r="A86" t="s">
        <v>735</v>
      </c>
      <c r="B86">
        <v>1</v>
      </c>
      <c r="C86" t="s">
        <v>1600</v>
      </c>
      <c r="D86">
        <v>88467</v>
      </c>
      <c r="E86">
        <v>92692</v>
      </c>
      <c r="F86">
        <v>105930</v>
      </c>
      <c r="G86">
        <v>111967</v>
      </c>
      <c r="H86">
        <v>116153</v>
      </c>
      <c r="I86">
        <v>117321</v>
      </c>
      <c r="J86">
        <v>120510</v>
      </c>
      <c r="K86">
        <v>123204</v>
      </c>
      <c r="L86">
        <v>124781</v>
      </c>
      <c r="M86">
        <v>125376</v>
      </c>
      <c r="N86">
        <v>129311</v>
      </c>
      <c r="O86">
        <v>130201</v>
      </c>
      <c r="P86">
        <v>135510</v>
      </c>
      <c r="Q86">
        <v>139275</v>
      </c>
      <c r="R86">
        <v>139163</v>
      </c>
      <c r="S86">
        <v>139653</v>
      </c>
      <c r="T86">
        <v>138213</v>
      </c>
      <c r="U86">
        <v>141322</v>
      </c>
      <c r="V86">
        <v>146309</v>
      </c>
      <c r="W86">
        <v>146283</v>
      </c>
      <c r="X86">
        <v>153327</v>
      </c>
      <c r="Y86">
        <v>158762</v>
      </c>
      <c r="Z86">
        <v>164742</v>
      </c>
      <c r="AA86">
        <v>174371</v>
      </c>
      <c r="AB86">
        <v>180315</v>
      </c>
    </row>
    <row r="87" spans="1:28" x14ac:dyDescent="0.2">
      <c r="A87" t="s">
        <v>735</v>
      </c>
      <c r="B87">
        <v>1</v>
      </c>
      <c r="C87" t="s">
        <v>1601</v>
      </c>
      <c r="D87">
        <v>80136</v>
      </c>
      <c r="E87">
        <v>81617</v>
      </c>
      <c r="F87">
        <v>85671</v>
      </c>
      <c r="G87">
        <v>98335</v>
      </c>
      <c r="H87">
        <v>104119</v>
      </c>
      <c r="I87">
        <v>108028</v>
      </c>
      <c r="J87">
        <v>108662</v>
      </c>
      <c r="K87">
        <v>111823</v>
      </c>
      <c r="L87">
        <v>114356</v>
      </c>
      <c r="M87">
        <v>116257</v>
      </c>
      <c r="N87">
        <v>117201</v>
      </c>
      <c r="O87">
        <v>120989</v>
      </c>
      <c r="P87">
        <v>121408</v>
      </c>
      <c r="Q87">
        <v>126696</v>
      </c>
      <c r="R87">
        <v>130194</v>
      </c>
      <c r="S87">
        <v>130581</v>
      </c>
      <c r="T87">
        <v>131174</v>
      </c>
      <c r="U87">
        <v>129534</v>
      </c>
      <c r="V87">
        <v>132827</v>
      </c>
      <c r="W87">
        <v>137737</v>
      </c>
      <c r="X87">
        <v>138142</v>
      </c>
      <c r="Y87">
        <v>144401</v>
      </c>
      <c r="Z87">
        <v>149515</v>
      </c>
      <c r="AA87">
        <v>155595</v>
      </c>
      <c r="AB87">
        <v>164757</v>
      </c>
    </row>
    <row r="88" spans="1:28" x14ac:dyDescent="0.2">
      <c r="A88" t="s">
        <v>735</v>
      </c>
      <c r="B88">
        <v>1</v>
      </c>
      <c r="C88" t="s">
        <v>1602</v>
      </c>
      <c r="D88">
        <v>72766</v>
      </c>
      <c r="E88">
        <v>73278</v>
      </c>
      <c r="F88">
        <v>74804</v>
      </c>
      <c r="G88">
        <v>78408</v>
      </c>
      <c r="H88">
        <v>90496</v>
      </c>
      <c r="I88">
        <v>96174</v>
      </c>
      <c r="J88">
        <v>99231</v>
      </c>
      <c r="K88">
        <v>99889</v>
      </c>
      <c r="L88">
        <v>103034</v>
      </c>
      <c r="M88">
        <v>105474</v>
      </c>
      <c r="N88">
        <v>107166</v>
      </c>
      <c r="O88">
        <v>108672</v>
      </c>
      <c r="P88">
        <v>112132</v>
      </c>
      <c r="Q88">
        <v>112662</v>
      </c>
      <c r="R88">
        <v>117453</v>
      </c>
      <c r="S88">
        <v>120679</v>
      </c>
      <c r="T88">
        <v>121548</v>
      </c>
      <c r="U88">
        <v>122095</v>
      </c>
      <c r="V88">
        <v>120770</v>
      </c>
      <c r="W88">
        <v>123782</v>
      </c>
      <c r="X88">
        <v>128062</v>
      </c>
      <c r="Y88">
        <v>128919</v>
      </c>
      <c r="Z88">
        <v>135045</v>
      </c>
      <c r="AA88">
        <v>140051</v>
      </c>
      <c r="AB88">
        <v>146032</v>
      </c>
    </row>
    <row r="89" spans="1:28" x14ac:dyDescent="0.2">
      <c r="A89" t="s">
        <v>735</v>
      </c>
      <c r="B89">
        <v>1</v>
      </c>
      <c r="C89" t="s">
        <v>1603</v>
      </c>
      <c r="D89">
        <v>66702</v>
      </c>
      <c r="E89">
        <v>65807</v>
      </c>
      <c r="F89">
        <v>66481</v>
      </c>
      <c r="G89">
        <v>67675</v>
      </c>
      <c r="H89">
        <v>71106</v>
      </c>
      <c r="I89">
        <v>82770</v>
      </c>
      <c r="J89">
        <v>87602</v>
      </c>
      <c r="K89">
        <v>90368</v>
      </c>
      <c r="L89">
        <v>91099</v>
      </c>
      <c r="M89">
        <v>94188</v>
      </c>
      <c r="N89">
        <v>96141</v>
      </c>
      <c r="O89">
        <v>98560</v>
      </c>
      <c r="P89">
        <v>99863</v>
      </c>
      <c r="Q89">
        <v>103201</v>
      </c>
      <c r="R89">
        <v>103181</v>
      </c>
      <c r="S89">
        <v>108147</v>
      </c>
      <c r="T89">
        <v>111629</v>
      </c>
      <c r="U89">
        <v>112286</v>
      </c>
      <c r="V89">
        <v>113089</v>
      </c>
      <c r="W89">
        <v>111235</v>
      </c>
      <c r="X89">
        <v>114602</v>
      </c>
      <c r="Y89">
        <v>118525</v>
      </c>
      <c r="Z89">
        <v>119371</v>
      </c>
      <c r="AA89">
        <v>125367</v>
      </c>
      <c r="AB89">
        <v>130175</v>
      </c>
    </row>
    <row r="90" spans="1:28" x14ac:dyDescent="0.2">
      <c r="A90" t="s">
        <v>735</v>
      </c>
      <c r="B90">
        <v>1</v>
      </c>
      <c r="C90" t="s">
        <v>1604</v>
      </c>
      <c r="D90">
        <v>57266</v>
      </c>
      <c r="E90">
        <v>59666</v>
      </c>
      <c r="F90">
        <v>58824</v>
      </c>
      <c r="G90">
        <v>59644</v>
      </c>
      <c r="H90">
        <v>60669</v>
      </c>
      <c r="I90">
        <v>64697</v>
      </c>
      <c r="J90">
        <v>74732</v>
      </c>
      <c r="K90">
        <v>79088</v>
      </c>
      <c r="L90">
        <v>81614</v>
      </c>
      <c r="M90">
        <v>82397</v>
      </c>
      <c r="N90">
        <v>85012</v>
      </c>
      <c r="O90">
        <v>87698</v>
      </c>
      <c r="P90">
        <v>89452</v>
      </c>
      <c r="Q90">
        <v>90872</v>
      </c>
      <c r="R90">
        <v>93748</v>
      </c>
      <c r="S90">
        <v>94374</v>
      </c>
      <c r="T90">
        <v>98897</v>
      </c>
      <c r="U90">
        <v>102256</v>
      </c>
      <c r="V90">
        <v>102904</v>
      </c>
      <c r="W90">
        <v>103353</v>
      </c>
      <c r="X90">
        <v>102175</v>
      </c>
      <c r="Y90">
        <v>104832</v>
      </c>
      <c r="Z90">
        <v>108621</v>
      </c>
      <c r="AA90">
        <v>109667</v>
      </c>
      <c r="AB90">
        <v>115357</v>
      </c>
    </row>
    <row r="91" spans="1:28" x14ac:dyDescent="0.2">
      <c r="A91" t="s">
        <v>735</v>
      </c>
      <c r="B91">
        <v>1</v>
      </c>
      <c r="C91" t="s">
        <v>1605</v>
      </c>
      <c r="D91">
        <v>48072</v>
      </c>
      <c r="E91">
        <v>50503</v>
      </c>
      <c r="F91">
        <v>52452</v>
      </c>
      <c r="G91">
        <v>51967</v>
      </c>
      <c r="H91">
        <v>52964</v>
      </c>
      <c r="I91">
        <v>54409</v>
      </c>
      <c r="J91">
        <v>57582</v>
      </c>
      <c r="K91">
        <v>66599</v>
      </c>
      <c r="L91">
        <v>70704</v>
      </c>
      <c r="M91">
        <v>73147</v>
      </c>
      <c r="N91">
        <v>73828</v>
      </c>
      <c r="O91">
        <v>76587</v>
      </c>
      <c r="P91">
        <v>78863</v>
      </c>
      <c r="Q91">
        <v>80592</v>
      </c>
      <c r="R91">
        <v>81396</v>
      </c>
      <c r="S91">
        <v>84517</v>
      </c>
      <c r="T91">
        <v>85195</v>
      </c>
      <c r="U91">
        <v>89063</v>
      </c>
      <c r="V91">
        <v>92895</v>
      </c>
      <c r="W91">
        <v>92925</v>
      </c>
      <c r="X91">
        <v>93309</v>
      </c>
      <c r="Y91">
        <v>92336</v>
      </c>
      <c r="Z91">
        <v>94795</v>
      </c>
      <c r="AA91">
        <v>98506</v>
      </c>
      <c r="AB91">
        <v>99750</v>
      </c>
    </row>
    <row r="92" spans="1:28" x14ac:dyDescent="0.2">
      <c r="A92" t="s">
        <v>735</v>
      </c>
      <c r="B92">
        <v>1</v>
      </c>
      <c r="C92" t="s">
        <v>1606</v>
      </c>
      <c r="D92">
        <v>39153</v>
      </c>
      <c r="E92">
        <v>41852</v>
      </c>
      <c r="F92">
        <v>43958</v>
      </c>
      <c r="G92">
        <v>45599</v>
      </c>
      <c r="H92">
        <v>45231</v>
      </c>
      <c r="I92">
        <v>46840</v>
      </c>
      <c r="J92">
        <v>47805</v>
      </c>
      <c r="K92">
        <v>50616</v>
      </c>
      <c r="L92">
        <v>59077</v>
      </c>
      <c r="M92">
        <v>62655</v>
      </c>
      <c r="N92">
        <v>64354</v>
      </c>
      <c r="O92">
        <v>65579</v>
      </c>
      <c r="P92">
        <v>68064</v>
      </c>
      <c r="Q92">
        <v>70225</v>
      </c>
      <c r="R92">
        <v>71353</v>
      </c>
      <c r="S92">
        <v>72848</v>
      </c>
      <c r="T92">
        <v>75366</v>
      </c>
      <c r="U92">
        <v>75835</v>
      </c>
      <c r="V92">
        <v>79518</v>
      </c>
      <c r="W92">
        <v>82973</v>
      </c>
      <c r="X92">
        <v>83248</v>
      </c>
      <c r="Y92">
        <v>83212</v>
      </c>
      <c r="Z92">
        <v>82507</v>
      </c>
      <c r="AA92">
        <v>84887</v>
      </c>
      <c r="AB92">
        <v>88483</v>
      </c>
    </row>
    <row r="93" spans="1:28" x14ac:dyDescent="0.2">
      <c r="A93" t="s">
        <v>735</v>
      </c>
      <c r="B93">
        <v>1</v>
      </c>
      <c r="C93" t="s">
        <v>1607</v>
      </c>
      <c r="D93">
        <v>134216</v>
      </c>
      <c r="E93">
        <v>140805</v>
      </c>
      <c r="F93">
        <v>148588</v>
      </c>
      <c r="G93">
        <v>155755</v>
      </c>
      <c r="H93">
        <v>163455</v>
      </c>
      <c r="I93">
        <v>171664</v>
      </c>
      <c r="J93">
        <v>178212</v>
      </c>
      <c r="K93">
        <v>185113</v>
      </c>
      <c r="L93">
        <v>193215</v>
      </c>
      <c r="M93">
        <v>208587</v>
      </c>
      <c r="N93">
        <v>224193</v>
      </c>
      <c r="O93">
        <v>239635</v>
      </c>
      <c r="P93">
        <v>252278</v>
      </c>
      <c r="Q93">
        <v>265785</v>
      </c>
      <c r="R93">
        <v>276269</v>
      </c>
      <c r="S93">
        <v>290754</v>
      </c>
      <c r="T93">
        <v>300187</v>
      </c>
      <c r="U93">
        <v>308922</v>
      </c>
      <c r="V93">
        <v>318020</v>
      </c>
      <c r="W93">
        <v>325950</v>
      </c>
      <c r="X93">
        <v>338551</v>
      </c>
      <c r="Y93">
        <v>347956</v>
      </c>
      <c r="Z93">
        <v>355260</v>
      </c>
      <c r="AA93">
        <v>362934</v>
      </c>
      <c r="AB93">
        <v>372036</v>
      </c>
    </row>
  </sheetData>
  <printOptions gridLines="1"/>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B1"/>
  <sheetViews>
    <sheetView workbookViewId="0"/>
  </sheetViews>
  <sheetFormatPr defaultRowHeight="14.25" x14ac:dyDescent="0.2"/>
  <sheetData>
    <row r="1" spans="1:28" x14ac:dyDescent="0.2">
      <c r="A1" t="s">
        <v>1405</v>
      </c>
      <c r="B1" t="s">
        <v>1481</v>
      </c>
      <c r="C1" t="s">
        <v>1536</v>
      </c>
      <c r="D1" t="s">
        <v>1511</v>
      </c>
      <c r="E1" t="s">
        <v>1512</v>
      </c>
      <c r="F1" t="s">
        <v>1513</v>
      </c>
      <c r="G1" t="s">
        <v>1514</v>
      </c>
      <c r="H1" t="s">
        <v>1515</v>
      </c>
      <c r="I1" t="s">
        <v>1516</v>
      </c>
      <c r="J1" t="s">
        <v>1517</v>
      </c>
      <c r="K1" t="s">
        <v>1518</v>
      </c>
      <c r="L1" t="s">
        <v>1519</v>
      </c>
      <c r="M1" t="s">
        <v>1520</v>
      </c>
      <c r="N1" t="s">
        <v>1521</v>
      </c>
      <c r="O1" t="s">
        <v>1522</v>
      </c>
      <c r="P1" t="s">
        <v>1523</v>
      </c>
      <c r="Q1" t="s">
        <v>1524</v>
      </c>
      <c r="R1" t="s">
        <v>1525</v>
      </c>
      <c r="S1" t="s">
        <v>1526</v>
      </c>
      <c r="T1" t="s">
        <v>1527</v>
      </c>
      <c r="U1" t="s">
        <v>1528</v>
      </c>
      <c r="V1" t="s">
        <v>1529</v>
      </c>
      <c r="W1" t="s">
        <v>1530</v>
      </c>
      <c r="X1" t="s">
        <v>1531</v>
      </c>
      <c r="Y1" t="s">
        <v>1532</v>
      </c>
      <c r="Z1" t="s">
        <v>1533</v>
      </c>
      <c r="AA1" t="s">
        <v>1534</v>
      </c>
      <c r="AB1" t="s">
        <v>1535</v>
      </c>
    </row>
  </sheetData>
  <printOptions gridLines="1"/>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C653"/>
  <sheetViews>
    <sheetView workbookViewId="0"/>
  </sheetViews>
  <sheetFormatPr defaultRowHeight="14.25" x14ac:dyDescent="0.2"/>
  <sheetData>
    <row r="1" spans="1:29" x14ac:dyDescent="0.2">
      <c r="A1" t="s">
        <v>1405</v>
      </c>
      <c r="B1" t="s">
        <v>1481</v>
      </c>
      <c r="C1" t="s">
        <v>1608</v>
      </c>
      <c r="D1" t="s">
        <v>1536</v>
      </c>
      <c r="E1" t="s">
        <v>1609</v>
      </c>
      <c r="F1" t="s">
        <v>207</v>
      </c>
      <c r="G1" t="s">
        <v>208</v>
      </c>
      <c r="H1" t="s">
        <v>209</v>
      </c>
      <c r="I1" t="s">
        <v>210</v>
      </c>
      <c r="J1" t="s">
        <v>211</v>
      </c>
      <c r="K1" t="s">
        <v>212</v>
      </c>
      <c r="L1" t="s">
        <v>213</v>
      </c>
      <c r="M1" t="s">
        <v>214</v>
      </c>
      <c r="N1" t="s">
        <v>215</v>
      </c>
      <c r="O1" t="s">
        <v>216</v>
      </c>
      <c r="P1" t="s">
        <v>217</v>
      </c>
      <c r="Q1" t="s">
        <v>218</v>
      </c>
      <c r="R1" t="s">
        <v>219</v>
      </c>
      <c r="S1" t="s">
        <v>220</v>
      </c>
      <c r="T1" t="s">
        <v>221</v>
      </c>
      <c r="U1" t="s">
        <v>222</v>
      </c>
      <c r="V1" t="s">
        <v>223</v>
      </c>
      <c r="W1" t="s">
        <v>224</v>
      </c>
      <c r="X1" t="s">
        <v>225</v>
      </c>
      <c r="Y1" t="s">
        <v>226</v>
      </c>
      <c r="Z1" t="s">
        <v>227</v>
      </c>
      <c r="AA1" t="s">
        <v>228</v>
      </c>
      <c r="AB1" t="s">
        <v>229</v>
      </c>
      <c r="AC1" t="s">
        <v>230</v>
      </c>
    </row>
    <row r="2" spans="1:29" x14ac:dyDescent="0.2">
      <c r="A2" t="s">
        <v>735</v>
      </c>
      <c r="B2">
        <v>1</v>
      </c>
      <c r="C2" t="s">
        <v>231</v>
      </c>
      <c r="D2" t="s">
        <v>6</v>
      </c>
      <c r="E2">
        <v>1</v>
      </c>
      <c r="F2">
        <v>329131</v>
      </c>
      <c r="G2">
        <v>331640</v>
      </c>
      <c r="H2">
        <v>339351</v>
      </c>
      <c r="I2">
        <v>341833</v>
      </c>
      <c r="J2">
        <v>349162</v>
      </c>
      <c r="K2">
        <v>363935</v>
      </c>
      <c r="L2">
        <v>376992</v>
      </c>
      <c r="M2">
        <v>383257</v>
      </c>
      <c r="N2">
        <v>382159</v>
      </c>
      <c r="O2">
        <v>378665</v>
      </c>
      <c r="P2">
        <v>380335</v>
      </c>
      <c r="Q2">
        <v>382609</v>
      </c>
      <c r="R2">
        <v>382877</v>
      </c>
      <c r="S2">
        <v>383839</v>
      </c>
      <c r="T2">
        <v>384300</v>
      </c>
      <c r="U2">
        <v>380554</v>
      </c>
      <c r="V2">
        <v>377163</v>
      </c>
      <c r="W2">
        <v>373307</v>
      </c>
      <c r="X2">
        <v>371321</v>
      </c>
      <c r="Y2">
        <v>362563</v>
      </c>
      <c r="Z2">
        <v>364449</v>
      </c>
      <c r="AA2">
        <v>352676</v>
      </c>
      <c r="AB2">
        <v>361770</v>
      </c>
      <c r="AC2">
        <v>368928</v>
      </c>
    </row>
    <row r="3" spans="1:29" x14ac:dyDescent="0.2">
      <c r="A3" t="s">
        <v>735</v>
      </c>
      <c r="B3">
        <v>1</v>
      </c>
      <c r="C3" t="s">
        <v>232</v>
      </c>
      <c r="D3" t="s">
        <v>6</v>
      </c>
      <c r="E3">
        <v>1</v>
      </c>
      <c r="F3">
        <v>220847</v>
      </c>
      <c r="G3">
        <v>224254</v>
      </c>
      <c r="H3">
        <v>229256</v>
      </c>
      <c r="I3">
        <v>230211</v>
      </c>
      <c r="J3">
        <v>225915</v>
      </c>
      <c r="K3">
        <v>234193</v>
      </c>
      <c r="L3">
        <v>236696</v>
      </c>
      <c r="M3">
        <v>237896</v>
      </c>
      <c r="N3">
        <v>237330</v>
      </c>
      <c r="O3">
        <v>245667</v>
      </c>
      <c r="P3">
        <v>242669</v>
      </c>
      <c r="Q3">
        <v>251865</v>
      </c>
      <c r="R3">
        <v>253122</v>
      </c>
      <c r="S3">
        <v>266313</v>
      </c>
      <c r="T3">
        <v>262278</v>
      </c>
      <c r="U3">
        <v>274517</v>
      </c>
      <c r="V3">
        <v>283939</v>
      </c>
      <c r="W3">
        <v>283148</v>
      </c>
      <c r="X3">
        <v>297195</v>
      </c>
      <c r="Y3">
        <v>307297</v>
      </c>
      <c r="Z3">
        <v>324879</v>
      </c>
      <c r="AA3">
        <v>332449</v>
      </c>
      <c r="AB3">
        <v>330496</v>
      </c>
      <c r="AC3">
        <v>334699</v>
      </c>
    </row>
    <row r="4" spans="1:29" x14ac:dyDescent="0.2">
      <c r="A4" t="s">
        <v>735</v>
      </c>
      <c r="B4">
        <v>1</v>
      </c>
      <c r="C4" t="s">
        <v>232</v>
      </c>
      <c r="D4" t="s">
        <v>1610</v>
      </c>
      <c r="E4">
        <v>2</v>
      </c>
      <c r="F4">
        <v>1610</v>
      </c>
      <c r="G4">
        <v>1637</v>
      </c>
      <c r="H4">
        <v>1548</v>
      </c>
      <c r="I4">
        <v>1719</v>
      </c>
      <c r="J4">
        <v>1652</v>
      </c>
      <c r="K4">
        <v>1669</v>
      </c>
      <c r="L4">
        <v>1730</v>
      </c>
      <c r="M4">
        <v>1718</v>
      </c>
      <c r="N4">
        <v>1704</v>
      </c>
      <c r="O4">
        <v>1709</v>
      </c>
      <c r="P4">
        <v>1661</v>
      </c>
      <c r="Q4">
        <v>1684</v>
      </c>
      <c r="R4">
        <v>1694</v>
      </c>
      <c r="S4">
        <v>1570</v>
      </c>
      <c r="T4">
        <v>1627</v>
      </c>
      <c r="U4">
        <v>1595</v>
      </c>
      <c r="V4">
        <v>1584</v>
      </c>
      <c r="W4">
        <v>1593</v>
      </c>
      <c r="X4">
        <v>1535</v>
      </c>
      <c r="Y4">
        <v>1449</v>
      </c>
      <c r="Z4">
        <v>1570</v>
      </c>
      <c r="AA4">
        <v>1490</v>
      </c>
      <c r="AB4">
        <v>1527</v>
      </c>
      <c r="AC4">
        <v>1497</v>
      </c>
    </row>
    <row r="5" spans="1:29" x14ac:dyDescent="0.2">
      <c r="A5" t="s">
        <v>735</v>
      </c>
      <c r="B5">
        <v>1</v>
      </c>
      <c r="C5" t="s">
        <v>232</v>
      </c>
      <c r="D5" t="s">
        <v>1537</v>
      </c>
      <c r="E5">
        <v>3</v>
      </c>
      <c r="F5">
        <v>239</v>
      </c>
      <c r="G5">
        <v>224</v>
      </c>
      <c r="H5">
        <v>239</v>
      </c>
      <c r="I5">
        <v>230</v>
      </c>
      <c r="J5">
        <v>241</v>
      </c>
      <c r="K5">
        <v>251</v>
      </c>
      <c r="L5">
        <v>221</v>
      </c>
      <c r="M5">
        <v>227</v>
      </c>
      <c r="N5">
        <v>245</v>
      </c>
      <c r="O5">
        <v>263</v>
      </c>
      <c r="P5">
        <v>217</v>
      </c>
      <c r="Q5">
        <v>225</v>
      </c>
      <c r="R5">
        <v>250</v>
      </c>
      <c r="S5">
        <v>209</v>
      </c>
      <c r="T5">
        <v>222</v>
      </c>
      <c r="U5">
        <v>224</v>
      </c>
      <c r="V5">
        <v>196</v>
      </c>
      <c r="W5">
        <v>207</v>
      </c>
      <c r="X5">
        <v>191</v>
      </c>
      <c r="Y5">
        <v>168</v>
      </c>
      <c r="Z5">
        <v>193</v>
      </c>
      <c r="AA5">
        <v>224</v>
      </c>
      <c r="AB5">
        <v>192</v>
      </c>
      <c r="AC5">
        <v>201</v>
      </c>
    </row>
    <row r="6" spans="1:29" x14ac:dyDescent="0.2">
      <c r="A6" t="s">
        <v>735</v>
      </c>
      <c r="B6">
        <v>1</v>
      </c>
      <c r="C6" t="s">
        <v>232</v>
      </c>
      <c r="D6" t="s">
        <v>1538</v>
      </c>
      <c r="E6">
        <v>4</v>
      </c>
      <c r="F6">
        <v>88</v>
      </c>
      <c r="G6">
        <v>103</v>
      </c>
      <c r="H6">
        <v>92</v>
      </c>
      <c r="I6">
        <v>82</v>
      </c>
      <c r="J6">
        <v>84</v>
      </c>
      <c r="K6">
        <v>91</v>
      </c>
      <c r="L6">
        <v>100</v>
      </c>
      <c r="M6">
        <v>85</v>
      </c>
      <c r="N6">
        <v>92</v>
      </c>
      <c r="O6">
        <v>98</v>
      </c>
      <c r="P6">
        <v>85</v>
      </c>
      <c r="Q6">
        <v>104</v>
      </c>
      <c r="R6">
        <v>91</v>
      </c>
      <c r="S6">
        <v>67</v>
      </c>
      <c r="T6">
        <v>100</v>
      </c>
      <c r="U6">
        <v>85</v>
      </c>
      <c r="V6">
        <v>83</v>
      </c>
      <c r="W6">
        <v>76</v>
      </c>
      <c r="X6">
        <v>85</v>
      </c>
      <c r="Y6">
        <v>60</v>
      </c>
      <c r="Z6">
        <v>76</v>
      </c>
      <c r="AA6">
        <v>105</v>
      </c>
      <c r="AB6">
        <v>89</v>
      </c>
      <c r="AC6">
        <v>85</v>
      </c>
    </row>
    <row r="7" spans="1:29" x14ac:dyDescent="0.2">
      <c r="A7" t="s">
        <v>735</v>
      </c>
      <c r="B7">
        <v>1</v>
      </c>
      <c r="C7" t="s">
        <v>232</v>
      </c>
      <c r="D7" t="s">
        <v>1539</v>
      </c>
      <c r="E7">
        <v>5</v>
      </c>
      <c r="F7">
        <v>74</v>
      </c>
      <c r="G7">
        <v>64</v>
      </c>
      <c r="H7">
        <v>52</v>
      </c>
      <c r="I7">
        <v>59</v>
      </c>
      <c r="J7">
        <v>60</v>
      </c>
      <c r="K7">
        <v>51</v>
      </c>
      <c r="L7">
        <v>65</v>
      </c>
      <c r="M7">
        <v>54</v>
      </c>
      <c r="N7">
        <v>54</v>
      </c>
      <c r="O7">
        <v>69</v>
      </c>
      <c r="P7">
        <v>51</v>
      </c>
      <c r="Q7">
        <v>69</v>
      </c>
      <c r="R7">
        <v>45</v>
      </c>
      <c r="S7">
        <v>66</v>
      </c>
      <c r="T7">
        <v>54</v>
      </c>
      <c r="U7">
        <v>58</v>
      </c>
      <c r="V7">
        <v>48</v>
      </c>
      <c r="W7">
        <v>63</v>
      </c>
      <c r="X7">
        <v>59</v>
      </c>
      <c r="Y7">
        <v>53</v>
      </c>
      <c r="Z7">
        <v>51</v>
      </c>
      <c r="AA7">
        <v>86</v>
      </c>
      <c r="AB7">
        <v>66</v>
      </c>
      <c r="AC7">
        <v>70</v>
      </c>
    </row>
    <row r="8" spans="1:29" x14ac:dyDescent="0.2">
      <c r="A8" t="s">
        <v>735</v>
      </c>
      <c r="B8">
        <v>1</v>
      </c>
      <c r="C8" t="s">
        <v>232</v>
      </c>
      <c r="D8" t="s">
        <v>1540</v>
      </c>
      <c r="E8">
        <v>6</v>
      </c>
      <c r="F8">
        <v>66</v>
      </c>
      <c r="G8">
        <v>68</v>
      </c>
      <c r="H8">
        <v>49</v>
      </c>
      <c r="I8">
        <v>51</v>
      </c>
      <c r="J8">
        <v>52</v>
      </c>
      <c r="K8">
        <v>45</v>
      </c>
      <c r="L8">
        <v>39</v>
      </c>
      <c r="M8">
        <v>50</v>
      </c>
      <c r="N8">
        <v>32</v>
      </c>
      <c r="O8">
        <v>51</v>
      </c>
      <c r="P8">
        <v>46</v>
      </c>
      <c r="Q8">
        <v>50</v>
      </c>
      <c r="R8">
        <v>46</v>
      </c>
      <c r="S8">
        <v>49</v>
      </c>
      <c r="T8">
        <v>45</v>
      </c>
      <c r="U8">
        <v>46</v>
      </c>
      <c r="V8">
        <v>47</v>
      </c>
      <c r="W8">
        <v>43</v>
      </c>
      <c r="X8">
        <v>49</v>
      </c>
      <c r="Y8">
        <v>38</v>
      </c>
      <c r="Z8">
        <v>54</v>
      </c>
      <c r="AA8">
        <v>54</v>
      </c>
      <c r="AB8">
        <v>59</v>
      </c>
      <c r="AC8">
        <v>53</v>
      </c>
    </row>
    <row r="9" spans="1:29" x14ac:dyDescent="0.2">
      <c r="A9" t="s">
        <v>735</v>
      </c>
      <c r="B9">
        <v>1</v>
      </c>
      <c r="C9" t="s">
        <v>232</v>
      </c>
      <c r="D9" t="s">
        <v>1541</v>
      </c>
      <c r="E9">
        <v>7</v>
      </c>
      <c r="F9">
        <v>66</v>
      </c>
      <c r="G9">
        <v>54</v>
      </c>
      <c r="H9">
        <v>43</v>
      </c>
      <c r="I9">
        <v>51</v>
      </c>
      <c r="J9">
        <v>39</v>
      </c>
      <c r="K9">
        <v>48</v>
      </c>
      <c r="L9">
        <v>44</v>
      </c>
      <c r="M9">
        <v>37</v>
      </c>
      <c r="N9">
        <v>30</v>
      </c>
      <c r="O9">
        <v>35</v>
      </c>
      <c r="P9">
        <v>42</v>
      </c>
      <c r="Q9">
        <v>36</v>
      </c>
      <c r="R9">
        <v>41</v>
      </c>
      <c r="S9">
        <v>42</v>
      </c>
      <c r="T9">
        <v>51</v>
      </c>
      <c r="U9">
        <v>44</v>
      </c>
      <c r="V9">
        <v>37</v>
      </c>
      <c r="W9">
        <v>34</v>
      </c>
      <c r="X9">
        <v>41</v>
      </c>
      <c r="Y9">
        <v>34</v>
      </c>
      <c r="Z9">
        <v>41</v>
      </c>
      <c r="AA9">
        <v>47</v>
      </c>
      <c r="AB9">
        <v>50</v>
      </c>
      <c r="AC9">
        <v>50</v>
      </c>
    </row>
    <row r="10" spans="1:29" x14ac:dyDescent="0.2">
      <c r="A10" t="s">
        <v>735</v>
      </c>
      <c r="B10">
        <v>1</v>
      </c>
      <c r="C10" t="s">
        <v>232</v>
      </c>
      <c r="D10" t="s">
        <v>1542</v>
      </c>
      <c r="E10">
        <v>8</v>
      </c>
      <c r="F10">
        <v>43</v>
      </c>
      <c r="G10">
        <v>39</v>
      </c>
      <c r="H10">
        <v>37</v>
      </c>
      <c r="I10">
        <v>37</v>
      </c>
      <c r="J10">
        <v>37</v>
      </c>
      <c r="K10">
        <v>31</v>
      </c>
      <c r="L10">
        <v>41</v>
      </c>
      <c r="M10">
        <v>41</v>
      </c>
      <c r="N10">
        <v>30</v>
      </c>
      <c r="O10">
        <v>31</v>
      </c>
      <c r="P10">
        <v>43</v>
      </c>
      <c r="Q10">
        <v>34</v>
      </c>
      <c r="R10">
        <v>32</v>
      </c>
      <c r="S10">
        <v>37</v>
      </c>
      <c r="T10">
        <v>31</v>
      </c>
      <c r="U10">
        <v>43</v>
      </c>
      <c r="V10">
        <v>43</v>
      </c>
      <c r="W10">
        <v>29</v>
      </c>
      <c r="X10">
        <v>37</v>
      </c>
      <c r="Y10">
        <v>29</v>
      </c>
      <c r="Z10">
        <v>39</v>
      </c>
      <c r="AA10">
        <v>47</v>
      </c>
      <c r="AB10">
        <v>39</v>
      </c>
      <c r="AC10">
        <v>37</v>
      </c>
    </row>
    <row r="11" spans="1:29" x14ac:dyDescent="0.2">
      <c r="A11" t="s">
        <v>735</v>
      </c>
      <c r="B11">
        <v>1</v>
      </c>
      <c r="C11" t="s">
        <v>232</v>
      </c>
      <c r="D11" t="s">
        <v>1543</v>
      </c>
      <c r="E11">
        <v>9</v>
      </c>
      <c r="F11">
        <v>38</v>
      </c>
      <c r="G11">
        <v>55</v>
      </c>
      <c r="H11">
        <v>35</v>
      </c>
      <c r="I11">
        <v>43</v>
      </c>
      <c r="J11">
        <v>48</v>
      </c>
      <c r="K11">
        <v>45</v>
      </c>
      <c r="L11">
        <v>37</v>
      </c>
      <c r="M11">
        <v>48</v>
      </c>
      <c r="N11">
        <v>30</v>
      </c>
      <c r="O11">
        <v>30</v>
      </c>
      <c r="P11">
        <v>25</v>
      </c>
      <c r="Q11">
        <v>28</v>
      </c>
      <c r="R11">
        <v>31</v>
      </c>
      <c r="S11">
        <v>23</v>
      </c>
      <c r="T11">
        <v>32</v>
      </c>
      <c r="U11">
        <v>23</v>
      </c>
      <c r="V11">
        <v>42</v>
      </c>
      <c r="W11">
        <v>33</v>
      </c>
      <c r="X11">
        <v>26</v>
      </c>
      <c r="Y11">
        <v>28</v>
      </c>
      <c r="Z11">
        <v>30</v>
      </c>
      <c r="AA11">
        <v>49</v>
      </c>
      <c r="AB11">
        <v>37</v>
      </c>
      <c r="AC11">
        <v>34</v>
      </c>
    </row>
    <row r="12" spans="1:29" x14ac:dyDescent="0.2">
      <c r="A12" t="s">
        <v>735</v>
      </c>
      <c r="B12">
        <v>1</v>
      </c>
      <c r="C12" t="s">
        <v>232</v>
      </c>
      <c r="D12" t="s">
        <v>1544</v>
      </c>
      <c r="E12">
        <v>10</v>
      </c>
      <c r="F12">
        <v>41</v>
      </c>
      <c r="G12">
        <v>43</v>
      </c>
      <c r="H12">
        <v>42</v>
      </c>
      <c r="I12">
        <v>34</v>
      </c>
      <c r="J12">
        <v>37</v>
      </c>
      <c r="K12">
        <v>30</v>
      </c>
      <c r="L12">
        <v>45</v>
      </c>
      <c r="M12">
        <v>48</v>
      </c>
      <c r="N12">
        <v>31</v>
      </c>
      <c r="O12">
        <v>32</v>
      </c>
      <c r="P12">
        <v>29</v>
      </c>
      <c r="Q12">
        <v>40</v>
      </c>
      <c r="R12">
        <v>29</v>
      </c>
      <c r="S12">
        <v>42</v>
      </c>
      <c r="T12">
        <v>35</v>
      </c>
      <c r="U12">
        <v>27</v>
      </c>
      <c r="V12">
        <v>29</v>
      </c>
      <c r="W12">
        <v>33</v>
      </c>
      <c r="X12">
        <v>24</v>
      </c>
      <c r="Y12">
        <v>30</v>
      </c>
      <c r="Z12">
        <v>34</v>
      </c>
      <c r="AA12">
        <v>37</v>
      </c>
      <c r="AB12">
        <v>42</v>
      </c>
      <c r="AC12">
        <v>39</v>
      </c>
    </row>
    <row r="13" spans="1:29" x14ac:dyDescent="0.2">
      <c r="A13" t="s">
        <v>735</v>
      </c>
      <c r="B13">
        <v>1</v>
      </c>
      <c r="C13" t="s">
        <v>232</v>
      </c>
      <c r="D13" t="s">
        <v>1545</v>
      </c>
      <c r="E13">
        <v>11</v>
      </c>
      <c r="F13">
        <v>50</v>
      </c>
      <c r="G13">
        <v>39</v>
      </c>
      <c r="H13">
        <v>26</v>
      </c>
      <c r="I13">
        <v>51</v>
      </c>
      <c r="J13">
        <v>41</v>
      </c>
      <c r="K13">
        <v>48</v>
      </c>
      <c r="L13">
        <v>40</v>
      </c>
      <c r="M13">
        <v>34</v>
      </c>
      <c r="N13">
        <v>26</v>
      </c>
      <c r="O13">
        <v>26</v>
      </c>
      <c r="P13">
        <v>30</v>
      </c>
      <c r="Q13">
        <v>31</v>
      </c>
      <c r="R13">
        <v>20</v>
      </c>
      <c r="S13">
        <v>32</v>
      </c>
      <c r="T13">
        <v>19</v>
      </c>
      <c r="U13">
        <v>33</v>
      </c>
      <c r="V13">
        <v>26</v>
      </c>
      <c r="W13">
        <v>33</v>
      </c>
      <c r="X13">
        <v>35</v>
      </c>
      <c r="Y13">
        <v>28</v>
      </c>
      <c r="Z13">
        <v>33</v>
      </c>
      <c r="AA13">
        <v>46</v>
      </c>
      <c r="AB13">
        <v>41</v>
      </c>
      <c r="AC13">
        <v>45</v>
      </c>
    </row>
    <row r="14" spans="1:29" x14ac:dyDescent="0.2">
      <c r="A14" t="s">
        <v>735</v>
      </c>
      <c r="B14">
        <v>1</v>
      </c>
      <c r="C14" t="s">
        <v>232</v>
      </c>
      <c r="D14" t="s">
        <v>1546</v>
      </c>
      <c r="E14">
        <v>12</v>
      </c>
      <c r="F14">
        <v>50</v>
      </c>
      <c r="G14">
        <v>55</v>
      </c>
      <c r="H14">
        <v>49</v>
      </c>
      <c r="I14">
        <v>37</v>
      </c>
      <c r="J14">
        <v>45</v>
      </c>
      <c r="K14">
        <v>35</v>
      </c>
      <c r="L14">
        <v>37</v>
      </c>
      <c r="M14">
        <v>29</v>
      </c>
      <c r="N14">
        <v>40</v>
      </c>
      <c r="O14">
        <v>38</v>
      </c>
      <c r="P14">
        <v>29</v>
      </c>
      <c r="Q14">
        <v>36</v>
      </c>
      <c r="R14">
        <v>22</v>
      </c>
      <c r="S14">
        <v>36</v>
      </c>
      <c r="T14">
        <v>42</v>
      </c>
      <c r="U14">
        <v>30</v>
      </c>
      <c r="V14">
        <v>31</v>
      </c>
      <c r="W14">
        <v>34</v>
      </c>
      <c r="X14">
        <v>29</v>
      </c>
      <c r="Y14">
        <v>31</v>
      </c>
      <c r="Z14">
        <v>40</v>
      </c>
      <c r="AA14">
        <v>34</v>
      </c>
      <c r="AB14">
        <v>39</v>
      </c>
      <c r="AC14">
        <v>40</v>
      </c>
    </row>
    <row r="15" spans="1:29" x14ac:dyDescent="0.2">
      <c r="A15" t="s">
        <v>735</v>
      </c>
      <c r="B15">
        <v>1</v>
      </c>
      <c r="C15" t="s">
        <v>232</v>
      </c>
      <c r="D15" t="s">
        <v>1547</v>
      </c>
      <c r="E15">
        <v>13</v>
      </c>
      <c r="F15">
        <v>46</v>
      </c>
      <c r="G15">
        <v>52</v>
      </c>
      <c r="H15">
        <v>29</v>
      </c>
      <c r="I15">
        <v>38</v>
      </c>
      <c r="J15">
        <v>31</v>
      </c>
      <c r="K15">
        <v>47</v>
      </c>
      <c r="L15">
        <v>31</v>
      </c>
      <c r="M15">
        <v>29</v>
      </c>
      <c r="N15">
        <v>27</v>
      </c>
      <c r="O15">
        <v>37</v>
      </c>
      <c r="P15">
        <v>33</v>
      </c>
      <c r="Q15">
        <v>20</v>
      </c>
      <c r="R15">
        <v>39</v>
      </c>
      <c r="S15">
        <v>23</v>
      </c>
      <c r="T15">
        <v>26</v>
      </c>
      <c r="U15">
        <v>30</v>
      </c>
      <c r="V15">
        <v>30</v>
      </c>
      <c r="W15">
        <v>47</v>
      </c>
      <c r="X15">
        <v>31</v>
      </c>
      <c r="Y15">
        <v>50</v>
      </c>
      <c r="Z15">
        <v>26</v>
      </c>
      <c r="AA15">
        <v>48</v>
      </c>
      <c r="AB15">
        <v>41</v>
      </c>
      <c r="AC15">
        <v>43</v>
      </c>
    </row>
    <row r="16" spans="1:29" x14ac:dyDescent="0.2">
      <c r="A16" t="s">
        <v>735</v>
      </c>
      <c r="B16">
        <v>1</v>
      </c>
      <c r="C16" t="s">
        <v>232</v>
      </c>
      <c r="D16" t="s">
        <v>1416</v>
      </c>
      <c r="E16">
        <v>14</v>
      </c>
      <c r="F16">
        <v>54</v>
      </c>
      <c r="G16">
        <v>45</v>
      </c>
      <c r="H16">
        <v>45</v>
      </c>
      <c r="I16">
        <v>46</v>
      </c>
      <c r="J16">
        <v>54</v>
      </c>
      <c r="K16">
        <v>46</v>
      </c>
      <c r="L16">
        <v>38</v>
      </c>
      <c r="M16">
        <v>44</v>
      </c>
      <c r="N16">
        <v>25</v>
      </c>
      <c r="O16">
        <v>26</v>
      </c>
      <c r="P16">
        <v>40</v>
      </c>
      <c r="Q16">
        <v>43</v>
      </c>
      <c r="R16">
        <v>42</v>
      </c>
      <c r="S16">
        <v>42</v>
      </c>
      <c r="T16">
        <v>31</v>
      </c>
      <c r="U16">
        <v>38</v>
      </c>
      <c r="V16">
        <v>45</v>
      </c>
      <c r="W16">
        <v>23</v>
      </c>
      <c r="X16">
        <v>32</v>
      </c>
      <c r="Y16">
        <v>46</v>
      </c>
      <c r="Z16">
        <v>42</v>
      </c>
      <c r="AA16">
        <v>48</v>
      </c>
      <c r="AB16">
        <v>52</v>
      </c>
      <c r="AC16">
        <v>42</v>
      </c>
    </row>
    <row r="17" spans="1:29" x14ac:dyDescent="0.2">
      <c r="A17" t="s">
        <v>735</v>
      </c>
      <c r="B17">
        <v>1</v>
      </c>
      <c r="C17" t="s">
        <v>232</v>
      </c>
      <c r="D17" t="s">
        <v>1548</v>
      </c>
      <c r="E17">
        <v>15</v>
      </c>
      <c r="F17">
        <v>46</v>
      </c>
      <c r="G17">
        <v>77</v>
      </c>
      <c r="H17">
        <v>48</v>
      </c>
      <c r="I17">
        <v>57</v>
      </c>
      <c r="J17">
        <v>69</v>
      </c>
      <c r="K17">
        <v>55</v>
      </c>
      <c r="L17">
        <v>54</v>
      </c>
      <c r="M17">
        <v>45</v>
      </c>
      <c r="N17">
        <v>49</v>
      </c>
      <c r="O17">
        <v>54</v>
      </c>
      <c r="P17">
        <v>42</v>
      </c>
      <c r="Q17">
        <v>40</v>
      </c>
      <c r="R17">
        <v>35</v>
      </c>
      <c r="S17">
        <v>51</v>
      </c>
      <c r="T17">
        <v>48</v>
      </c>
      <c r="U17">
        <v>47</v>
      </c>
      <c r="V17">
        <v>53</v>
      </c>
      <c r="W17">
        <v>44</v>
      </c>
      <c r="X17">
        <v>27</v>
      </c>
      <c r="Y17">
        <v>33</v>
      </c>
      <c r="Z17">
        <v>45</v>
      </c>
      <c r="AA17">
        <v>47</v>
      </c>
      <c r="AB17">
        <v>49</v>
      </c>
      <c r="AC17">
        <v>55</v>
      </c>
    </row>
    <row r="18" spans="1:29" x14ac:dyDescent="0.2">
      <c r="A18" t="s">
        <v>735</v>
      </c>
      <c r="B18">
        <v>1</v>
      </c>
      <c r="C18" t="s">
        <v>232</v>
      </c>
      <c r="D18" t="s">
        <v>1549</v>
      </c>
      <c r="E18">
        <v>16</v>
      </c>
      <c r="F18">
        <v>71</v>
      </c>
      <c r="G18">
        <v>100</v>
      </c>
      <c r="H18">
        <v>75</v>
      </c>
      <c r="I18">
        <v>79</v>
      </c>
      <c r="J18">
        <v>61</v>
      </c>
      <c r="K18">
        <v>85</v>
      </c>
      <c r="L18">
        <v>70</v>
      </c>
      <c r="M18">
        <v>65</v>
      </c>
      <c r="N18">
        <v>55</v>
      </c>
      <c r="O18">
        <v>61</v>
      </c>
      <c r="P18">
        <v>55</v>
      </c>
      <c r="Q18">
        <v>46</v>
      </c>
      <c r="R18">
        <v>41</v>
      </c>
      <c r="S18">
        <v>65</v>
      </c>
      <c r="T18">
        <v>55</v>
      </c>
      <c r="U18">
        <v>70</v>
      </c>
      <c r="V18">
        <v>57</v>
      </c>
      <c r="W18">
        <v>32</v>
      </c>
      <c r="X18">
        <v>47</v>
      </c>
      <c r="Y18">
        <v>42</v>
      </c>
      <c r="Z18">
        <v>67</v>
      </c>
      <c r="AA18">
        <v>71</v>
      </c>
      <c r="AB18">
        <v>71</v>
      </c>
      <c r="AC18">
        <v>70</v>
      </c>
    </row>
    <row r="19" spans="1:29" x14ac:dyDescent="0.2">
      <c r="A19" t="s">
        <v>735</v>
      </c>
      <c r="B19">
        <v>1</v>
      </c>
      <c r="C19" t="s">
        <v>232</v>
      </c>
      <c r="D19" t="s">
        <v>1550</v>
      </c>
      <c r="E19">
        <v>17</v>
      </c>
      <c r="F19">
        <v>93</v>
      </c>
      <c r="G19">
        <v>91</v>
      </c>
      <c r="H19">
        <v>85</v>
      </c>
      <c r="I19">
        <v>114</v>
      </c>
      <c r="J19">
        <v>106</v>
      </c>
      <c r="K19">
        <v>96</v>
      </c>
      <c r="L19">
        <v>105</v>
      </c>
      <c r="M19">
        <v>90</v>
      </c>
      <c r="N19">
        <v>89</v>
      </c>
      <c r="O19">
        <v>79</v>
      </c>
      <c r="P19">
        <v>87</v>
      </c>
      <c r="Q19">
        <v>83</v>
      </c>
      <c r="R19">
        <v>73</v>
      </c>
      <c r="S19">
        <v>78</v>
      </c>
      <c r="T19">
        <v>69</v>
      </c>
      <c r="U19">
        <v>69</v>
      </c>
      <c r="V19">
        <v>67</v>
      </c>
      <c r="W19">
        <v>80</v>
      </c>
      <c r="X19">
        <v>91</v>
      </c>
      <c r="Y19">
        <v>100</v>
      </c>
      <c r="Z19">
        <v>70</v>
      </c>
      <c r="AA19">
        <v>86</v>
      </c>
      <c r="AB19">
        <v>84</v>
      </c>
      <c r="AC19">
        <v>88</v>
      </c>
    </row>
    <row r="20" spans="1:29" x14ac:dyDescent="0.2">
      <c r="A20" t="s">
        <v>735</v>
      </c>
      <c r="B20">
        <v>1</v>
      </c>
      <c r="C20" t="s">
        <v>232</v>
      </c>
      <c r="D20" t="s">
        <v>1551</v>
      </c>
      <c r="E20">
        <v>18</v>
      </c>
      <c r="F20">
        <v>136</v>
      </c>
      <c r="G20">
        <v>142</v>
      </c>
      <c r="H20">
        <v>118</v>
      </c>
      <c r="I20">
        <v>145</v>
      </c>
      <c r="J20">
        <v>159</v>
      </c>
      <c r="K20">
        <v>121</v>
      </c>
      <c r="L20">
        <v>126</v>
      </c>
      <c r="M20">
        <v>121</v>
      </c>
      <c r="N20">
        <v>128</v>
      </c>
      <c r="O20">
        <v>99</v>
      </c>
      <c r="P20">
        <v>113</v>
      </c>
      <c r="Q20">
        <v>76</v>
      </c>
      <c r="R20">
        <v>120</v>
      </c>
      <c r="S20">
        <v>86</v>
      </c>
      <c r="T20">
        <v>88</v>
      </c>
      <c r="U20">
        <v>91</v>
      </c>
      <c r="V20">
        <v>112</v>
      </c>
      <c r="W20">
        <v>81</v>
      </c>
      <c r="X20">
        <v>100</v>
      </c>
      <c r="Y20">
        <v>94</v>
      </c>
      <c r="Z20">
        <v>111</v>
      </c>
      <c r="AA20">
        <v>104</v>
      </c>
      <c r="AB20">
        <v>112</v>
      </c>
      <c r="AC20">
        <v>117</v>
      </c>
    </row>
    <row r="21" spans="1:29" x14ac:dyDescent="0.2">
      <c r="A21" t="s">
        <v>735</v>
      </c>
      <c r="B21">
        <v>1</v>
      </c>
      <c r="C21" t="s">
        <v>232</v>
      </c>
      <c r="D21" t="s">
        <v>1552</v>
      </c>
      <c r="E21">
        <v>19</v>
      </c>
      <c r="F21">
        <v>196</v>
      </c>
      <c r="G21">
        <v>199</v>
      </c>
      <c r="H21">
        <v>190</v>
      </c>
      <c r="I21">
        <v>175</v>
      </c>
      <c r="J21">
        <v>183</v>
      </c>
      <c r="K21">
        <v>159</v>
      </c>
      <c r="L21">
        <v>159</v>
      </c>
      <c r="M21">
        <v>170</v>
      </c>
      <c r="N21">
        <v>144</v>
      </c>
      <c r="O21">
        <v>152</v>
      </c>
      <c r="P21">
        <v>151</v>
      </c>
      <c r="Q21">
        <v>137</v>
      </c>
      <c r="R21">
        <v>129</v>
      </c>
      <c r="S21">
        <v>121</v>
      </c>
      <c r="T21">
        <v>98</v>
      </c>
      <c r="U21">
        <v>99</v>
      </c>
      <c r="V21">
        <v>139</v>
      </c>
      <c r="W21">
        <v>117</v>
      </c>
      <c r="X21">
        <v>108</v>
      </c>
      <c r="Y21">
        <v>122</v>
      </c>
      <c r="Z21">
        <v>139</v>
      </c>
      <c r="AA21">
        <v>133</v>
      </c>
      <c r="AB21">
        <v>132</v>
      </c>
      <c r="AC21">
        <v>139</v>
      </c>
    </row>
    <row r="22" spans="1:29" x14ac:dyDescent="0.2">
      <c r="A22" t="s">
        <v>735</v>
      </c>
      <c r="B22">
        <v>1</v>
      </c>
      <c r="C22" t="s">
        <v>232</v>
      </c>
      <c r="D22" t="s">
        <v>1553</v>
      </c>
      <c r="E22">
        <v>20</v>
      </c>
      <c r="F22">
        <v>235</v>
      </c>
      <c r="G22">
        <v>212</v>
      </c>
      <c r="H22">
        <v>243</v>
      </c>
      <c r="I22">
        <v>220</v>
      </c>
      <c r="J22">
        <v>243</v>
      </c>
      <c r="K22">
        <v>199</v>
      </c>
      <c r="L22">
        <v>250</v>
      </c>
      <c r="M22">
        <v>190</v>
      </c>
      <c r="N22">
        <v>215</v>
      </c>
      <c r="O22">
        <v>188</v>
      </c>
      <c r="P22">
        <v>189</v>
      </c>
      <c r="Q22">
        <v>181</v>
      </c>
      <c r="R22">
        <v>147</v>
      </c>
      <c r="S22">
        <v>147</v>
      </c>
      <c r="T22">
        <v>166</v>
      </c>
      <c r="U22">
        <v>142</v>
      </c>
      <c r="V22">
        <v>186</v>
      </c>
      <c r="W22">
        <v>152</v>
      </c>
      <c r="X22">
        <v>156</v>
      </c>
      <c r="Y22">
        <v>147</v>
      </c>
      <c r="Z22">
        <v>169</v>
      </c>
      <c r="AA22">
        <v>204</v>
      </c>
      <c r="AB22">
        <v>178</v>
      </c>
      <c r="AC22">
        <v>195</v>
      </c>
    </row>
    <row r="23" spans="1:29" x14ac:dyDescent="0.2">
      <c r="A23" t="s">
        <v>735</v>
      </c>
      <c r="B23">
        <v>1</v>
      </c>
      <c r="C23" t="s">
        <v>232</v>
      </c>
      <c r="D23" t="s">
        <v>1554</v>
      </c>
      <c r="E23">
        <v>21</v>
      </c>
      <c r="F23">
        <v>241</v>
      </c>
      <c r="G23">
        <v>245</v>
      </c>
      <c r="H23">
        <v>256</v>
      </c>
      <c r="I23">
        <v>232</v>
      </c>
      <c r="J23">
        <v>273</v>
      </c>
      <c r="K23">
        <v>244</v>
      </c>
      <c r="L23">
        <v>229</v>
      </c>
      <c r="M23">
        <v>239</v>
      </c>
      <c r="N23">
        <v>229</v>
      </c>
      <c r="O23">
        <v>215</v>
      </c>
      <c r="P23">
        <v>228</v>
      </c>
      <c r="Q23">
        <v>195</v>
      </c>
      <c r="R23">
        <v>173</v>
      </c>
      <c r="S23">
        <v>217</v>
      </c>
      <c r="T23">
        <v>196</v>
      </c>
      <c r="U23">
        <v>204</v>
      </c>
      <c r="V23">
        <v>218</v>
      </c>
      <c r="W23">
        <v>192</v>
      </c>
      <c r="X23">
        <v>192</v>
      </c>
      <c r="Y23">
        <v>197</v>
      </c>
      <c r="Z23">
        <v>227</v>
      </c>
      <c r="AA23">
        <v>233</v>
      </c>
      <c r="AB23">
        <v>229</v>
      </c>
      <c r="AC23">
        <v>235</v>
      </c>
    </row>
    <row r="24" spans="1:29" x14ac:dyDescent="0.2">
      <c r="A24" t="s">
        <v>735</v>
      </c>
      <c r="B24">
        <v>1</v>
      </c>
      <c r="C24" t="s">
        <v>232</v>
      </c>
      <c r="D24" t="s">
        <v>1555</v>
      </c>
      <c r="E24">
        <v>22</v>
      </c>
      <c r="F24">
        <v>286</v>
      </c>
      <c r="G24">
        <v>287</v>
      </c>
      <c r="H24">
        <v>259</v>
      </c>
      <c r="I24">
        <v>279</v>
      </c>
      <c r="J24">
        <v>274</v>
      </c>
      <c r="K24">
        <v>280</v>
      </c>
      <c r="L24">
        <v>264</v>
      </c>
      <c r="M24">
        <v>268</v>
      </c>
      <c r="N24">
        <v>234</v>
      </c>
      <c r="O24">
        <v>263</v>
      </c>
      <c r="P24">
        <v>221</v>
      </c>
      <c r="Q24">
        <v>231</v>
      </c>
      <c r="R24">
        <v>238</v>
      </c>
      <c r="S24">
        <v>200</v>
      </c>
      <c r="T24">
        <v>243</v>
      </c>
      <c r="U24">
        <v>235</v>
      </c>
      <c r="V24">
        <v>250</v>
      </c>
      <c r="W24">
        <v>235</v>
      </c>
      <c r="X24">
        <v>251</v>
      </c>
      <c r="Y24">
        <v>258</v>
      </c>
      <c r="Z24">
        <v>243</v>
      </c>
      <c r="AA24">
        <v>238</v>
      </c>
      <c r="AB24">
        <v>256</v>
      </c>
      <c r="AC24">
        <v>256</v>
      </c>
    </row>
    <row r="25" spans="1:29" x14ac:dyDescent="0.2">
      <c r="A25" t="s">
        <v>735</v>
      </c>
      <c r="B25">
        <v>1</v>
      </c>
      <c r="C25" t="s">
        <v>232</v>
      </c>
      <c r="D25" t="s">
        <v>1556</v>
      </c>
      <c r="E25">
        <v>23</v>
      </c>
      <c r="F25">
        <v>262</v>
      </c>
      <c r="G25">
        <v>273</v>
      </c>
      <c r="H25">
        <v>278</v>
      </c>
      <c r="I25">
        <v>267</v>
      </c>
      <c r="J25">
        <v>273</v>
      </c>
      <c r="K25">
        <v>254</v>
      </c>
      <c r="L25">
        <v>264</v>
      </c>
      <c r="M25">
        <v>255</v>
      </c>
      <c r="N25">
        <v>239</v>
      </c>
      <c r="O25">
        <v>251</v>
      </c>
      <c r="P25">
        <v>273</v>
      </c>
      <c r="Q25">
        <v>249</v>
      </c>
      <c r="R25">
        <v>216</v>
      </c>
      <c r="S25">
        <v>227</v>
      </c>
      <c r="T25">
        <v>268</v>
      </c>
      <c r="U25">
        <v>241</v>
      </c>
      <c r="V25">
        <v>252</v>
      </c>
      <c r="W25">
        <v>247</v>
      </c>
      <c r="X25">
        <v>232</v>
      </c>
      <c r="Y25">
        <v>292</v>
      </c>
      <c r="Z25">
        <v>254</v>
      </c>
      <c r="AA25">
        <v>277</v>
      </c>
      <c r="AB25">
        <v>285</v>
      </c>
      <c r="AC25">
        <v>307</v>
      </c>
    </row>
    <row r="26" spans="1:29" x14ac:dyDescent="0.2">
      <c r="A26" t="s">
        <v>735</v>
      </c>
      <c r="B26">
        <v>1</v>
      </c>
      <c r="C26" t="s">
        <v>232</v>
      </c>
      <c r="D26" t="s">
        <v>1417</v>
      </c>
      <c r="E26">
        <v>24</v>
      </c>
      <c r="F26">
        <v>262</v>
      </c>
      <c r="G26">
        <v>252</v>
      </c>
      <c r="H26">
        <v>289</v>
      </c>
      <c r="I26">
        <v>278</v>
      </c>
      <c r="J26">
        <v>270</v>
      </c>
      <c r="K26">
        <v>263</v>
      </c>
      <c r="L26">
        <v>257</v>
      </c>
      <c r="M26">
        <v>253</v>
      </c>
      <c r="N26">
        <v>221</v>
      </c>
      <c r="O26">
        <v>238</v>
      </c>
      <c r="P26">
        <v>279</v>
      </c>
      <c r="Q26">
        <v>234</v>
      </c>
      <c r="R26">
        <v>226</v>
      </c>
      <c r="S26">
        <v>223</v>
      </c>
      <c r="T26">
        <v>252</v>
      </c>
      <c r="U26">
        <v>257</v>
      </c>
      <c r="V26">
        <v>260</v>
      </c>
      <c r="W26">
        <v>257</v>
      </c>
      <c r="X26">
        <v>272</v>
      </c>
      <c r="Y26">
        <v>293</v>
      </c>
      <c r="Z26">
        <v>303</v>
      </c>
      <c r="AA26">
        <v>294</v>
      </c>
      <c r="AB26">
        <v>298</v>
      </c>
      <c r="AC26">
        <v>309</v>
      </c>
    </row>
    <row r="27" spans="1:29" x14ac:dyDescent="0.2">
      <c r="A27" t="s">
        <v>735</v>
      </c>
      <c r="B27">
        <v>1</v>
      </c>
      <c r="C27" t="s">
        <v>232</v>
      </c>
      <c r="D27" t="s">
        <v>1418</v>
      </c>
      <c r="E27">
        <v>25</v>
      </c>
      <c r="F27">
        <v>250</v>
      </c>
      <c r="G27">
        <v>266</v>
      </c>
      <c r="H27">
        <v>255</v>
      </c>
      <c r="I27">
        <v>279</v>
      </c>
      <c r="J27">
        <v>258</v>
      </c>
      <c r="K27">
        <v>238</v>
      </c>
      <c r="L27">
        <v>257</v>
      </c>
      <c r="M27">
        <v>271</v>
      </c>
      <c r="N27">
        <v>247</v>
      </c>
      <c r="O27">
        <v>234</v>
      </c>
      <c r="P27">
        <v>244</v>
      </c>
      <c r="Q27">
        <v>268</v>
      </c>
      <c r="R27">
        <v>254</v>
      </c>
      <c r="S27">
        <v>268</v>
      </c>
      <c r="T27">
        <v>272</v>
      </c>
      <c r="U27">
        <v>294</v>
      </c>
      <c r="V27">
        <v>321</v>
      </c>
      <c r="W27">
        <v>306</v>
      </c>
      <c r="X27">
        <v>279</v>
      </c>
      <c r="Y27">
        <v>347</v>
      </c>
      <c r="Z27">
        <v>346</v>
      </c>
      <c r="AA27">
        <v>342</v>
      </c>
      <c r="AB27">
        <v>339</v>
      </c>
      <c r="AC27">
        <v>351</v>
      </c>
    </row>
    <row r="28" spans="1:29" x14ac:dyDescent="0.2">
      <c r="A28" t="s">
        <v>735</v>
      </c>
      <c r="B28">
        <v>1</v>
      </c>
      <c r="C28" t="s">
        <v>232</v>
      </c>
      <c r="D28" t="s">
        <v>1419</v>
      </c>
      <c r="E28">
        <v>26</v>
      </c>
      <c r="F28">
        <v>220</v>
      </c>
      <c r="G28">
        <v>251</v>
      </c>
      <c r="H28">
        <v>265</v>
      </c>
      <c r="I28">
        <v>265</v>
      </c>
      <c r="J28">
        <v>250</v>
      </c>
      <c r="K28">
        <v>270</v>
      </c>
      <c r="L28">
        <v>282</v>
      </c>
      <c r="M28">
        <v>240</v>
      </c>
      <c r="N28">
        <v>244</v>
      </c>
      <c r="O28">
        <v>275</v>
      </c>
      <c r="P28">
        <v>256</v>
      </c>
      <c r="Q28">
        <v>238</v>
      </c>
      <c r="R28">
        <v>244</v>
      </c>
      <c r="S28">
        <v>243</v>
      </c>
      <c r="T28">
        <v>279</v>
      </c>
      <c r="U28">
        <v>289</v>
      </c>
      <c r="V28">
        <v>299</v>
      </c>
      <c r="W28">
        <v>337</v>
      </c>
      <c r="X28">
        <v>287</v>
      </c>
      <c r="Y28">
        <v>369</v>
      </c>
      <c r="Z28">
        <v>350</v>
      </c>
      <c r="AA28">
        <v>358</v>
      </c>
      <c r="AB28">
        <v>383</v>
      </c>
      <c r="AC28">
        <v>377</v>
      </c>
    </row>
    <row r="29" spans="1:29" x14ac:dyDescent="0.2">
      <c r="A29" t="s">
        <v>735</v>
      </c>
      <c r="B29">
        <v>1</v>
      </c>
      <c r="C29" t="s">
        <v>232</v>
      </c>
      <c r="D29" t="s">
        <v>1557</v>
      </c>
      <c r="E29">
        <v>27</v>
      </c>
      <c r="F29">
        <v>250</v>
      </c>
      <c r="G29">
        <v>224</v>
      </c>
      <c r="H29">
        <v>238</v>
      </c>
      <c r="I29">
        <v>257</v>
      </c>
      <c r="J29">
        <v>235</v>
      </c>
      <c r="K29">
        <v>237</v>
      </c>
      <c r="L29">
        <v>227</v>
      </c>
      <c r="M29">
        <v>252</v>
      </c>
      <c r="N29">
        <v>257</v>
      </c>
      <c r="O29">
        <v>249</v>
      </c>
      <c r="P29">
        <v>246</v>
      </c>
      <c r="Q29">
        <v>236</v>
      </c>
      <c r="R29">
        <v>256</v>
      </c>
      <c r="S29">
        <v>279</v>
      </c>
      <c r="T29">
        <v>309</v>
      </c>
      <c r="U29">
        <v>302</v>
      </c>
      <c r="V29">
        <v>353</v>
      </c>
      <c r="W29">
        <v>334</v>
      </c>
      <c r="X29">
        <v>376</v>
      </c>
      <c r="Y29">
        <v>367</v>
      </c>
      <c r="Z29">
        <v>414</v>
      </c>
      <c r="AA29">
        <v>343</v>
      </c>
      <c r="AB29">
        <v>389</v>
      </c>
      <c r="AC29">
        <v>397</v>
      </c>
    </row>
    <row r="30" spans="1:29" x14ac:dyDescent="0.2">
      <c r="A30" t="s">
        <v>735</v>
      </c>
      <c r="B30">
        <v>1</v>
      </c>
      <c r="C30" t="s">
        <v>232</v>
      </c>
      <c r="D30" t="s">
        <v>1558</v>
      </c>
      <c r="E30">
        <v>28</v>
      </c>
      <c r="F30">
        <v>239</v>
      </c>
      <c r="G30">
        <v>214</v>
      </c>
      <c r="H30">
        <v>234</v>
      </c>
      <c r="I30">
        <v>261</v>
      </c>
      <c r="J30">
        <v>240</v>
      </c>
      <c r="K30">
        <v>258</v>
      </c>
      <c r="L30">
        <v>276</v>
      </c>
      <c r="M30">
        <v>246</v>
      </c>
      <c r="N30">
        <v>261</v>
      </c>
      <c r="O30">
        <v>251</v>
      </c>
      <c r="P30">
        <v>271</v>
      </c>
      <c r="Q30">
        <v>262</v>
      </c>
      <c r="R30">
        <v>280</v>
      </c>
      <c r="S30">
        <v>288</v>
      </c>
      <c r="T30">
        <v>321</v>
      </c>
      <c r="U30">
        <v>324</v>
      </c>
      <c r="V30">
        <v>380</v>
      </c>
      <c r="W30">
        <v>381</v>
      </c>
      <c r="X30">
        <v>362</v>
      </c>
      <c r="Y30">
        <v>421</v>
      </c>
      <c r="Z30">
        <v>402</v>
      </c>
      <c r="AA30">
        <v>401</v>
      </c>
      <c r="AB30">
        <v>407</v>
      </c>
      <c r="AC30">
        <v>411</v>
      </c>
    </row>
    <row r="31" spans="1:29" x14ac:dyDescent="0.2">
      <c r="A31" t="s">
        <v>735</v>
      </c>
      <c r="B31">
        <v>1</v>
      </c>
      <c r="C31" t="s">
        <v>232</v>
      </c>
      <c r="D31" t="s">
        <v>1559</v>
      </c>
      <c r="E31">
        <v>29</v>
      </c>
      <c r="F31">
        <v>256</v>
      </c>
      <c r="G31">
        <v>240</v>
      </c>
      <c r="H31">
        <v>255</v>
      </c>
      <c r="I31">
        <v>220</v>
      </c>
      <c r="J31">
        <v>274</v>
      </c>
      <c r="K31">
        <v>243</v>
      </c>
      <c r="L31">
        <v>261</v>
      </c>
      <c r="M31">
        <v>255</v>
      </c>
      <c r="N31">
        <v>249</v>
      </c>
      <c r="O31">
        <v>275</v>
      </c>
      <c r="P31">
        <v>267</v>
      </c>
      <c r="Q31">
        <v>267</v>
      </c>
      <c r="R31">
        <v>295</v>
      </c>
      <c r="S31">
        <v>316</v>
      </c>
      <c r="T31">
        <v>331</v>
      </c>
      <c r="U31">
        <v>363</v>
      </c>
      <c r="V31">
        <v>344</v>
      </c>
      <c r="W31">
        <v>369</v>
      </c>
      <c r="X31">
        <v>367</v>
      </c>
      <c r="Y31">
        <v>427</v>
      </c>
      <c r="Z31">
        <v>453</v>
      </c>
      <c r="AA31">
        <v>459</v>
      </c>
      <c r="AB31">
        <v>452</v>
      </c>
      <c r="AC31">
        <v>469</v>
      </c>
    </row>
    <row r="32" spans="1:29" x14ac:dyDescent="0.2">
      <c r="A32" t="s">
        <v>735</v>
      </c>
      <c r="B32">
        <v>1</v>
      </c>
      <c r="C32" t="s">
        <v>232</v>
      </c>
      <c r="D32" t="s">
        <v>1560</v>
      </c>
      <c r="E32">
        <v>30</v>
      </c>
      <c r="F32">
        <v>221</v>
      </c>
      <c r="G32">
        <v>242</v>
      </c>
      <c r="H32">
        <v>230</v>
      </c>
      <c r="I32">
        <v>244</v>
      </c>
      <c r="J32">
        <v>289</v>
      </c>
      <c r="K32">
        <v>255</v>
      </c>
      <c r="L32">
        <v>257</v>
      </c>
      <c r="M32">
        <v>215</v>
      </c>
      <c r="N32">
        <v>254</v>
      </c>
      <c r="O32">
        <v>223</v>
      </c>
      <c r="P32">
        <v>278</v>
      </c>
      <c r="Q32">
        <v>265</v>
      </c>
      <c r="R32">
        <v>269</v>
      </c>
      <c r="S32">
        <v>269</v>
      </c>
      <c r="T32">
        <v>300</v>
      </c>
      <c r="U32">
        <v>322</v>
      </c>
      <c r="V32">
        <v>406</v>
      </c>
      <c r="W32">
        <v>403</v>
      </c>
      <c r="X32">
        <v>386</v>
      </c>
      <c r="Y32">
        <v>489</v>
      </c>
      <c r="Z32">
        <v>454</v>
      </c>
      <c r="AA32">
        <v>477</v>
      </c>
      <c r="AB32">
        <v>492</v>
      </c>
      <c r="AC32">
        <v>501</v>
      </c>
    </row>
    <row r="33" spans="1:29" x14ac:dyDescent="0.2">
      <c r="A33" t="s">
        <v>735</v>
      </c>
      <c r="B33">
        <v>1</v>
      </c>
      <c r="C33" t="s">
        <v>232</v>
      </c>
      <c r="D33" t="s">
        <v>1561</v>
      </c>
      <c r="E33">
        <v>31</v>
      </c>
      <c r="F33">
        <v>253</v>
      </c>
      <c r="G33">
        <v>261</v>
      </c>
      <c r="H33">
        <v>247</v>
      </c>
      <c r="I33">
        <v>251</v>
      </c>
      <c r="J33">
        <v>247</v>
      </c>
      <c r="K33">
        <v>279</v>
      </c>
      <c r="L33">
        <v>263</v>
      </c>
      <c r="M33">
        <v>257</v>
      </c>
      <c r="N33">
        <v>267</v>
      </c>
      <c r="O33">
        <v>245</v>
      </c>
      <c r="P33">
        <v>258</v>
      </c>
      <c r="Q33">
        <v>248</v>
      </c>
      <c r="R33">
        <v>286</v>
      </c>
      <c r="S33">
        <v>292</v>
      </c>
      <c r="T33">
        <v>310</v>
      </c>
      <c r="U33">
        <v>330</v>
      </c>
      <c r="V33">
        <v>387</v>
      </c>
      <c r="W33">
        <v>393</v>
      </c>
      <c r="X33">
        <v>407</v>
      </c>
      <c r="Y33">
        <v>530</v>
      </c>
      <c r="Z33">
        <v>516</v>
      </c>
      <c r="AA33">
        <v>556</v>
      </c>
      <c r="AB33">
        <v>557</v>
      </c>
      <c r="AC33">
        <v>584</v>
      </c>
    </row>
    <row r="34" spans="1:29" x14ac:dyDescent="0.2">
      <c r="A34" t="s">
        <v>735</v>
      </c>
      <c r="B34">
        <v>1</v>
      </c>
      <c r="C34" t="s">
        <v>232</v>
      </c>
      <c r="D34" t="s">
        <v>1562</v>
      </c>
      <c r="E34">
        <v>32</v>
      </c>
      <c r="F34">
        <v>250</v>
      </c>
      <c r="G34">
        <v>279</v>
      </c>
      <c r="H34">
        <v>253</v>
      </c>
      <c r="I34">
        <v>277</v>
      </c>
      <c r="J34">
        <v>273</v>
      </c>
      <c r="K34">
        <v>257</v>
      </c>
      <c r="L34">
        <v>283</v>
      </c>
      <c r="M34">
        <v>276</v>
      </c>
      <c r="N34">
        <v>287</v>
      </c>
      <c r="O34">
        <v>262</v>
      </c>
      <c r="P34">
        <v>321</v>
      </c>
      <c r="Q34">
        <v>276</v>
      </c>
      <c r="R34">
        <v>290</v>
      </c>
      <c r="S34">
        <v>319</v>
      </c>
      <c r="T34">
        <v>343</v>
      </c>
      <c r="U34">
        <v>388</v>
      </c>
      <c r="V34">
        <v>414</v>
      </c>
      <c r="W34">
        <v>392</v>
      </c>
      <c r="X34">
        <v>410</v>
      </c>
      <c r="Y34">
        <v>570</v>
      </c>
      <c r="Z34">
        <v>554</v>
      </c>
      <c r="AA34">
        <v>551</v>
      </c>
      <c r="AB34">
        <v>572</v>
      </c>
      <c r="AC34">
        <v>579</v>
      </c>
    </row>
    <row r="35" spans="1:29" x14ac:dyDescent="0.2">
      <c r="A35" t="s">
        <v>735</v>
      </c>
      <c r="B35">
        <v>1</v>
      </c>
      <c r="C35" t="s">
        <v>232</v>
      </c>
      <c r="D35" t="s">
        <v>1563</v>
      </c>
      <c r="E35">
        <v>33</v>
      </c>
      <c r="F35">
        <v>308</v>
      </c>
      <c r="G35">
        <v>271</v>
      </c>
      <c r="H35">
        <v>265</v>
      </c>
      <c r="I35">
        <v>257</v>
      </c>
      <c r="J35">
        <v>263</v>
      </c>
      <c r="K35">
        <v>258</v>
      </c>
      <c r="L35">
        <v>245</v>
      </c>
      <c r="M35">
        <v>265</v>
      </c>
      <c r="N35">
        <v>294</v>
      </c>
      <c r="O35">
        <v>268</v>
      </c>
      <c r="P35">
        <v>272</v>
      </c>
      <c r="Q35">
        <v>301</v>
      </c>
      <c r="R35">
        <v>289</v>
      </c>
      <c r="S35">
        <v>320</v>
      </c>
      <c r="T35">
        <v>319</v>
      </c>
      <c r="U35">
        <v>387</v>
      </c>
      <c r="V35">
        <v>403</v>
      </c>
      <c r="W35">
        <v>411</v>
      </c>
      <c r="X35">
        <v>425</v>
      </c>
      <c r="Y35">
        <v>568</v>
      </c>
      <c r="Z35">
        <v>516</v>
      </c>
      <c r="AA35">
        <v>548</v>
      </c>
      <c r="AB35">
        <v>557</v>
      </c>
      <c r="AC35">
        <v>579</v>
      </c>
    </row>
    <row r="36" spans="1:29" x14ac:dyDescent="0.2">
      <c r="A36" t="s">
        <v>735</v>
      </c>
      <c r="B36">
        <v>1</v>
      </c>
      <c r="C36" t="s">
        <v>232</v>
      </c>
      <c r="D36" t="s">
        <v>1420</v>
      </c>
      <c r="E36">
        <v>34</v>
      </c>
      <c r="F36">
        <v>351</v>
      </c>
      <c r="G36">
        <v>300</v>
      </c>
      <c r="H36">
        <v>278</v>
      </c>
      <c r="I36">
        <v>290</v>
      </c>
      <c r="J36">
        <v>293</v>
      </c>
      <c r="K36">
        <v>271</v>
      </c>
      <c r="L36">
        <v>265</v>
      </c>
      <c r="M36">
        <v>275</v>
      </c>
      <c r="N36">
        <v>263</v>
      </c>
      <c r="O36">
        <v>301</v>
      </c>
      <c r="P36">
        <v>259</v>
      </c>
      <c r="Q36">
        <v>296</v>
      </c>
      <c r="R36">
        <v>305</v>
      </c>
      <c r="S36">
        <v>335</v>
      </c>
      <c r="T36">
        <v>365</v>
      </c>
      <c r="U36">
        <v>413</v>
      </c>
      <c r="V36">
        <v>402</v>
      </c>
      <c r="W36">
        <v>395</v>
      </c>
      <c r="X36">
        <v>438</v>
      </c>
      <c r="Y36">
        <v>517</v>
      </c>
      <c r="Z36">
        <v>592</v>
      </c>
      <c r="AA36">
        <v>642</v>
      </c>
      <c r="AB36">
        <v>632</v>
      </c>
      <c r="AC36">
        <v>646</v>
      </c>
    </row>
    <row r="37" spans="1:29" x14ac:dyDescent="0.2">
      <c r="A37" t="s">
        <v>735</v>
      </c>
      <c r="B37">
        <v>1</v>
      </c>
      <c r="C37" t="s">
        <v>232</v>
      </c>
      <c r="D37" t="s">
        <v>1564</v>
      </c>
      <c r="E37">
        <v>35</v>
      </c>
      <c r="F37">
        <v>307</v>
      </c>
      <c r="G37">
        <v>295</v>
      </c>
      <c r="H37">
        <v>319</v>
      </c>
      <c r="I37">
        <v>297</v>
      </c>
      <c r="J37">
        <v>323</v>
      </c>
      <c r="K37">
        <v>282</v>
      </c>
      <c r="L37">
        <v>301</v>
      </c>
      <c r="M37">
        <v>269</v>
      </c>
      <c r="N37">
        <v>303</v>
      </c>
      <c r="O37">
        <v>292</v>
      </c>
      <c r="P37">
        <v>299</v>
      </c>
      <c r="Q37">
        <v>310</v>
      </c>
      <c r="R37">
        <v>335</v>
      </c>
      <c r="S37">
        <v>352</v>
      </c>
      <c r="T37">
        <v>358</v>
      </c>
      <c r="U37">
        <v>423</v>
      </c>
      <c r="V37">
        <v>414</v>
      </c>
      <c r="W37">
        <v>471</v>
      </c>
      <c r="X37">
        <v>469</v>
      </c>
      <c r="Y37">
        <v>564</v>
      </c>
      <c r="Z37">
        <v>603</v>
      </c>
      <c r="AA37">
        <v>673</v>
      </c>
      <c r="AB37">
        <v>646</v>
      </c>
      <c r="AC37">
        <v>660</v>
      </c>
    </row>
    <row r="38" spans="1:29" x14ac:dyDescent="0.2">
      <c r="A38" t="s">
        <v>735</v>
      </c>
      <c r="B38">
        <v>1</v>
      </c>
      <c r="C38" t="s">
        <v>232</v>
      </c>
      <c r="D38" t="s">
        <v>1565</v>
      </c>
      <c r="E38">
        <v>36</v>
      </c>
      <c r="F38">
        <v>338</v>
      </c>
      <c r="G38">
        <v>334</v>
      </c>
      <c r="H38">
        <v>362</v>
      </c>
      <c r="I38">
        <v>340</v>
      </c>
      <c r="J38">
        <v>311</v>
      </c>
      <c r="K38">
        <v>318</v>
      </c>
      <c r="L38">
        <v>259</v>
      </c>
      <c r="M38">
        <v>335</v>
      </c>
      <c r="N38">
        <v>282</v>
      </c>
      <c r="O38">
        <v>293</v>
      </c>
      <c r="P38">
        <v>329</v>
      </c>
      <c r="Q38">
        <v>319</v>
      </c>
      <c r="R38">
        <v>325</v>
      </c>
      <c r="S38">
        <v>375</v>
      </c>
      <c r="T38">
        <v>376</v>
      </c>
      <c r="U38">
        <v>395</v>
      </c>
      <c r="V38">
        <v>446</v>
      </c>
      <c r="W38">
        <v>436</v>
      </c>
      <c r="X38">
        <v>463</v>
      </c>
      <c r="Y38">
        <v>569</v>
      </c>
      <c r="Z38">
        <v>636</v>
      </c>
      <c r="AA38">
        <v>685</v>
      </c>
      <c r="AB38">
        <v>687</v>
      </c>
      <c r="AC38">
        <v>719</v>
      </c>
    </row>
    <row r="39" spans="1:29" x14ac:dyDescent="0.2">
      <c r="A39" t="s">
        <v>735</v>
      </c>
      <c r="B39">
        <v>1</v>
      </c>
      <c r="C39" t="s">
        <v>232</v>
      </c>
      <c r="D39" t="s">
        <v>1566</v>
      </c>
      <c r="E39">
        <v>37</v>
      </c>
      <c r="F39">
        <v>375</v>
      </c>
      <c r="G39">
        <v>347</v>
      </c>
      <c r="H39">
        <v>383</v>
      </c>
      <c r="I39">
        <v>392</v>
      </c>
      <c r="J39">
        <v>355</v>
      </c>
      <c r="K39">
        <v>342</v>
      </c>
      <c r="L39">
        <v>336</v>
      </c>
      <c r="M39">
        <v>320</v>
      </c>
      <c r="N39">
        <v>340</v>
      </c>
      <c r="O39">
        <v>318</v>
      </c>
      <c r="P39">
        <v>331</v>
      </c>
      <c r="Q39">
        <v>349</v>
      </c>
      <c r="R39">
        <v>330</v>
      </c>
      <c r="S39">
        <v>355</v>
      </c>
      <c r="T39">
        <v>375</v>
      </c>
      <c r="U39">
        <v>443</v>
      </c>
      <c r="V39">
        <v>473</v>
      </c>
      <c r="W39">
        <v>468</v>
      </c>
      <c r="X39">
        <v>497</v>
      </c>
      <c r="Y39">
        <v>587</v>
      </c>
      <c r="Z39">
        <v>633</v>
      </c>
      <c r="AA39">
        <v>630</v>
      </c>
      <c r="AB39">
        <v>667</v>
      </c>
      <c r="AC39">
        <v>705</v>
      </c>
    </row>
    <row r="40" spans="1:29" x14ac:dyDescent="0.2">
      <c r="A40" t="s">
        <v>735</v>
      </c>
      <c r="B40">
        <v>1</v>
      </c>
      <c r="C40" t="s">
        <v>232</v>
      </c>
      <c r="D40" t="s">
        <v>1567</v>
      </c>
      <c r="E40">
        <v>38</v>
      </c>
      <c r="F40">
        <v>435</v>
      </c>
      <c r="G40">
        <v>393</v>
      </c>
      <c r="H40">
        <v>412</v>
      </c>
      <c r="I40">
        <v>355</v>
      </c>
      <c r="J40">
        <v>396</v>
      </c>
      <c r="K40">
        <v>370</v>
      </c>
      <c r="L40">
        <v>346</v>
      </c>
      <c r="M40">
        <v>327</v>
      </c>
      <c r="N40">
        <v>338</v>
      </c>
      <c r="O40">
        <v>309</v>
      </c>
      <c r="P40">
        <v>326</v>
      </c>
      <c r="Q40">
        <v>331</v>
      </c>
      <c r="R40">
        <v>357</v>
      </c>
      <c r="S40">
        <v>349</v>
      </c>
      <c r="T40">
        <v>397</v>
      </c>
      <c r="U40">
        <v>452</v>
      </c>
      <c r="V40">
        <v>480</v>
      </c>
      <c r="W40">
        <v>494</v>
      </c>
      <c r="X40">
        <v>476</v>
      </c>
      <c r="Y40">
        <v>671</v>
      </c>
      <c r="Z40">
        <v>664</v>
      </c>
      <c r="AA40">
        <v>652</v>
      </c>
      <c r="AB40">
        <v>643</v>
      </c>
      <c r="AC40">
        <v>698</v>
      </c>
    </row>
    <row r="41" spans="1:29" x14ac:dyDescent="0.2">
      <c r="A41" t="s">
        <v>735</v>
      </c>
      <c r="B41">
        <v>1</v>
      </c>
      <c r="C41" t="s">
        <v>232</v>
      </c>
      <c r="D41" t="s">
        <v>1568</v>
      </c>
      <c r="E41">
        <v>39</v>
      </c>
      <c r="F41">
        <v>503</v>
      </c>
      <c r="G41">
        <v>458</v>
      </c>
      <c r="H41">
        <v>416</v>
      </c>
      <c r="I41">
        <v>372</v>
      </c>
      <c r="J41">
        <v>399</v>
      </c>
      <c r="K41">
        <v>365</v>
      </c>
      <c r="L41">
        <v>409</v>
      </c>
      <c r="M41">
        <v>366</v>
      </c>
      <c r="N41">
        <v>369</v>
      </c>
      <c r="O41">
        <v>342</v>
      </c>
      <c r="P41">
        <v>368</v>
      </c>
      <c r="Q41">
        <v>354</v>
      </c>
      <c r="R41">
        <v>357</v>
      </c>
      <c r="S41">
        <v>401</v>
      </c>
      <c r="T41">
        <v>419</v>
      </c>
      <c r="U41">
        <v>447</v>
      </c>
      <c r="V41">
        <v>484</v>
      </c>
      <c r="W41">
        <v>481</v>
      </c>
      <c r="X41">
        <v>551</v>
      </c>
      <c r="Y41">
        <v>628</v>
      </c>
      <c r="Z41">
        <v>760</v>
      </c>
      <c r="AA41">
        <v>691</v>
      </c>
      <c r="AB41">
        <v>741</v>
      </c>
      <c r="AC41">
        <v>710</v>
      </c>
    </row>
    <row r="42" spans="1:29" x14ac:dyDescent="0.2">
      <c r="A42" t="s">
        <v>735</v>
      </c>
      <c r="B42">
        <v>1</v>
      </c>
      <c r="C42" t="s">
        <v>232</v>
      </c>
      <c r="D42" t="s">
        <v>1569</v>
      </c>
      <c r="E42">
        <v>40</v>
      </c>
      <c r="F42">
        <v>547</v>
      </c>
      <c r="G42">
        <v>529</v>
      </c>
      <c r="H42">
        <v>483</v>
      </c>
      <c r="I42">
        <v>465</v>
      </c>
      <c r="J42">
        <v>450</v>
      </c>
      <c r="K42">
        <v>412</v>
      </c>
      <c r="L42">
        <v>446</v>
      </c>
      <c r="M42">
        <v>416</v>
      </c>
      <c r="N42">
        <v>374</v>
      </c>
      <c r="O42">
        <v>381</v>
      </c>
      <c r="P42">
        <v>355</v>
      </c>
      <c r="Q42">
        <v>398</v>
      </c>
      <c r="R42">
        <v>390</v>
      </c>
      <c r="S42">
        <v>404</v>
      </c>
      <c r="T42">
        <v>417</v>
      </c>
      <c r="U42">
        <v>426</v>
      </c>
      <c r="V42">
        <v>515</v>
      </c>
      <c r="W42">
        <v>518</v>
      </c>
      <c r="X42">
        <v>512</v>
      </c>
      <c r="Y42">
        <v>681</v>
      </c>
      <c r="Z42">
        <v>734</v>
      </c>
      <c r="AA42">
        <v>732</v>
      </c>
      <c r="AB42">
        <v>725</v>
      </c>
      <c r="AC42">
        <v>751</v>
      </c>
    </row>
    <row r="43" spans="1:29" x14ac:dyDescent="0.2">
      <c r="A43" t="s">
        <v>735</v>
      </c>
      <c r="B43">
        <v>1</v>
      </c>
      <c r="C43" t="s">
        <v>232</v>
      </c>
      <c r="D43" t="s">
        <v>1570</v>
      </c>
      <c r="E43">
        <v>41</v>
      </c>
      <c r="F43">
        <v>612</v>
      </c>
      <c r="G43">
        <v>598</v>
      </c>
      <c r="H43">
        <v>572</v>
      </c>
      <c r="I43">
        <v>541</v>
      </c>
      <c r="J43">
        <v>481</v>
      </c>
      <c r="K43">
        <v>489</v>
      </c>
      <c r="L43">
        <v>463</v>
      </c>
      <c r="M43">
        <v>498</v>
      </c>
      <c r="N43">
        <v>454</v>
      </c>
      <c r="O43">
        <v>425</v>
      </c>
      <c r="P43">
        <v>387</v>
      </c>
      <c r="Q43">
        <v>393</v>
      </c>
      <c r="R43">
        <v>418</v>
      </c>
      <c r="S43">
        <v>435</v>
      </c>
      <c r="T43">
        <v>416</v>
      </c>
      <c r="U43">
        <v>466</v>
      </c>
      <c r="V43">
        <v>501</v>
      </c>
      <c r="W43">
        <v>533</v>
      </c>
      <c r="X43">
        <v>538</v>
      </c>
      <c r="Y43">
        <v>697</v>
      </c>
      <c r="Z43">
        <v>761</v>
      </c>
      <c r="AA43">
        <v>822</v>
      </c>
      <c r="AB43">
        <v>784</v>
      </c>
      <c r="AC43">
        <v>830</v>
      </c>
    </row>
    <row r="44" spans="1:29" x14ac:dyDescent="0.2">
      <c r="A44" t="s">
        <v>735</v>
      </c>
      <c r="B44">
        <v>1</v>
      </c>
      <c r="C44" t="s">
        <v>232</v>
      </c>
      <c r="D44" t="s">
        <v>1571</v>
      </c>
      <c r="E44">
        <v>42</v>
      </c>
      <c r="F44">
        <v>579</v>
      </c>
      <c r="G44">
        <v>626</v>
      </c>
      <c r="H44">
        <v>623</v>
      </c>
      <c r="I44">
        <v>624</v>
      </c>
      <c r="J44">
        <v>590</v>
      </c>
      <c r="K44">
        <v>524</v>
      </c>
      <c r="L44">
        <v>531</v>
      </c>
      <c r="M44">
        <v>518</v>
      </c>
      <c r="N44">
        <v>488</v>
      </c>
      <c r="O44">
        <v>492</v>
      </c>
      <c r="P44">
        <v>439</v>
      </c>
      <c r="Q44">
        <v>402</v>
      </c>
      <c r="R44">
        <v>411</v>
      </c>
      <c r="S44">
        <v>451</v>
      </c>
      <c r="T44">
        <v>446</v>
      </c>
      <c r="U44">
        <v>466</v>
      </c>
      <c r="V44">
        <v>522</v>
      </c>
      <c r="W44">
        <v>560</v>
      </c>
      <c r="X44">
        <v>571</v>
      </c>
      <c r="Y44">
        <v>722</v>
      </c>
      <c r="Z44">
        <v>758</v>
      </c>
      <c r="AA44">
        <v>732</v>
      </c>
      <c r="AB44">
        <v>775</v>
      </c>
      <c r="AC44">
        <v>777</v>
      </c>
    </row>
    <row r="45" spans="1:29" x14ac:dyDescent="0.2">
      <c r="A45" t="s">
        <v>735</v>
      </c>
      <c r="B45">
        <v>1</v>
      </c>
      <c r="C45" t="s">
        <v>232</v>
      </c>
      <c r="D45" t="s">
        <v>1572</v>
      </c>
      <c r="E45">
        <v>43</v>
      </c>
      <c r="F45">
        <v>669</v>
      </c>
      <c r="G45">
        <v>664</v>
      </c>
      <c r="H45">
        <v>682</v>
      </c>
      <c r="I45">
        <v>653</v>
      </c>
      <c r="J45">
        <v>677</v>
      </c>
      <c r="K45">
        <v>604</v>
      </c>
      <c r="L45">
        <v>534</v>
      </c>
      <c r="M45">
        <v>541</v>
      </c>
      <c r="N45">
        <v>473</v>
      </c>
      <c r="O45">
        <v>538</v>
      </c>
      <c r="P45">
        <v>533</v>
      </c>
      <c r="Q45">
        <v>450</v>
      </c>
      <c r="R45">
        <v>451</v>
      </c>
      <c r="S45">
        <v>475</v>
      </c>
      <c r="T45">
        <v>513</v>
      </c>
      <c r="U45">
        <v>538</v>
      </c>
      <c r="V45">
        <v>537</v>
      </c>
      <c r="W45">
        <v>577</v>
      </c>
      <c r="X45">
        <v>621</v>
      </c>
      <c r="Y45">
        <v>751</v>
      </c>
      <c r="Z45">
        <v>829</v>
      </c>
      <c r="AA45">
        <v>809</v>
      </c>
      <c r="AB45">
        <v>819</v>
      </c>
      <c r="AC45">
        <v>837</v>
      </c>
    </row>
    <row r="46" spans="1:29" x14ac:dyDescent="0.2">
      <c r="A46" t="s">
        <v>735</v>
      </c>
      <c r="B46">
        <v>1</v>
      </c>
      <c r="C46" t="s">
        <v>232</v>
      </c>
      <c r="D46" t="s">
        <v>1421</v>
      </c>
      <c r="E46">
        <v>44</v>
      </c>
      <c r="F46">
        <v>749</v>
      </c>
      <c r="G46">
        <v>764</v>
      </c>
      <c r="H46">
        <v>735</v>
      </c>
      <c r="I46">
        <v>740</v>
      </c>
      <c r="J46">
        <v>688</v>
      </c>
      <c r="K46">
        <v>709</v>
      </c>
      <c r="L46">
        <v>617</v>
      </c>
      <c r="M46">
        <v>555</v>
      </c>
      <c r="N46">
        <v>604</v>
      </c>
      <c r="O46">
        <v>542</v>
      </c>
      <c r="P46">
        <v>580</v>
      </c>
      <c r="Q46">
        <v>540</v>
      </c>
      <c r="R46">
        <v>509</v>
      </c>
      <c r="S46">
        <v>523</v>
      </c>
      <c r="T46">
        <v>525</v>
      </c>
      <c r="U46">
        <v>548</v>
      </c>
      <c r="V46">
        <v>575</v>
      </c>
      <c r="W46">
        <v>563</v>
      </c>
      <c r="X46">
        <v>631</v>
      </c>
      <c r="Y46">
        <v>768</v>
      </c>
      <c r="Z46">
        <v>787</v>
      </c>
      <c r="AA46">
        <v>846</v>
      </c>
      <c r="AB46">
        <v>815</v>
      </c>
      <c r="AC46">
        <v>837</v>
      </c>
    </row>
    <row r="47" spans="1:29" x14ac:dyDescent="0.2">
      <c r="A47" t="s">
        <v>735</v>
      </c>
      <c r="B47">
        <v>1</v>
      </c>
      <c r="C47" t="s">
        <v>232</v>
      </c>
      <c r="D47" t="s">
        <v>1573</v>
      </c>
      <c r="E47">
        <v>45</v>
      </c>
      <c r="F47">
        <v>848</v>
      </c>
      <c r="G47">
        <v>799</v>
      </c>
      <c r="H47">
        <v>805</v>
      </c>
      <c r="I47">
        <v>801</v>
      </c>
      <c r="J47">
        <v>816</v>
      </c>
      <c r="K47">
        <v>771</v>
      </c>
      <c r="L47">
        <v>746</v>
      </c>
      <c r="M47">
        <v>689</v>
      </c>
      <c r="N47">
        <v>649</v>
      </c>
      <c r="O47">
        <v>583</v>
      </c>
      <c r="P47">
        <v>557</v>
      </c>
      <c r="Q47">
        <v>595</v>
      </c>
      <c r="R47">
        <v>574</v>
      </c>
      <c r="S47">
        <v>572</v>
      </c>
      <c r="T47">
        <v>584</v>
      </c>
      <c r="U47">
        <v>599</v>
      </c>
      <c r="V47">
        <v>611</v>
      </c>
      <c r="W47">
        <v>652</v>
      </c>
      <c r="X47">
        <v>639</v>
      </c>
      <c r="Y47">
        <v>763</v>
      </c>
      <c r="Z47">
        <v>828</v>
      </c>
      <c r="AA47">
        <v>877</v>
      </c>
      <c r="AB47">
        <v>893</v>
      </c>
      <c r="AC47">
        <v>893</v>
      </c>
    </row>
    <row r="48" spans="1:29" x14ac:dyDescent="0.2">
      <c r="A48" t="s">
        <v>735</v>
      </c>
      <c r="B48">
        <v>1</v>
      </c>
      <c r="C48" t="s">
        <v>232</v>
      </c>
      <c r="D48" t="s">
        <v>1574</v>
      </c>
      <c r="E48">
        <v>46</v>
      </c>
      <c r="F48">
        <v>829</v>
      </c>
      <c r="G48">
        <v>886</v>
      </c>
      <c r="H48">
        <v>860</v>
      </c>
      <c r="I48">
        <v>869</v>
      </c>
      <c r="J48">
        <v>834</v>
      </c>
      <c r="K48">
        <v>820</v>
      </c>
      <c r="L48">
        <v>812</v>
      </c>
      <c r="M48">
        <v>810</v>
      </c>
      <c r="N48">
        <v>726</v>
      </c>
      <c r="O48">
        <v>676</v>
      </c>
      <c r="P48">
        <v>686</v>
      </c>
      <c r="Q48">
        <v>660</v>
      </c>
      <c r="R48">
        <v>647</v>
      </c>
      <c r="S48">
        <v>683</v>
      </c>
      <c r="T48">
        <v>638</v>
      </c>
      <c r="U48">
        <v>622</v>
      </c>
      <c r="V48">
        <v>654</v>
      </c>
      <c r="W48">
        <v>646</v>
      </c>
      <c r="X48">
        <v>673</v>
      </c>
      <c r="Y48">
        <v>805</v>
      </c>
      <c r="Z48">
        <v>826</v>
      </c>
      <c r="AA48">
        <v>825</v>
      </c>
      <c r="AB48">
        <v>865</v>
      </c>
      <c r="AC48">
        <v>865</v>
      </c>
    </row>
    <row r="49" spans="1:29" x14ac:dyDescent="0.2">
      <c r="A49" t="s">
        <v>735</v>
      </c>
      <c r="B49">
        <v>1</v>
      </c>
      <c r="C49" t="s">
        <v>232</v>
      </c>
      <c r="D49" t="s">
        <v>1422</v>
      </c>
      <c r="E49">
        <v>47</v>
      </c>
      <c r="F49">
        <v>954</v>
      </c>
      <c r="G49">
        <v>974</v>
      </c>
      <c r="H49">
        <v>895</v>
      </c>
      <c r="I49">
        <v>927</v>
      </c>
      <c r="J49">
        <v>973</v>
      </c>
      <c r="K49">
        <v>915</v>
      </c>
      <c r="L49">
        <v>938</v>
      </c>
      <c r="M49">
        <v>904</v>
      </c>
      <c r="N49">
        <v>914</v>
      </c>
      <c r="O49">
        <v>769</v>
      </c>
      <c r="P49">
        <v>739</v>
      </c>
      <c r="Q49">
        <v>728</v>
      </c>
      <c r="R49">
        <v>681</v>
      </c>
      <c r="S49">
        <v>767</v>
      </c>
      <c r="T49">
        <v>728</v>
      </c>
      <c r="U49">
        <v>714</v>
      </c>
      <c r="V49">
        <v>688</v>
      </c>
      <c r="W49">
        <v>693</v>
      </c>
      <c r="X49">
        <v>686</v>
      </c>
      <c r="Y49">
        <v>851</v>
      </c>
      <c r="Z49">
        <v>926</v>
      </c>
      <c r="AA49">
        <v>878</v>
      </c>
      <c r="AB49">
        <v>929</v>
      </c>
      <c r="AC49">
        <v>960</v>
      </c>
    </row>
    <row r="50" spans="1:29" x14ac:dyDescent="0.2">
      <c r="A50" t="s">
        <v>735</v>
      </c>
      <c r="B50">
        <v>1</v>
      </c>
      <c r="C50" t="s">
        <v>232</v>
      </c>
      <c r="D50" t="s">
        <v>1575</v>
      </c>
      <c r="E50">
        <v>48</v>
      </c>
      <c r="F50">
        <v>962</v>
      </c>
      <c r="G50">
        <v>1008</v>
      </c>
      <c r="H50">
        <v>1030</v>
      </c>
      <c r="I50">
        <v>1071</v>
      </c>
      <c r="J50">
        <v>1094</v>
      </c>
      <c r="K50">
        <v>937</v>
      </c>
      <c r="L50">
        <v>1094</v>
      </c>
      <c r="M50">
        <v>1023</v>
      </c>
      <c r="N50">
        <v>949</v>
      </c>
      <c r="O50">
        <v>973</v>
      </c>
      <c r="P50">
        <v>843</v>
      </c>
      <c r="Q50">
        <v>827</v>
      </c>
      <c r="R50">
        <v>793</v>
      </c>
      <c r="S50">
        <v>812</v>
      </c>
      <c r="T50">
        <v>816</v>
      </c>
      <c r="U50">
        <v>823</v>
      </c>
      <c r="V50">
        <v>771</v>
      </c>
      <c r="W50">
        <v>742</v>
      </c>
      <c r="X50">
        <v>729</v>
      </c>
      <c r="Y50">
        <v>941</v>
      </c>
      <c r="Z50">
        <v>969</v>
      </c>
      <c r="AA50">
        <v>1011</v>
      </c>
      <c r="AB50">
        <v>1016</v>
      </c>
      <c r="AC50">
        <v>1012</v>
      </c>
    </row>
    <row r="51" spans="1:29" x14ac:dyDescent="0.2">
      <c r="A51" t="s">
        <v>735</v>
      </c>
      <c r="B51">
        <v>1</v>
      </c>
      <c r="C51" t="s">
        <v>232</v>
      </c>
      <c r="D51" t="s">
        <v>1576</v>
      </c>
      <c r="E51">
        <v>49</v>
      </c>
      <c r="F51">
        <v>1045</v>
      </c>
      <c r="G51">
        <v>1128</v>
      </c>
      <c r="H51">
        <v>1127</v>
      </c>
      <c r="I51">
        <v>1137</v>
      </c>
      <c r="J51">
        <v>1084</v>
      </c>
      <c r="K51">
        <v>1153</v>
      </c>
      <c r="L51">
        <v>1159</v>
      </c>
      <c r="M51">
        <v>1120</v>
      </c>
      <c r="N51">
        <v>1119</v>
      </c>
      <c r="O51">
        <v>1060</v>
      </c>
      <c r="P51">
        <v>995</v>
      </c>
      <c r="Q51">
        <v>901</v>
      </c>
      <c r="R51">
        <v>811</v>
      </c>
      <c r="S51">
        <v>851</v>
      </c>
      <c r="T51">
        <v>783</v>
      </c>
      <c r="U51">
        <v>836</v>
      </c>
      <c r="V51">
        <v>875</v>
      </c>
      <c r="W51">
        <v>848</v>
      </c>
      <c r="X51">
        <v>840</v>
      </c>
      <c r="Y51">
        <v>936</v>
      </c>
      <c r="Z51">
        <v>997</v>
      </c>
      <c r="AA51">
        <v>1046</v>
      </c>
      <c r="AB51">
        <v>1008</v>
      </c>
      <c r="AC51">
        <v>1021</v>
      </c>
    </row>
    <row r="52" spans="1:29" x14ac:dyDescent="0.2">
      <c r="A52" t="s">
        <v>735</v>
      </c>
      <c r="B52">
        <v>1</v>
      </c>
      <c r="C52" t="s">
        <v>232</v>
      </c>
      <c r="D52" t="s">
        <v>1577</v>
      </c>
      <c r="E52">
        <v>50</v>
      </c>
      <c r="F52">
        <v>1113</v>
      </c>
      <c r="G52">
        <v>1097</v>
      </c>
      <c r="H52">
        <v>1159</v>
      </c>
      <c r="I52">
        <v>1175</v>
      </c>
      <c r="J52">
        <v>1197</v>
      </c>
      <c r="K52">
        <v>1170</v>
      </c>
      <c r="L52">
        <v>1264</v>
      </c>
      <c r="M52">
        <v>1185</v>
      </c>
      <c r="N52">
        <v>1142</v>
      </c>
      <c r="O52">
        <v>1220</v>
      </c>
      <c r="P52">
        <v>1118</v>
      </c>
      <c r="Q52">
        <v>1087</v>
      </c>
      <c r="R52">
        <v>1037</v>
      </c>
      <c r="S52">
        <v>958</v>
      </c>
      <c r="T52">
        <v>903</v>
      </c>
      <c r="U52">
        <v>937</v>
      </c>
      <c r="V52">
        <v>938</v>
      </c>
      <c r="W52">
        <v>923</v>
      </c>
      <c r="X52">
        <v>923</v>
      </c>
      <c r="Y52">
        <v>1002</v>
      </c>
      <c r="Z52">
        <v>1010</v>
      </c>
      <c r="AA52">
        <v>1021</v>
      </c>
      <c r="AB52">
        <v>989</v>
      </c>
      <c r="AC52">
        <v>1001</v>
      </c>
    </row>
    <row r="53" spans="1:29" x14ac:dyDescent="0.2">
      <c r="A53" t="s">
        <v>735</v>
      </c>
      <c r="B53">
        <v>1</v>
      </c>
      <c r="C53" t="s">
        <v>232</v>
      </c>
      <c r="D53" t="s">
        <v>1423</v>
      </c>
      <c r="E53">
        <v>51</v>
      </c>
      <c r="F53">
        <v>1266</v>
      </c>
      <c r="G53">
        <v>1211</v>
      </c>
      <c r="H53">
        <v>1347</v>
      </c>
      <c r="I53">
        <v>1283</v>
      </c>
      <c r="J53">
        <v>1272</v>
      </c>
      <c r="K53">
        <v>1317</v>
      </c>
      <c r="L53">
        <v>1241</v>
      </c>
      <c r="M53">
        <v>1268</v>
      </c>
      <c r="N53">
        <v>1286</v>
      </c>
      <c r="O53">
        <v>1194</v>
      </c>
      <c r="P53">
        <v>1201</v>
      </c>
      <c r="Q53">
        <v>1204</v>
      </c>
      <c r="R53">
        <v>1173</v>
      </c>
      <c r="S53">
        <v>1075</v>
      </c>
      <c r="T53">
        <v>1022</v>
      </c>
      <c r="U53">
        <v>1020</v>
      </c>
      <c r="V53">
        <v>1075</v>
      </c>
      <c r="W53">
        <v>1041</v>
      </c>
      <c r="X53">
        <v>1030</v>
      </c>
      <c r="Y53">
        <v>1166</v>
      </c>
      <c r="Z53">
        <v>1152</v>
      </c>
      <c r="AA53">
        <v>1091</v>
      </c>
      <c r="AB53">
        <v>1132</v>
      </c>
      <c r="AC53">
        <v>1111</v>
      </c>
    </row>
    <row r="54" spans="1:29" x14ac:dyDescent="0.2">
      <c r="A54" t="s">
        <v>735</v>
      </c>
      <c r="B54">
        <v>1</v>
      </c>
      <c r="C54" t="s">
        <v>232</v>
      </c>
      <c r="D54" t="s">
        <v>1578</v>
      </c>
      <c r="E54">
        <v>52</v>
      </c>
      <c r="F54">
        <v>1310</v>
      </c>
      <c r="G54">
        <v>1402</v>
      </c>
      <c r="H54">
        <v>1422</v>
      </c>
      <c r="I54">
        <v>1358</v>
      </c>
      <c r="J54">
        <v>1397</v>
      </c>
      <c r="K54">
        <v>1500</v>
      </c>
      <c r="L54">
        <v>1409</v>
      </c>
      <c r="M54">
        <v>1473</v>
      </c>
      <c r="N54">
        <v>1406</v>
      </c>
      <c r="O54">
        <v>1404</v>
      </c>
      <c r="P54">
        <v>1389</v>
      </c>
      <c r="Q54">
        <v>1363</v>
      </c>
      <c r="R54">
        <v>1303</v>
      </c>
      <c r="S54">
        <v>1262</v>
      </c>
      <c r="T54">
        <v>1189</v>
      </c>
      <c r="U54">
        <v>1126</v>
      </c>
      <c r="V54">
        <v>1146</v>
      </c>
      <c r="W54">
        <v>1107</v>
      </c>
      <c r="X54">
        <v>1125</v>
      </c>
      <c r="Y54">
        <v>1287</v>
      </c>
      <c r="Z54">
        <v>1260</v>
      </c>
      <c r="AA54">
        <v>1189</v>
      </c>
      <c r="AB54">
        <v>1186</v>
      </c>
      <c r="AC54">
        <v>1207</v>
      </c>
    </row>
    <row r="55" spans="1:29" x14ac:dyDescent="0.2">
      <c r="A55" t="s">
        <v>735</v>
      </c>
      <c r="B55">
        <v>1</v>
      </c>
      <c r="C55" t="s">
        <v>232</v>
      </c>
      <c r="D55" t="s">
        <v>1579</v>
      </c>
      <c r="E55">
        <v>53</v>
      </c>
      <c r="F55">
        <v>1358</v>
      </c>
      <c r="G55">
        <v>1397</v>
      </c>
      <c r="H55">
        <v>1429</v>
      </c>
      <c r="I55">
        <v>1472</v>
      </c>
      <c r="J55">
        <v>1474</v>
      </c>
      <c r="K55">
        <v>1501</v>
      </c>
      <c r="L55">
        <v>1544</v>
      </c>
      <c r="M55">
        <v>1551</v>
      </c>
      <c r="N55">
        <v>1490</v>
      </c>
      <c r="O55">
        <v>1483</v>
      </c>
      <c r="P55">
        <v>1431</v>
      </c>
      <c r="Q55">
        <v>1493</v>
      </c>
      <c r="R55">
        <v>1404</v>
      </c>
      <c r="S55">
        <v>1421</v>
      </c>
      <c r="T55">
        <v>1415</v>
      </c>
      <c r="U55">
        <v>1243</v>
      </c>
      <c r="V55">
        <v>1262</v>
      </c>
      <c r="W55">
        <v>1221</v>
      </c>
      <c r="X55">
        <v>1252</v>
      </c>
      <c r="Y55">
        <v>1382</v>
      </c>
      <c r="Z55">
        <v>1442</v>
      </c>
      <c r="AA55">
        <v>1327</v>
      </c>
      <c r="AB55">
        <v>1296</v>
      </c>
      <c r="AC55">
        <v>1243</v>
      </c>
    </row>
    <row r="56" spans="1:29" x14ac:dyDescent="0.2">
      <c r="A56" t="s">
        <v>735</v>
      </c>
      <c r="B56">
        <v>1</v>
      </c>
      <c r="C56" t="s">
        <v>232</v>
      </c>
      <c r="D56" t="s">
        <v>1424</v>
      </c>
      <c r="E56">
        <v>54</v>
      </c>
      <c r="F56">
        <v>1465</v>
      </c>
      <c r="G56">
        <v>1445</v>
      </c>
      <c r="H56">
        <v>1480</v>
      </c>
      <c r="I56">
        <v>1567</v>
      </c>
      <c r="J56">
        <v>1592</v>
      </c>
      <c r="K56">
        <v>1553</v>
      </c>
      <c r="L56">
        <v>1654</v>
      </c>
      <c r="M56">
        <v>1714</v>
      </c>
      <c r="N56">
        <v>1626</v>
      </c>
      <c r="O56">
        <v>1624</v>
      </c>
      <c r="P56">
        <v>1674</v>
      </c>
      <c r="Q56">
        <v>1643</v>
      </c>
      <c r="R56">
        <v>1618</v>
      </c>
      <c r="S56">
        <v>1551</v>
      </c>
      <c r="T56">
        <v>1606</v>
      </c>
      <c r="U56">
        <v>1488</v>
      </c>
      <c r="V56">
        <v>1369</v>
      </c>
      <c r="W56">
        <v>1324</v>
      </c>
      <c r="X56">
        <v>1313</v>
      </c>
      <c r="Y56">
        <v>1409</v>
      </c>
      <c r="Z56">
        <v>1573</v>
      </c>
      <c r="AA56">
        <v>1525</v>
      </c>
      <c r="AB56">
        <v>1461</v>
      </c>
      <c r="AC56">
        <v>1387</v>
      </c>
    </row>
    <row r="57" spans="1:29" x14ac:dyDescent="0.2">
      <c r="A57" t="s">
        <v>735</v>
      </c>
      <c r="B57">
        <v>1</v>
      </c>
      <c r="C57" t="s">
        <v>232</v>
      </c>
      <c r="D57" t="s">
        <v>1425</v>
      </c>
      <c r="E57">
        <v>55</v>
      </c>
      <c r="F57">
        <v>1539</v>
      </c>
      <c r="G57">
        <v>1553</v>
      </c>
      <c r="H57">
        <v>1707</v>
      </c>
      <c r="I57">
        <v>1628</v>
      </c>
      <c r="J57">
        <v>1628</v>
      </c>
      <c r="K57">
        <v>1721</v>
      </c>
      <c r="L57">
        <v>1824</v>
      </c>
      <c r="M57">
        <v>1718</v>
      </c>
      <c r="N57">
        <v>1726</v>
      </c>
      <c r="O57">
        <v>1726</v>
      </c>
      <c r="P57">
        <v>1702</v>
      </c>
      <c r="Q57">
        <v>1676</v>
      </c>
      <c r="R57">
        <v>1687</v>
      </c>
      <c r="S57">
        <v>1707</v>
      </c>
      <c r="T57">
        <v>1733</v>
      </c>
      <c r="U57">
        <v>1792</v>
      </c>
      <c r="V57">
        <v>1703</v>
      </c>
      <c r="W57">
        <v>1495</v>
      </c>
      <c r="X57">
        <v>1485</v>
      </c>
      <c r="Y57">
        <v>1578</v>
      </c>
      <c r="Z57">
        <v>1635</v>
      </c>
      <c r="AA57">
        <v>1562</v>
      </c>
      <c r="AB57">
        <v>1578</v>
      </c>
      <c r="AC57">
        <v>1500</v>
      </c>
    </row>
    <row r="58" spans="1:29" x14ac:dyDescent="0.2">
      <c r="A58" t="s">
        <v>735</v>
      </c>
      <c r="B58">
        <v>1</v>
      </c>
      <c r="C58" t="s">
        <v>232</v>
      </c>
      <c r="D58" t="s">
        <v>1426</v>
      </c>
      <c r="E58">
        <v>56</v>
      </c>
      <c r="F58">
        <v>1678</v>
      </c>
      <c r="G58">
        <v>1727</v>
      </c>
      <c r="H58">
        <v>1627</v>
      </c>
      <c r="I58">
        <v>1696</v>
      </c>
      <c r="J58">
        <v>1782</v>
      </c>
      <c r="K58">
        <v>1779</v>
      </c>
      <c r="L58">
        <v>1888</v>
      </c>
      <c r="M58">
        <v>1931</v>
      </c>
      <c r="N58">
        <v>1900</v>
      </c>
      <c r="O58">
        <v>1988</v>
      </c>
      <c r="P58">
        <v>1872</v>
      </c>
      <c r="Q58">
        <v>1878</v>
      </c>
      <c r="R58">
        <v>1883</v>
      </c>
      <c r="S58">
        <v>1872</v>
      </c>
      <c r="T58">
        <v>1857</v>
      </c>
      <c r="U58">
        <v>1975</v>
      </c>
      <c r="V58">
        <v>1978</v>
      </c>
      <c r="W58">
        <v>1814</v>
      </c>
      <c r="X58">
        <v>1680</v>
      </c>
      <c r="Y58">
        <v>1728</v>
      </c>
      <c r="Z58">
        <v>1701</v>
      </c>
      <c r="AA58">
        <v>1668</v>
      </c>
      <c r="AB58">
        <v>1657</v>
      </c>
      <c r="AC58">
        <v>1662</v>
      </c>
    </row>
    <row r="59" spans="1:29" x14ac:dyDescent="0.2">
      <c r="A59" t="s">
        <v>735</v>
      </c>
      <c r="B59">
        <v>1</v>
      </c>
      <c r="C59" t="s">
        <v>232</v>
      </c>
      <c r="D59" t="s">
        <v>1427</v>
      </c>
      <c r="E59">
        <v>57</v>
      </c>
      <c r="F59">
        <v>1895</v>
      </c>
      <c r="G59">
        <v>1815</v>
      </c>
      <c r="H59">
        <v>1845</v>
      </c>
      <c r="I59">
        <v>1804</v>
      </c>
      <c r="J59">
        <v>1839</v>
      </c>
      <c r="K59">
        <v>1887</v>
      </c>
      <c r="L59">
        <v>2006</v>
      </c>
      <c r="M59">
        <v>1903</v>
      </c>
      <c r="N59">
        <v>2053</v>
      </c>
      <c r="O59">
        <v>2006</v>
      </c>
      <c r="P59">
        <v>2065</v>
      </c>
      <c r="Q59">
        <v>1979</v>
      </c>
      <c r="R59">
        <v>2048</v>
      </c>
      <c r="S59">
        <v>2016</v>
      </c>
      <c r="T59">
        <v>2163</v>
      </c>
      <c r="U59">
        <v>1996</v>
      </c>
      <c r="V59">
        <v>2010</v>
      </c>
      <c r="W59">
        <v>2035</v>
      </c>
      <c r="X59">
        <v>1966</v>
      </c>
      <c r="Y59">
        <v>2069</v>
      </c>
      <c r="Z59">
        <v>1910</v>
      </c>
      <c r="AA59">
        <v>1852</v>
      </c>
      <c r="AB59">
        <v>1849</v>
      </c>
      <c r="AC59">
        <v>1804</v>
      </c>
    </row>
    <row r="60" spans="1:29" x14ac:dyDescent="0.2">
      <c r="A60" t="s">
        <v>735</v>
      </c>
      <c r="B60">
        <v>1</v>
      </c>
      <c r="C60" t="s">
        <v>232</v>
      </c>
      <c r="D60" t="s">
        <v>1428</v>
      </c>
      <c r="E60">
        <v>58</v>
      </c>
      <c r="F60">
        <v>1775</v>
      </c>
      <c r="G60">
        <v>2052</v>
      </c>
      <c r="H60">
        <v>1966</v>
      </c>
      <c r="I60">
        <v>1996</v>
      </c>
      <c r="J60">
        <v>1969</v>
      </c>
      <c r="K60">
        <v>1935</v>
      </c>
      <c r="L60">
        <v>2013</v>
      </c>
      <c r="M60">
        <v>2064</v>
      </c>
      <c r="N60">
        <v>2117</v>
      </c>
      <c r="O60">
        <v>2147</v>
      </c>
      <c r="P60">
        <v>2114</v>
      </c>
      <c r="Q60">
        <v>2186</v>
      </c>
      <c r="R60">
        <v>2217</v>
      </c>
      <c r="S60">
        <v>2212</v>
      </c>
      <c r="T60">
        <v>2162</v>
      </c>
      <c r="U60">
        <v>2260</v>
      </c>
      <c r="V60">
        <v>2203</v>
      </c>
      <c r="W60">
        <v>2220</v>
      </c>
      <c r="X60">
        <v>2262</v>
      </c>
      <c r="Y60">
        <v>2271</v>
      </c>
      <c r="Z60">
        <v>2140</v>
      </c>
      <c r="AA60">
        <v>2131</v>
      </c>
      <c r="AB60">
        <v>1996</v>
      </c>
      <c r="AC60">
        <v>1948</v>
      </c>
    </row>
    <row r="61" spans="1:29" x14ac:dyDescent="0.2">
      <c r="A61" t="s">
        <v>735</v>
      </c>
      <c r="B61">
        <v>1</v>
      </c>
      <c r="C61" t="s">
        <v>232</v>
      </c>
      <c r="D61" t="s">
        <v>1429</v>
      </c>
      <c r="E61">
        <v>59</v>
      </c>
      <c r="F61">
        <v>1876</v>
      </c>
      <c r="G61">
        <v>1886</v>
      </c>
      <c r="H61">
        <v>2209</v>
      </c>
      <c r="I61">
        <v>2196</v>
      </c>
      <c r="J61">
        <v>2131</v>
      </c>
      <c r="K61">
        <v>2122</v>
      </c>
      <c r="L61">
        <v>2237</v>
      </c>
      <c r="M61">
        <v>2193</v>
      </c>
      <c r="N61">
        <v>2100</v>
      </c>
      <c r="O61">
        <v>2349</v>
      </c>
      <c r="P61">
        <v>2285</v>
      </c>
      <c r="Q61">
        <v>2373</v>
      </c>
      <c r="R61">
        <v>2428</v>
      </c>
      <c r="S61">
        <v>2448</v>
      </c>
      <c r="T61">
        <v>2396</v>
      </c>
      <c r="U61">
        <v>2434</v>
      </c>
      <c r="V61">
        <v>2466</v>
      </c>
      <c r="W61">
        <v>2322</v>
      </c>
      <c r="X61">
        <v>2401</v>
      </c>
      <c r="Y61">
        <v>2580</v>
      </c>
      <c r="Z61">
        <v>2565</v>
      </c>
      <c r="AA61">
        <v>2322</v>
      </c>
      <c r="AB61">
        <v>2145</v>
      </c>
      <c r="AC61">
        <v>2110</v>
      </c>
    </row>
    <row r="62" spans="1:29" x14ac:dyDescent="0.2">
      <c r="A62" t="s">
        <v>735</v>
      </c>
      <c r="B62">
        <v>1</v>
      </c>
      <c r="C62" t="s">
        <v>232</v>
      </c>
      <c r="D62" t="s">
        <v>1580</v>
      </c>
      <c r="E62">
        <v>60</v>
      </c>
      <c r="F62">
        <v>1936</v>
      </c>
      <c r="G62">
        <v>1955</v>
      </c>
      <c r="H62">
        <v>2009</v>
      </c>
      <c r="I62">
        <v>2327</v>
      </c>
      <c r="J62">
        <v>2218</v>
      </c>
      <c r="K62">
        <v>2288</v>
      </c>
      <c r="L62">
        <v>2309</v>
      </c>
      <c r="M62">
        <v>2418</v>
      </c>
      <c r="N62">
        <v>2231</v>
      </c>
      <c r="O62">
        <v>2301</v>
      </c>
      <c r="P62">
        <v>2449</v>
      </c>
      <c r="Q62">
        <v>2417</v>
      </c>
      <c r="R62">
        <v>2399</v>
      </c>
      <c r="S62">
        <v>2618</v>
      </c>
      <c r="T62">
        <v>2611</v>
      </c>
      <c r="U62">
        <v>2587</v>
      </c>
      <c r="V62">
        <v>2575</v>
      </c>
      <c r="W62">
        <v>2647</v>
      </c>
      <c r="X62">
        <v>2697</v>
      </c>
      <c r="Y62">
        <v>2786</v>
      </c>
      <c r="Z62">
        <v>2762</v>
      </c>
      <c r="AA62">
        <v>2730</v>
      </c>
      <c r="AB62">
        <v>2434</v>
      </c>
      <c r="AC62">
        <v>2332</v>
      </c>
    </row>
    <row r="63" spans="1:29" x14ac:dyDescent="0.2">
      <c r="A63" t="s">
        <v>735</v>
      </c>
      <c r="B63">
        <v>1</v>
      </c>
      <c r="C63" t="s">
        <v>232</v>
      </c>
      <c r="D63" t="s">
        <v>1581</v>
      </c>
      <c r="E63">
        <v>61</v>
      </c>
      <c r="F63">
        <v>2149</v>
      </c>
      <c r="G63">
        <v>2094</v>
      </c>
      <c r="H63">
        <v>2189</v>
      </c>
      <c r="I63">
        <v>2279</v>
      </c>
      <c r="J63">
        <v>2442</v>
      </c>
      <c r="K63">
        <v>2433</v>
      </c>
      <c r="L63">
        <v>2390</v>
      </c>
      <c r="M63">
        <v>2359</v>
      </c>
      <c r="N63">
        <v>2442</v>
      </c>
      <c r="O63">
        <v>2535</v>
      </c>
      <c r="P63">
        <v>2530</v>
      </c>
      <c r="Q63">
        <v>2683</v>
      </c>
      <c r="R63">
        <v>2727</v>
      </c>
      <c r="S63">
        <v>2683</v>
      </c>
      <c r="T63">
        <v>2843</v>
      </c>
      <c r="U63">
        <v>2749</v>
      </c>
      <c r="V63">
        <v>2855</v>
      </c>
      <c r="W63">
        <v>2870</v>
      </c>
      <c r="X63">
        <v>2835</v>
      </c>
      <c r="Y63">
        <v>3122</v>
      </c>
      <c r="Z63">
        <v>3044</v>
      </c>
      <c r="AA63">
        <v>3003</v>
      </c>
      <c r="AB63">
        <v>2823</v>
      </c>
      <c r="AC63">
        <v>2585</v>
      </c>
    </row>
    <row r="64" spans="1:29" x14ac:dyDescent="0.2">
      <c r="A64" t="s">
        <v>735</v>
      </c>
      <c r="B64">
        <v>1</v>
      </c>
      <c r="C64" t="s">
        <v>232</v>
      </c>
      <c r="D64" t="s">
        <v>1582</v>
      </c>
      <c r="E64">
        <v>62</v>
      </c>
      <c r="F64">
        <v>2116</v>
      </c>
      <c r="G64">
        <v>2359</v>
      </c>
      <c r="H64">
        <v>2373</v>
      </c>
      <c r="I64">
        <v>2281</v>
      </c>
      <c r="J64">
        <v>2300</v>
      </c>
      <c r="K64">
        <v>2709</v>
      </c>
      <c r="L64">
        <v>2704</v>
      </c>
      <c r="M64">
        <v>2628</v>
      </c>
      <c r="N64">
        <v>2553</v>
      </c>
      <c r="O64">
        <v>2609</v>
      </c>
      <c r="P64">
        <v>2615</v>
      </c>
      <c r="Q64">
        <v>2662</v>
      </c>
      <c r="R64">
        <v>2794</v>
      </c>
      <c r="S64">
        <v>2960</v>
      </c>
      <c r="T64">
        <v>2917</v>
      </c>
      <c r="U64">
        <v>2916</v>
      </c>
      <c r="V64">
        <v>3082</v>
      </c>
      <c r="W64">
        <v>3021</v>
      </c>
      <c r="X64">
        <v>3135</v>
      </c>
      <c r="Y64">
        <v>3411</v>
      </c>
      <c r="Z64">
        <v>3246</v>
      </c>
      <c r="AA64">
        <v>3318</v>
      </c>
      <c r="AB64">
        <v>3176</v>
      </c>
      <c r="AC64">
        <v>3054</v>
      </c>
    </row>
    <row r="65" spans="1:29" x14ac:dyDescent="0.2">
      <c r="A65" t="s">
        <v>735</v>
      </c>
      <c r="B65">
        <v>1</v>
      </c>
      <c r="C65" t="s">
        <v>232</v>
      </c>
      <c r="D65" t="s">
        <v>1583</v>
      </c>
      <c r="E65">
        <v>63</v>
      </c>
      <c r="F65">
        <v>2258</v>
      </c>
      <c r="G65">
        <v>2372</v>
      </c>
      <c r="H65">
        <v>2504</v>
      </c>
      <c r="I65">
        <v>2462</v>
      </c>
      <c r="J65">
        <v>2421</v>
      </c>
      <c r="K65">
        <v>2565</v>
      </c>
      <c r="L65">
        <v>2999</v>
      </c>
      <c r="M65">
        <v>2808</v>
      </c>
      <c r="N65">
        <v>2777</v>
      </c>
      <c r="O65">
        <v>2789</v>
      </c>
      <c r="P65">
        <v>2803</v>
      </c>
      <c r="Q65">
        <v>2873</v>
      </c>
      <c r="R65">
        <v>2894</v>
      </c>
      <c r="S65">
        <v>3072</v>
      </c>
      <c r="T65">
        <v>3196</v>
      </c>
      <c r="U65">
        <v>3144</v>
      </c>
      <c r="V65">
        <v>3234</v>
      </c>
      <c r="W65">
        <v>3250</v>
      </c>
      <c r="X65">
        <v>3370</v>
      </c>
      <c r="Y65">
        <v>3508</v>
      </c>
      <c r="Z65">
        <v>3604</v>
      </c>
      <c r="AA65">
        <v>3592</v>
      </c>
      <c r="AB65">
        <v>3495</v>
      </c>
      <c r="AC65">
        <v>3388</v>
      </c>
    </row>
    <row r="66" spans="1:29" x14ac:dyDescent="0.2">
      <c r="A66" t="s">
        <v>735</v>
      </c>
      <c r="B66">
        <v>1</v>
      </c>
      <c r="C66" t="s">
        <v>232</v>
      </c>
      <c r="D66" t="s">
        <v>1430</v>
      </c>
      <c r="E66">
        <v>64</v>
      </c>
      <c r="F66">
        <v>2363</v>
      </c>
      <c r="G66">
        <v>2553</v>
      </c>
      <c r="H66">
        <v>2522</v>
      </c>
      <c r="I66">
        <v>2625</v>
      </c>
      <c r="J66">
        <v>2564</v>
      </c>
      <c r="K66">
        <v>2600</v>
      </c>
      <c r="L66">
        <v>2674</v>
      </c>
      <c r="M66">
        <v>3010</v>
      </c>
      <c r="N66">
        <v>3031</v>
      </c>
      <c r="O66">
        <v>2943</v>
      </c>
      <c r="P66">
        <v>2902</v>
      </c>
      <c r="Q66">
        <v>2976</v>
      </c>
      <c r="R66">
        <v>3246</v>
      </c>
      <c r="S66">
        <v>3204</v>
      </c>
      <c r="T66">
        <v>3398</v>
      </c>
      <c r="U66">
        <v>3345</v>
      </c>
      <c r="V66">
        <v>3482</v>
      </c>
      <c r="W66">
        <v>3508</v>
      </c>
      <c r="X66">
        <v>3569</v>
      </c>
      <c r="Y66">
        <v>3714</v>
      </c>
      <c r="Z66">
        <v>3976</v>
      </c>
      <c r="AA66">
        <v>3936</v>
      </c>
      <c r="AB66">
        <v>3770</v>
      </c>
      <c r="AC66">
        <v>3749</v>
      </c>
    </row>
    <row r="67" spans="1:29" x14ac:dyDescent="0.2">
      <c r="A67" t="s">
        <v>735</v>
      </c>
      <c r="B67">
        <v>1</v>
      </c>
      <c r="C67" t="s">
        <v>232</v>
      </c>
      <c r="D67" t="s">
        <v>1431</v>
      </c>
      <c r="E67">
        <v>65</v>
      </c>
      <c r="F67">
        <v>2556</v>
      </c>
      <c r="G67">
        <v>2493</v>
      </c>
      <c r="H67">
        <v>2650</v>
      </c>
      <c r="I67">
        <v>2641</v>
      </c>
      <c r="J67">
        <v>2730</v>
      </c>
      <c r="K67">
        <v>2794</v>
      </c>
      <c r="L67">
        <v>2766</v>
      </c>
      <c r="M67">
        <v>2882</v>
      </c>
      <c r="N67">
        <v>3234</v>
      </c>
      <c r="O67">
        <v>3162</v>
      </c>
      <c r="P67">
        <v>3050</v>
      </c>
      <c r="Q67">
        <v>3156</v>
      </c>
      <c r="R67">
        <v>3167</v>
      </c>
      <c r="S67">
        <v>3391</v>
      </c>
      <c r="T67">
        <v>3387</v>
      </c>
      <c r="U67">
        <v>3557</v>
      </c>
      <c r="V67">
        <v>3694</v>
      </c>
      <c r="W67">
        <v>3578</v>
      </c>
      <c r="X67">
        <v>3838</v>
      </c>
      <c r="Y67">
        <v>3970</v>
      </c>
      <c r="Z67">
        <v>4069</v>
      </c>
      <c r="AA67">
        <v>4114</v>
      </c>
      <c r="AB67">
        <v>4051</v>
      </c>
      <c r="AC67">
        <v>4010</v>
      </c>
    </row>
    <row r="68" spans="1:29" x14ac:dyDescent="0.2">
      <c r="A68" t="s">
        <v>735</v>
      </c>
      <c r="B68">
        <v>1</v>
      </c>
      <c r="C68" t="s">
        <v>232</v>
      </c>
      <c r="D68" t="s">
        <v>1584</v>
      </c>
      <c r="E68">
        <v>66</v>
      </c>
      <c r="F68">
        <v>2685</v>
      </c>
      <c r="G68">
        <v>2766</v>
      </c>
      <c r="H68">
        <v>2708</v>
      </c>
      <c r="I68">
        <v>2825</v>
      </c>
      <c r="J68">
        <v>2884</v>
      </c>
      <c r="K68">
        <v>2987</v>
      </c>
      <c r="L68">
        <v>3013</v>
      </c>
      <c r="M68">
        <v>2898</v>
      </c>
      <c r="N68">
        <v>3033</v>
      </c>
      <c r="O68">
        <v>3488</v>
      </c>
      <c r="P68">
        <v>3382</v>
      </c>
      <c r="Q68">
        <v>3397</v>
      </c>
      <c r="R68">
        <v>3332</v>
      </c>
      <c r="S68">
        <v>3526</v>
      </c>
      <c r="T68">
        <v>3530</v>
      </c>
      <c r="U68">
        <v>3657</v>
      </c>
      <c r="V68">
        <v>3904</v>
      </c>
      <c r="W68">
        <v>3829</v>
      </c>
      <c r="X68">
        <v>3983</v>
      </c>
      <c r="Y68">
        <v>4084</v>
      </c>
      <c r="Z68">
        <v>4328</v>
      </c>
      <c r="AA68">
        <v>4429</v>
      </c>
      <c r="AB68">
        <v>4346</v>
      </c>
      <c r="AC68">
        <v>4266</v>
      </c>
    </row>
    <row r="69" spans="1:29" x14ac:dyDescent="0.2">
      <c r="A69" t="s">
        <v>735</v>
      </c>
      <c r="B69">
        <v>1</v>
      </c>
      <c r="C69" t="s">
        <v>232</v>
      </c>
      <c r="D69" t="s">
        <v>1585</v>
      </c>
      <c r="E69">
        <v>67</v>
      </c>
      <c r="F69">
        <v>2704</v>
      </c>
      <c r="G69">
        <v>2913</v>
      </c>
      <c r="H69">
        <v>3025</v>
      </c>
      <c r="I69">
        <v>2877</v>
      </c>
      <c r="J69">
        <v>2885</v>
      </c>
      <c r="K69">
        <v>3068</v>
      </c>
      <c r="L69">
        <v>3147</v>
      </c>
      <c r="M69">
        <v>3213</v>
      </c>
      <c r="N69">
        <v>3136</v>
      </c>
      <c r="O69">
        <v>3313</v>
      </c>
      <c r="P69">
        <v>3743</v>
      </c>
      <c r="Q69">
        <v>3609</v>
      </c>
      <c r="R69">
        <v>3687</v>
      </c>
      <c r="S69">
        <v>3820</v>
      </c>
      <c r="T69">
        <v>3805</v>
      </c>
      <c r="U69">
        <v>3866</v>
      </c>
      <c r="V69">
        <v>3880</v>
      </c>
      <c r="W69">
        <v>4010</v>
      </c>
      <c r="X69">
        <v>4199</v>
      </c>
      <c r="Y69">
        <v>4316</v>
      </c>
      <c r="Z69">
        <v>4753</v>
      </c>
      <c r="AA69">
        <v>4834</v>
      </c>
      <c r="AB69">
        <v>4680</v>
      </c>
      <c r="AC69">
        <v>4766</v>
      </c>
    </row>
    <row r="70" spans="1:29" x14ac:dyDescent="0.2">
      <c r="A70" t="s">
        <v>735</v>
      </c>
      <c r="B70">
        <v>1</v>
      </c>
      <c r="C70" t="s">
        <v>232</v>
      </c>
      <c r="D70" t="s">
        <v>557</v>
      </c>
      <c r="E70">
        <v>68</v>
      </c>
      <c r="F70">
        <v>3030</v>
      </c>
      <c r="G70">
        <v>3019</v>
      </c>
      <c r="H70">
        <v>3033</v>
      </c>
      <c r="I70">
        <v>3008</v>
      </c>
      <c r="J70">
        <v>2948</v>
      </c>
      <c r="K70">
        <v>3031</v>
      </c>
      <c r="L70">
        <v>3174</v>
      </c>
      <c r="M70">
        <v>3298</v>
      </c>
      <c r="N70">
        <v>3399</v>
      </c>
      <c r="O70">
        <v>3391</v>
      </c>
      <c r="P70">
        <v>3429</v>
      </c>
      <c r="Q70">
        <v>4057</v>
      </c>
      <c r="R70">
        <v>3972</v>
      </c>
      <c r="S70">
        <v>4089</v>
      </c>
      <c r="T70">
        <v>4057</v>
      </c>
      <c r="U70">
        <v>4137</v>
      </c>
      <c r="V70">
        <v>4127</v>
      </c>
      <c r="W70">
        <v>4210</v>
      </c>
      <c r="X70">
        <v>4557</v>
      </c>
      <c r="Y70">
        <v>4793</v>
      </c>
      <c r="Z70">
        <v>4914</v>
      </c>
      <c r="AA70">
        <v>5072</v>
      </c>
      <c r="AB70">
        <v>4971</v>
      </c>
      <c r="AC70">
        <v>4872</v>
      </c>
    </row>
    <row r="71" spans="1:29" x14ac:dyDescent="0.2">
      <c r="A71" t="s">
        <v>735</v>
      </c>
      <c r="B71">
        <v>1</v>
      </c>
      <c r="C71" t="s">
        <v>232</v>
      </c>
      <c r="D71" t="s">
        <v>1586</v>
      </c>
      <c r="E71">
        <v>69</v>
      </c>
      <c r="F71">
        <v>3370</v>
      </c>
      <c r="G71">
        <v>3267</v>
      </c>
      <c r="H71">
        <v>3199</v>
      </c>
      <c r="I71">
        <v>3122</v>
      </c>
      <c r="J71">
        <v>3181</v>
      </c>
      <c r="K71">
        <v>3251</v>
      </c>
      <c r="L71">
        <v>3357</v>
      </c>
      <c r="M71">
        <v>3363</v>
      </c>
      <c r="N71">
        <v>3482</v>
      </c>
      <c r="O71">
        <v>3577</v>
      </c>
      <c r="P71">
        <v>3525</v>
      </c>
      <c r="Q71">
        <v>3670</v>
      </c>
      <c r="R71">
        <v>4376</v>
      </c>
      <c r="S71">
        <v>4180</v>
      </c>
      <c r="T71">
        <v>4218</v>
      </c>
      <c r="U71">
        <v>4267</v>
      </c>
      <c r="V71">
        <v>4345</v>
      </c>
      <c r="W71">
        <v>4269</v>
      </c>
      <c r="X71">
        <v>4691</v>
      </c>
      <c r="Y71">
        <v>4896</v>
      </c>
      <c r="Z71">
        <v>4930</v>
      </c>
      <c r="AA71">
        <v>5326</v>
      </c>
      <c r="AB71">
        <v>5105</v>
      </c>
      <c r="AC71">
        <v>5222</v>
      </c>
    </row>
    <row r="72" spans="1:29" x14ac:dyDescent="0.2">
      <c r="A72" t="s">
        <v>735</v>
      </c>
      <c r="B72">
        <v>1</v>
      </c>
      <c r="C72" t="s">
        <v>232</v>
      </c>
      <c r="D72" t="s">
        <v>1587</v>
      </c>
      <c r="E72">
        <v>70</v>
      </c>
      <c r="F72">
        <v>3490</v>
      </c>
      <c r="G72">
        <v>3450</v>
      </c>
      <c r="H72">
        <v>3463</v>
      </c>
      <c r="I72">
        <v>3288</v>
      </c>
      <c r="J72">
        <v>3261</v>
      </c>
      <c r="K72">
        <v>3421</v>
      </c>
      <c r="L72">
        <v>3492</v>
      </c>
      <c r="M72">
        <v>3557</v>
      </c>
      <c r="N72">
        <v>3574</v>
      </c>
      <c r="O72">
        <v>3782</v>
      </c>
      <c r="P72">
        <v>3690</v>
      </c>
      <c r="Q72">
        <v>3822</v>
      </c>
      <c r="R72">
        <v>3916</v>
      </c>
      <c r="S72">
        <v>4665</v>
      </c>
      <c r="T72">
        <v>4493</v>
      </c>
      <c r="U72">
        <v>4561</v>
      </c>
      <c r="V72">
        <v>4508</v>
      </c>
      <c r="W72">
        <v>4581</v>
      </c>
      <c r="X72">
        <v>4726</v>
      </c>
      <c r="Y72">
        <v>4977</v>
      </c>
      <c r="Z72">
        <v>5507</v>
      </c>
      <c r="AA72">
        <v>5541</v>
      </c>
      <c r="AB72">
        <v>5471</v>
      </c>
      <c r="AC72">
        <v>5483</v>
      </c>
    </row>
    <row r="73" spans="1:29" x14ac:dyDescent="0.2">
      <c r="A73" t="s">
        <v>735</v>
      </c>
      <c r="B73">
        <v>1</v>
      </c>
      <c r="C73" t="s">
        <v>232</v>
      </c>
      <c r="D73" t="s">
        <v>1588</v>
      </c>
      <c r="E73">
        <v>71</v>
      </c>
      <c r="F73">
        <v>3977</v>
      </c>
      <c r="G73">
        <v>3705</v>
      </c>
      <c r="H73">
        <v>3693</v>
      </c>
      <c r="I73">
        <v>3628</v>
      </c>
      <c r="J73">
        <v>3501</v>
      </c>
      <c r="K73">
        <v>3695</v>
      </c>
      <c r="L73">
        <v>3691</v>
      </c>
      <c r="M73">
        <v>3619</v>
      </c>
      <c r="N73">
        <v>3748</v>
      </c>
      <c r="O73">
        <v>3785</v>
      </c>
      <c r="P73">
        <v>3930</v>
      </c>
      <c r="Q73">
        <v>4104</v>
      </c>
      <c r="R73">
        <v>3916</v>
      </c>
      <c r="S73">
        <v>4305</v>
      </c>
      <c r="T73">
        <v>4895</v>
      </c>
      <c r="U73">
        <v>4793</v>
      </c>
      <c r="V73">
        <v>4956</v>
      </c>
      <c r="W73">
        <v>4811</v>
      </c>
      <c r="X73">
        <v>5050</v>
      </c>
      <c r="Y73">
        <v>5217</v>
      </c>
      <c r="Z73">
        <v>5523</v>
      </c>
      <c r="AA73">
        <v>5888</v>
      </c>
      <c r="AB73">
        <v>5806</v>
      </c>
      <c r="AC73">
        <v>5879</v>
      </c>
    </row>
    <row r="74" spans="1:29" x14ac:dyDescent="0.2">
      <c r="A74" t="s">
        <v>735</v>
      </c>
      <c r="B74">
        <v>1</v>
      </c>
      <c r="C74" t="s">
        <v>232</v>
      </c>
      <c r="D74" t="s">
        <v>1589</v>
      </c>
      <c r="E74">
        <v>72</v>
      </c>
      <c r="F74">
        <v>4306</v>
      </c>
      <c r="G74">
        <v>4226</v>
      </c>
      <c r="H74">
        <v>3830</v>
      </c>
      <c r="I74">
        <v>3910</v>
      </c>
      <c r="J74">
        <v>3831</v>
      </c>
      <c r="K74">
        <v>3809</v>
      </c>
      <c r="L74">
        <v>3698</v>
      </c>
      <c r="M74">
        <v>3840</v>
      </c>
      <c r="N74">
        <v>3733</v>
      </c>
      <c r="O74">
        <v>3901</v>
      </c>
      <c r="P74">
        <v>3963</v>
      </c>
      <c r="Q74">
        <v>4442</v>
      </c>
      <c r="R74">
        <v>4286</v>
      </c>
      <c r="S74">
        <v>4385</v>
      </c>
      <c r="T74">
        <v>4578</v>
      </c>
      <c r="U74">
        <v>5351</v>
      </c>
      <c r="V74">
        <v>5223</v>
      </c>
      <c r="W74">
        <v>5186</v>
      </c>
      <c r="X74">
        <v>5268</v>
      </c>
      <c r="Y74">
        <v>5512</v>
      </c>
      <c r="Z74">
        <v>5791</v>
      </c>
      <c r="AA74">
        <v>5931</v>
      </c>
      <c r="AB74">
        <v>5981</v>
      </c>
      <c r="AC74">
        <v>6125</v>
      </c>
    </row>
    <row r="75" spans="1:29" x14ac:dyDescent="0.2">
      <c r="A75" t="s">
        <v>735</v>
      </c>
      <c r="B75">
        <v>1</v>
      </c>
      <c r="C75" t="s">
        <v>232</v>
      </c>
      <c r="D75" t="s">
        <v>1590</v>
      </c>
      <c r="E75">
        <v>73</v>
      </c>
      <c r="F75">
        <v>4593</v>
      </c>
      <c r="G75">
        <v>4510</v>
      </c>
      <c r="H75">
        <v>4335</v>
      </c>
      <c r="I75">
        <v>4151</v>
      </c>
      <c r="J75">
        <v>3959</v>
      </c>
      <c r="K75">
        <v>4132</v>
      </c>
      <c r="L75">
        <v>3892</v>
      </c>
      <c r="M75">
        <v>3876</v>
      </c>
      <c r="N75">
        <v>4041</v>
      </c>
      <c r="O75">
        <v>4086</v>
      </c>
      <c r="P75">
        <v>4201</v>
      </c>
      <c r="Q75">
        <v>4329</v>
      </c>
      <c r="R75">
        <v>4607</v>
      </c>
      <c r="S75">
        <v>4654</v>
      </c>
      <c r="T75">
        <v>4588</v>
      </c>
      <c r="U75">
        <v>5014</v>
      </c>
      <c r="V75">
        <v>5741</v>
      </c>
      <c r="W75">
        <v>5543</v>
      </c>
      <c r="X75">
        <v>5600</v>
      </c>
      <c r="Y75">
        <v>5741</v>
      </c>
      <c r="Z75">
        <v>6222</v>
      </c>
      <c r="AA75">
        <v>6291</v>
      </c>
      <c r="AB75">
        <v>6351</v>
      </c>
      <c r="AC75">
        <v>6520</v>
      </c>
    </row>
    <row r="76" spans="1:29" x14ac:dyDescent="0.2">
      <c r="A76" t="s">
        <v>735</v>
      </c>
      <c r="B76">
        <v>1</v>
      </c>
      <c r="C76" t="s">
        <v>232</v>
      </c>
      <c r="D76" t="s">
        <v>1432</v>
      </c>
      <c r="E76">
        <v>74</v>
      </c>
      <c r="F76">
        <v>4841</v>
      </c>
      <c r="G76">
        <v>4723</v>
      </c>
      <c r="H76">
        <v>4731</v>
      </c>
      <c r="I76">
        <v>4514</v>
      </c>
      <c r="J76">
        <v>4105</v>
      </c>
      <c r="K76">
        <v>4365</v>
      </c>
      <c r="L76">
        <v>4325</v>
      </c>
      <c r="M76">
        <v>4295</v>
      </c>
      <c r="N76">
        <v>4083</v>
      </c>
      <c r="O76">
        <v>4257</v>
      </c>
      <c r="P76">
        <v>4183</v>
      </c>
      <c r="Q76">
        <v>4487</v>
      </c>
      <c r="R76">
        <v>4596</v>
      </c>
      <c r="S76">
        <v>4934</v>
      </c>
      <c r="T76">
        <v>4953</v>
      </c>
      <c r="U76">
        <v>4998</v>
      </c>
      <c r="V76">
        <v>5439</v>
      </c>
      <c r="W76">
        <v>6035</v>
      </c>
      <c r="X76">
        <v>6044</v>
      </c>
      <c r="Y76">
        <v>6183</v>
      </c>
      <c r="Z76">
        <v>6403</v>
      </c>
      <c r="AA76">
        <v>6597</v>
      </c>
      <c r="AB76">
        <v>6420</v>
      </c>
      <c r="AC76">
        <v>6591</v>
      </c>
    </row>
    <row r="77" spans="1:29" x14ac:dyDescent="0.2">
      <c r="A77" t="s">
        <v>735</v>
      </c>
      <c r="B77">
        <v>1</v>
      </c>
      <c r="C77" t="s">
        <v>232</v>
      </c>
      <c r="D77" t="s">
        <v>1433</v>
      </c>
      <c r="E77">
        <v>75</v>
      </c>
      <c r="F77">
        <v>4983</v>
      </c>
      <c r="G77">
        <v>5233</v>
      </c>
      <c r="H77">
        <v>5196</v>
      </c>
      <c r="I77">
        <v>5025</v>
      </c>
      <c r="J77">
        <v>4711</v>
      </c>
      <c r="K77">
        <v>4564</v>
      </c>
      <c r="L77">
        <v>4472</v>
      </c>
      <c r="M77">
        <v>4518</v>
      </c>
      <c r="N77">
        <v>4303</v>
      </c>
      <c r="O77">
        <v>4524</v>
      </c>
      <c r="P77">
        <v>4392</v>
      </c>
      <c r="Q77">
        <v>4561</v>
      </c>
      <c r="R77">
        <v>4825</v>
      </c>
      <c r="S77">
        <v>4971</v>
      </c>
      <c r="T77">
        <v>5251</v>
      </c>
      <c r="U77">
        <v>5360</v>
      </c>
      <c r="V77">
        <v>5437</v>
      </c>
      <c r="W77">
        <v>5699</v>
      </c>
      <c r="X77">
        <v>6724</v>
      </c>
      <c r="Y77">
        <v>6559</v>
      </c>
      <c r="Z77">
        <v>6820</v>
      </c>
      <c r="AA77">
        <v>6874</v>
      </c>
      <c r="AB77">
        <v>6875</v>
      </c>
      <c r="AC77">
        <v>6821</v>
      </c>
    </row>
    <row r="78" spans="1:29" x14ac:dyDescent="0.2">
      <c r="A78" t="s">
        <v>735</v>
      </c>
      <c r="B78">
        <v>1</v>
      </c>
      <c r="C78" t="s">
        <v>232</v>
      </c>
      <c r="D78" t="s">
        <v>1591</v>
      </c>
      <c r="E78">
        <v>76</v>
      </c>
      <c r="F78">
        <v>5345</v>
      </c>
      <c r="G78">
        <v>5159</v>
      </c>
      <c r="H78">
        <v>5363</v>
      </c>
      <c r="I78">
        <v>5422</v>
      </c>
      <c r="J78">
        <v>5101</v>
      </c>
      <c r="K78">
        <v>4941</v>
      </c>
      <c r="L78">
        <v>4841</v>
      </c>
      <c r="M78">
        <v>4722</v>
      </c>
      <c r="N78">
        <v>4612</v>
      </c>
      <c r="O78">
        <v>4626</v>
      </c>
      <c r="P78">
        <v>4620</v>
      </c>
      <c r="Q78">
        <v>4841</v>
      </c>
      <c r="R78">
        <v>4748</v>
      </c>
      <c r="S78">
        <v>5282</v>
      </c>
      <c r="T78">
        <v>5229</v>
      </c>
      <c r="U78">
        <v>5730</v>
      </c>
      <c r="V78">
        <v>5953</v>
      </c>
      <c r="W78">
        <v>5524</v>
      </c>
      <c r="X78">
        <v>6203</v>
      </c>
      <c r="Y78">
        <v>7265</v>
      </c>
      <c r="Z78">
        <v>7339</v>
      </c>
      <c r="AA78">
        <v>7400</v>
      </c>
      <c r="AB78">
        <v>7179</v>
      </c>
      <c r="AC78">
        <v>7228</v>
      </c>
    </row>
    <row r="79" spans="1:29" x14ac:dyDescent="0.2">
      <c r="A79" t="s">
        <v>735</v>
      </c>
      <c r="B79">
        <v>1</v>
      </c>
      <c r="C79" t="s">
        <v>232</v>
      </c>
      <c r="D79" t="s">
        <v>1592</v>
      </c>
      <c r="E79">
        <v>77</v>
      </c>
      <c r="F79">
        <v>5675</v>
      </c>
      <c r="G79">
        <v>5734</v>
      </c>
      <c r="H79">
        <v>5770</v>
      </c>
      <c r="I79">
        <v>5571</v>
      </c>
      <c r="J79">
        <v>5478</v>
      </c>
      <c r="K79">
        <v>5415</v>
      </c>
      <c r="L79">
        <v>5313</v>
      </c>
      <c r="M79">
        <v>5100</v>
      </c>
      <c r="N79">
        <v>4968</v>
      </c>
      <c r="O79">
        <v>4933</v>
      </c>
      <c r="P79">
        <v>4755</v>
      </c>
      <c r="Q79">
        <v>4971</v>
      </c>
      <c r="R79">
        <v>5044</v>
      </c>
      <c r="S79">
        <v>5241</v>
      </c>
      <c r="T79">
        <v>5337</v>
      </c>
      <c r="U79">
        <v>5560</v>
      </c>
      <c r="V79">
        <v>6113</v>
      </c>
      <c r="W79">
        <v>5991</v>
      </c>
      <c r="X79">
        <v>6228</v>
      </c>
      <c r="Y79">
        <v>6695</v>
      </c>
      <c r="Z79">
        <v>8070</v>
      </c>
      <c r="AA79">
        <v>7949</v>
      </c>
      <c r="AB79">
        <v>7663</v>
      </c>
      <c r="AC79">
        <v>7688</v>
      </c>
    </row>
    <row r="80" spans="1:29" x14ac:dyDescent="0.2">
      <c r="A80" t="s">
        <v>735</v>
      </c>
      <c r="B80">
        <v>1</v>
      </c>
      <c r="C80" t="s">
        <v>232</v>
      </c>
      <c r="D80" t="s">
        <v>1593</v>
      </c>
      <c r="E80">
        <v>78</v>
      </c>
      <c r="F80">
        <v>6017</v>
      </c>
      <c r="G80">
        <v>5978</v>
      </c>
      <c r="H80">
        <v>6021</v>
      </c>
      <c r="I80">
        <v>5819</v>
      </c>
      <c r="J80">
        <v>5782</v>
      </c>
      <c r="K80">
        <v>5739</v>
      </c>
      <c r="L80">
        <v>5703</v>
      </c>
      <c r="M80">
        <v>5549</v>
      </c>
      <c r="N80">
        <v>5069</v>
      </c>
      <c r="O80">
        <v>5247</v>
      </c>
      <c r="P80">
        <v>5125</v>
      </c>
      <c r="Q80">
        <v>5047</v>
      </c>
      <c r="R80">
        <v>5237</v>
      </c>
      <c r="S80">
        <v>5645</v>
      </c>
      <c r="T80">
        <v>5337</v>
      </c>
      <c r="U80">
        <v>5878</v>
      </c>
      <c r="V80">
        <v>5965</v>
      </c>
      <c r="W80">
        <v>6304</v>
      </c>
      <c r="X80">
        <v>6538</v>
      </c>
      <c r="Y80">
        <v>6666</v>
      </c>
      <c r="Z80">
        <v>7491</v>
      </c>
      <c r="AA80">
        <v>8732</v>
      </c>
      <c r="AB80">
        <v>8424</v>
      </c>
      <c r="AC80">
        <v>8328</v>
      </c>
    </row>
    <row r="81" spans="1:29" x14ac:dyDescent="0.2">
      <c r="A81" t="s">
        <v>735</v>
      </c>
      <c r="B81">
        <v>1</v>
      </c>
      <c r="C81" t="s">
        <v>232</v>
      </c>
      <c r="D81" t="s">
        <v>1594</v>
      </c>
      <c r="E81">
        <v>79</v>
      </c>
      <c r="F81">
        <v>6485</v>
      </c>
      <c r="G81">
        <v>6336</v>
      </c>
      <c r="H81">
        <v>6169</v>
      </c>
      <c r="I81">
        <v>6166</v>
      </c>
      <c r="J81">
        <v>5898</v>
      </c>
      <c r="K81">
        <v>6276</v>
      </c>
      <c r="L81">
        <v>5920</v>
      </c>
      <c r="M81">
        <v>5986</v>
      </c>
      <c r="N81">
        <v>5708</v>
      </c>
      <c r="O81">
        <v>5614</v>
      </c>
      <c r="P81">
        <v>5480</v>
      </c>
      <c r="Q81">
        <v>5547</v>
      </c>
      <c r="R81">
        <v>5465</v>
      </c>
      <c r="S81">
        <v>5746</v>
      </c>
      <c r="T81">
        <v>5804</v>
      </c>
      <c r="U81">
        <v>5844</v>
      </c>
      <c r="V81">
        <v>6368</v>
      </c>
      <c r="W81">
        <v>6298</v>
      </c>
      <c r="X81">
        <v>6606</v>
      </c>
      <c r="Y81">
        <v>7240</v>
      </c>
      <c r="Z81">
        <v>7526</v>
      </c>
      <c r="AA81">
        <v>7864</v>
      </c>
      <c r="AB81">
        <v>8925</v>
      </c>
      <c r="AC81">
        <v>8712</v>
      </c>
    </row>
    <row r="82" spans="1:29" x14ac:dyDescent="0.2">
      <c r="A82" t="s">
        <v>735</v>
      </c>
      <c r="B82">
        <v>1</v>
      </c>
      <c r="C82" t="s">
        <v>232</v>
      </c>
      <c r="D82" t="s">
        <v>1595</v>
      </c>
      <c r="E82">
        <v>80</v>
      </c>
      <c r="F82">
        <v>6665</v>
      </c>
      <c r="G82">
        <v>6636</v>
      </c>
      <c r="H82">
        <v>6789</v>
      </c>
      <c r="I82">
        <v>6535</v>
      </c>
      <c r="J82">
        <v>6389</v>
      </c>
      <c r="K82">
        <v>6365</v>
      </c>
      <c r="L82">
        <v>6467</v>
      </c>
      <c r="M82">
        <v>6310</v>
      </c>
      <c r="N82">
        <v>6176</v>
      </c>
      <c r="O82">
        <v>6160</v>
      </c>
      <c r="P82">
        <v>5776</v>
      </c>
      <c r="Q82">
        <v>5897</v>
      </c>
      <c r="R82">
        <v>5823</v>
      </c>
      <c r="S82">
        <v>5831</v>
      </c>
      <c r="T82">
        <v>5970</v>
      </c>
      <c r="U82">
        <v>6086</v>
      </c>
      <c r="V82">
        <v>6301</v>
      </c>
      <c r="W82">
        <v>6472</v>
      </c>
      <c r="X82">
        <v>6893</v>
      </c>
      <c r="Y82">
        <v>7511</v>
      </c>
      <c r="Z82">
        <v>7892</v>
      </c>
      <c r="AA82">
        <v>7873</v>
      </c>
      <c r="AB82">
        <v>8349</v>
      </c>
      <c r="AC82">
        <v>9467</v>
      </c>
    </row>
    <row r="83" spans="1:29" x14ac:dyDescent="0.2">
      <c r="A83" t="s">
        <v>735</v>
      </c>
      <c r="B83">
        <v>1</v>
      </c>
      <c r="C83" t="s">
        <v>232</v>
      </c>
      <c r="D83" t="s">
        <v>1596</v>
      </c>
      <c r="E83">
        <v>81</v>
      </c>
      <c r="F83">
        <v>6865</v>
      </c>
      <c r="G83">
        <v>7073</v>
      </c>
      <c r="H83">
        <v>7078</v>
      </c>
      <c r="I83">
        <v>6980</v>
      </c>
      <c r="J83">
        <v>6746</v>
      </c>
      <c r="K83">
        <v>6726</v>
      </c>
      <c r="L83">
        <v>6636</v>
      </c>
      <c r="M83">
        <v>6681</v>
      </c>
      <c r="N83">
        <v>6607</v>
      </c>
      <c r="O83">
        <v>6608</v>
      </c>
      <c r="P83">
        <v>6293</v>
      </c>
      <c r="Q83">
        <v>6238</v>
      </c>
      <c r="R83">
        <v>6203</v>
      </c>
      <c r="S83">
        <v>6287</v>
      </c>
      <c r="T83">
        <v>6106</v>
      </c>
      <c r="U83">
        <v>6397</v>
      </c>
      <c r="V83">
        <v>6617</v>
      </c>
      <c r="W83">
        <v>6737</v>
      </c>
      <c r="X83">
        <v>7365</v>
      </c>
      <c r="Y83">
        <v>7605</v>
      </c>
      <c r="Z83">
        <v>8428</v>
      </c>
      <c r="AA83">
        <v>8671</v>
      </c>
      <c r="AB83">
        <v>8523</v>
      </c>
      <c r="AC83">
        <v>9047</v>
      </c>
    </row>
    <row r="84" spans="1:29" x14ac:dyDescent="0.2">
      <c r="A84" t="s">
        <v>735</v>
      </c>
      <c r="B84">
        <v>1</v>
      </c>
      <c r="C84" t="s">
        <v>232</v>
      </c>
      <c r="D84" t="s">
        <v>1597</v>
      </c>
      <c r="E84">
        <v>82</v>
      </c>
      <c r="F84">
        <v>7270</v>
      </c>
      <c r="G84">
        <v>7061</v>
      </c>
      <c r="H84">
        <v>7191</v>
      </c>
      <c r="I84">
        <v>7240</v>
      </c>
      <c r="J84">
        <v>6773</v>
      </c>
      <c r="K84">
        <v>7108</v>
      </c>
      <c r="L84">
        <v>7035</v>
      </c>
      <c r="M84">
        <v>6846</v>
      </c>
      <c r="N84">
        <v>7029</v>
      </c>
      <c r="O84">
        <v>7030</v>
      </c>
      <c r="P84">
        <v>6822</v>
      </c>
      <c r="Q84">
        <v>6791</v>
      </c>
      <c r="R84">
        <v>6465</v>
      </c>
      <c r="S84">
        <v>6975</v>
      </c>
      <c r="T84">
        <v>6526</v>
      </c>
      <c r="U84">
        <v>6792</v>
      </c>
      <c r="V84">
        <v>6910</v>
      </c>
      <c r="W84">
        <v>7087</v>
      </c>
      <c r="X84">
        <v>7205</v>
      </c>
      <c r="Y84">
        <v>7645</v>
      </c>
      <c r="Z84">
        <v>8050</v>
      </c>
      <c r="AA84">
        <v>8961</v>
      </c>
      <c r="AB84">
        <v>8797</v>
      </c>
      <c r="AC84">
        <v>8948</v>
      </c>
    </row>
    <row r="85" spans="1:29" x14ac:dyDescent="0.2">
      <c r="A85" t="s">
        <v>735</v>
      </c>
      <c r="B85">
        <v>1</v>
      </c>
      <c r="C85" t="s">
        <v>232</v>
      </c>
      <c r="D85" t="s">
        <v>1598</v>
      </c>
      <c r="E85">
        <v>83</v>
      </c>
      <c r="F85">
        <v>7241</v>
      </c>
      <c r="G85">
        <v>7479</v>
      </c>
      <c r="H85">
        <v>7443</v>
      </c>
      <c r="I85">
        <v>7545</v>
      </c>
      <c r="J85">
        <v>7064</v>
      </c>
      <c r="K85">
        <v>7251</v>
      </c>
      <c r="L85">
        <v>7148</v>
      </c>
      <c r="M85">
        <v>7301</v>
      </c>
      <c r="N85">
        <v>7026</v>
      </c>
      <c r="O85">
        <v>7368</v>
      </c>
      <c r="P85">
        <v>7038</v>
      </c>
      <c r="Q85">
        <v>7191</v>
      </c>
      <c r="R85">
        <v>7073</v>
      </c>
      <c r="S85">
        <v>7102</v>
      </c>
      <c r="T85">
        <v>6891</v>
      </c>
      <c r="U85">
        <v>7118</v>
      </c>
      <c r="V85">
        <v>6972</v>
      </c>
      <c r="W85">
        <v>7133</v>
      </c>
      <c r="X85">
        <v>7665</v>
      </c>
      <c r="Y85">
        <v>7677</v>
      </c>
      <c r="Z85">
        <v>8689</v>
      </c>
      <c r="AA85">
        <v>8725</v>
      </c>
      <c r="AB85">
        <v>9200</v>
      </c>
      <c r="AC85">
        <v>9355</v>
      </c>
    </row>
    <row r="86" spans="1:29" x14ac:dyDescent="0.2">
      <c r="A86" t="s">
        <v>735</v>
      </c>
      <c r="B86">
        <v>1</v>
      </c>
      <c r="C86" t="s">
        <v>232</v>
      </c>
      <c r="D86" t="s">
        <v>1434</v>
      </c>
      <c r="E86">
        <v>84</v>
      </c>
      <c r="F86">
        <v>7359</v>
      </c>
      <c r="G86">
        <v>7388</v>
      </c>
      <c r="H86">
        <v>7913</v>
      </c>
      <c r="I86">
        <v>7639</v>
      </c>
      <c r="J86">
        <v>7404</v>
      </c>
      <c r="K86">
        <v>7623</v>
      </c>
      <c r="L86">
        <v>7661</v>
      </c>
      <c r="M86">
        <v>7498</v>
      </c>
      <c r="N86">
        <v>7575</v>
      </c>
      <c r="O86">
        <v>7498</v>
      </c>
      <c r="P86">
        <v>7487</v>
      </c>
      <c r="Q86">
        <v>7622</v>
      </c>
      <c r="R86">
        <v>7347</v>
      </c>
      <c r="S86">
        <v>7670</v>
      </c>
      <c r="T86">
        <v>7111</v>
      </c>
      <c r="U86">
        <v>7400</v>
      </c>
      <c r="V86">
        <v>7539</v>
      </c>
      <c r="W86">
        <v>7564</v>
      </c>
      <c r="X86">
        <v>7990</v>
      </c>
      <c r="Y86">
        <v>8073</v>
      </c>
      <c r="Z86">
        <v>8549</v>
      </c>
      <c r="AA86">
        <v>9001</v>
      </c>
      <c r="AB86">
        <v>8956</v>
      </c>
      <c r="AC86">
        <v>9539</v>
      </c>
    </row>
    <row r="87" spans="1:29" x14ac:dyDescent="0.2">
      <c r="A87" t="s">
        <v>735</v>
      </c>
      <c r="B87">
        <v>1</v>
      </c>
      <c r="C87" t="s">
        <v>232</v>
      </c>
      <c r="D87" t="s">
        <v>1599</v>
      </c>
      <c r="E87">
        <v>85</v>
      </c>
      <c r="F87">
        <v>6574</v>
      </c>
      <c r="G87">
        <v>7753</v>
      </c>
      <c r="H87">
        <v>7764</v>
      </c>
      <c r="I87">
        <v>8049</v>
      </c>
      <c r="J87">
        <v>7631</v>
      </c>
      <c r="K87">
        <v>7811</v>
      </c>
      <c r="L87">
        <v>7878</v>
      </c>
      <c r="M87">
        <v>7807</v>
      </c>
      <c r="N87">
        <v>7690</v>
      </c>
      <c r="O87">
        <v>7826</v>
      </c>
      <c r="P87">
        <v>7753</v>
      </c>
      <c r="Q87">
        <v>8177</v>
      </c>
      <c r="R87">
        <v>8016</v>
      </c>
      <c r="S87">
        <v>8256</v>
      </c>
      <c r="T87">
        <v>7848</v>
      </c>
      <c r="U87">
        <v>7576</v>
      </c>
      <c r="V87">
        <v>7924</v>
      </c>
      <c r="W87">
        <v>7903</v>
      </c>
      <c r="X87">
        <v>8170</v>
      </c>
      <c r="Y87">
        <v>8284</v>
      </c>
      <c r="Z87">
        <v>8779</v>
      </c>
      <c r="AA87">
        <v>9138</v>
      </c>
      <c r="AB87">
        <v>9283</v>
      </c>
      <c r="AC87">
        <v>9576</v>
      </c>
    </row>
    <row r="88" spans="1:29" x14ac:dyDescent="0.2">
      <c r="A88" t="s">
        <v>735</v>
      </c>
      <c r="B88">
        <v>1</v>
      </c>
      <c r="C88" t="s">
        <v>232</v>
      </c>
      <c r="D88" t="s">
        <v>1600</v>
      </c>
      <c r="E88">
        <v>86</v>
      </c>
      <c r="F88">
        <v>6714</v>
      </c>
      <c r="G88">
        <v>6622</v>
      </c>
      <c r="H88">
        <v>7757</v>
      </c>
      <c r="I88">
        <v>7849</v>
      </c>
      <c r="J88">
        <v>7860</v>
      </c>
      <c r="K88">
        <v>8059</v>
      </c>
      <c r="L88">
        <v>7987</v>
      </c>
      <c r="M88">
        <v>8133</v>
      </c>
      <c r="N88">
        <v>8041</v>
      </c>
      <c r="O88">
        <v>8109</v>
      </c>
      <c r="P88">
        <v>7853</v>
      </c>
      <c r="Q88">
        <v>8145</v>
      </c>
      <c r="R88">
        <v>8264</v>
      </c>
      <c r="S88">
        <v>8539</v>
      </c>
      <c r="T88">
        <v>8102</v>
      </c>
      <c r="U88">
        <v>8269</v>
      </c>
      <c r="V88">
        <v>8313</v>
      </c>
      <c r="W88">
        <v>8284</v>
      </c>
      <c r="X88">
        <v>8456</v>
      </c>
      <c r="Y88">
        <v>8638</v>
      </c>
      <c r="Z88">
        <v>9075</v>
      </c>
      <c r="AA88">
        <v>9435</v>
      </c>
      <c r="AB88">
        <v>9342</v>
      </c>
      <c r="AC88">
        <v>9744</v>
      </c>
    </row>
    <row r="89" spans="1:29" x14ac:dyDescent="0.2">
      <c r="A89" t="s">
        <v>735</v>
      </c>
      <c r="B89">
        <v>1</v>
      </c>
      <c r="C89" t="s">
        <v>232</v>
      </c>
      <c r="D89" t="s">
        <v>1601</v>
      </c>
      <c r="E89">
        <v>87</v>
      </c>
      <c r="F89">
        <v>6846</v>
      </c>
      <c r="G89">
        <v>6651</v>
      </c>
      <c r="H89">
        <v>6870</v>
      </c>
      <c r="I89">
        <v>7973</v>
      </c>
      <c r="J89">
        <v>7606</v>
      </c>
      <c r="K89">
        <v>8269</v>
      </c>
      <c r="L89">
        <v>8185</v>
      </c>
      <c r="M89">
        <v>8077</v>
      </c>
      <c r="N89">
        <v>8170</v>
      </c>
      <c r="O89">
        <v>8511</v>
      </c>
      <c r="P89">
        <v>8032</v>
      </c>
      <c r="Q89">
        <v>8410</v>
      </c>
      <c r="R89">
        <v>8048</v>
      </c>
      <c r="S89">
        <v>8674</v>
      </c>
      <c r="T89">
        <v>8606</v>
      </c>
      <c r="U89">
        <v>8869</v>
      </c>
      <c r="V89">
        <v>8830</v>
      </c>
      <c r="W89">
        <v>8398</v>
      </c>
      <c r="X89">
        <v>8777</v>
      </c>
      <c r="Y89">
        <v>9058</v>
      </c>
      <c r="Z89">
        <v>9329</v>
      </c>
      <c r="AA89">
        <v>9547</v>
      </c>
      <c r="AB89">
        <v>9631</v>
      </c>
      <c r="AC89">
        <v>9663</v>
      </c>
    </row>
    <row r="90" spans="1:29" x14ac:dyDescent="0.2">
      <c r="A90" t="s">
        <v>735</v>
      </c>
      <c r="B90">
        <v>1</v>
      </c>
      <c r="C90" t="s">
        <v>232</v>
      </c>
      <c r="D90" t="s">
        <v>1602</v>
      </c>
      <c r="E90">
        <v>88</v>
      </c>
      <c r="F90">
        <v>6750</v>
      </c>
      <c r="G90">
        <v>6761</v>
      </c>
      <c r="H90">
        <v>6972</v>
      </c>
      <c r="I90">
        <v>6888</v>
      </c>
      <c r="J90">
        <v>7632</v>
      </c>
      <c r="K90">
        <v>8044</v>
      </c>
      <c r="L90">
        <v>8326</v>
      </c>
      <c r="M90">
        <v>8193</v>
      </c>
      <c r="N90">
        <v>8128</v>
      </c>
      <c r="O90">
        <v>8487</v>
      </c>
      <c r="P90">
        <v>8184</v>
      </c>
      <c r="Q90">
        <v>8304</v>
      </c>
      <c r="R90">
        <v>8449</v>
      </c>
      <c r="S90">
        <v>8777</v>
      </c>
      <c r="T90">
        <v>8685</v>
      </c>
      <c r="U90">
        <v>8912</v>
      </c>
      <c r="V90">
        <v>9080</v>
      </c>
      <c r="W90">
        <v>8769</v>
      </c>
      <c r="X90">
        <v>9119</v>
      </c>
      <c r="Y90">
        <v>9099</v>
      </c>
      <c r="Z90">
        <v>9586</v>
      </c>
      <c r="AA90">
        <v>9647</v>
      </c>
      <c r="AB90">
        <v>9765</v>
      </c>
      <c r="AC90">
        <v>9911</v>
      </c>
    </row>
    <row r="91" spans="1:29" x14ac:dyDescent="0.2">
      <c r="A91" t="s">
        <v>735</v>
      </c>
      <c r="B91">
        <v>1</v>
      </c>
      <c r="C91" t="s">
        <v>232</v>
      </c>
      <c r="D91" t="s">
        <v>1603</v>
      </c>
      <c r="E91">
        <v>89</v>
      </c>
      <c r="F91">
        <v>6808</v>
      </c>
      <c r="G91">
        <v>6759</v>
      </c>
      <c r="H91">
        <v>6798</v>
      </c>
      <c r="I91">
        <v>6831</v>
      </c>
      <c r="J91">
        <v>6531</v>
      </c>
      <c r="K91">
        <v>8009</v>
      </c>
      <c r="L91">
        <v>7996</v>
      </c>
      <c r="M91">
        <v>8229</v>
      </c>
      <c r="N91">
        <v>8104</v>
      </c>
      <c r="O91">
        <v>8427</v>
      </c>
      <c r="P91">
        <v>8110</v>
      </c>
      <c r="Q91">
        <v>8715</v>
      </c>
      <c r="R91">
        <v>8464</v>
      </c>
      <c r="S91">
        <v>8961</v>
      </c>
      <c r="T91">
        <v>8558</v>
      </c>
      <c r="U91">
        <v>9015</v>
      </c>
      <c r="V91">
        <v>9230</v>
      </c>
      <c r="W91">
        <v>9211</v>
      </c>
      <c r="X91">
        <v>9451</v>
      </c>
      <c r="Y91">
        <v>9081</v>
      </c>
      <c r="Z91">
        <v>9821</v>
      </c>
      <c r="AA91">
        <v>9957</v>
      </c>
      <c r="AB91">
        <v>9772</v>
      </c>
      <c r="AC91">
        <v>10027</v>
      </c>
    </row>
    <row r="92" spans="1:29" x14ac:dyDescent="0.2">
      <c r="A92" t="s">
        <v>735</v>
      </c>
      <c r="B92">
        <v>1</v>
      </c>
      <c r="C92" t="s">
        <v>232</v>
      </c>
      <c r="D92" t="s">
        <v>1604</v>
      </c>
      <c r="E92">
        <v>90</v>
      </c>
      <c r="F92">
        <v>6625</v>
      </c>
      <c r="G92">
        <v>6973</v>
      </c>
      <c r="H92">
        <v>6630</v>
      </c>
      <c r="I92">
        <v>6623</v>
      </c>
      <c r="J92">
        <v>6465</v>
      </c>
      <c r="K92">
        <v>6735</v>
      </c>
      <c r="L92">
        <v>8098</v>
      </c>
      <c r="M92">
        <v>7869</v>
      </c>
      <c r="N92">
        <v>7951</v>
      </c>
      <c r="O92">
        <v>8360</v>
      </c>
      <c r="P92">
        <v>8170</v>
      </c>
      <c r="Q92">
        <v>8512</v>
      </c>
      <c r="R92">
        <v>8436</v>
      </c>
      <c r="S92">
        <v>8945</v>
      </c>
      <c r="T92">
        <v>8627</v>
      </c>
      <c r="U92">
        <v>8976</v>
      </c>
      <c r="V92">
        <v>9601</v>
      </c>
      <c r="W92">
        <v>9222</v>
      </c>
      <c r="X92">
        <v>9799</v>
      </c>
      <c r="Y92">
        <v>9568</v>
      </c>
      <c r="Z92">
        <v>9868</v>
      </c>
      <c r="AA92">
        <v>10067</v>
      </c>
      <c r="AB92">
        <v>10164</v>
      </c>
      <c r="AC92">
        <v>9931</v>
      </c>
    </row>
    <row r="93" spans="1:29" x14ac:dyDescent="0.2">
      <c r="A93" t="s">
        <v>735</v>
      </c>
      <c r="B93">
        <v>1</v>
      </c>
      <c r="C93" t="s">
        <v>232</v>
      </c>
      <c r="D93" t="s">
        <v>1605</v>
      </c>
      <c r="E93">
        <v>91</v>
      </c>
      <c r="F93">
        <v>6120</v>
      </c>
      <c r="G93">
        <v>6383</v>
      </c>
      <c r="H93">
        <v>6618</v>
      </c>
      <c r="I93">
        <v>6488</v>
      </c>
      <c r="J93">
        <v>6178</v>
      </c>
      <c r="K93">
        <v>6353</v>
      </c>
      <c r="L93">
        <v>6591</v>
      </c>
      <c r="M93">
        <v>7499</v>
      </c>
      <c r="N93">
        <v>7524</v>
      </c>
      <c r="O93">
        <v>8238</v>
      </c>
      <c r="P93">
        <v>7975</v>
      </c>
      <c r="Q93">
        <v>8274</v>
      </c>
      <c r="R93">
        <v>8296</v>
      </c>
      <c r="S93">
        <v>8811</v>
      </c>
      <c r="T93">
        <v>8268</v>
      </c>
      <c r="U93">
        <v>8999</v>
      </c>
      <c r="V93">
        <v>9157</v>
      </c>
      <c r="W93">
        <v>9328</v>
      </c>
      <c r="X93">
        <v>9765</v>
      </c>
      <c r="Y93">
        <v>9607</v>
      </c>
      <c r="Z93">
        <v>10116</v>
      </c>
      <c r="AA93">
        <v>9849</v>
      </c>
      <c r="AB93">
        <v>9916</v>
      </c>
      <c r="AC93">
        <v>10023</v>
      </c>
    </row>
    <row r="94" spans="1:29" x14ac:dyDescent="0.2">
      <c r="A94" t="s">
        <v>735</v>
      </c>
      <c r="B94">
        <v>1</v>
      </c>
      <c r="C94" t="s">
        <v>232</v>
      </c>
      <c r="D94" t="s">
        <v>1606</v>
      </c>
      <c r="E94">
        <v>92</v>
      </c>
      <c r="F94">
        <v>5467</v>
      </c>
      <c r="G94">
        <v>5735</v>
      </c>
      <c r="H94">
        <v>6111</v>
      </c>
      <c r="I94">
        <v>6224</v>
      </c>
      <c r="J94">
        <v>6038</v>
      </c>
      <c r="K94">
        <v>6053</v>
      </c>
      <c r="L94">
        <v>6181</v>
      </c>
      <c r="M94">
        <v>6238</v>
      </c>
      <c r="N94">
        <v>7112</v>
      </c>
      <c r="O94">
        <v>7581</v>
      </c>
      <c r="P94">
        <v>7713</v>
      </c>
      <c r="Q94">
        <v>7794</v>
      </c>
      <c r="R94">
        <v>8002</v>
      </c>
      <c r="S94">
        <v>8590</v>
      </c>
      <c r="T94">
        <v>8198</v>
      </c>
      <c r="U94">
        <v>8770</v>
      </c>
      <c r="V94">
        <v>9040</v>
      </c>
      <c r="W94">
        <v>8849</v>
      </c>
      <c r="X94">
        <v>9555</v>
      </c>
      <c r="Y94">
        <v>9540</v>
      </c>
      <c r="Z94">
        <v>9935</v>
      </c>
      <c r="AA94">
        <v>10016</v>
      </c>
      <c r="AB94">
        <v>9692</v>
      </c>
      <c r="AC94">
        <v>9748</v>
      </c>
    </row>
    <row r="95" spans="1:29" x14ac:dyDescent="0.2">
      <c r="A95" t="s">
        <v>735</v>
      </c>
      <c r="B95">
        <v>1</v>
      </c>
      <c r="C95" t="s">
        <v>232</v>
      </c>
      <c r="D95" t="s">
        <v>1607</v>
      </c>
      <c r="E95">
        <v>93</v>
      </c>
      <c r="F95">
        <v>26746</v>
      </c>
      <c r="G95">
        <v>27843</v>
      </c>
      <c r="H95">
        <v>29997</v>
      </c>
      <c r="I95">
        <v>30722</v>
      </c>
      <c r="J95">
        <v>30692</v>
      </c>
      <c r="K95">
        <v>33449</v>
      </c>
      <c r="L95">
        <v>33694</v>
      </c>
      <c r="M95">
        <v>34893</v>
      </c>
      <c r="N95">
        <v>35220</v>
      </c>
      <c r="O95">
        <v>38839</v>
      </c>
      <c r="P95">
        <v>39437</v>
      </c>
      <c r="Q95">
        <v>43176</v>
      </c>
      <c r="R95">
        <v>44267</v>
      </c>
      <c r="S95">
        <v>48615</v>
      </c>
      <c r="T95">
        <v>47171</v>
      </c>
      <c r="U95">
        <v>52412</v>
      </c>
      <c r="V95">
        <v>55304</v>
      </c>
      <c r="W95">
        <v>55437</v>
      </c>
      <c r="X95">
        <v>59404</v>
      </c>
      <c r="Y95">
        <v>59623</v>
      </c>
      <c r="Z95">
        <v>63891</v>
      </c>
      <c r="AA95">
        <v>65865</v>
      </c>
      <c r="AB95">
        <v>65110</v>
      </c>
      <c r="AC95">
        <v>65952</v>
      </c>
    </row>
    <row r="96" spans="1:29" x14ac:dyDescent="0.2">
      <c r="A96" t="s">
        <v>735</v>
      </c>
      <c r="B96">
        <v>1</v>
      </c>
      <c r="C96" t="s">
        <v>233</v>
      </c>
      <c r="D96" t="s">
        <v>6</v>
      </c>
      <c r="E96">
        <v>1</v>
      </c>
      <c r="F96">
        <v>51980</v>
      </c>
      <c r="G96">
        <v>52192</v>
      </c>
      <c r="H96">
        <v>55303</v>
      </c>
      <c r="I96">
        <v>53572</v>
      </c>
      <c r="J96">
        <v>54259</v>
      </c>
      <c r="K96">
        <v>45800</v>
      </c>
      <c r="L96">
        <v>51107</v>
      </c>
      <c r="M96">
        <v>47991</v>
      </c>
      <c r="N96">
        <v>42074</v>
      </c>
      <c r="O96">
        <v>42862</v>
      </c>
      <c r="P96">
        <v>54886</v>
      </c>
      <c r="Q96">
        <v>51802</v>
      </c>
      <c r="R96">
        <v>53501</v>
      </c>
      <c r="S96">
        <v>54044</v>
      </c>
      <c r="T96">
        <v>54897</v>
      </c>
      <c r="U96">
        <v>56480</v>
      </c>
      <c r="V96">
        <v>39865</v>
      </c>
      <c r="W96">
        <v>34966</v>
      </c>
      <c r="X96">
        <v>31669</v>
      </c>
      <c r="Y96">
        <v>25726</v>
      </c>
      <c r="Z96">
        <v>47253</v>
      </c>
      <c r="AA96">
        <v>61709</v>
      </c>
      <c r="AB96">
        <v>63452</v>
      </c>
      <c r="AC96">
        <v>65372</v>
      </c>
    </row>
    <row r="97" spans="1:29" x14ac:dyDescent="0.2">
      <c r="A97" t="s">
        <v>735</v>
      </c>
      <c r="B97">
        <v>1</v>
      </c>
      <c r="C97" t="s">
        <v>233</v>
      </c>
      <c r="D97" t="s">
        <v>1610</v>
      </c>
      <c r="E97">
        <v>2</v>
      </c>
      <c r="F97">
        <v>296</v>
      </c>
      <c r="G97">
        <v>299</v>
      </c>
      <c r="H97">
        <v>312</v>
      </c>
      <c r="I97">
        <v>364</v>
      </c>
      <c r="J97">
        <v>464</v>
      </c>
      <c r="K97">
        <v>443</v>
      </c>
      <c r="L97">
        <v>530</v>
      </c>
      <c r="M97">
        <v>487</v>
      </c>
      <c r="N97">
        <v>382</v>
      </c>
      <c r="O97">
        <v>409</v>
      </c>
      <c r="P97">
        <v>462</v>
      </c>
      <c r="Q97">
        <v>387</v>
      </c>
      <c r="R97">
        <v>360</v>
      </c>
      <c r="S97">
        <v>382</v>
      </c>
      <c r="T97">
        <v>371</v>
      </c>
      <c r="U97">
        <v>266</v>
      </c>
      <c r="V97">
        <v>188</v>
      </c>
      <c r="W97">
        <v>149</v>
      </c>
      <c r="X97">
        <v>120</v>
      </c>
      <c r="Y97">
        <v>123</v>
      </c>
      <c r="Z97">
        <v>277</v>
      </c>
      <c r="AA97">
        <v>309</v>
      </c>
      <c r="AB97">
        <v>322</v>
      </c>
      <c r="AC97">
        <v>331</v>
      </c>
    </row>
    <row r="98" spans="1:29" x14ac:dyDescent="0.2">
      <c r="A98" t="s">
        <v>735</v>
      </c>
      <c r="B98">
        <v>1</v>
      </c>
      <c r="C98" t="s">
        <v>233</v>
      </c>
      <c r="D98" t="s">
        <v>1537</v>
      </c>
      <c r="E98">
        <v>3</v>
      </c>
      <c r="F98">
        <v>582</v>
      </c>
      <c r="G98">
        <v>594</v>
      </c>
      <c r="H98">
        <v>628</v>
      </c>
      <c r="I98">
        <v>715</v>
      </c>
      <c r="J98">
        <v>890</v>
      </c>
      <c r="K98">
        <v>843</v>
      </c>
      <c r="L98">
        <v>1019</v>
      </c>
      <c r="M98">
        <v>946</v>
      </c>
      <c r="N98">
        <v>750</v>
      </c>
      <c r="O98">
        <v>815</v>
      </c>
      <c r="P98">
        <v>919</v>
      </c>
      <c r="Q98">
        <v>779</v>
      </c>
      <c r="R98">
        <v>734</v>
      </c>
      <c r="S98">
        <v>767</v>
      </c>
      <c r="T98">
        <v>745</v>
      </c>
      <c r="U98">
        <v>530</v>
      </c>
      <c r="V98">
        <v>377</v>
      </c>
      <c r="W98">
        <v>301</v>
      </c>
      <c r="X98">
        <v>245</v>
      </c>
      <c r="Y98">
        <v>242</v>
      </c>
      <c r="Z98">
        <v>550</v>
      </c>
      <c r="AA98">
        <v>632</v>
      </c>
      <c r="AB98">
        <v>649</v>
      </c>
      <c r="AC98">
        <v>667</v>
      </c>
    </row>
    <row r="99" spans="1:29" x14ac:dyDescent="0.2">
      <c r="A99" t="s">
        <v>735</v>
      </c>
      <c r="B99">
        <v>1</v>
      </c>
      <c r="C99" t="s">
        <v>233</v>
      </c>
      <c r="D99" t="s">
        <v>1538</v>
      </c>
      <c r="E99">
        <v>4</v>
      </c>
      <c r="F99">
        <v>556</v>
      </c>
      <c r="G99">
        <v>557</v>
      </c>
      <c r="H99">
        <v>596</v>
      </c>
      <c r="I99">
        <v>655</v>
      </c>
      <c r="J99">
        <v>783</v>
      </c>
      <c r="K99">
        <v>741</v>
      </c>
      <c r="L99">
        <v>921</v>
      </c>
      <c r="M99">
        <v>858</v>
      </c>
      <c r="N99">
        <v>706</v>
      </c>
      <c r="O99">
        <v>773</v>
      </c>
      <c r="P99">
        <v>928</v>
      </c>
      <c r="Q99">
        <v>817</v>
      </c>
      <c r="R99">
        <v>790</v>
      </c>
      <c r="S99">
        <v>809</v>
      </c>
      <c r="T99">
        <v>779</v>
      </c>
      <c r="U99">
        <v>606</v>
      </c>
      <c r="V99">
        <v>428</v>
      </c>
      <c r="W99">
        <v>368</v>
      </c>
      <c r="X99">
        <v>308</v>
      </c>
      <c r="Y99">
        <v>283</v>
      </c>
      <c r="Z99">
        <v>607</v>
      </c>
      <c r="AA99">
        <v>719</v>
      </c>
      <c r="AB99">
        <v>738</v>
      </c>
      <c r="AC99">
        <v>760</v>
      </c>
    </row>
    <row r="100" spans="1:29" x14ac:dyDescent="0.2">
      <c r="A100" t="s">
        <v>735</v>
      </c>
      <c r="B100">
        <v>1</v>
      </c>
      <c r="C100" t="s">
        <v>233</v>
      </c>
      <c r="D100" t="s">
        <v>1539</v>
      </c>
      <c r="E100">
        <v>5</v>
      </c>
      <c r="F100">
        <v>544</v>
      </c>
      <c r="G100">
        <v>524</v>
      </c>
      <c r="H100">
        <v>575</v>
      </c>
      <c r="I100">
        <v>609</v>
      </c>
      <c r="J100">
        <v>700</v>
      </c>
      <c r="K100">
        <v>666</v>
      </c>
      <c r="L100">
        <v>840</v>
      </c>
      <c r="M100">
        <v>790</v>
      </c>
      <c r="N100">
        <v>669</v>
      </c>
      <c r="O100">
        <v>735</v>
      </c>
      <c r="P100">
        <v>923</v>
      </c>
      <c r="Q100">
        <v>833</v>
      </c>
      <c r="R100">
        <v>825</v>
      </c>
      <c r="S100">
        <v>832</v>
      </c>
      <c r="T100">
        <v>794</v>
      </c>
      <c r="U100">
        <v>668</v>
      </c>
      <c r="V100">
        <v>465</v>
      </c>
      <c r="W100">
        <v>424</v>
      </c>
      <c r="X100">
        <v>365</v>
      </c>
      <c r="Y100">
        <v>318</v>
      </c>
      <c r="Z100">
        <v>651</v>
      </c>
      <c r="AA100">
        <v>784</v>
      </c>
      <c r="AB100">
        <v>803</v>
      </c>
      <c r="AC100">
        <v>829</v>
      </c>
    </row>
    <row r="101" spans="1:29" x14ac:dyDescent="0.2">
      <c r="A101" t="s">
        <v>735</v>
      </c>
      <c r="B101">
        <v>1</v>
      </c>
      <c r="C101" t="s">
        <v>233</v>
      </c>
      <c r="D101" t="s">
        <v>1540</v>
      </c>
      <c r="E101">
        <v>6</v>
      </c>
      <c r="F101">
        <v>536</v>
      </c>
      <c r="G101">
        <v>512</v>
      </c>
      <c r="H101">
        <v>560</v>
      </c>
      <c r="I101">
        <v>578</v>
      </c>
      <c r="J101">
        <v>639</v>
      </c>
      <c r="K101">
        <v>611</v>
      </c>
      <c r="L101">
        <v>775</v>
      </c>
      <c r="M101">
        <v>729</v>
      </c>
      <c r="N101">
        <v>634</v>
      </c>
      <c r="O101">
        <v>698</v>
      </c>
      <c r="P101">
        <v>905</v>
      </c>
      <c r="Q101">
        <v>839</v>
      </c>
      <c r="R101">
        <v>841</v>
      </c>
      <c r="S101">
        <v>838</v>
      </c>
      <c r="T101">
        <v>794</v>
      </c>
      <c r="U101">
        <v>705</v>
      </c>
      <c r="V101">
        <v>493</v>
      </c>
      <c r="W101">
        <v>455</v>
      </c>
      <c r="X101">
        <v>408</v>
      </c>
      <c r="Y101">
        <v>345</v>
      </c>
      <c r="Z101">
        <v>683</v>
      </c>
      <c r="AA101">
        <v>831</v>
      </c>
      <c r="AB101">
        <v>854</v>
      </c>
      <c r="AC101">
        <v>881</v>
      </c>
    </row>
    <row r="102" spans="1:29" x14ac:dyDescent="0.2">
      <c r="A102" t="s">
        <v>735</v>
      </c>
      <c r="B102">
        <v>1</v>
      </c>
      <c r="C102" t="s">
        <v>233</v>
      </c>
      <c r="D102" t="s">
        <v>1541</v>
      </c>
      <c r="E102">
        <v>7</v>
      </c>
      <c r="F102">
        <v>538</v>
      </c>
      <c r="G102">
        <v>504</v>
      </c>
      <c r="H102">
        <v>552</v>
      </c>
      <c r="I102">
        <v>553</v>
      </c>
      <c r="J102">
        <v>595</v>
      </c>
      <c r="K102">
        <v>571</v>
      </c>
      <c r="L102">
        <v>724</v>
      </c>
      <c r="M102">
        <v>679</v>
      </c>
      <c r="N102">
        <v>599</v>
      </c>
      <c r="O102">
        <v>667</v>
      </c>
      <c r="P102">
        <v>877</v>
      </c>
      <c r="Q102">
        <v>827</v>
      </c>
      <c r="R102">
        <v>837</v>
      </c>
      <c r="S102">
        <v>833</v>
      </c>
      <c r="T102">
        <v>783</v>
      </c>
      <c r="U102">
        <v>734</v>
      </c>
      <c r="V102">
        <v>509</v>
      </c>
      <c r="W102">
        <v>483</v>
      </c>
      <c r="X102">
        <v>438</v>
      </c>
      <c r="Y102">
        <v>362</v>
      </c>
      <c r="Z102">
        <v>704</v>
      </c>
      <c r="AA102">
        <v>865</v>
      </c>
      <c r="AB102">
        <v>882</v>
      </c>
      <c r="AC102">
        <v>913</v>
      </c>
    </row>
    <row r="103" spans="1:29" x14ac:dyDescent="0.2">
      <c r="A103" t="s">
        <v>735</v>
      </c>
      <c r="B103">
        <v>1</v>
      </c>
      <c r="C103" t="s">
        <v>233</v>
      </c>
      <c r="D103" t="s">
        <v>1542</v>
      </c>
      <c r="E103">
        <v>8</v>
      </c>
      <c r="F103">
        <v>540</v>
      </c>
      <c r="G103">
        <v>502</v>
      </c>
      <c r="H103">
        <v>550</v>
      </c>
      <c r="I103">
        <v>540</v>
      </c>
      <c r="J103">
        <v>567</v>
      </c>
      <c r="K103">
        <v>539</v>
      </c>
      <c r="L103">
        <v>678</v>
      </c>
      <c r="M103">
        <v>639</v>
      </c>
      <c r="N103">
        <v>570</v>
      </c>
      <c r="O103">
        <v>630</v>
      </c>
      <c r="P103">
        <v>845</v>
      </c>
      <c r="Q103">
        <v>806</v>
      </c>
      <c r="R103">
        <v>816</v>
      </c>
      <c r="S103">
        <v>812</v>
      </c>
      <c r="T103">
        <v>761</v>
      </c>
      <c r="U103">
        <v>737</v>
      </c>
      <c r="V103">
        <v>519</v>
      </c>
      <c r="W103">
        <v>498</v>
      </c>
      <c r="X103">
        <v>455</v>
      </c>
      <c r="Y103">
        <v>374</v>
      </c>
      <c r="Z103">
        <v>719</v>
      </c>
      <c r="AA103">
        <v>880</v>
      </c>
      <c r="AB103">
        <v>902</v>
      </c>
      <c r="AC103">
        <v>929</v>
      </c>
    </row>
    <row r="104" spans="1:29" x14ac:dyDescent="0.2">
      <c r="A104" t="s">
        <v>735</v>
      </c>
      <c r="B104">
        <v>1</v>
      </c>
      <c r="C104" t="s">
        <v>233</v>
      </c>
      <c r="D104" t="s">
        <v>1543</v>
      </c>
      <c r="E104">
        <v>9</v>
      </c>
      <c r="F104">
        <v>550</v>
      </c>
      <c r="G104">
        <v>504</v>
      </c>
      <c r="H104">
        <v>551</v>
      </c>
      <c r="I104">
        <v>530</v>
      </c>
      <c r="J104">
        <v>552</v>
      </c>
      <c r="K104">
        <v>515</v>
      </c>
      <c r="L104">
        <v>647</v>
      </c>
      <c r="M104">
        <v>606</v>
      </c>
      <c r="N104">
        <v>543</v>
      </c>
      <c r="O104">
        <v>595</v>
      </c>
      <c r="P104">
        <v>805</v>
      </c>
      <c r="Q104">
        <v>772</v>
      </c>
      <c r="R104">
        <v>781</v>
      </c>
      <c r="S104">
        <v>774</v>
      </c>
      <c r="T104">
        <v>723</v>
      </c>
      <c r="U104">
        <v>732</v>
      </c>
      <c r="V104">
        <v>516</v>
      </c>
      <c r="W104">
        <v>500</v>
      </c>
      <c r="X104">
        <v>452</v>
      </c>
      <c r="Y104">
        <v>378</v>
      </c>
      <c r="Z104">
        <v>718</v>
      </c>
      <c r="AA104">
        <v>880</v>
      </c>
      <c r="AB104">
        <v>901</v>
      </c>
      <c r="AC104">
        <v>927</v>
      </c>
    </row>
    <row r="105" spans="1:29" x14ac:dyDescent="0.2">
      <c r="A105" t="s">
        <v>735</v>
      </c>
      <c r="B105">
        <v>1</v>
      </c>
      <c r="C105" t="s">
        <v>233</v>
      </c>
      <c r="D105" t="s">
        <v>1544</v>
      </c>
      <c r="E105">
        <v>10</v>
      </c>
      <c r="F105">
        <v>549</v>
      </c>
      <c r="G105">
        <v>509</v>
      </c>
      <c r="H105">
        <v>548</v>
      </c>
      <c r="I105">
        <v>526</v>
      </c>
      <c r="J105">
        <v>541</v>
      </c>
      <c r="K105">
        <v>501</v>
      </c>
      <c r="L105">
        <v>614</v>
      </c>
      <c r="M105">
        <v>576</v>
      </c>
      <c r="N105">
        <v>513</v>
      </c>
      <c r="O105">
        <v>559</v>
      </c>
      <c r="P105">
        <v>754</v>
      </c>
      <c r="Q105">
        <v>724</v>
      </c>
      <c r="R105">
        <v>739</v>
      </c>
      <c r="S105">
        <v>728</v>
      </c>
      <c r="T105">
        <v>681</v>
      </c>
      <c r="U105">
        <v>711</v>
      </c>
      <c r="V105">
        <v>505</v>
      </c>
      <c r="W105">
        <v>488</v>
      </c>
      <c r="X105">
        <v>443</v>
      </c>
      <c r="Y105">
        <v>370</v>
      </c>
      <c r="Z105">
        <v>708</v>
      </c>
      <c r="AA105">
        <v>868</v>
      </c>
      <c r="AB105">
        <v>887</v>
      </c>
      <c r="AC105">
        <v>918</v>
      </c>
    </row>
    <row r="106" spans="1:29" x14ac:dyDescent="0.2">
      <c r="A106" t="s">
        <v>735</v>
      </c>
      <c r="B106">
        <v>1</v>
      </c>
      <c r="C106" t="s">
        <v>233</v>
      </c>
      <c r="D106" t="s">
        <v>1545</v>
      </c>
      <c r="E106">
        <v>11</v>
      </c>
      <c r="F106">
        <v>547</v>
      </c>
      <c r="G106">
        <v>508</v>
      </c>
      <c r="H106">
        <v>544</v>
      </c>
      <c r="I106">
        <v>520</v>
      </c>
      <c r="J106">
        <v>533</v>
      </c>
      <c r="K106">
        <v>484</v>
      </c>
      <c r="L106">
        <v>584</v>
      </c>
      <c r="M106">
        <v>550</v>
      </c>
      <c r="N106">
        <v>478</v>
      </c>
      <c r="O106">
        <v>520</v>
      </c>
      <c r="P106">
        <v>701</v>
      </c>
      <c r="Q106">
        <v>664</v>
      </c>
      <c r="R106">
        <v>681</v>
      </c>
      <c r="S106">
        <v>674</v>
      </c>
      <c r="T106">
        <v>629</v>
      </c>
      <c r="U106">
        <v>674</v>
      </c>
      <c r="V106">
        <v>481</v>
      </c>
      <c r="W106">
        <v>465</v>
      </c>
      <c r="X106">
        <v>425</v>
      </c>
      <c r="Y106">
        <v>358</v>
      </c>
      <c r="Z106">
        <v>689</v>
      </c>
      <c r="AA106">
        <v>843</v>
      </c>
      <c r="AB106">
        <v>865</v>
      </c>
      <c r="AC106">
        <v>890</v>
      </c>
    </row>
    <row r="107" spans="1:29" x14ac:dyDescent="0.2">
      <c r="A107" t="s">
        <v>735</v>
      </c>
      <c r="B107">
        <v>1</v>
      </c>
      <c r="C107" t="s">
        <v>233</v>
      </c>
      <c r="D107" t="s">
        <v>1546</v>
      </c>
      <c r="E107">
        <v>12</v>
      </c>
      <c r="F107">
        <v>548</v>
      </c>
      <c r="G107">
        <v>513</v>
      </c>
      <c r="H107">
        <v>539</v>
      </c>
      <c r="I107">
        <v>512</v>
      </c>
      <c r="J107">
        <v>531</v>
      </c>
      <c r="K107">
        <v>480</v>
      </c>
      <c r="L107">
        <v>558</v>
      </c>
      <c r="M107">
        <v>525</v>
      </c>
      <c r="N107">
        <v>448</v>
      </c>
      <c r="O107">
        <v>475</v>
      </c>
      <c r="P107">
        <v>642</v>
      </c>
      <c r="Q107">
        <v>607</v>
      </c>
      <c r="R107">
        <v>616</v>
      </c>
      <c r="S107">
        <v>621</v>
      </c>
      <c r="T107">
        <v>579</v>
      </c>
      <c r="U107">
        <v>624</v>
      </c>
      <c r="V107">
        <v>451</v>
      </c>
      <c r="W107">
        <v>432</v>
      </c>
      <c r="X107">
        <v>396</v>
      </c>
      <c r="Y107">
        <v>337</v>
      </c>
      <c r="Z107">
        <v>658</v>
      </c>
      <c r="AA107">
        <v>808</v>
      </c>
      <c r="AB107">
        <v>826</v>
      </c>
      <c r="AC107">
        <v>846</v>
      </c>
    </row>
    <row r="108" spans="1:29" x14ac:dyDescent="0.2">
      <c r="A108" t="s">
        <v>735</v>
      </c>
      <c r="B108">
        <v>1</v>
      </c>
      <c r="C108" t="s">
        <v>233</v>
      </c>
      <c r="D108" t="s">
        <v>1547</v>
      </c>
      <c r="E108">
        <v>13</v>
      </c>
      <c r="F108">
        <v>564</v>
      </c>
      <c r="G108">
        <v>529</v>
      </c>
      <c r="H108">
        <v>545</v>
      </c>
      <c r="I108">
        <v>516</v>
      </c>
      <c r="J108">
        <v>546</v>
      </c>
      <c r="K108">
        <v>485</v>
      </c>
      <c r="L108">
        <v>546</v>
      </c>
      <c r="M108">
        <v>508</v>
      </c>
      <c r="N108">
        <v>423</v>
      </c>
      <c r="O108">
        <v>442</v>
      </c>
      <c r="P108">
        <v>586</v>
      </c>
      <c r="Q108">
        <v>552</v>
      </c>
      <c r="R108">
        <v>558</v>
      </c>
      <c r="S108">
        <v>563</v>
      </c>
      <c r="T108">
        <v>524</v>
      </c>
      <c r="U108">
        <v>578</v>
      </c>
      <c r="V108">
        <v>421</v>
      </c>
      <c r="W108">
        <v>392</v>
      </c>
      <c r="X108">
        <v>362</v>
      </c>
      <c r="Y108">
        <v>314</v>
      </c>
      <c r="Z108">
        <v>626</v>
      </c>
      <c r="AA108">
        <v>766</v>
      </c>
      <c r="AB108">
        <v>779</v>
      </c>
      <c r="AC108">
        <v>806</v>
      </c>
    </row>
    <row r="109" spans="1:29" x14ac:dyDescent="0.2">
      <c r="A109" t="s">
        <v>735</v>
      </c>
      <c r="B109">
        <v>1</v>
      </c>
      <c r="C109" t="s">
        <v>233</v>
      </c>
      <c r="D109" t="s">
        <v>1416</v>
      </c>
      <c r="E109">
        <v>14</v>
      </c>
      <c r="F109">
        <v>559</v>
      </c>
      <c r="G109">
        <v>528</v>
      </c>
      <c r="H109">
        <v>542</v>
      </c>
      <c r="I109">
        <v>508</v>
      </c>
      <c r="J109">
        <v>546</v>
      </c>
      <c r="K109">
        <v>474</v>
      </c>
      <c r="L109">
        <v>527</v>
      </c>
      <c r="M109">
        <v>483</v>
      </c>
      <c r="N109">
        <v>388</v>
      </c>
      <c r="O109">
        <v>396</v>
      </c>
      <c r="P109">
        <v>524</v>
      </c>
      <c r="Q109">
        <v>481</v>
      </c>
      <c r="R109">
        <v>480</v>
      </c>
      <c r="S109">
        <v>486</v>
      </c>
      <c r="T109">
        <v>456</v>
      </c>
      <c r="U109">
        <v>538</v>
      </c>
      <c r="V109">
        <v>395</v>
      </c>
      <c r="W109">
        <v>360</v>
      </c>
      <c r="X109">
        <v>336</v>
      </c>
      <c r="Y109">
        <v>297</v>
      </c>
      <c r="Z109">
        <v>608</v>
      </c>
      <c r="AA109">
        <v>734</v>
      </c>
      <c r="AB109">
        <v>749</v>
      </c>
      <c r="AC109">
        <v>766</v>
      </c>
    </row>
    <row r="110" spans="1:29" x14ac:dyDescent="0.2">
      <c r="A110" t="s">
        <v>735</v>
      </c>
      <c r="B110">
        <v>1</v>
      </c>
      <c r="C110" t="s">
        <v>233</v>
      </c>
      <c r="D110" t="s">
        <v>1548</v>
      </c>
      <c r="E110">
        <v>15</v>
      </c>
      <c r="F110">
        <v>497</v>
      </c>
      <c r="G110">
        <v>472</v>
      </c>
      <c r="H110">
        <v>480</v>
      </c>
      <c r="I110">
        <v>448</v>
      </c>
      <c r="J110">
        <v>478</v>
      </c>
      <c r="K110">
        <v>407</v>
      </c>
      <c r="L110">
        <v>451</v>
      </c>
      <c r="M110">
        <v>414</v>
      </c>
      <c r="N110">
        <v>325</v>
      </c>
      <c r="O110">
        <v>317</v>
      </c>
      <c r="P110">
        <v>424</v>
      </c>
      <c r="Q110">
        <v>382</v>
      </c>
      <c r="R110">
        <v>376</v>
      </c>
      <c r="S110">
        <v>386</v>
      </c>
      <c r="T110">
        <v>353</v>
      </c>
      <c r="U110">
        <v>460</v>
      </c>
      <c r="V110">
        <v>341</v>
      </c>
      <c r="W110">
        <v>294</v>
      </c>
      <c r="X110">
        <v>278</v>
      </c>
      <c r="Y110">
        <v>251</v>
      </c>
      <c r="Z110">
        <v>549</v>
      </c>
      <c r="AA110">
        <v>661</v>
      </c>
      <c r="AB110">
        <v>673</v>
      </c>
      <c r="AC110">
        <v>697</v>
      </c>
    </row>
    <row r="111" spans="1:29" x14ac:dyDescent="0.2">
      <c r="A111" t="s">
        <v>735</v>
      </c>
      <c r="B111">
        <v>1</v>
      </c>
      <c r="C111" t="s">
        <v>233</v>
      </c>
      <c r="D111" t="s">
        <v>1549</v>
      </c>
      <c r="E111">
        <v>16</v>
      </c>
      <c r="F111">
        <v>384</v>
      </c>
      <c r="G111">
        <v>363</v>
      </c>
      <c r="H111">
        <v>364</v>
      </c>
      <c r="I111">
        <v>320</v>
      </c>
      <c r="J111">
        <v>338</v>
      </c>
      <c r="K111">
        <v>285</v>
      </c>
      <c r="L111">
        <v>323</v>
      </c>
      <c r="M111">
        <v>305</v>
      </c>
      <c r="N111">
        <v>222</v>
      </c>
      <c r="O111">
        <v>208</v>
      </c>
      <c r="P111">
        <v>309</v>
      </c>
      <c r="Q111">
        <v>266</v>
      </c>
      <c r="R111">
        <v>253</v>
      </c>
      <c r="S111">
        <v>256</v>
      </c>
      <c r="T111">
        <v>231</v>
      </c>
      <c r="U111">
        <v>335</v>
      </c>
      <c r="V111">
        <v>228</v>
      </c>
      <c r="W111">
        <v>184</v>
      </c>
      <c r="X111">
        <v>186</v>
      </c>
      <c r="Y111">
        <v>175</v>
      </c>
      <c r="Z111">
        <v>431</v>
      </c>
      <c r="AA111">
        <v>528</v>
      </c>
      <c r="AB111">
        <v>541</v>
      </c>
      <c r="AC111">
        <v>560</v>
      </c>
    </row>
    <row r="112" spans="1:29" x14ac:dyDescent="0.2">
      <c r="A112" t="s">
        <v>735</v>
      </c>
      <c r="B112">
        <v>1</v>
      </c>
      <c r="C112" t="s">
        <v>233</v>
      </c>
      <c r="D112" t="s">
        <v>1550</v>
      </c>
      <c r="E112">
        <v>17</v>
      </c>
      <c r="F112">
        <v>253</v>
      </c>
      <c r="G112">
        <v>242</v>
      </c>
      <c r="H112">
        <v>234</v>
      </c>
      <c r="I112">
        <v>177</v>
      </c>
      <c r="J112">
        <v>180</v>
      </c>
      <c r="K112">
        <v>149</v>
      </c>
      <c r="L112">
        <v>188</v>
      </c>
      <c r="M112">
        <v>184</v>
      </c>
      <c r="N112">
        <v>113</v>
      </c>
      <c r="O112">
        <v>94</v>
      </c>
      <c r="P112">
        <v>188</v>
      </c>
      <c r="Q112">
        <v>152</v>
      </c>
      <c r="R112">
        <v>135</v>
      </c>
      <c r="S112">
        <v>128</v>
      </c>
      <c r="T112">
        <v>105</v>
      </c>
      <c r="U112">
        <v>184</v>
      </c>
      <c r="V112">
        <v>92</v>
      </c>
      <c r="W112">
        <v>54</v>
      </c>
      <c r="X112">
        <v>78</v>
      </c>
      <c r="Y112">
        <v>75</v>
      </c>
      <c r="Z112">
        <v>285</v>
      </c>
      <c r="AA112">
        <v>369</v>
      </c>
      <c r="AB112">
        <v>380</v>
      </c>
      <c r="AC112">
        <v>388</v>
      </c>
    </row>
    <row r="113" spans="1:29" x14ac:dyDescent="0.2">
      <c r="A113" t="s">
        <v>735</v>
      </c>
      <c r="B113">
        <v>1</v>
      </c>
      <c r="C113" t="s">
        <v>233</v>
      </c>
      <c r="D113" t="s">
        <v>1551</v>
      </c>
      <c r="E113">
        <v>18</v>
      </c>
      <c r="F113">
        <v>131</v>
      </c>
      <c r="G113">
        <v>124</v>
      </c>
      <c r="H113">
        <v>118</v>
      </c>
      <c r="I113">
        <v>50</v>
      </c>
      <c r="J113">
        <v>40</v>
      </c>
      <c r="K113">
        <v>21</v>
      </c>
      <c r="L113">
        <v>67</v>
      </c>
      <c r="M113">
        <v>71</v>
      </c>
      <c r="N113">
        <v>15</v>
      </c>
      <c r="O113">
        <v>-6</v>
      </c>
      <c r="P113">
        <v>79</v>
      </c>
      <c r="Q113">
        <v>41</v>
      </c>
      <c r="R113">
        <v>22</v>
      </c>
      <c r="S113">
        <v>5</v>
      </c>
      <c r="T113">
        <v>-13</v>
      </c>
      <c r="U113">
        <v>50</v>
      </c>
      <c r="V113">
        <v>-35</v>
      </c>
      <c r="W113">
        <v>-65</v>
      </c>
      <c r="X113">
        <v>-23</v>
      </c>
      <c r="Y113">
        <v>-10</v>
      </c>
      <c r="Z113">
        <v>158</v>
      </c>
      <c r="AA113">
        <v>233</v>
      </c>
      <c r="AB113">
        <v>230</v>
      </c>
      <c r="AC113">
        <v>239</v>
      </c>
    </row>
    <row r="114" spans="1:29" x14ac:dyDescent="0.2">
      <c r="A114" t="s">
        <v>735</v>
      </c>
      <c r="B114">
        <v>1</v>
      </c>
      <c r="C114" t="s">
        <v>233</v>
      </c>
      <c r="D114" t="s">
        <v>1552</v>
      </c>
      <c r="E114">
        <v>19</v>
      </c>
      <c r="F114">
        <v>64</v>
      </c>
      <c r="G114">
        <v>60</v>
      </c>
      <c r="H114">
        <v>54</v>
      </c>
      <c r="I114">
        <v>-20</v>
      </c>
      <c r="J114">
        <v>-41</v>
      </c>
      <c r="K114">
        <v>-55</v>
      </c>
      <c r="L114">
        <v>-11</v>
      </c>
      <c r="M114">
        <v>3</v>
      </c>
      <c r="N114">
        <v>-43</v>
      </c>
      <c r="O114">
        <v>-68</v>
      </c>
      <c r="P114">
        <v>15</v>
      </c>
      <c r="Q114">
        <v>-19</v>
      </c>
      <c r="R114">
        <v>-41</v>
      </c>
      <c r="S114">
        <v>-61</v>
      </c>
      <c r="T114">
        <v>-73</v>
      </c>
      <c r="U114">
        <v>-79</v>
      </c>
      <c r="V114">
        <v>-151</v>
      </c>
      <c r="W114">
        <v>-182</v>
      </c>
      <c r="X114">
        <v>-118</v>
      </c>
      <c r="Y114">
        <v>-105</v>
      </c>
      <c r="Z114">
        <v>24</v>
      </c>
      <c r="AA114">
        <v>80</v>
      </c>
      <c r="AB114">
        <v>80</v>
      </c>
      <c r="AC114">
        <v>84</v>
      </c>
    </row>
    <row r="115" spans="1:29" x14ac:dyDescent="0.2">
      <c r="A115" t="s">
        <v>735</v>
      </c>
      <c r="B115">
        <v>1</v>
      </c>
      <c r="C115" t="s">
        <v>233</v>
      </c>
      <c r="D115" t="s">
        <v>1553</v>
      </c>
      <c r="E115">
        <v>20</v>
      </c>
      <c r="F115">
        <v>77</v>
      </c>
      <c r="G115">
        <v>72</v>
      </c>
      <c r="H115">
        <v>64</v>
      </c>
      <c r="I115">
        <v>-14</v>
      </c>
      <c r="J115">
        <v>-50</v>
      </c>
      <c r="K115">
        <v>-65</v>
      </c>
      <c r="L115">
        <v>-20</v>
      </c>
      <c r="M115">
        <v>-5</v>
      </c>
      <c r="N115">
        <v>-62</v>
      </c>
      <c r="O115">
        <v>-91</v>
      </c>
      <c r="P115">
        <v>10</v>
      </c>
      <c r="Q115">
        <v>-22</v>
      </c>
      <c r="R115">
        <v>-46</v>
      </c>
      <c r="S115">
        <v>-57</v>
      </c>
      <c r="T115">
        <v>-60</v>
      </c>
      <c r="U115">
        <v>-136</v>
      </c>
      <c r="V115">
        <v>-206</v>
      </c>
      <c r="W115">
        <v>-238</v>
      </c>
      <c r="X115">
        <v>-173</v>
      </c>
      <c r="Y115">
        <v>-153</v>
      </c>
      <c r="Z115">
        <v>-25</v>
      </c>
      <c r="AA115">
        <v>26</v>
      </c>
      <c r="AB115">
        <v>20</v>
      </c>
      <c r="AC115">
        <v>24</v>
      </c>
    </row>
    <row r="116" spans="1:29" x14ac:dyDescent="0.2">
      <c r="A116" t="s">
        <v>735</v>
      </c>
      <c r="B116">
        <v>1</v>
      </c>
      <c r="C116" t="s">
        <v>233</v>
      </c>
      <c r="D116" t="s">
        <v>1554</v>
      </c>
      <c r="E116">
        <v>21</v>
      </c>
      <c r="F116">
        <v>159</v>
      </c>
      <c r="G116">
        <v>145</v>
      </c>
      <c r="H116">
        <v>135</v>
      </c>
      <c r="I116">
        <v>53</v>
      </c>
      <c r="J116">
        <v>14</v>
      </c>
      <c r="K116">
        <v>-28</v>
      </c>
      <c r="L116">
        <v>25</v>
      </c>
      <c r="M116">
        <v>22</v>
      </c>
      <c r="N116">
        <v>-49</v>
      </c>
      <c r="O116">
        <v>-95</v>
      </c>
      <c r="P116">
        <v>41</v>
      </c>
      <c r="Q116">
        <v>14</v>
      </c>
      <c r="R116">
        <v>2</v>
      </c>
      <c r="S116">
        <v>2</v>
      </c>
      <c r="T116">
        <v>15</v>
      </c>
      <c r="U116">
        <v>-101</v>
      </c>
      <c r="V116">
        <v>-182</v>
      </c>
      <c r="W116">
        <v>-223</v>
      </c>
      <c r="X116">
        <v>-156</v>
      </c>
      <c r="Y116">
        <v>-138</v>
      </c>
      <c r="Z116">
        <v>51</v>
      </c>
      <c r="AA116">
        <v>110</v>
      </c>
      <c r="AB116">
        <v>112</v>
      </c>
      <c r="AC116">
        <v>111</v>
      </c>
    </row>
    <row r="117" spans="1:29" x14ac:dyDescent="0.2">
      <c r="A117" t="s">
        <v>735</v>
      </c>
      <c r="B117">
        <v>1</v>
      </c>
      <c r="C117" t="s">
        <v>233</v>
      </c>
      <c r="D117" t="s">
        <v>1555</v>
      </c>
      <c r="E117">
        <v>22</v>
      </c>
      <c r="F117">
        <v>258</v>
      </c>
      <c r="G117">
        <v>234</v>
      </c>
      <c r="H117">
        <v>215</v>
      </c>
      <c r="I117">
        <v>132</v>
      </c>
      <c r="J117">
        <v>85</v>
      </c>
      <c r="K117">
        <v>14</v>
      </c>
      <c r="L117">
        <v>73</v>
      </c>
      <c r="M117">
        <v>49</v>
      </c>
      <c r="N117">
        <v>-50</v>
      </c>
      <c r="O117">
        <v>-103</v>
      </c>
      <c r="P117">
        <v>70</v>
      </c>
      <c r="Q117">
        <v>38</v>
      </c>
      <c r="R117">
        <v>54</v>
      </c>
      <c r="S117">
        <v>56</v>
      </c>
      <c r="T117">
        <v>92</v>
      </c>
      <c r="U117">
        <v>19</v>
      </c>
      <c r="V117">
        <v>-91</v>
      </c>
      <c r="W117">
        <v>-152</v>
      </c>
      <c r="X117">
        <v>-96</v>
      </c>
      <c r="Y117">
        <v>-84</v>
      </c>
      <c r="Z117">
        <v>220</v>
      </c>
      <c r="AA117">
        <v>286</v>
      </c>
      <c r="AB117">
        <v>295</v>
      </c>
      <c r="AC117">
        <v>305</v>
      </c>
    </row>
    <row r="118" spans="1:29" x14ac:dyDescent="0.2">
      <c r="A118" t="s">
        <v>735</v>
      </c>
      <c r="B118">
        <v>1</v>
      </c>
      <c r="C118" t="s">
        <v>233</v>
      </c>
      <c r="D118" t="s">
        <v>1556</v>
      </c>
      <c r="E118">
        <v>23</v>
      </c>
      <c r="F118">
        <v>350</v>
      </c>
      <c r="G118">
        <v>320</v>
      </c>
      <c r="H118">
        <v>295</v>
      </c>
      <c r="I118">
        <v>209</v>
      </c>
      <c r="J118">
        <v>148</v>
      </c>
      <c r="K118">
        <v>56</v>
      </c>
      <c r="L118">
        <v>124</v>
      </c>
      <c r="M118">
        <v>85</v>
      </c>
      <c r="N118">
        <v>-47</v>
      </c>
      <c r="O118">
        <v>-101</v>
      </c>
      <c r="P118">
        <v>110</v>
      </c>
      <c r="Q118">
        <v>80</v>
      </c>
      <c r="R118">
        <v>104</v>
      </c>
      <c r="S118">
        <v>124</v>
      </c>
      <c r="T118">
        <v>171</v>
      </c>
      <c r="U118">
        <v>134</v>
      </c>
      <c r="V118">
        <v>2</v>
      </c>
      <c r="W118">
        <v>-70</v>
      </c>
      <c r="X118">
        <v>-29</v>
      </c>
      <c r="Y118">
        <v>-25</v>
      </c>
      <c r="Z118">
        <v>378</v>
      </c>
      <c r="AA118">
        <v>459</v>
      </c>
      <c r="AB118">
        <v>476</v>
      </c>
      <c r="AC118">
        <v>490</v>
      </c>
    </row>
    <row r="119" spans="1:29" x14ac:dyDescent="0.2">
      <c r="A119" t="s">
        <v>735</v>
      </c>
      <c r="B119">
        <v>1</v>
      </c>
      <c r="C119" t="s">
        <v>233</v>
      </c>
      <c r="D119" t="s">
        <v>1417</v>
      </c>
      <c r="E119">
        <v>24</v>
      </c>
      <c r="F119">
        <v>463</v>
      </c>
      <c r="G119">
        <v>414</v>
      </c>
      <c r="H119">
        <v>389</v>
      </c>
      <c r="I119">
        <v>297</v>
      </c>
      <c r="J119">
        <v>230</v>
      </c>
      <c r="K119">
        <v>117</v>
      </c>
      <c r="L119">
        <v>188</v>
      </c>
      <c r="M119">
        <v>141</v>
      </c>
      <c r="N119">
        <v>-20</v>
      </c>
      <c r="O119">
        <v>-84</v>
      </c>
      <c r="P119">
        <v>163</v>
      </c>
      <c r="Q119">
        <v>136</v>
      </c>
      <c r="R119">
        <v>171</v>
      </c>
      <c r="S119">
        <v>203</v>
      </c>
      <c r="T119">
        <v>266</v>
      </c>
      <c r="U119">
        <v>248</v>
      </c>
      <c r="V119">
        <v>86</v>
      </c>
      <c r="W119">
        <v>-1</v>
      </c>
      <c r="X119">
        <v>38</v>
      </c>
      <c r="Y119">
        <v>33</v>
      </c>
      <c r="Z119">
        <v>554</v>
      </c>
      <c r="AA119">
        <v>641</v>
      </c>
      <c r="AB119">
        <v>660</v>
      </c>
      <c r="AC119">
        <v>674</v>
      </c>
    </row>
    <row r="120" spans="1:29" x14ac:dyDescent="0.2">
      <c r="A120" t="s">
        <v>735</v>
      </c>
      <c r="B120">
        <v>1</v>
      </c>
      <c r="C120" t="s">
        <v>233</v>
      </c>
      <c r="D120" t="s">
        <v>1418</v>
      </c>
      <c r="E120">
        <v>25</v>
      </c>
      <c r="F120">
        <v>622</v>
      </c>
      <c r="G120">
        <v>583</v>
      </c>
      <c r="H120">
        <v>570</v>
      </c>
      <c r="I120">
        <v>476</v>
      </c>
      <c r="J120">
        <v>402</v>
      </c>
      <c r="K120">
        <v>255</v>
      </c>
      <c r="L120">
        <v>337</v>
      </c>
      <c r="M120">
        <v>268</v>
      </c>
      <c r="N120">
        <v>93</v>
      </c>
      <c r="O120">
        <v>30</v>
      </c>
      <c r="P120">
        <v>318</v>
      </c>
      <c r="Q120">
        <v>270</v>
      </c>
      <c r="R120">
        <v>315</v>
      </c>
      <c r="S120">
        <v>359</v>
      </c>
      <c r="T120">
        <v>423</v>
      </c>
      <c r="U120">
        <v>419</v>
      </c>
      <c r="V120">
        <v>222</v>
      </c>
      <c r="W120">
        <v>121</v>
      </c>
      <c r="X120">
        <v>134</v>
      </c>
      <c r="Y120">
        <v>120</v>
      </c>
      <c r="Z120">
        <v>719</v>
      </c>
      <c r="AA120">
        <v>818</v>
      </c>
      <c r="AB120">
        <v>852</v>
      </c>
      <c r="AC120">
        <v>876</v>
      </c>
    </row>
    <row r="121" spans="1:29" x14ac:dyDescent="0.2">
      <c r="A121" t="s">
        <v>735</v>
      </c>
      <c r="B121">
        <v>1</v>
      </c>
      <c r="C121" t="s">
        <v>233</v>
      </c>
      <c r="D121" t="s">
        <v>1419</v>
      </c>
      <c r="E121">
        <v>26</v>
      </c>
      <c r="F121">
        <v>871</v>
      </c>
      <c r="G121">
        <v>839</v>
      </c>
      <c r="H121">
        <v>853</v>
      </c>
      <c r="I121">
        <v>762</v>
      </c>
      <c r="J121">
        <v>676</v>
      </c>
      <c r="K121">
        <v>498</v>
      </c>
      <c r="L121">
        <v>580</v>
      </c>
      <c r="M121">
        <v>491</v>
      </c>
      <c r="N121">
        <v>316</v>
      </c>
      <c r="O121">
        <v>266</v>
      </c>
      <c r="P121">
        <v>579</v>
      </c>
      <c r="Q121">
        <v>499</v>
      </c>
      <c r="R121">
        <v>541</v>
      </c>
      <c r="S121">
        <v>592</v>
      </c>
      <c r="T121">
        <v>653</v>
      </c>
      <c r="U121">
        <v>657</v>
      </c>
      <c r="V121">
        <v>412</v>
      </c>
      <c r="W121">
        <v>300</v>
      </c>
      <c r="X121">
        <v>288</v>
      </c>
      <c r="Y121">
        <v>233</v>
      </c>
      <c r="Z121">
        <v>863</v>
      </c>
      <c r="AA121">
        <v>998</v>
      </c>
      <c r="AB121">
        <v>1025</v>
      </c>
      <c r="AC121">
        <v>1056</v>
      </c>
    </row>
    <row r="122" spans="1:29" x14ac:dyDescent="0.2">
      <c r="A122" t="s">
        <v>735</v>
      </c>
      <c r="B122">
        <v>1</v>
      </c>
      <c r="C122" t="s">
        <v>233</v>
      </c>
      <c r="D122" t="s">
        <v>1557</v>
      </c>
      <c r="E122">
        <v>27</v>
      </c>
      <c r="F122">
        <v>1156</v>
      </c>
      <c r="G122">
        <v>1145</v>
      </c>
      <c r="H122">
        <v>1199</v>
      </c>
      <c r="I122">
        <v>1102</v>
      </c>
      <c r="J122">
        <v>1031</v>
      </c>
      <c r="K122">
        <v>799</v>
      </c>
      <c r="L122">
        <v>874</v>
      </c>
      <c r="M122">
        <v>770</v>
      </c>
      <c r="N122">
        <v>599</v>
      </c>
      <c r="O122">
        <v>563</v>
      </c>
      <c r="P122">
        <v>897</v>
      </c>
      <c r="Q122">
        <v>786</v>
      </c>
      <c r="R122">
        <v>831</v>
      </c>
      <c r="S122">
        <v>882</v>
      </c>
      <c r="T122">
        <v>942</v>
      </c>
      <c r="U122">
        <v>937</v>
      </c>
      <c r="V122">
        <v>627</v>
      </c>
      <c r="W122">
        <v>519</v>
      </c>
      <c r="X122">
        <v>468</v>
      </c>
      <c r="Y122">
        <v>361</v>
      </c>
      <c r="Z122">
        <v>1000</v>
      </c>
      <c r="AA122">
        <v>1162</v>
      </c>
      <c r="AB122">
        <v>1193</v>
      </c>
      <c r="AC122">
        <v>1232</v>
      </c>
    </row>
    <row r="123" spans="1:29" x14ac:dyDescent="0.2">
      <c r="A123" t="s">
        <v>735</v>
      </c>
      <c r="B123">
        <v>1</v>
      </c>
      <c r="C123" t="s">
        <v>233</v>
      </c>
      <c r="D123" t="s">
        <v>1558</v>
      </c>
      <c r="E123">
        <v>28</v>
      </c>
      <c r="F123">
        <v>1448</v>
      </c>
      <c r="G123">
        <v>1450</v>
      </c>
      <c r="H123">
        <v>1542</v>
      </c>
      <c r="I123">
        <v>1442</v>
      </c>
      <c r="J123">
        <v>1383</v>
      </c>
      <c r="K123">
        <v>1102</v>
      </c>
      <c r="L123">
        <v>1175</v>
      </c>
      <c r="M123">
        <v>1053</v>
      </c>
      <c r="N123">
        <v>891</v>
      </c>
      <c r="O123">
        <v>866</v>
      </c>
      <c r="P123">
        <v>1214</v>
      </c>
      <c r="Q123">
        <v>1071</v>
      </c>
      <c r="R123">
        <v>1115</v>
      </c>
      <c r="S123">
        <v>1169</v>
      </c>
      <c r="T123">
        <v>1224</v>
      </c>
      <c r="U123">
        <v>1222</v>
      </c>
      <c r="V123">
        <v>854</v>
      </c>
      <c r="W123">
        <v>732</v>
      </c>
      <c r="X123">
        <v>651</v>
      </c>
      <c r="Y123">
        <v>488</v>
      </c>
      <c r="Z123">
        <v>1135</v>
      </c>
      <c r="AA123">
        <v>1331</v>
      </c>
      <c r="AB123">
        <v>1372</v>
      </c>
      <c r="AC123">
        <v>1413</v>
      </c>
    </row>
    <row r="124" spans="1:29" x14ac:dyDescent="0.2">
      <c r="A124" t="s">
        <v>735</v>
      </c>
      <c r="B124">
        <v>1</v>
      </c>
      <c r="C124" t="s">
        <v>233</v>
      </c>
      <c r="D124" t="s">
        <v>1559</v>
      </c>
      <c r="E124">
        <v>29</v>
      </c>
      <c r="F124">
        <v>1698</v>
      </c>
      <c r="G124">
        <v>1709</v>
      </c>
      <c r="H124">
        <v>1830</v>
      </c>
      <c r="I124">
        <v>1736</v>
      </c>
      <c r="J124">
        <v>1678</v>
      </c>
      <c r="K124">
        <v>1357</v>
      </c>
      <c r="L124">
        <v>1436</v>
      </c>
      <c r="M124">
        <v>1293</v>
      </c>
      <c r="N124">
        <v>1134</v>
      </c>
      <c r="O124">
        <v>1130</v>
      </c>
      <c r="P124">
        <v>1488</v>
      </c>
      <c r="Q124">
        <v>1313</v>
      </c>
      <c r="R124">
        <v>1361</v>
      </c>
      <c r="S124">
        <v>1419</v>
      </c>
      <c r="T124">
        <v>1470</v>
      </c>
      <c r="U124">
        <v>1505</v>
      </c>
      <c r="V124">
        <v>1075</v>
      </c>
      <c r="W124">
        <v>951</v>
      </c>
      <c r="X124">
        <v>841</v>
      </c>
      <c r="Y124">
        <v>621</v>
      </c>
      <c r="Z124">
        <v>1280</v>
      </c>
      <c r="AA124">
        <v>1511</v>
      </c>
      <c r="AB124">
        <v>1554</v>
      </c>
      <c r="AC124">
        <v>1597</v>
      </c>
    </row>
    <row r="125" spans="1:29" x14ac:dyDescent="0.2">
      <c r="A125" t="s">
        <v>735</v>
      </c>
      <c r="B125">
        <v>1</v>
      </c>
      <c r="C125" t="s">
        <v>233</v>
      </c>
      <c r="D125" t="s">
        <v>1560</v>
      </c>
      <c r="E125">
        <v>30</v>
      </c>
      <c r="F125">
        <v>1808</v>
      </c>
      <c r="G125">
        <v>1837</v>
      </c>
      <c r="H125">
        <v>1975</v>
      </c>
      <c r="I125">
        <v>1885</v>
      </c>
      <c r="J125">
        <v>1838</v>
      </c>
      <c r="K125">
        <v>1490</v>
      </c>
      <c r="L125">
        <v>1568</v>
      </c>
      <c r="M125">
        <v>1425</v>
      </c>
      <c r="N125">
        <v>1268</v>
      </c>
      <c r="O125">
        <v>1280</v>
      </c>
      <c r="P125">
        <v>1642</v>
      </c>
      <c r="Q125">
        <v>1466</v>
      </c>
      <c r="R125">
        <v>1508</v>
      </c>
      <c r="S125">
        <v>1574</v>
      </c>
      <c r="T125">
        <v>1620</v>
      </c>
      <c r="U125">
        <v>1707</v>
      </c>
      <c r="V125">
        <v>1246</v>
      </c>
      <c r="W125">
        <v>1120</v>
      </c>
      <c r="X125">
        <v>984</v>
      </c>
      <c r="Y125">
        <v>732</v>
      </c>
      <c r="Z125">
        <v>1389</v>
      </c>
      <c r="AA125">
        <v>1658</v>
      </c>
      <c r="AB125">
        <v>1707</v>
      </c>
      <c r="AC125">
        <v>1758</v>
      </c>
    </row>
    <row r="126" spans="1:29" x14ac:dyDescent="0.2">
      <c r="A126" t="s">
        <v>735</v>
      </c>
      <c r="B126">
        <v>1</v>
      </c>
      <c r="C126" t="s">
        <v>233</v>
      </c>
      <c r="D126" t="s">
        <v>1561</v>
      </c>
      <c r="E126">
        <v>31</v>
      </c>
      <c r="F126">
        <v>1786</v>
      </c>
      <c r="G126">
        <v>1819</v>
      </c>
      <c r="H126">
        <v>1972</v>
      </c>
      <c r="I126">
        <v>1905</v>
      </c>
      <c r="J126">
        <v>1855</v>
      </c>
      <c r="K126">
        <v>1500</v>
      </c>
      <c r="L126">
        <v>1586</v>
      </c>
      <c r="M126">
        <v>1445</v>
      </c>
      <c r="N126">
        <v>1291</v>
      </c>
      <c r="O126">
        <v>1317</v>
      </c>
      <c r="P126">
        <v>1680</v>
      </c>
      <c r="Q126">
        <v>1519</v>
      </c>
      <c r="R126">
        <v>1563</v>
      </c>
      <c r="S126">
        <v>1627</v>
      </c>
      <c r="T126">
        <v>1672</v>
      </c>
      <c r="U126">
        <v>1811</v>
      </c>
      <c r="V126">
        <v>1342</v>
      </c>
      <c r="W126">
        <v>1213</v>
      </c>
      <c r="X126">
        <v>1057</v>
      </c>
      <c r="Y126">
        <v>803</v>
      </c>
      <c r="Z126">
        <v>1448</v>
      </c>
      <c r="AA126">
        <v>1765</v>
      </c>
      <c r="AB126">
        <v>1811</v>
      </c>
      <c r="AC126">
        <v>1869</v>
      </c>
    </row>
    <row r="127" spans="1:29" x14ac:dyDescent="0.2">
      <c r="A127" t="s">
        <v>735</v>
      </c>
      <c r="B127">
        <v>1</v>
      </c>
      <c r="C127" t="s">
        <v>233</v>
      </c>
      <c r="D127" t="s">
        <v>1562</v>
      </c>
      <c r="E127">
        <v>32</v>
      </c>
      <c r="F127">
        <v>1707</v>
      </c>
      <c r="G127">
        <v>1746</v>
      </c>
      <c r="H127">
        <v>1912</v>
      </c>
      <c r="I127">
        <v>1871</v>
      </c>
      <c r="J127">
        <v>1818</v>
      </c>
      <c r="K127">
        <v>1460</v>
      </c>
      <c r="L127">
        <v>1560</v>
      </c>
      <c r="M127">
        <v>1418</v>
      </c>
      <c r="N127">
        <v>1270</v>
      </c>
      <c r="O127">
        <v>1309</v>
      </c>
      <c r="P127">
        <v>1672</v>
      </c>
      <c r="Q127">
        <v>1539</v>
      </c>
      <c r="R127">
        <v>1580</v>
      </c>
      <c r="S127">
        <v>1652</v>
      </c>
      <c r="T127">
        <v>1689</v>
      </c>
      <c r="U127">
        <v>1819</v>
      </c>
      <c r="V127">
        <v>1366</v>
      </c>
      <c r="W127">
        <v>1240</v>
      </c>
      <c r="X127">
        <v>1083</v>
      </c>
      <c r="Y127">
        <v>846</v>
      </c>
      <c r="Z127">
        <v>1473</v>
      </c>
      <c r="AA127">
        <v>1835</v>
      </c>
      <c r="AB127">
        <v>1883</v>
      </c>
      <c r="AC127">
        <v>1939</v>
      </c>
    </row>
    <row r="128" spans="1:29" x14ac:dyDescent="0.2">
      <c r="A128" t="s">
        <v>735</v>
      </c>
      <c r="B128">
        <v>1</v>
      </c>
      <c r="C128" t="s">
        <v>233</v>
      </c>
      <c r="D128" t="s">
        <v>1563</v>
      </c>
      <c r="E128">
        <v>33</v>
      </c>
      <c r="F128">
        <v>1627</v>
      </c>
      <c r="G128">
        <v>1677</v>
      </c>
      <c r="H128">
        <v>1841</v>
      </c>
      <c r="I128">
        <v>1825</v>
      </c>
      <c r="J128">
        <v>1777</v>
      </c>
      <c r="K128">
        <v>1418</v>
      </c>
      <c r="L128">
        <v>1530</v>
      </c>
      <c r="M128">
        <v>1400</v>
      </c>
      <c r="N128">
        <v>1245</v>
      </c>
      <c r="O128">
        <v>1305</v>
      </c>
      <c r="P128">
        <v>1666</v>
      </c>
      <c r="Q128">
        <v>1559</v>
      </c>
      <c r="R128">
        <v>1597</v>
      </c>
      <c r="S128">
        <v>1665</v>
      </c>
      <c r="T128">
        <v>1702</v>
      </c>
      <c r="U128">
        <v>1833</v>
      </c>
      <c r="V128">
        <v>1396</v>
      </c>
      <c r="W128">
        <v>1274</v>
      </c>
      <c r="X128">
        <v>1110</v>
      </c>
      <c r="Y128">
        <v>886</v>
      </c>
      <c r="Z128">
        <v>1498</v>
      </c>
      <c r="AA128">
        <v>1891</v>
      </c>
      <c r="AB128">
        <v>1943</v>
      </c>
      <c r="AC128">
        <v>2001</v>
      </c>
    </row>
    <row r="129" spans="1:29" x14ac:dyDescent="0.2">
      <c r="A129" t="s">
        <v>735</v>
      </c>
      <c r="B129">
        <v>1</v>
      </c>
      <c r="C129" t="s">
        <v>233</v>
      </c>
      <c r="D129" t="s">
        <v>1420</v>
      </c>
      <c r="E129">
        <v>34</v>
      </c>
      <c r="F129">
        <v>1562</v>
      </c>
      <c r="G129">
        <v>1614</v>
      </c>
      <c r="H129">
        <v>1776</v>
      </c>
      <c r="I129">
        <v>1778</v>
      </c>
      <c r="J129">
        <v>1744</v>
      </c>
      <c r="K129">
        <v>1385</v>
      </c>
      <c r="L129">
        <v>1498</v>
      </c>
      <c r="M129">
        <v>1370</v>
      </c>
      <c r="N129">
        <v>1229</v>
      </c>
      <c r="O129">
        <v>1299</v>
      </c>
      <c r="P129">
        <v>1651</v>
      </c>
      <c r="Q129">
        <v>1565</v>
      </c>
      <c r="R129">
        <v>1606</v>
      </c>
      <c r="S129">
        <v>1668</v>
      </c>
      <c r="T129">
        <v>1703</v>
      </c>
      <c r="U129">
        <v>1838</v>
      </c>
      <c r="V129">
        <v>1421</v>
      </c>
      <c r="W129">
        <v>1297</v>
      </c>
      <c r="X129">
        <v>1126</v>
      </c>
      <c r="Y129">
        <v>918</v>
      </c>
      <c r="Z129">
        <v>1505</v>
      </c>
      <c r="AA129">
        <v>1938</v>
      </c>
      <c r="AB129">
        <v>1994</v>
      </c>
      <c r="AC129">
        <v>2057</v>
      </c>
    </row>
    <row r="130" spans="1:29" x14ac:dyDescent="0.2">
      <c r="A130" t="s">
        <v>735</v>
      </c>
      <c r="B130">
        <v>1</v>
      </c>
      <c r="C130" t="s">
        <v>233</v>
      </c>
      <c r="D130" t="s">
        <v>1564</v>
      </c>
      <c r="E130">
        <v>35</v>
      </c>
      <c r="F130">
        <v>1522</v>
      </c>
      <c r="G130">
        <v>1570</v>
      </c>
      <c r="H130">
        <v>1725</v>
      </c>
      <c r="I130">
        <v>1741</v>
      </c>
      <c r="J130">
        <v>1726</v>
      </c>
      <c r="K130">
        <v>1387</v>
      </c>
      <c r="L130">
        <v>1501</v>
      </c>
      <c r="M130">
        <v>1374</v>
      </c>
      <c r="N130">
        <v>1228</v>
      </c>
      <c r="O130">
        <v>1301</v>
      </c>
      <c r="P130">
        <v>1638</v>
      </c>
      <c r="Q130">
        <v>1560</v>
      </c>
      <c r="R130">
        <v>1587</v>
      </c>
      <c r="S130">
        <v>1655</v>
      </c>
      <c r="T130">
        <v>1685</v>
      </c>
      <c r="U130">
        <v>1822</v>
      </c>
      <c r="V130">
        <v>1421</v>
      </c>
      <c r="W130">
        <v>1299</v>
      </c>
      <c r="X130">
        <v>1125</v>
      </c>
      <c r="Y130">
        <v>942</v>
      </c>
      <c r="Z130">
        <v>1506</v>
      </c>
      <c r="AA130">
        <v>1964</v>
      </c>
      <c r="AB130">
        <v>2025</v>
      </c>
      <c r="AC130">
        <v>2084</v>
      </c>
    </row>
    <row r="131" spans="1:29" x14ac:dyDescent="0.2">
      <c r="A131" t="s">
        <v>735</v>
      </c>
      <c r="B131">
        <v>1</v>
      </c>
      <c r="C131" t="s">
        <v>233</v>
      </c>
      <c r="D131" t="s">
        <v>1565</v>
      </c>
      <c r="E131">
        <v>36</v>
      </c>
      <c r="F131">
        <v>1525</v>
      </c>
      <c r="G131">
        <v>1547</v>
      </c>
      <c r="H131">
        <v>1685</v>
      </c>
      <c r="I131">
        <v>1707</v>
      </c>
      <c r="J131">
        <v>1726</v>
      </c>
      <c r="K131">
        <v>1432</v>
      </c>
      <c r="L131">
        <v>1537</v>
      </c>
      <c r="M131">
        <v>1407</v>
      </c>
      <c r="N131">
        <v>1259</v>
      </c>
      <c r="O131">
        <v>1332</v>
      </c>
      <c r="P131">
        <v>1629</v>
      </c>
      <c r="Q131">
        <v>1512</v>
      </c>
      <c r="R131">
        <v>1545</v>
      </c>
      <c r="S131">
        <v>1612</v>
      </c>
      <c r="T131">
        <v>1643</v>
      </c>
      <c r="U131">
        <v>1774</v>
      </c>
      <c r="V131">
        <v>1381</v>
      </c>
      <c r="W131">
        <v>1280</v>
      </c>
      <c r="X131">
        <v>1123</v>
      </c>
      <c r="Y131">
        <v>942</v>
      </c>
      <c r="Z131">
        <v>1505</v>
      </c>
      <c r="AA131">
        <v>1968</v>
      </c>
      <c r="AB131">
        <v>2027</v>
      </c>
      <c r="AC131">
        <v>2090</v>
      </c>
    </row>
    <row r="132" spans="1:29" x14ac:dyDescent="0.2">
      <c r="A132" t="s">
        <v>735</v>
      </c>
      <c r="B132">
        <v>1</v>
      </c>
      <c r="C132" t="s">
        <v>233</v>
      </c>
      <c r="D132" t="s">
        <v>1566</v>
      </c>
      <c r="E132">
        <v>37</v>
      </c>
      <c r="F132">
        <v>1518</v>
      </c>
      <c r="G132">
        <v>1519</v>
      </c>
      <c r="H132">
        <v>1628</v>
      </c>
      <c r="I132">
        <v>1651</v>
      </c>
      <c r="J132">
        <v>1702</v>
      </c>
      <c r="K132">
        <v>1471</v>
      </c>
      <c r="L132">
        <v>1561</v>
      </c>
      <c r="M132">
        <v>1431</v>
      </c>
      <c r="N132">
        <v>1278</v>
      </c>
      <c r="O132">
        <v>1345</v>
      </c>
      <c r="P132">
        <v>1604</v>
      </c>
      <c r="Q132">
        <v>1453</v>
      </c>
      <c r="R132">
        <v>1478</v>
      </c>
      <c r="S132">
        <v>1536</v>
      </c>
      <c r="T132">
        <v>1579</v>
      </c>
      <c r="U132">
        <v>1718</v>
      </c>
      <c r="V132">
        <v>1320</v>
      </c>
      <c r="W132">
        <v>1243</v>
      </c>
      <c r="X132">
        <v>1100</v>
      </c>
      <c r="Y132">
        <v>936</v>
      </c>
      <c r="Z132">
        <v>1490</v>
      </c>
      <c r="AA132">
        <v>1951</v>
      </c>
      <c r="AB132">
        <v>2009</v>
      </c>
      <c r="AC132">
        <v>2065</v>
      </c>
    </row>
    <row r="133" spans="1:29" x14ac:dyDescent="0.2">
      <c r="A133" t="s">
        <v>735</v>
      </c>
      <c r="B133">
        <v>1</v>
      </c>
      <c r="C133" t="s">
        <v>233</v>
      </c>
      <c r="D133" t="s">
        <v>1567</v>
      </c>
      <c r="E133">
        <v>38</v>
      </c>
      <c r="F133">
        <v>1503</v>
      </c>
      <c r="G133">
        <v>1465</v>
      </c>
      <c r="H133">
        <v>1565</v>
      </c>
      <c r="I133">
        <v>1573</v>
      </c>
      <c r="J133">
        <v>1665</v>
      </c>
      <c r="K133">
        <v>1488</v>
      </c>
      <c r="L133">
        <v>1574</v>
      </c>
      <c r="M133">
        <v>1444</v>
      </c>
      <c r="N133">
        <v>1284</v>
      </c>
      <c r="O133">
        <v>1349</v>
      </c>
      <c r="P133">
        <v>1557</v>
      </c>
      <c r="Q133">
        <v>1380</v>
      </c>
      <c r="R133">
        <v>1405</v>
      </c>
      <c r="S133">
        <v>1456</v>
      </c>
      <c r="T133">
        <v>1504</v>
      </c>
      <c r="U133">
        <v>1643</v>
      </c>
      <c r="V133">
        <v>1247</v>
      </c>
      <c r="W133">
        <v>1193</v>
      </c>
      <c r="X133">
        <v>1066</v>
      </c>
      <c r="Y133">
        <v>908</v>
      </c>
      <c r="Z133">
        <v>1472</v>
      </c>
      <c r="AA133">
        <v>1921</v>
      </c>
      <c r="AB133">
        <v>1973</v>
      </c>
      <c r="AC133">
        <v>2038</v>
      </c>
    </row>
    <row r="134" spans="1:29" x14ac:dyDescent="0.2">
      <c r="A134" t="s">
        <v>735</v>
      </c>
      <c r="B134">
        <v>1</v>
      </c>
      <c r="C134" t="s">
        <v>233</v>
      </c>
      <c r="D134" t="s">
        <v>1568</v>
      </c>
      <c r="E134">
        <v>39</v>
      </c>
      <c r="F134">
        <v>1471</v>
      </c>
      <c r="G134">
        <v>1420</v>
      </c>
      <c r="H134">
        <v>1491</v>
      </c>
      <c r="I134">
        <v>1500</v>
      </c>
      <c r="J134">
        <v>1623</v>
      </c>
      <c r="K134">
        <v>1486</v>
      </c>
      <c r="L134">
        <v>1569</v>
      </c>
      <c r="M134">
        <v>1445</v>
      </c>
      <c r="N134">
        <v>1278</v>
      </c>
      <c r="O134">
        <v>1335</v>
      </c>
      <c r="P134">
        <v>1510</v>
      </c>
      <c r="Q134">
        <v>1305</v>
      </c>
      <c r="R134">
        <v>1324</v>
      </c>
      <c r="S134">
        <v>1378</v>
      </c>
      <c r="T134">
        <v>1422</v>
      </c>
      <c r="U134">
        <v>1556</v>
      </c>
      <c r="V134">
        <v>1161</v>
      </c>
      <c r="W134">
        <v>1126</v>
      </c>
      <c r="X134">
        <v>1028</v>
      </c>
      <c r="Y134">
        <v>887</v>
      </c>
      <c r="Z134">
        <v>1440</v>
      </c>
      <c r="AA134">
        <v>1882</v>
      </c>
      <c r="AB134">
        <v>1928</v>
      </c>
      <c r="AC134">
        <v>1991</v>
      </c>
    </row>
    <row r="135" spans="1:29" x14ac:dyDescent="0.2">
      <c r="A135" t="s">
        <v>735</v>
      </c>
      <c r="B135">
        <v>1</v>
      </c>
      <c r="C135" t="s">
        <v>233</v>
      </c>
      <c r="D135" t="s">
        <v>1569</v>
      </c>
      <c r="E135">
        <v>40</v>
      </c>
      <c r="F135">
        <v>1421</v>
      </c>
      <c r="G135">
        <v>1358</v>
      </c>
      <c r="H135">
        <v>1427</v>
      </c>
      <c r="I135">
        <v>1444</v>
      </c>
      <c r="J135">
        <v>1567</v>
      </c>
      <c r="K135">
        <v>1459</v>
      </c>
      <c r="L135">
        <v>1527</v>
      </c>
      <c r="M135">
        <v>1405</v>
      </c>
      <c r="N135">
        <v>1240</v>
      </c>
      <c r="O135">
        <v>1298</v>
      </c>
      <c r="P135">
        <v>1447</v>
      </c>
      <c r="Q135">
        <v>1254</v>
      </c>
      <c r="R135">
        <v>1277</v>
      </c>
      <c r="S135">
        <v>1311</v>
      </c>
      <c r="T135">
        <v>1347</v>
      </c>
      <c r="U135">
        <v>1460</v>
      </c>
      <c r="V135">
        <v>1078</v>
      </c>
      <c r="W135">
        <v>1067</v>
      </c>
      <c r="X135">
        <v>979</v>
      </c>
      <c r="Y135">
        <v>847</v>
      </c>
      <c r="Z135">
        <v>1393</v>
      </c>
      <c r="AA135">
        <v>1814</v>
      </c>
      <c r="AB135">
        <v>1866</v>
      </c>
      <c r="AC135">
        <v>1924</v>
      </c>
    </row>
    <row r="136" spans="1:29" x14ac:dyDescent="0.2">
      <c r="A136" t="s">
        <v>735</v>
      </c>
      <c r="B136">
        <v>1</v>
      </c>
      <c r="C136" t="s">
        <v>233</v>
      </c>
      <c r="D136" t="s">
        <v>1570</v>
      </c>
      <c r="E136">
        <v>41</v>
      </c>
      <c r="F136">
        <v>1350</v>
      </c>
      <c r="G136">
        <v>1304</v>
      </c>
      <c r="H136">
        <v>1376</v>
      </c>
      <c r="I136">
        <v>1392</v>
      </c>
      <c r="J136">
        <v>1494</v>
      </c>
      <c r="K136">
        <v>1387</v>
      </c>
      <c r="L136">
        <v>1447</v>
      </c>
      <c r="M136">
        <v>1319</v>
      </c>
      <c r="N136">
        <v>1171</v>
      </c>
      <c r="O136">
        <v>1226</v>
      </c>
      <c r="P136">
        <v>1382</v>
      </c>
      <c r="Q136">
        <v>1223</v>
      </c>
      <c r="R136">
        <v>1246</v>
      </c>
      <c r="S136">
        <v>1262</v>
      </c>
      <c r="T136">
        <v>1286</v>
      </c>
      <c r="U136">
        <v>1366</v>
      </c>
      <c r="V136">
        <v>1004</v>
      </c>
      <c r="W136">
        <v>1004</v>
      </c>
      <c r="X136">
        <v>917</v>
      </c>
      <c r="Y136">
        <v>786</v>
      </c>
      <c r="Z136">
        <v>1327</v>
      </c>
      <c r="AA136">
        <v>1729</v>
      </c>
      <c r="AB136">
        <v>1777</v>
      </c>
      <c r="AC136">
        <v>1833</v>
      </c>
    </row>
    <row r="137" spans="1:29" x14ac:dyDescent="0.2">
      <c r="A137" t="s">
        <v>735</v>
      </c>
      <c r="B137">
        <v>1</v>
      </c>
      <c r="C137" t="s">
        <v>233</v>
      </c>
      <c r="D137" t="s">
        <v>1571</v>
      </c>
      <c r="E137">
        <v>42</v>
      </c>
      <c r="F137">
        <v>1266</v>
      </c>
      <c r="G137">
        <v>1239</v>
      </c>
      <c r="H137">
        <v>1329</v>
      </c>
      <c r="I137">
        <v>1339</v>
      </c>
      <c r="J137">
        <v>1415</v>
      </c>
      <c r="K137">
        <v>1293</v>
      </c>
      <c r="L137">
        <v>1347</v>
      </c>
      <c r="M137">
        <v>1213</v>
      </c>
      <c r="N137">
        <v>1081</v>
      </c>
      <c r="O137">
        <v>1129</v>
      </c>
      <c r="P137">
        <v>1307</v>
      </c>
      <c r="Q137">
        <v>1208</v>
      </c>
      <c r="R137">
        <v>1218</v>
      </c>
      <c r="S137">
        <v>1214</v>
      </c>
      <c r="T137">
        <v>1222</v>
      </c>
      <c r="U137">
        <v>1268</v>
      </c>
      <c r="V137">
        <v>944</v>
      </c>
      <c r="W137">
        <v>940</v>
      </c>
      <c r="X137">
        <v>843</v>
      </c>
      <c r="Y137">
        <v>716</v>
      </c>
      <c r="Z137">
        <v>1244</v>
      </c>
      <c r="AA137">
        <v>1625</v>
      </c>
      <c r="AB137">
        <v>1674</v>
      </c>
      <c r="AC137">
        <v>1725</v>
      </c>
    </row>
    <row r="138" spans="1:29" x14ac:dyDescent="0.2">
      <c r="A138" t="s">
        <v>735</v>
      </c>
      <c r="B138">
        <v>1</v>
      </c>
      <c r="C138" t="s">
        <v>233</v>
      </c>
      <c r="D138" t="s">
        <v>1572</v>
      </c>
      <c r="E138">
        <v>43</v>
      </c>
      <c r="F138">
        <v>1182</v>
      </c>
      <c r="G138">
        <v>1173</v>
      </c>
      <c r="H138">
        <v>1274</v>
      </c>
      <c r="I138">
        <v>1285</v>
      </c>
      <c r="J138">
        <v>1336</v>
      </c>
      <c r="K138">
        <v>1200</v>
      </c>
      <c r="L138">
        <v>1246</v>
      </c>
      <c r="M138">
        <v>1118</v>
      </c>
      <c r="N138">
        <v>990</v>
      </c>
      <c r="O138">
        <v>1028</v>
      </c>
      <c r="P138">
        <v>1232</v>
      </c>
      <c r="Q138">
        <v>1179</v>
      </c>
      <c r="R138">
        <v>1194</v>
      </c>
      <c r="S138">
        <v>1168</v>
      </c>
      <c r="T138">
        <v>1155</v>
      </c>
      <c r="U138">
        <v>1172</v>
      </c>
      <c r="V138">
        <v>878</v>
      </c>
      <c r="W138">
        <v>869</v>
      </c>
      <c r="X138">
        <v>766</v>
      </c>
      <c r="Y138">
        <v>636</v>
      </c>
      <c r="Z138">
        <v>1159</v>
      </c>
      <c r="AA138">
        <v>1519</v>
      </c>
      <c r="AB138">
        <v>1557</v>
      </c>
      <c r="AC138">
        <v>1607</v>
      </c>
    </row>
    <row r="139" spans="1:29" x14ac:dyDescent="0.2">
      <c r="A139" t="s">
        <v>735</v>
      </c>
      <c r="B139">
        <v>1</v>
      </c>
      <c r="C139" t="s">
        <v>233</v>
      </c>
      <c r="D139" t="s">
        <v>1421</v>
      </c>
      <c r="E139">
        <v>44</v>
      </c>
      <c r="F139">
        <v>1102</v>
      </c>
      <c r="G139">
        <v>1112</v>
      </c>
      <c r="H139">
        <v>1216</v>
      </c>
      <c r="I139">
        <v>1225</v>
      </c>
      <c r="J139">
        <v>1249</v>
      </c>
      <c r="K139">
        <v>1107</v>
      </c>
      <c r="L139">
        <v>1146</v>
      </c>
      <c r="M139">
        <v>1019</v>
      </c>
      <c r="N139">
        <v>900</v>
      </c>
      <c r="O139">
        <v>936</v>
      </c>
      <c r="P139">
        <v>1160</v>
      </c>
      <c r="Q139">
        <v>1147</v>
      </c>
      <c r="R139">
        <v>1161</v>
      </c>
      <c r="S139">
        <v>1126</v>
      </c>
      <c r="T139">
        <v>1088</v>
      </c>
      <c r="U139">
        <v>1075</v>
      </c>
      <c r="V139">
        <v>805</v>
      </c>
      <c r="W139">
        <v>796</v>
      </c>
      <c r="X139">
        <v>686</v>
      </c>
      <c r="Y139">
        <v>560</v>
      </c>
      <c r="Z139">
        <v>1079</v>
      </c>
      <c r="AA139">
        <v>1404</v>
      </c>
      <c r="AB139">
        <v>1442</v>
      </c>
      <c r="AC139">
        <v>1485</v>
      </c>
    </row>
    <row r="140" spans="1:29" x14ac:dyDescent="0.2">
      <c r="A140" t="s">
        <v>735</v>
      </c>
      <c r="B140">
        <v>1</v>
      </c>
      <c r="C140" t="s">
        <v>233</v>
      </c>
      <c r="D140" t="s">
        <v>1573</v>
      </c>
      <c r="E140">
        <v>45</v>
      </c>
      <c r="F140">
        <v>1031</v>
      </c>
      <c r="G140">
        <v>1053</v>
      </c>
      <c r="H140">
        <v>1158</v>
      </c>
      <c r="I140">
        <v>1150</v>
      </c>
      <c r="J140">
        <v>1163</v>
      </c>
      <c r="K140">
        <v>1017</v>
      </c>
      <c r="L140">
        <v>1054</v>
      </c>
      <c r="M140">
        <v>943</v>
      </c>
      <c r="N140">
        <v>841</v>
      </c>
      <c r="O140">
        <v>872</v>
      </c>
      <c r="P140">
        <v>1095</v>
      </c>
      <c r="Q140">
        <v>1096</v>
      </c>
      <c r="R140">
        <v>1111</v>
      </c>
      <c r="S140">
        <v>1072</v>
      </c>
      <c r="T140">
        <v>1026</v>
      </c>
      <c r="U140">
        <v>1001</v>
      </c>
      <c r="V140">
        <v>749</v>
      </c>
      <c r="W140">
        <v>732</v>
      </c>
      <c r="X140">
        <v>621</v>
      </c>
      <c r="Y140">
        <v>490</v>
      </c>
      <c r="Z140">
        <v>994</v>
      </c>
      <c r="AA140">
        <v>1289</v>
      </c>
      <c r="AB140">
        <v>1327</v>
      </c>
      <c r="AC140">
        <v>1368</v>
      </c>
    </row>
    <row r="141" spans="1:29" x14ac:dyDescent="0.2">
      <c r="A141" t="s">
        <v>735</v>
      </c>
      <c r="B141">
        <v>1</v>
      </c>
      <c r="C141" t="s">
        <v>233</v>
      </c>
      <c r="D141" t="s">
        <v>1574</v>
      </c>
      <c r="E141">
        <v>46</v>
      </c>
      <c r="F141">
        <v>975</v>
      </c>
      <c r="G141">
        <v>1005</v>
      </c>
      <c r="H141">
        <v>1092</v>
      </c>
      <c r="I141">
        <v>1076</v>
      </c>
      <c r="J141">
        <v>1077</v>
      </c>
      <c r="K141">
        <v>934</v>
      </c>
      <c r="L141">
        <v>977</v>
      </c>
      <c r="M141">
        <v>890</v>
      </c>
      <c r="N141">
        <v>812</v>
      </c>
      <c r="O141">
        <v>842</v>
      </c>
      <c r="P141">
        <v>1041</v>
      </c>
      <c r="Q141">
        <v>1025</v>
      </c>
      <c r="R141">
        <v>1044</v>
      </c>
      <c r="S141">
        <v>1008</v>
      </c>
      <c r="T141">
        <v>972</v>
      </c>
      <c r="U141">
        <v>964</v>
      </c>
      <c r="V141">
        <v>723</v>
      </c>
      <c r="W141">
        <v>685</v>
      </c>
      <c r="X141">
        <v>579</v>
      </c>
      <c r="Y141">
        <v>451</v>
      </c>
      <c r="Z141">
        <v>910</v>
      </c>
      <c r="AA141">
        <v>1184</v>
      </c>
      <c r="AB141">
        <v>1215</v>
      </c>
      <c r="AC141">
        <v>1252</v>
      </c>
    </row>
    <row r="142" spans="1:29" x14ac:dyDescent="0.2">
      <c r="A142" t="s">
        <v>735</v>
      </c>
      <c r="B142">
        <v>1</v>
      </c>
      <c r="C142" t="s">
        <v>233</v>
      </c>
      <c r="D142" t="s">
        <v>1422</v>
      </c>
      <c r="E142">
        <v>47</v>
      </c>
      <c r="F142">
        <v>929</v>
      </c>
      <c r="G142">
        <v>960</v>
      </c>
      <c r="H142">
        <v>1025</v>
      </c>
      <c r="I142">
        <v>998</v>
      </c>
      <c r="J142">
        <v>997</v>
      </c>
      <c r="K142">
        <v>860</v>
      </c>
      <c r="L142">
        <v>910</v>
      </c>
      <c r="M142">
        <v>849</v>
      </c>
      <c r="N142">
        <v>794</v>
      </c>
      <c r="O142">
        <v>827</v>
      </c>
      <c r="P142">
        <v>988</v>
      </c>
      <c r="Q142">
        <v>945</v>
      </c>
      <c r="R142">
        <v>969</v>
      </c>
      <c r="S142">
        <v>945</v>
      </c>
      <c r="T142">
        <v>915</v>
      </c>
      <c r="U142">
        <v>968</v>
      </c>
      <c r="V142">
        <v>707</v>
      </c>
      <c r="W142">
        <v>640</v>
      </c>
      <c r="X142">
        <v>551</v>
      </c>
      <c r="Y142">
        <v>423</v>
      </c>
      <c r="Z142">
        <v>819</v>
      </c>
      <c r="AA142">
        <v>1076</v>
      </c>
      <c r="AB142">
        <v>1104</v>
      </c>
      <c r="AC142">
        <v>1143</v>
      </c>
    </row>
    <row r="143" spans="1:29" x14ac:dyDescent="0.2">
      <c r="A143" t="s">
        <v>735</v>
      </c>
      <c r="B143">
        <v>1</v>
      </c>
      <c r="C143" t="s">
        <v>233</v>
      </c>
      <c r="D143" t="s">
        <v>1575</v>
      </c>
      <c r="E143">
        <v>48</v>
      </c>
      <c r="F143">
        <v>876</v>
      </c>
      <c r="G143">
        <v>910</v>
      </c>
      <c r="H143">
        <v>958</v>
      </c>
      <c r="I143">
        <v>919</v>
      </c>
      <c r="J143">
        <v>915</v>
      </c>
      <c r="K143">
        <v>779</v>
      </c>
      <c r="L143">
        <v>841</v>
      </c>
      <c r="M143">
        <v>803</v>
      </c>
      <c r="N143">
        <v>774</v>
      </c>
      <c r="O143">
        <v>802</v>
      </c>
      <c r="P143">
        <v>928</v>
      </c>
      <c r="Q143">
        <v>867</v>
      </c>
      <c r="R143">
        <v>900</v>
      </c>
      <c r="S143">
        <v>878</v>
      </c>
      <c r="T143">
        <v>857</v>
      </c>
      <c r="U143">
        <v>961</v>
      </c>
      <c r="V143">
        <v>691</v>
      </c>
      <c r="W143">
        <v>596</v>
      </c>
      <c r="X143">
        <v>521</v>
      </c>
      <c r="Y143">
        <v>390</v>
      </c>
      <c r="Z143">
        <v>737</v>
      </c>
      <c r="AA143">
        <v>967</v>
      </c>
      <c r="AB143">
        <v>997</v>
      </c>
      <c r="AC143">
        <v>1024</v>
      </c>
    </row>
    <row r="144" spans="1:29" x14ac:dyDescent="0.2">
      <c r="A144" t="s">
        <v>735</v>
      </c>
      <c r="B144">
        <v>1</v>
      </c>
      <c r="C144" t="s">
        <v>233</v>
      </c>
      <c r="D144" t="s">
        <v>1576</v>
      </c>
      <c r="E144">
        <v>49</v>
      </c>
      <c r="F144">
        <v>826</v>
      </c>
      <c r="G144">
        <v>871</v>
      </c>
      <c r="H144">
        <v>901</v>
      </c>
      <c r="I144">
        <v>847</v>
      </c>
      <c r="J144">
        <v>843</v>
      </c>
      <c r="K144">
        <v>705</v>
      </c>
      <c r="L144">
        <v>775</v>
      </c>
      <c r="M144">
        <v>766</v>
      </c>
      <c r="N144">
        <v>745</v>
      </c>
      <c r="O144">
        <v>780</v>
      </c>
      <c r="P144">
        <v>875</v>
      </c>
      <c r="Q144">
        <v>795</v>
      </c>
      <c r="R144">
        <v>834</v>
      </c>
      <c r="S144">
        <v>817</v>
      </c>
      <c r="T144">
        <v>808</v>
      </c>
      <c r="U144">
        <v>960</v>
      </c>
      <c r="V144">
        <v>680</v>
      </c>
      <c r="W144">
        <v>558</v>
      </c>
      <c r="X144">
        <v>495</v>
      </c>
      <c r="Y144">
        <v>369</v>
      </c>
      <c r="Z144">
        <v>650</v>
      </c>
      <c r="AA144">
        <v>859</v>
      </c>
      <c r="AB144">
        <v>884</v>
      </c>
      <c r="AC144">
        <v>919</v>
      </c>
    </row>
    <row r="145" spans="1:29" x14ac:dyDescent="0.2">
      <c r="A145" t="s">
        <v>735</v>
      </c>
      <c r="B145">
        <v>1</v>
      </c>
      <c r="C145" t="s">
        <v>233</v>
      </c>
      <c r="D145" t="s">
        <v>1577</v>
      </c>
      <c r="E145">
        <v>50</v>
      </c>
      <c r="F145">
        <v>787</v>
      </c>
      <c r="G145">
        <v>835</v>
      </c>
      <c r="H145">
        <v>848</v>
      </c>
      <c r="I145">
        <v>788</v>
      </c>
      <c r="J145">
        <v>790</v>
      </c>
      <c r="K145">
        <v>660</v>
      </c>
      <c r="L145">
        <v>732</v>
      </c>
      <c r="M145">
        <v>734</v>
      </c>
      <c r="N145">
        <v>718</v>
      </c>
      <c r="O145">
        <v>740</v>
      </c>
      <c r="P145">
        <v>812</v>
      </c>
      <c r="Q145">
        <v>740</v>
      </c>
      <c r="R145">
        <v>787</v>
      </c>
      <c r="S145">
        <v>778</v>
      </c>
      <c r="T145">
        <v>782</v>
      </c>
      <c r="U145">
        <v>943</v>
      </c>
      <c r="V145">
        <v>664</v>
      </c>
      <c r="W145">
        <v>521</v>
      </c>
      <c r="X145">
        <v>465</v>
      </c>
      <c r="Y145">
        <v>343</v>
      </c>
      <c r="Z145">
        <v>577</v>
      </c>
      <c r="AA145">
        <v>771</v>
      </c>
      <c r="AB145">
        <v>794</v>
      </c>
      <c r="AC145">
        <v>817</v>
      </c>
    </row>
    <row r="146" spans="1:29" x14ac:dyDescent="0.2">
      <c r="A146" t="s">
        <v>735</v>
      </c>
      <c r="B146">
        <v>1</v>
      </c>
      <c r="C146" t="s">
        <v>233</v>
      </c>
      <c r="D146" t="s">
        <v>1423</v>
      </c>
      <c r="E146">
        <v>51</v>
      </c>
      <c r="F146">
        <v>763</v>
      </c>
      <c r="G146">
        <v>803</v>
      </c>
      <c r="H146">
        <v>810</v>
      </c>
      <c r="I146">
        <v>751</v>
      </c>
      <c r="J146">
        <v>751</v>
      </c>
      <c r="K146">
        <v>636</v>
      </c>
      <c r="L146">
        <v>705</v>
      </c>
      <c r="M146">
        <v>710</v>
      </c>
      <c r="N146">
        <v>680</v>
      </c>
      <c r="O146">
        <v>691</v>
      </c>
      <c r="P146">
        <v>760</v>
      </c>
      <c r="Q146">
        <v>720</v>
      </c>
      <c r="R146">
        <v>768</v>
      </c>
      <c r="S146">
        <v>764</v>
      </c>
      <c r="T146">
        <v>785</v>
      </c>
      <c r="U146">
        <v>925</v>
      </c>
      <c r="V146">
        <v>636</v>
      </c>
      <c r="W146">
        <v>494</v>
      </c>
      <c r="X146">
        <v>436</v>
      </c>
      <c r="Y146">
        <v>316</v>
      </c>
      <c r="Z146">
        <v>531</v>
      </c>
      <c r="AA146">
        <v>710</v>
      </c>
      <c r="AB146">
        <v>728</v>
      </c>
      <c r="AC146">
        <v>752</v>
      </c>
    </row>
    <row r="147" spans="1:29" x14ac:dyDescent="0.2">
      <c r="A147" t="s">
        <v>735</v>
      </c>
      <c r="B147">
        <v>1</v>
      </c>
      <c r="C147" t="s">
        <v>233</v>
      </c>
      <c r="D147" t="s">
        <v>1578</v>
      </c>
      <c r="E147">
        <v>52</v>
      </c>
      <c r="F147">
        <v>741</v>
      </c>
      <c r="G147">
        <v>774</v>
      </c>
      <c r="H147">
        <v>774</v>
      </c>
      <c r="I147">
        <v>717</v>
      </c>
      <c r="J147">
        <v>723</v>
      </c>
      <c r="K147">
        <v>622</v>
      </c>
      <c r="L147">
        <v>693</v>
      </c>
      <c r="M147">
        <v>694</v>
      </c>
      <c r="N147">
        <v>642</v>
      </c>
      <c r="O147">
        <v>641</v>
      </c>
      <c r="P147">
        <v>713</v>
      </c>
      <c r="Q147">
        <v>710</v>
      </c>
      <c r="R147">
        <v>764</v>
      </c>
      <c r="S147">
        <v>764</v>
      </c>
      <c r="T147">
        <v>795</v>
      </c>
      <c r="U147">
        <v>893</v>
      </c>
      <c r="V147">
        <v>607</v>
      </c>
      <c r="W147">
        <v>469</v>
      </c>
      <c r="X147">
        <v>404</v>
      </c>
      <c r="Y147">
        <v>288</v>
      </c>
      <c r="Z147">
        <v>502</v>
      </c>
      <c r="AA147">
        <v>668</v>
      </c>
      <c r="AB147">
        <v>687</v>
      </c>
      <c r="AC147">
        <v>709</v>
      </c>
    </row>
    <row r="148" spans="1:29" x14ac:dyDescent="0.2">
      <c r="A148" t="s">
        <v>735</v>
      </c>
      <c r="B148">
        <v>1</v>
      </c>
      <c r="C148" t="s">
        <v>233</v>
      </c>
      <c r="D148" t="s">
        <v>1579</v>
      </c>
      <c r="E148">
        <v>53</v>
      </c>
      <c r="F148">
        <v>719</v>
      </c>
      <c r="G148">
        <v>747</v>
      </c>
      <c r="H148">
        <v>731</v>
      </c>
      <c r="I148">
        <v>675</v>
      </c>
      <c r="J148">
        <v>694</v>
      </c>
      <c r="K148">
        <v>607</v>
      </c>
      <c r="L148">
        <v>685</v>
      </c>
      <c r="M148">
        <v>680</v>
      </c>
      <c r="N148">
        <v>609</v>
      </c>
      <c r="O148">
        <v>594</v>
      </c>
      <c r="P148">
        <v>667</v>
      </c>
      <c r="Q148">
        <v>701</v>
      </c>
      <c r="R148">
        <v>759</v>
      </c>
      <c r="S148">
        <v>763</v>
      </c>
      <c r="T148">
        <v>815</v>
      </c>
      <c r="U148">
        <v>862</v>
      </c>
      <c r="V148">
        <v>579</v>
      </c>
      <c r="W148">
        <v>443</v>
      </c>
      <c r="X148">
        <v>377</v>
      </c>
      <c r="Y148">
        <v>265</v>
      </c>
      <c r="Z148">
        <v>462</v>
      </c>
      <c r="AA148">
        <v>629</v>
      </c>
      <c r="AB148">
        <v>646</v>
      </c>
      <c r="AC148">
        <v>668</v>
      </c>
    </row>
    <row r="149" spans="1:29" x14ac:dyDescent="0.2">
      <c r="A149" t="s">
        <v>735</v>
      </c>
      <c r="B149">
        <v>1</v>
      </c>
      <c r="C149" t="s">
        <v>233</v>
      </c>
      <c r="D149" t="s">
        <v>1424</v>
      </c>
      <c r="E149">
        <v>54</v>
      </c>
      <c r="F149">
        <v>693</v>
      </c>
      <c r="G149">
        <v>713</v>
      </c>
      <c r="H149">
        <v>689</v>
      </c>
      <c r="I149">
        <v>637</v>
      </c>
      <c r="J149">
        <v>664</v>
      </c>
      <c r="K149">
        <v>592</v>
      </c>
      <c r="L149">
        <v>667</v>
      </c>
      <c r="M149">
        <v>664</v>
      </c>
      <c r="N149">
        <v>576</v>
      </c>
      <c r="O149">
        <v>549</v>
      </c>
      <c r="P149">
        <v>624</v>
      </c>
      <c r="Q149">
        <v>688</v>
      </c>
      <c r="R149">
        <v>751</v>
      </c>
      <c r="S149">
        <v>756</v>
      </c>
      <c r="T149">
        <v>818</v>
      </c>
      <c r="U149">
        <v>836</v>
      </c>
      <c r="V149">
        <v>555</v>
      </c>
      <c r="W149">
        <v>426</v>
      </c>
      <c r="X149">
        <v>348</v>
      </c>
      <c r="Y149">
        <v>242</v>
      </c>
      <c r="Z149">
        <v>430</v>
      </c>
      <c r="AA149">
        <v>590</v>
      </c>
      <c r="AB149">
        <v>604</v>
      </c>
      <c r="AC149">
        <v>620</v>
      </c>
    </row>
    <row r="150" spans="1:29" x14ac:dyDescent="0.2">
      <c r="A150" t="s">
        <v>735</v>
      </c>
      <c r="B150">
        <v>1</v>
      </c>
      <c r="C150" t="s">
        <v>233</v>
      </c>
      <c r="D150" t="s">
        <v>1425</v>
      </c>
      <c r="E150">
        <v>55</v>
      </c>
      <c r="F150">
        <v>641</v>
      </c>
      <c r="G150">
        <v>663</v>
      </c>
      <c r="H150">
        <v>644</v>
      </c>
      <c r="I150">
        <v>603</v>
      </c>
      <c r="J150">
        <v>626</v>
      </c>
      <c r="K150">
        <v>557</v>
      </c>
      <c r="L150">
        <v>632</v>
      </c>
      <c r="M150">
        <v>625</v>
      </c>
      <c r="N150">
        <v>543</v>
      </c>
      <c r="O150">
        <v>506</v>
      </c>
      <c r="P150">
        <v>586</v>
      </c>
      <c r="Q150">
        <v>660</v>
      </c>
      <c r="R150">
        <v>719</v>
      </c>
      <c r="S150">
        <v>727</v>
      </c>
      <c r="T150">
        <v>793</v>
      </c>
      <c r="U150">
        <v>797</v>
      </c>
      <c r="V150">
        <v>517</v>
      </c>
      <c r="W150">
        <v>402</v>
      </c>
      <c r="X150">
        <v>331</v>
      </c>
      <c r="Y150">
        <v>228</v>
      </c>
      <c r="Z150">
        <v>406</v>
      </c>
      <c r="AA150">
        <v>552</v>
      </c>
      <c r="AB150">
        <v>569</v>
      </c>
      <c r="AC150">
        <v>586</v>
      </c>
    </row>
    <row r="151" spans="1:29" x14ac:dyDescent="0.2">
      <c r="A151" t="s">
        <v>735</v>
      </c>
      <c r="B151">
        <v>1</v>
      </c>
      <c r="C151" t="s">
        <v>233</v>
      </c>
      <c r="D151" t="s">
        <v>1426</v>
      </c>
      <c r="E151">
        <v>56</v>
      </c>
      <c r="F151">
        <v>568</v>
      </c>
      <c r="G151">
        <v>602</v>
      </c>
      <c r="H151">
        <v>595</v>
      </c>
      <c r="I151">
        <v>566</v>
      </c>
      <c r="J151">
        <v>588</v>
      </c>
      <c r="K151">
        <v>511</v>
      </c>
      <c r="L151">
        <v>572</v>
      </c>
      <c r="M151">
        <v>571</v>
      </c>
      <c r="N151">
        <v>499</v>
      </c>
      <c r="O151">
        <v>465</v>
      </c>
      <c r="P151">
        <v>556</v>
      </c>
      <c r="Q151">
        <v>619</v>
      </c>
      <c r="R151">
        <v>667</v>
      </c>
      <c r="S151">
        <v>671</v>
      </c>
      <c r="T151">
        <v>734</v>
      </c>
      <c r="U151">
        <v>747</v>
      </c>
      <c r="V151">
        <v>490</v>
      </c>
      <c r="W151">
        <v>376</v>
      </c>
      <c r="X151">
        <v>312</v>
      </c>
      <c r="Y151">
        <v>224</v>
      </c>
      <c r="Z151">
        <v>385</v>
      </c>
      <c r="AA151">
        <v>519</v>
      </c>
      <c r="AB151">
        <v>537</v>
      </c>
      <c r="AC151">
        <v>551</v>
      </c>
    </row>
    <row r="152" spans="1:29" x14ac:dyDescent="0.2">
      <c r="A152" t="s">
        <v>735</v>
      </c>
      <c r="B152">
        <v>1</v>
      </c>
      <c r="C152" t="s">
        <v>233</v>
      </c>
      <c r="D152" t="s">
        <v>1427</v>
      </c>
      <c r="E152">
        <v>57</v>
      </c>
      <c r="F152">
        <v>496</v>
      </c>
      <c r="G152">
        <v>541</v>
      </c>
      <c r="H152">
        <v>552</v>
      </c>
      <c r="I152">
        <v>532</v>
      </c>
      <c r="J152">
        <v>546</v>
      </c>
      <c r="K152">
        <v>453</v>
      </c>
      <c r="L152">
        <v>504</v>
      </c>
      <c r="M152">
        <v>507</v>
      </c>
      <c r="N152">
        <v>460</v>
      </c>
      <c r="O152">
        <v>426</v>
      </c>
      <c r="P152">
        <v>515</v>
      </c>
      <c r="Q152">
        <v>573</v>
      </c>
      <c r="R152">
        <v>608</v>
      </c>
      <c r="S152">
        <v>603</v>
      </c>
      <c r="T152">
        <v>663</v>
      </c>
      <c r="U152">
        <v>695</v>
      </c>
      <c r="V152">
        <v>453</v>
      </c>
      <c r="W152">
        <v>354</v>
      </c>
      <c r="X152">
        <v>308</v>
      </c>
      <c r="Y152">
        <v>230</v>
      </c>
      <c r="Z152">
        <v>363</v>
      </c>
      <c r="AA152">
        <v>496</v>
      </c>
      <c r="AB152">
        <v>508</v>
      </c>
      <c r="AC152">
        <v>520</v>
      </c>
    </row>
    <row r="153" spans="1:29" x14ac:dyDescent="0.2">
      <c r="A153" t="s">
        <v>735</v>
      </c>
      <c r="B153">
        <v>1</v>
      </c>
      <c r="C153" t="s">
        <v>233</v>
      </c>
      <c r="D153" t="s">
        <v>1428</v>
      </c>
      <c r="E153">
        <v>58</v>
      </c>
      <c r="F153">
        <v>424</v>
      </c>
      <c r="G153">
        <v>483</v>
      </c>
      <c r="H153">
        <v>506</v>
      </c>
      <c r="I153">
        <v>499</v>
      </c>
      <c r="J153">
        <v>509</v>
      </c>
      <c r="K153">
        <v>394</v>
      </c>
      <c r="L153">
        <v>438</v>
      </c>
      <c r="M153">
        <v>446</v>
      </c>
      <c r="N153">
        <v>417</v>
      </c>
      <c r="O153">
        <v>393</v>
      </c>
      <c r="P153">
        <v>488</v>
      </c>
      <c r="Q153">
        <v>525</v>
      </c>
      <c r="R153">
        <v>550</v>
      </c>
      <c r="S153">
        <v>543</v>
      </c>
      <c r="T153">
        <v>592</v>
      </c>
      <c r="U153">
        <v>636</v>
      </c>
      <c r="V153">
        <v>424</v>
      </c>
      <c r="W153">
        <v>325</v>
      </c>
      <c r="X153">
        <v>296</v>
      </c>
      <c r="Y153">
        <v>239</v>
      </c>
      <c r="Z153">
        <v>348</v>
      </c>
      <c r="AA153">
        <v>466</v>
      </c>
      <c r="AB153">
        <v>480</v>
      </c>
      <c r="AC153">
        <v>496</v>
      </c>
    </row>
    <row r="154" spans="1:29" x14ac:dyDescent="0.2">
      <c r="A154" t="s">
        <v>735</v>
      </c>
      <c r="B154">
        <v>1</v>
      </c>
      <c r="C154" t="s">
        <v>233</v>
      </c>
      <c r="D154" t="s">
        <v>1429</v>
      </c>
      <c r="E154">
        <v>59</v>
      </c>
      <c r="F154">
        <v>353</v>
      </c>
      <c r="G154">
        <v>424</v>
      </c>
      <c r="H154">
        <v>462</v>
      </c>
      <c r="I154">
        <v>467</v>
      </c>
      <c r="J154">
        <v>476</v>
      </c>
      <c r="K154">
        <v>344</v>
      </c>
      <c r="L154">
        <v>378</v>
      </c>
      <c r="M154">
        <v>388</v>
      </c>
      <c r="N154">
        <v>376</v>
      </c>
      <c r="O154">
        <v>358</v>
      </c>
      <c r="P154">
        <v>459</v>
      </c>
      <c r="Q154">
        <v>487</v>
      </c>
      <c r="R154">
        <v>493</v>
      </c>
      <c r="S154">
        <v>482</v>
      </c>
      <c r="T154">
        <v>526</v>
      </c>
      <c r="U154">
        <v>580</v>
      </c>
      <c r="V154">
        <v>389</v>
      </c>
      <c r="W154">
        <v>307</v>
      </c>
      <c r="X154">
        <v>284</v>
      </c>
      <c r="Y154">
        <v>247</v>
      </c>
      <c r="Z154">
        <v>339</v>
      </c>
      <c r="AA154">
        <v>447</v>
      </c>
      <c r="AB154">
        <v>461</v>
      </c>
      <c r="AC154">
        <v>476</v>
      </c>
    </row>
    <row r="155" spans="1:29" x14ac:dyDescent="0.2">
      <c r="A155" t="s">
        <v>735</v>
      </c>
      <c r="B155">
        <v>1</v>
      </c>
      <c r="C155" t="s">
        <v>233</v>
      </c>
      <c r="D155" t="s">
        <v>1580</v>
      </c>
      <c r="E155">
        <v>60</v>
      </c>
      <c r="F155">
        <v>308</v>
      </c>
      <c r="G155">
        <v>368</v>
      </c>
      <c r="H155">
        <v>420</v>
      </c>
      <c r="I155">
        <v>424</v>
      </c>
      <c r="J155">
        <v>434</v>
      </c>
      <c r="K155">
        <v>296</v>
      </c>
      <c r="L155">
        <v>325</v>
      </c>
      <c r="M155">
        <v>341</v>
      </c>
      <c r="N155">
        <v>332</v>
      </c>
      <c r="O155">
        <v>317</v>
      </c>
      <c r="P155">
        <v>424</v>
      </c>
      <c r="Q155">
        <v>445</v>
      </c>
      <c r="R155">
        <v>455</v>
      </c>
      <c r="S155">
        <v>438</v>
      </c>
      <c r="T155">
        <v>474</v>
      </c>
      <c r="U155">
        <v>525</v>
      </c>
      <c r="V155">
        <v>355</v>
      </c>
      <c r="W155">
        <v>283</v>
      </c>
      <c r="X155">
        <v>278</v>
      </c>
      <c r="Y155">
        <v>245</v>
      </c>
      <c r="Z155">
        <v>316</v>
      </c>
      <c r="AA155">
        <v>418</v>
      </c>
      <c r="AB155">
        <v>432</v>
      </c>
      <c r="AC155">
        <v>442</v>
      </c>
    </row>
    <row r="156" spans="1:29" x14ac:dyDescent="0.2">
      <c r="A156" t="s">
        <v>735</v>
      </c>
      <c r="B156">
        <v>1</v>
      </c>
      <c r="C156" t="s">
        <v>233</v>
      </c>
      <c r="D156" t="s">
        <v>1581</v>
      </c>
      <c r="E156">
        <v>61</v>
      </c>
      <c r="F156">
        <v>273</v>
      </c>
      <c r="G156">
        <v>325</v>
      </c>
      <c r="H156">
        <v>371</v>
      </c>
      <c r="I156">
        <v>379</v>
      </c>
      <c r="J156">
        <v>375</v>
      </c>
      <c r="K156">
        <v>249</v>
      </c>
      <c r="L156">
        <v>288</v>
      </c>
      <c r="M156">
        <v>307</v>
      </c>
      <c r="N156">
        <v>299</v>
      </c>
      <c r="O156">
        <v>280</v>
      </c>
      <c r="P156">
        <v>381</v>
      </c>
      <c r="Q156">
        <v>411</v>
      </c>
      <c r="R156">
        <v>423</v>
      </c>
      <c r="S156">
        <v>396</v>
      </c>
      <c r="T156">
        <v>437</v>
      </c>
      <c r="U156">
        <v>472</v>
      </c>
      <c r="V156">
        <v>322</v>
      </c>
      <c r="W156">
        <v>255</v>
      </c>
      <c r="X156">
        <v>250</v>
      </c>
      <c r="Y156">
        <v>226</v>
      </c>
      <c r="Z156">
        <v>273</v>
      </c>
      <c r="AA156">
        <v>371</v>
      </c>
      <c r="AB156">
        <v>386</v>
      </c>
      <c r="AC156">
        <v>393</v>
      </c>
    </row>
    <row r="157" spans="1:29" x14ac:dyDescent="0.2">
      <c r="A157" t="s">
        <v>735</v>
      </c>
      <c r="B157">
        <v>1</v>
      </c>
      <c r="C157" t="s">
        <v>233</v>
      </c>
      <c r="D157" t="s">
        <v>1582</v>
      </c>
      <c r="E157">
        <v>62</v>
      </c>
      <c r="F157">
        <v>244</v>
      </c>
      <c r="G157">
        <v>281</v>
      </c>
      <c r="H157">
        <v>320</v>
      </c>
      <c r="I157">
        <v>322</v>
      </c>
      <c r="J157">
        <v>314</v>
      </c>
      <c r="K157">
        <v>211</v>
      </c>
      <c r="L157">
        <v>253</v>
      </c>
      <c r="M157">
        <v>272</v>
      </c>
      <c r="N157">
        <v>269</v>
      </c>
      <c r="O157">
        <v>245</v>
      </c>
      <c r="P157">
        <v>325</v>
      </c>
      <c r="Q157">
        <v>375</v>
      </c>
      <c r="R157">
        <v>392</v>
      </c>
      <c r="S157">
        <v>363</v>
      </c>
      <c r="T157">
        <v>399</v>
      </c>
      <c r="U157">
        <v>430</v>
      </c>
      <c r="V157">
        <v>286</v>
      </c>
      <c r="W157">
        <v>226</v>
      </c>
      <c r="X157">
        <v>223</v>
      </c>
      <c r="Y157">
        <v>185</v>
      </c>
      <c r="Z157">
        <v>213</v>
      </c>
      <c r="AA157">
        <v>318</v>
      </c>
      <c r="AB157">
        <v>332</v>
      </c>
      <c r="AC157">
        <v>344</v>
      </c>
    </row>
    <row r="158" spans="1:29" x14ac:dyDescent="0.2">
      <c r="A158" t="s">
        <v>735</v>
      </c>
      <c r="B158">
        <v>1</v>
      </c>
      <c r="C158" t="s">
        <v>233</v>
      </c>
      <c r="D158" t="s">
        <v>1583</v>
      </c>
      <c r="E158">
        <v>63</v>
      </c>
      <c r="F158">
        <v>212</v>
      </c>
      <c r="G158">
        <v>232</v>
      </c>
      <c r="H158">
        <v>276</v>
      </c>
      <c r="I158">
        <v>263</v>
      </c>
      <c r="J158">
        <v>252</v>
      </c>
      <c r="K158">
        <v>171</v>
      </c>
      <c r="L158">
        <v>219</v>
      </c>
      <c r="M158">
        <v>242</v>
      </c>
      <c r="N158">
        <v>237</v>
      </c>
      <c r="O158">
        <v>216</v>
      </c>
      <c r="P158">
        <v>285</v>
      </c>
      <c r="Q158">
        <v>342</v>
      </c>
      <c r="R158">
        <v>362</v>
      </c>
      <c r="S158">
        <v>327</v>
      </c>
      <c r="T158">
        <v>359</v>
      </c>
      <c r="U158">
        <v>382</v>
      </c>
      <c r="V158">
        <v>251</v>
      </c>
      <c r="W158">
        <v>197</v>
      </c>
      <c r="X158">
        <v>193</v>
      </c>
      <c r="Y158">
        <v>162</v>
      </c>
      <c r="Z158">
        <v>161</v>
      </c>
      <c r="AA158">
        <v>270</v>
      </c>
      <c r="AB158">
        <v>281</v>
      </c>
      <c r="AC158">
        <v>289</v>
      </c>
    </row>
    <row r="159" spans="1:29" x14ac:dyDescent="0.2">
      <c r="A159" t="s">
        <v>735</v>
      </c>
      <c r="B159">
        <v>1</v>
      </c>
      <c r="C159" t="s">
        <v>233</v>
      </c>
      <c r="D159" t="s">
        <v>1430</v>
      </c>
      <c r="E159">
        <v>64</v>
      </c>
      <c r="F159">
        <v>184</v>
      </c>
      <c r="G159">
        <v>193</v>
      </c>
      <c r="H159">
        <v>227</v>
      </c>
      <c r="I159">
        <v>216</v>
      </c>
      <c r="J159">
        <v>197</v>
      </c>
      <c r="K159">
        <v>138</v>
      </c>
      <c r="L159">
        <v>191</v>
      </c>
      <c r="M159">
        <v>215</v>
      </c>
      <c r="N159">
        <v>206</v>
      </c>
      <c r="O159">
        <v>192</v>
      </c>
      <c r="P159">
        <v>247</v>
      </c>
      <c r="Q159">
        <v>312</v>
      </c>
      <c r="R159">
        <v>331</v>
      </c>
      <c r="S159">
        <v>292</v>
      </c>
      <c r="T159">
        <v>320</v>
      </c>
      <c r="U159">
        <v>332</v>
      </c>
      <c r="V159">
        <v>215</v>
      </c>
      <c r="W159">
        <v>168</v>
      </c>
      <c r="X159">
        <v>171</v>
      </c>
      <c r="Y159">
        <v>134</v>
      </c>
      <c r="Z159">
        <v>108</v>
      </c>
      <c r="AA159">
        <v>220</v>
      </c>
      <c r="AB159">
        <v>229</v>
      </c>
      <c r="AC159">
        <v>236</v>
      </c>
    </row>
    <row r="160" spans="1:29" x14ac:dyDescent="0.2">
      <c r="A160" t="s">
        <v>735</v>
      </c>
      <c r="B160">
        <v>1</v>
      </c>
      <c r="C160" t="s">
        <v>233</v>
      </c>
      <c r="D160" t="s">
        <v>1431</v>
      </c>
      <c r="E160">
        <v>65</v>
      </c>
      <c r="F160">
        <v>164</v>
      </c>
      <c r="G160">
        <v>167</v>
      </c>
      <c r="H160">
        <v>194</v>
      </c>
      <c r="I160">
        <v>183</v>
      </c>
      <c r="J160">
        <v>164</v>
      </c>
      <c r="K160">
        <v>117</v>
      </c>
      <c r="L160">
        <v>166</v>
      </c>
      <c r="M160">
        <v>193</v>
      </c>
      <c r="N160">
        <v>192</v>
      </c>
      <c r="O160">
        <v>173</v>
      </c>
      <c r="P160">
        <v>227</v>
      </c>
      <c r="Q160">
        <v>288</v>
      </c>
      <c r="R160">
        <v>312</v>
      </c>
      <c r="S160">
        <v>276</v>
      </c>
      <c r="T160">
        <v>295</v>
      </c>
      <c r="U160">
        <v>296</v>
      </c>
      <c r="V160">
        <v>195</v>
      </c>
      <c r="W160">
        <v>153</v>
      </c>
      <c r="X160">
        <v>150</v>
      </c>
      <c r="Y160">
        <v>115</v>
      </c>
      <c r="Z160">
        <v>72</v>
      </c>
      <c r="AA160">
        <v>177</v>
      </c>
      <c r="AB160">
        <v>196</v>
      </c>
      <c r="AC160">
        <v>197</v>
      </c>
    </row>
    <row r="161" spans="1:29" x14ac:dyDescent="0.2">
      <c r="A161" t="s">
        <v>735</v>
      </c>
      <c r="B161">
        <v>1</v>
      </c>
      <c r="C161" t="s">
        <v>233</v>
      </c>
      <c r="D161" t="s">
        <v>1584</v>
      </c>
      <c r="E161">
        <v>66</v>
      </c>
      <c r="F161">
        <v>151</v>
      </c>
      <c r="G161">
        <v>152</v>
      </c>
      <c r="H161">
        <v>177</v>
      </c>
      <c r="I161">
        <v>174</v>
      </c>
      <c r="J161">
        <v>155</v>
      </c>
      <c r="K161">
        <v>111</v>
      </c>
      <c r="L161">
        <v>154</v>
      </c>
      <c r="M161">
        <v>176</v>
      </c>
      <c r="N161">
        <v>179</v>
      </c>
      <c r="O161">
        <v>164</v>
      </c>
      <c r="P161">
        <v>222</v>
      </c>
      <c r="Q161">
        <v>273</v>
      </c>
      <c r="R161">
        <v>303</v>
      </c>
      <c r="S161">
        <v>273</v>
      </c>
      <c r="T161">
        <v>287</v>
      </c>
      <c r="U161">
        <v>278</v>
      </c>
      <c r="V161">
        <v>174</v>
      </c>
      <c r="W161">
        <v>135</v>
      </c>
      <c r="X161">
        <v>141</v>
      </c>
      <c r="Y161">
        <v>105</v>
      </c>
      <c r="Z161">
        <v>56</v>
      </c>
      <c r="AA161">
        <v>173</v>
      </c>
      <c r="AB161">
        <v>178</v>
      </c>
      <c r="AC161">
        <v>184</v>
      </c>
    </row>
    <row r="162" spans="1:29" x14ac:dyDescent="0.2">
      <c r="A162" t="s">
        <v>735</v>
      </c>
      <c r="B162">
        <v>1</v>
      </c>
      <c r="C162" t="s">
        <v>233</v>
      </c>
      <c r="D162" t="s">
        <v>1585</v>
      </c>
      <c r="E162">
        <v>67</v>
      </c>
      <c r="F162">
        <v>143</v>
      </c>
      <c r="G162">
        <v>146</v>
      </c>
      <c r="H162">
        <v>166</v>
      </c>
      <c r="I162">
        <v>166</v>
      </c>
      <c r="J162">
        <v>149</v>
      </c>
      <c r="K162">
        <v>100</v>
      </c>
      <c r="L162">
        <v>144</v>
      </c>
      <c r="M162">
        <v>166</v>
      </c>
      <c r="N162">
        <v>169</v>
      </c>
      <c r="O162">
        <v>160</v>
      </c>
      <c r="P162">
        <v>232</v>
      </c>
      <c r="Q162">
        <v>267</v>
      </c>
      <c r="R162">
        <v>299</v>
      </c>
      <c r="S162">
        <v>280</v>
      </c>
      <c r="T162">
        <v>287</v>
      </c>
      <c r="U162">
        <v>258</v>
      </c>
      <c r="V162">
        <v>168</v>
      </c>
      <c r="W162">
        <v>128</v>
      </c>
      <c r="X162">
        <v>135</v>
      </c>
      <c r="Y162">
        <v>108</v>
      </c>
      <c r="Z162">
        <v>63</v>
      </c>
      <c r="AA162">
        <v>170</v>
      </c>
      <c r="AB162">
        <v>181</v>
      </c>
      <c r="AC162">
        <v>183</v>
      </c>
    </row>
    <row r="163" spans="1:29" x14ac:dyDescent="0.2">
      <c r="A163" t="s">
        <v>735</v>
      </c>
      <c r="B163">
        <v>1</v>
      </c>
      <c r="C163" t="s">
        <v>233</v>
      </c>
      <c r="D163" t="s">
        <v>557</v>
      </c>
      <c r="E163">
        <v>68</v>
      </c>
      <c r="F163">
        <v>138</v>
      </c>
      <c r="G163">
        <v>138</v>
      </c>
      <c r="H163">
        <v>157</v>
      </c>
      <c r="I163">
        <v>162</v>
      </c>
      <c r="J163">
        <v>143</v>
      </c>
      <c r="K163">
        <v>97</v>
      </c>
      <c r="L163">
        <v>133</v>
      </c>
      <c r="M163">
        <v>158</v>
      </c>
      <c r="N163">
        <v>164</v>
      </c>
      <c r="O163">
        <v>162</v>
      </c>
      <c r="P163">
        <v>248</v>
      </c>
      <c r="Q163">
        <v>260</v>
      </c>
      <c r="R163">
        <v>297</v>
      </c>
      <c r="S163">
        <v>294</v>
      </c>
      <c r="T163">
        <v>290</v>
      </c>
      <c r="U163">
        <v>245</v>
      </c>
      <c r="V163">
        <v>158</v>
      </c>
      <c r="W163">
        <v>118</v>
      </c>
      <c r="X163">
        <v>131</v>
      </c>
      <c r="Y163">
        <v>111</v>
      </c>
      <c r="Z163">
        <v>72</v>
      </c>
      <c r="AA163">
        <v>172</v>
      </c>
      <c r="AB163">
        <v>177</v>
      </c>
      <c r="AC163">
        <v>187</v>
      </c>
    </row>
    <row r="164" spans="1:29" x14ac:dyDescent="0.2">
      <c r="A164" t="s">
        <v>735</v>
      </c>
      <c r="B164">
        <v>1</v>
      </c>
      <c r="C164" t="s">
        <v>233</v>
      </c>
      <c r="D164" t="s">
        <v>1586</v>
      </c>
      <c r="E164">
        <v>69</v>
      </c>
      <c r="F164">
        <v>132</v>
      </c>
      <c r="G164">
        <v>134</v>
      </c>
      <c r="H164">
        <v>145</v>
      </c>
      <c r="I164">
        <v>156</v>
      </c>
      <c r="J164">
        <v>142</v>
      </c>
      <c r="K164">
        <v>93</v>
      </c>
      <c r="L164">
        <v>125</v>
      </c>
      <c r="M164">
        <v>152</v>
      </c>
      <c r="N164">
        <v>156</v>
      </c>
      <c r="O164">
        <v>157</v>
      </c>
      <c r="P164">
        <v>250</v>
      </c>
      <c r="Q164">
        <v>258</v>
      </c>
      <c r="R164">
        <v>297</v>
      </c>
      <c r="S164">
        <v>300</v>
      </c>
      <c r="T164">
        <v>297</v>
      </c>
      <c r="U164">
        <v>233</v>
      </c>
      <c r="V164">
        <v>150</v>
      </c>
      <c r="W164">
        <v>112</v>
      </c>
      <c r="X164">
        <v>131</v>
      </c>
      <c r="Y164">
        <v>115</v>
      </c>
      <c r="Z164">
        <v>79</v>
      </c>
      <c r="AA164">
        <v>177</v>
      </c>
      <c r="AB164">
        <v>184</v>
      </c>
      <c r="AC164">
        <v>188</v>
      </c>
    </row>
    <row r="165" spans="1:29" x14ac:dyDescent="0.2">
      <c r="A165" t="s">
        <v>735</v>
      </c>
      <c r="B165">
        <v>1</v>
      </c>
      <c r="C165" t="s">
        <v>233</v>
      </c>
      <c r="D165" t="s">
        <v>1587</v>
      </c>
      <c r="E165">
        <v>70</v>
      </c>
      <c r="F165">
        <v>128</v>
      </c>
      <c r="G165">
        <v>131</v>
      </c>
      <c r="H165">
        <v>135</v>
      </c>
      <c r="I165">
        <v>145</v>
      </c>
      <c r="J165">
        <v>135</v>
      </c>
      <c r="K165">
        <v>89</v>
      </c>
      <c r="L165">
        <v>118</v>
      </c>
      <c r="M165">
        <v>142</v>
      </c>
      <c r="N165">
        <v>146</v>
      </c>
      <c r="O165">
        <v>147</v>
      </c>
      <c r="P165">
        <v>244</v>
      </c>
      <c r="Q165">
        <v>246</v>
      </c>
      <c r="R165">
        <v>284</v>
      </c>
      <c r="S165">
        <v>287</v>
      </c>
      <c r="T165">
        <v>285</v>
      </c>
      <c r="U165">
        <v>217</v>
      </c>
      <c r="V165">
        <v>141</v>
      </c>
      <c r="W165">
        <v>101</v>
      </c>
      <c r="X165">
        <v>126</v>
      </c>
      <c r="Y165">
        <v>107</v>
      </c>
      <c r="Z165">
        <v>82</v>
      </c>
      <c r="AA165">
        <v>181</v>
      </c>
      <c r="AB165">
        <v>182</v>
      </c>
      <c r="AC165">
        <v>187</v>
      </c>
    </row>
    <row r="166" spans="1:29" x14ac:dyDescent="0.2">
      <c r="A166" t="s">
        <v>735</v>
      </c>
      <c r="B166">
        <v>1</v>
      </c>
      <c r="C166" t="s">
        <v>233</v>
      </c>
      <c r="D166" t="s">
        <v>1588</v>
      </c>
      <c r="E166">
        <v>71</v>
      </c>
      <c r="F166">
        <v>121</v>
      </c>
      <c r="G166">
        <v>121</v>
      </c>
      <c r="H166">
        <v>120</v>
      </c>
      <c r="I166">
        <v>129</v>
      </c>
      <c r="J166">
        <v>120</v>
      </c>
      <c r="K166">
        <v>82</v>
      </c>
      <c r="L166">
        <v>111</v>
      </c>
      <c r="M166">
        <v>129</v>
      </c>
      <c r="N166">
        <v>130</v>
      </c>
      <c r="O166">
        <v>132</v>
      </c>
      <c r="P166">
        <v>222</v>
      </c>
      <c r="Q166">
        <v>222</v>
      </c>
      <c r="R166">
        <v>253</v>
      </c>
      <c r="S166">
        <v>258</v>
      </c>
      <c r="T166">
        <v>260</v>
      </c>
      <c r="U166">
        <v>191</v>
      </c>
      <c r="V166">
        <v>124</v>
      </c>
      <c r="W166">
        <v>89</v>
      </c>
      <c r="X166">
        <v>115</v>
      </c>
      <c r="Y166">
        <v>96</v>
      </c>
      <c r="Z166">
        <v>69</v>
      </c>
      <c r="AA166">
        <v>158</v>
      </c>
      <c r="AB166">
        <v>165</v>
      </c>
      <c r="AC166">
        <v>166</v>
      </c>
    </row>
    <row r="167" spans="1:29" x14ac:dyDescent="0.2">
      <c r="A167" t="s">
        <v>735</v>
      </c>
      <c r="B167">
        <v>1</v>
      </c>
      <c r="C167" t="s">
        <v>233</v>
      </c>
      <c r="D167" t="s">
        <v>1589</v>
      </c>
      <c r="E167">
        <v>72</v>
      </c>
      <c r="F167">
        <v>113</v>
      </c>
      <c r="G167">
        <v>112</v>
      </c>
      <c r="H167">
        <v>108</v>
      </c>
      <c r="I167">
        <v>111</v>
      </c>
      <c r="J167">
        <v>109</v>
      </c>
      <c r="K167">
        <v>76</v>
      </c>
      <c r="L167">
        <v>100</v>
      </c>
      <c r="M167">
        <v>119</v>
      </c>
      <c r="N167">
        <v>119</v>
      </c>
      <c r="O167">
        <v>122</v>
      </c>
      <c r="P167">
        <v>183</v>
      </c>
      <c r="Q167">
        <v>197</v>
      </c>
      <c r="R167">
        <v>221</v>
      </c>
      <c r="S167">
        <v>224</v>
      </c>
      <c r="T167">
        <v>219</v>
      </c>
      <c r="U167">
        <v>162</v>
      </c>
      <c r="V167">
        <v>104</v>
      </c>
      <c r="W167">
        <v>84</v>
      </c>
      <c r="X167">
        <v>103</v>
      </c>
      <c r="Y167">
        <v>88</v>
      </c>
      <c r="Z167">
        <v>46</v>
      </c>
      <c r="AA167">
        <v>133</v>
      </c>
      <c r="AB167">
        <v>144</v>
      </c>
      <c r="AC167">
        <v>146</v>
      </c>
    </row>
    <row r="168" spans="1:29" x14ac:dyDescent="0.2">
      <c r="A168" t="s">
        <v>735</v>
      </c>
      <c r="B168">
        <v>1</v>
      </c>
      <c r="C168" t="s">
        <v>233</v>
      </c>
      <c r="D168" t="s">
        <v>1590</v>
      </c>
      <c r="E168">
        <v>73</v>
      </c>
      <c r="F168">
        <v>106</v>
      </c>
      <c r="G168">
        <v>107</v>
      </c>
      <c r="H168">
        <v>101</v>
      </c>
      <c r="I168">
        <v>93</v>
      </c>
      <c r="J168">
        <v>99</v>
      </c>
      <c r="K168">
        <v>75</v>
      </c>
      <c r="L168">
        <v>89</v>
      </c>
      <c r="M168">
        <v>108</v>
      </c>
      <c r="N168">
        <v>108</v>
      </c>
      <c r="O168">
        <v>116</v>
      </c>
      <c r="P168">
        <v>156</v>
      </c>
      <c r="Q168">
        <v>169</v>
      </c>
      <c r="R168">
        <v>188</v>
      </c>
      <c r="S168">
        <v>189</v>
      </c>
      <c r="T168">
        <v>186</v>
      </c>
      <c r="U168">
        <v>135</v>
      </c>
      <c r="V168">
        <v>94</v>
      </c>
      <c r="W168">
        <v>76</v>
      </c>
      <c r="X168">
        <v>93</v>
      </c>
      <c r="Y168">
        <v>76</v>
      </c>
      <c r="Z168">
        <v>30</v>
      </c>
      <c r="AA168">
        <v>118</v>
      </c>
      <c r="AB168">
        <v>119</v>
      </c>
      <c r="AC168">
        <v>122</v>
      </c>
    </row>
    <row r="169" spans="1:29" x14ac:dyDescent="0.2">
      <c r="A169" t="s">
        <v>735</v>
      </c>
      <c r="B169">
        <v>1</v>
      </c>
      <c r="C169" t="s">
        <v>233</v>
      </c>
      <c r="D169" t="s">
        <v>1432</v>
      </c>
      <c r="E169">
        <v>74</v>
      </c>
      <c r="F169">
        <v>96</v>
      </c>
      <c r="G169">
        <v>99</v>
      </c>
      <c r="H169">
        <v>96</v>
      </c>
      <c r="I169">
        <v>74</v>
      </c>
      <c r="J169">
        <v>89</v>
      </c>
      <c r="K169">
        <v>66</v>
      </c>
      <c r="L169">
        <v>85</v>
      </c>
      <c r="M169">
        <v>98</v>
      </c>
      <c r="N169">
        <v>100</v>
      </c>
      <c r="O169">
        <v>104</v>
      </c>
      <c r="P169">
        <v>127</v>
      </c>
      <c r="Q169">
        <v>145</v>
      </c>
      <c r="R169">
        <v>159</v>
      </c>
      <c r="S169">
        <v>153</v>
      </c>
      <c r="T169">
        <v>156</v>
      </c>
      <c r="U169">
        <v>112</v>
      </c>
      <c r="V169">
        <v>78</v>
      </c>
      <c r="W169">
        <v>67</v>
      </c>
      <c r="X169">
        <v>84</v>
      </c>
      <c r="Y169">
        <v>65</v>
      </c>
      <c r="Z169">
        <v>10</v>
      </c>
      <c r="AA169">
        <v>100</v>
      </c>
      <c r="AB169">
        <v>102</v>
      </c>
      <c r="AC169">
        <v>106</v>
      </c>
    </row>
    <row r="170" spans="1:29" x14ac:dyDescent="0.2">
      <c r="A170" t="s">
        <v>735</v>
      </c>
      <c r="B170">
        <v>1</v>
      </c>
      <c r="C170" t="s">
        <v>233</v>
      </c>
      <c r="D170" t="s">
        <v>1433</v>
      </c>
      <c r="E170">
        <v>75</v>
      </c>
      <c r="F170">
        <v>90</v>
      </c>
      <c r="G170">
        <v>91</v>
      </c>
      <c r="H170">
        <v>85</v>
      </c>
      <c r="I170">
        <v>69</v>
      </c>
      <c r="J170">
        <v>79</v>
      </c>
      <c r="K170">
        <v>67</v>
      </c>
      <c r="L170">
        <v>81</v>
      </c>
      <c r="M170">
        <v>90</v>
      </c>
      <c r="N170">
        <v>93</v>
      </c>
      <c r="O170">
        <v>97</v>
      </c>
      <c r="P170">
        <v>109</v>
      </c>
      <c r="Q170">
        <v>123</v>
      </c>
      <c r="R170">
        <v>138</v>
      </c>
      <c r="S170">
        <v>135</v>
      </c>
      <c r="T170">
        <v>137</v>
      </c>
      <c r="U170">
        <v>94</v>
      </c>
      <c r="V170">
        <v>69</v>
      </c>
      <c r="W170">
        <v>65</v>
      </c>
      <c r="X170">
        <v>73</v>
      </c>
      <c r="Y170">
        <v>56</v>
      </c>
      <c r="Z170">
        <v>2</v>
      </c>
      <c r="AA170">
        <v>79</v>
      </c>
      <c r="AB170">
        <v>87</v>
      </c>
      <c r="AC170">
        <v>88</v>
      </c>
    </row>
    <row r="171" spans="1:29" x14ac:dyDescent="0.2">
      <c r="A171" t="s">
        <v>735</v>
      </c>
      <c r="B171">
        <v>1</v>
      </c>
      <c r="C171" t="s">
        <v>233</v>
      </c>
      <c r="D171" t="s">
        <v>1591</v>
      </c>
      <c r="E171">
        <v>76</v>
      </c>
      <c r="F171">
        <v>88</v>
      </c>
      <c r="G171">
        <v>85</v>
      </c>
      <c r="H171">
        <v>80</v>
      </c>
      <c r="I171">
        <v>71</v>
      </c>
      <c r="J171">
        <v>76</v>
      </c>
      <c r="K171">
        <v>61</v>
      </c>
      <c r="L171">
        <v>76</v>
      </c>
      <c r="M171">
        <v>84</v>
      </c>
      <c r="N171">
        <v>86</v>
      </c>
      <c r="O171">
        <v>88</v>
      </c>
      <c r="P171">
        <v>98</v>
      </c>
      <c r="Q171">
        <v>111</v>
      </c>
      <c r="R171">
        <v>123</v>
      </c>
      <c r="S171">
        <v>122</v>
      </c>
      <c r="T171">
        <v>129</v>
      </c>
      <c r="U171">
        <v>93</v>
      </c>
      <c r="V171">
        <v>63</v>
      </c>
      <c r="W171">
        <v>58</v>
      </c>
      <c r="X171">
        <v>66</v>
      </c>
      <c r="Y171">
        <v>52</v>
      </c>
      <c r="Z171">
        <v>-4</v>
      </c>
      <c r="AA171">
        <v>82</v>
      </c>
      <c r="AB171">
        <v>81</v>
      </c>
      <c r="AC171">
        <v>82</v>
      </c>
    </row>
    <row r="172" spans="1:29" x14ac:dyDescent="0.2">
      <c r="A172" t="s">
        <v>735</v>
      </c>
      <c r="B172">
        <v>1</v>
      </c>
      <c r="C172" t="s">
        <v>233</v>
      </c>
      <c r="D172" t="s">
        <v>1592</v>
      </c>
      <c r="E172">
        <v>77</v>
      </c>
      <c r="F172">
        <v>88</v>
      </c>
      <c r="G172">
        <v>81</v>
      </c>
      <c r="H172">
        <v>78</v>
      </c>
      <c r="I172">
        <v>74</v>
      </c>
      <c r="J172">
        <v>73</v>
      </c>
      <c r="K172">
        <v>57</v>
      </c>
      <c r="L172">
        <v>73</v>
      </c>
      <c r="M172">
        <v>82</v>
      </c>
      <c r="N172">
        <v>81</v>
      </c>
      <c r="O172">
        <v>83</v>
      </c>
      <c r="P172">
        <v>101</v>
      </c>
      <c r="Q172">
        <v>103</v>
      </c>
      <c r="R172">
        <v>114</v>
      </c>
      <c r="S172">
        <v>114</v>
      </c>
      <c r="T172">
        <v>125</v>
      </c>
      <c r="U172">
        <v>91</v>
      </c>
      <c r="V172">
        <v>58</v>
      </c>
      <c r="W172">
        <v>53</v>
      </c>
      <c r="X172">
        <v>63</v>
      </c>
      <c r="Y172">
        <v>49</v>
      </c>
      <c r="Z172">
        <v>3</v>
      </c>
      <c r="AA172">
        <v>80</v>
      </c>
      <c r="AB172">
        <v>84</v>
      </c>
      <c r="AC172">
        <v>85</v>
      </c>
    </row>
    <row r="173" spans="1:29" x14ac:dyDescent="0.2">
      <c r="A173" t="s">
        <v>735</v>
      </c>
      <c r="B173">
        <v>1</v>
      </c>
      <c r="C173" t="s">
        <v>233</v>
      </c>
      <c r="D173" t="s">
        <v>1593</v>
      </c>
      <c r="E173">
        <v>78</v>
      </c>
      <c r="F173">
        <v>85</v>
      </c>
      <c r="G173">
        <v>78</v>
      </c>
      <c r="H173">
        <v>76</v>
      </c>
      <c r="I173">
        <v>72</v>
      </c>
      <c r="J173">
        <v>70</v>
      </c>
      <c r="K173">
        <v>53</v>
      </c>
      <c r="L173">
        <v>72</v>
      </c>
      <c r="M173">
        <v>80</v>
      </c>
      <c r="N173">
        <v>79</v>
      </c>
      <c r="O173">
        <v>79</v>
      </c>
      <c r="P173">
        <v>96</v>
      </c>
      <c r="Q173">
        <v>96</v>
      </c>
      <c r="R173">
        <v>106</v>
      </c>
      <c r="S173">
        <v>108</v>
      </c>
      <c r="T173">
        <v>120</v>
      </c>
      <c r="U173">
        <v>91</v>
      </c>
      <c r="V173">
        <v>55</v>
      </c>
      <c r="W173">
        <v>51</v>
      </c>
      <c r="X173">
        <v>56</v>
      </c>
      <c r="Y173">
        <v>45</v>
      </c>
      <c r="Z173">
        <v>11</v>
      </c>
      <c r="AA173">
        <v>78</v>
      </c>
      <c r="AB173">
        <v>87</v>
      </c>
      <c r="AC173">
        <v>88</v>
      </c>
    </row>
    <row r="174" spans="1:29" x14ac:dyDescent="0.2">
      <c r="A174" t="s">
        <v>735</v>
      </c>
      <c r="B174">
        <v>1</v>
      </c>
      <c r="C174" t="s">
        <v>233</v>
      </c>
      <c r="D174" t="s">
        <v>1594</v>
      </c>
      <c r="E174">
        <v>79</v>
      </c>
      <c r="F174">
        <v>83</v>
      </c>
      <c r="G174">
        <v>70</v>
      </c>
      <c r="H174">
        <v>76</v>
      </c>
      <c r="I174">
        <v>75</v>
      </c>
      <c r="J174">
        <v>69</v>
      </c>
      <c r="K174">
        <v>49</v>
      </c>
      <c r="L174">
        <v>68</v>
      </c>
      <c r="M174">
        <v>74</v>
      </c>
      <c r="N174">
        <v>74</v>
      </c>
      <c r="O174">
        <v>75</v>
      </c>
      <c r="P174">
        <v>92</v>
      </c>
      <c r="Q174">
        <v>87</v>
      </c>
      <c r="R174">
        <v>96</v>
      </c>
      <c r="S174">
        <v>104</v>
      </c>
      <c r="T174">
        <v>114</v>
      </c>
      <c r="U174">
        <v>97</v>
      </c>
      <c r="V174">
        <v>55</v>
      </c>
      <c r="W174">
        <v>48</v>
      </c>
      <c r="X174">
        <v>50</v>
      </c>
      <c r="Y174">
        <v>40</v>
      </c>
      <c r="Z174">
        <v>15</v>
      </c>
      <c r="AA174">
        <v>84</v>
      </c>
      <c r="AB174">
        <v>90</v>
      </c>
      <c r="AC174">
        <v>90</v>
      </c>
    </row>
    <row r="175" spans="1:29" x14ac:dyDescent="0.2">
      <c r="A175" t="s">
        <v>735</v>
      </c>
      <c r="B175">
        <v>1</v>
      </c>
      <c r="C175" t="s">
        <v>233</v>
      </c>
      <c r="D175" t="s">
        <v>1595</v>
      </c>
      <c r="E175">
        <v>80</v>
      </c>
      <c r="F175">
        <v>80</v>
      </c>
      <c r="G175">
        <v>67</v>
      </c>
      <c r="H175">
        <v>73</v>
      </c>
      <c r="I175">
        <v>72</v>
      </c>
      <c r="J175">
        <v>67</v>
      </c>
      <c r="K175">
        <v>51</v>
      </c>
      <c r="L175">
        <v>68</v>
      </c>
      <c r="M175">
        <v>72</v>
      </c>
      <c r="N175">
        <v>74</v>
      </c>
      <c r="O175">
        <v>73</v>
      </c>
      <c r="P175">
        <v>90</v>
      </c>
      <c r="Q175">
        <v>85</v>
      </c>
      <c r="R175">
        <v>90</v>
      </c>
      <c r="S175">
        <v>97</v>
      </c>
      <c r="T175">
        <v>110</v>
      </c>
      <c r="U175">
        <v>99</v>
      </c>
      <c r="V175">
        <v>57</v>
      </c>
      <c r="W175">
        <v>51</v>
      </c>
      <c r="X175">
        <v>44</v>
      </c>
      <c r="Y175">
        <v>39</v>
      </c>
      <c r="Z175">
        <v>19</v>
      </c>
      <c r="AA175">
        <v>88</v>
      </c>
      <c r="AB175">
        <v>92</v>
      </c>
      <c r="AC175">
        <v>91</v>
      </c>
    </row>
    <row r="176" spans="1:29" x14ac:dyDescent="0.2">
      <c r="A176" t="s">
        <v>735</v>
      </c>
      <c r="B176">
        <v>1</v>
      </c>
      <c r="C176" t="s">
        <v>233</v>
      </c>
      <c r="D176" t="s">
        <v>1596</v>
      </c>
      <c r="E176">
        <v>81</v>
      </c>
      <c r="F176">
        <v>71</v>
      </c>
      <c r="G176">
        <v>65</v>
      </c>
      <c r="H176">
        <v>70</v>
      </c>
      <c r="I176">
        <v>70</v>
      </c>
      <c r="J176">
        <v>68</v>
      </c>
      <c r="K176">
        <v>50</v>
      </c>
      <c r="L176">
        <v>66</v>
      </c>
      <c r="M176">
        <v>74</v>
      </c>
      <c r="N176">
        <v>74</v>
      </c>
      <c r="O176">
        <v>71</v>
      </c>
      <c r="P176">
        <v>85</v>
      </c>
      <c r="Q176">
        <v>86</v>
      </c>
      <c r="R176">
        <v>90</v>
      </c>
      <c r="S176">
        <v>91</v>
      </c>
      <c r="T176">
        <v>100</v>
      </c>
      <c r="U176">
        <v>98</v>
      </c>
      <c r="V176">
        <v>59</v>
      </c>
      <c r="W176">
        <v>43</v>
      </c>
      <c r="X176">
        <v>44</v>
      </c>
      <c r="Y176">
        <v>39</v>
      </c>
      <c r="Z176">
        <v>25</v>
      </c>
      <c r="AA176">
        <v>81</v>
      </c>
      <c r="AB176">
        <v>83</v>
      </c>
      <c r="AC176">
        <v>86</v>
      </c>
    </row>
    <row r="177" spans="1:29" x14ac:dyDescent="0.2">
      <c r="A177" t="s">
        <v>735</v>
      </c>
      <c r="B177">
        <v>1</v>
      </c>
      <c r="C177" t="s">
        <v>233</v>
      </c>
      <c r="D177" t="s">
        <v>1597</v>
      </c>
      <c r="E177">
        <v>82</v>
      </c>
      <c r="F177">
        <v>62</v>
      </c>
      <c r="G177">
        <v>60</v>
      </c>
      <c r="H177">
        <v>65</v>
      </c>
      <c r="I177">
        <v>65</v>
      </c>
      <c r="J177">
        <v>65</v>
      </c>
      <c r="K177">
        <v>53</v>
      </c>
      <c r="L177">
        <v>62</v>
      </c>
      <c r="M177">
        <v>73</v>
      </c>
      <c r="N177">
        <v>74</v>
      </c>
      <c r="O177">
        <v>75</v>
      </c>
      <c r="P177">
        <v>84</v>
      </c>
      <c r="Q177">
        <v>83</v>
      </c>
      <c r="R177">
        <v>93</v>
      </c>
      <c r="S177">
        <v>91</v>
      </c>
      <c r="T177">
        <v>97</v>
      </c>
      <c r="U177">
        <v>89</v>
      </c>
      <c r="V177">
        <v>59</v>
      </c>
      <c r="W177">
        <v>46</v>
      </c>
      <c r="X177">
        <v>43</v>
      </c>
      <c r="Y177">
        <v>38</v>
      </c>
      <c r="Z177">
        <v>24</v>
      </c>
      <c r="AA177">
        <v>75</v>
      </c>
      <c r="AB177">
        <v>76</v>
      </c>
      <c r="AC177">
        <v>81</v>
      </c>
    </row>
    <row r="178" spans="1:29" x14ac:dyDescent="0.2">
      <c r="A178" t="s">
        <v>735</v>
      </c>
      <c r="B178">
        <v>1</v>
      </c>
      <c r="C178" t="s">
        <v>233</v>
      </c>
      <c r="D178" t="s">
        <v>1598</v>
      </c>
      <c r="E178">
        <v>83</v>
      </c>
      <c r="F178">
        <v>55</v>
      </c>
      <c r="G178">
        <v>59</v>
      </c>
      <c r="H178">
        <v>64</v>
      </c>
      <c r="I178">
        <v>56</v>
      </c>
      <c r="J178">
        <v>61</v>
      </c>
      <c r="K178">
        <v>58</v>
      </c>
      <c r="L178">
        <v>66</v>
      </c>
      <c r="M178">
        <v>73</v>
      </c>
      <c r="N178">
        <v>75</v>
      </c>
      <c r="O178">
        <v>76</v>
      </c>
      <c r="P178">
        <v>82</v>
      </c>
      <c r="Q178">
        <v>80</v>
      </c>
      <c r="R178">
        <v>92</v>
      </c>
      <c r="S178">
        <v>90</v>
      </c>
      <c r="T178">
        <v>94</v>
      </c>
      <c r="U178">
        <v>85</v>
      </c>
      <c r="V178">
        <v>61</v>
      </c>
      <c r="W178">
        <v>49</v>
      </c>
      <c r="X178">
        <v>45</v>
      </c>
      <c r="Y178">
        <v>41</v>
      </c>
      <c r="Z178">
        <v>24</v>
      </c>
      <c r="AA178">
        <v>75</v>
      </c>
      <c r="AB178">
        <v>76</v>
      </c>
      <c r="AC178">
        <v>77</v>
      </c>
    </row>
    <row r="179" spans="1:29" x14ac:dyDescent="0.2">
      <c r="A179" t="s">
        <v>735</v>
      </c>
      <c r="B179">
        <v>1</v>
      </c>
      <c r="C179" t="s">
        <v>233</v>
      </c>
      <c r="D179" t="s">
        <v>1434</v>
      </c>
      <c r="E179">
        <v>84</v>
      </c>
      <c r="F179">
        <v>46</v>
      </c>
      <c r="G179">
        <v>56</v>
      </c>
      <c r="H179">
        <v>58</v>
      </c>
      <c r="I179">
        <v>53</v>
      </c>
      <c r="J179">
        <v>61</v>
      </c>
      <c r="K179">
        <v>65</v>
      </c>
      <c r="L179">
        <v>67</v>
      </c>
      <c r="M179">
        <v>73</v>
      </c>
      <c r="N179">
        <v>76</v>
      </c>
      <c r="O179">
        <v>72</v>
      </c>
      <c r="P179">
        <v>77</v>
      </c>
      <c r="Q179">
        <v>81</v>
      </c>
      <c r="R179">
        <v>91</v>
      </c>
      <c r="S179">
        <v>88</v>
      </c>
      <c r="T179">
        <v>88</v>
      </c>
      <c r="U179">
        <v>82</v>
      </c>
      <c r="V179">
        <v>56</v>
      </c>
      <c r="W179">
        <v>50</v>
      </c>
      <c r="X179">
        <v>45</v>
      </c>
      <c r="Y179">
        <v>41</v>
      </c>
      <c r="Z179">
        <v>25</v>
      </c>
      <c r="AA179">
        <v>67</v>
      </c>
      <c r="AB179">
        <v>74</v>
      </c>
      <c r="AC179">
        <v>74</v>
      </c>
    </row>
    <row r="180" spans="1:29" x14ac:dyDescent="0.2">
      <c r="A180" t="s">
        <v>735</v>
      </c>
      <c r="B180">
        <v>1</v>
      </c>
      <c r="C180" t="s">
        <v>233</v>
      </c>
      <c r="D180" t="s">
        <v>1599</v>
      </c>
      <c r="E180">
        <v>85</v>
      </c>
      <c r="F180">
        <v>38</v>
      </c>
      <c r="G180">
        <v>50</v>
      </c>
      <c r="H180">
        <v>49</v>
      </c>
      <c r="I180">
        <v>42</v>
      </c>
      <c r="J180">
        <v>57</v>
      </c>
      <c r="K180">
        <v>66</v>
      </c>
      <c r="L180">
        <v>66</v>
      </c>
      <c r="M180">
        <v>69</v>
      </c>
      <c r="N180">
        <v>73</v>
      </c>
      <c r="O180">
        <v>72</v>
      </c>
      <c r="P180">
        <v>74</v>
      </c>
      <c r="Q180">
        <v>79</v>
      </c>
      <c r="R180">
        <v>90</v>
      </c>
      <c r="S180">
        <v>88</v>
      </c>
      <c r="T180">
        <v>87</v>
      </c>
      <c r="U180">
        <v>78</v>
      </c>
      <c r="V180">
        <v>62</v>
      </c>
      <c r="W180">
        <v>49</v>
      </c>
      <c r="X180">
        <v>44</v>
      </c>
      <c r="Y180">
        <v>43</v>
      </c>
      <c r="Z180">
        <v>27</v>
      </c>
      <c r="AA180">
        <v>67</v>
      </c>
      <c r="AB180">
        <v>70</v>
      </c>
      <c r="AC180">
        <v>67</v>
      </c>
    </row>
    <row r="181" spans="1:29" x14ac:dyDescent="0.2">
      <c r="A181" t="s">
        <v>735</v>
      </c>
      <c r="B181">
        <v>1</v>
      </c>
      <c r="C181" t="s">
        <v>233</v>
      </c>
      <c r="D181" t="s">
        <v>1600</v>
      </c>
      <c r="E181">
        <v>86</v>
      </c>
      <c r="F181">
        <v>36</v>
      </c>
      <c r="G181">
        <v>42</v>
      </c>
      <c r="H181">
        <v>41</v>
      </c>
      <c r="I181">
        <v>37</v>
      </c>
      <c r="J181">
        <v>53</v>
      </c>
      <c r="K181">
        <v>60</v>
      </c>
      <c r="L181">
        <v>59</v>
      </c>
      <c r="M181">
        <v>63</v>
      </c>
      <c r="N181">
        <v>71</v>
      </c>
      <c r="O181">
        <v>71</v>
      </c>
      <c r="P181">
        <v>68</v>
      </c>
      <c r="Q181">
        <v>70</v>
      </c>
      <c r="R181">
        <v>83</v>
      </c>
      <c r="S181">
        <v>81</v>
      </c>
      <c r="T181">
        <v>83</v>
      </c>
      <c r="U181">
        <v>77</v>
      </c>
      <c r="V181">
        <v>61</v>
      </c>
      <c r="W181">
        <v>46</v>
      </c>
      <c r="X181">
        <v>48</v>
      </c>
      <c r="Y181">
        <v>39</v>
      </c>
      <c r="Z181">
        <v>26</v>
      </c>
      <c r="AA181">
        <v>63</v>
      </c>
      <c r="AB181">
        <v>63</v>
      </c>
      <c r="AC181">
        <v>63</v>
      </c>
    </row>
    <row r="182" spans="1:29" x14ac:dyDescent="0.2">
      <c r="A182" t="s">
        <v>735</v>
      </c>
      <c r="B182">
        <v>1</v>
      </c>
      <c r="C182" t="s">
        <v>233</v>
      </c>
      <c r="D182" t="s">
        <v>1601</v>
      </c>
      <c r="E182">
        <v>87</v>
      </c>
      <c r="F182">
        <v>30</v>
      </c>
      <c r="G182">
        <v>33</v>
      </c>
      <c r="H182">
        <v>34</v>
      </c>
      <c r="I182">
        <v>32</v>
      </c>
      <c r="J182">
        <v>44</v>
      </c>
      <c r="K182">
        <v>54</v>
      </c>
      <c r="L182">
        <v>50</v>
      </c>
      <c r="M182">
        <v>54</v>
      </c>
      <c r="N182">
        <v>61</v>
      </c>
      <c r="O182">
        <v>64</v>
      </c>
      <c r="P182">
        <v>63</v>
      </c>
      <c r="Q182">
        <v>67</v>
      </c>
      <c r="R182">
        <v>78</v>
      </c>
      <c r="S182">
        <v>72</v>
      </c>
      <c r="T182">
        <v>73</v>
      </c>
      <c r="U182">
        <v>73</v>
      </c>
      <c r="V182">
        <v>59</v>
      </c>
      <c r="W182">
        <v>46</v>
      </c>
      <c r="X182">
        <v>42</v>
      </c>
      <c r="Y182">
        <v>36</v>
      </c>
      <c r="Z182">
        <v>23</v>
      </c>
      <c r="AA182">
        <v>56</v>
      </c>
      <c r="AB182">
        <v>60</v>
      </c>
      <c r="AC182">
        <v>65</v>
      </c>
    </row>
    <row r="183" spans="1:29" x14ac:dyDescent="0.2">
      <c r="A183" t="s">
        <v>735</v>
      </c>
      <c r="B183">
        <v>1</v>
      </c>
      <c r="C183" t="s">
        <v>233</v>
      </c>
      <c r="D183" t="s">
        <v>1602</v>
      </c>
      <c r="E183">
        <v>88</v>
      </c>
      <c r="F183">
        <v>25</v>
      </c>
      <c r="G183">
        <v>27</v>
      </c>
      <c r="H183">
        <v>26</v>
      </c>
      <c r="I183">
        <v>28</v>
      </c>
      <c r="J183">
        <v>35</v>
      </c>
      <c r="K183">
        <v>42</v>
      </c>
      <c r="L183">
        <v>45</v>
      </c>
      <c r="M183">
        <v>45</v>
      </c>
      <c r="N183">
        <v>56</v>
      </c>
      <c r="O183">
        <v>56</v>
      </c>
      <c r="P183">
        <v>57</v>
      </c>
      <c r="Q183">
        <v>57</v>
      </c>
      <c r="R183">
        <v>71</v>
      </c>
      <c r="S183">
        <v>64</v>
      </c>
      <c r="T183">
        <v>65</v>
      </c>
      <c r="U183">
        <v>71</v>
      </c>
      <c r="V183">
        <v>57</v>
      </c>
      <c r="W183">
        <v>43</v>
      </c>
      <c r="X183">
        <v>39</v>
      </c>
      <c r="Y183">
        <v>37</v>
      </c>
      <c r="Z183">
        <v>21</v>
      </c>
      <c r="AA183">
        <v>52</v>
      </c>
      <c r="AB183">
        <v>54</v>
      </c>
      <c r="AC183">
        <v>54</v>
      </c>
    </row>
    <row r="184" spans="1:29" x14ac:dyDescent="0.2">
      <c r="A184" t="s">
        <v>735</v>
      </c>
      <c r="B184">
        <v>1</v>
      </c>
      <c r="C184" t="s">
        <v>233</v>
      </c>
      <c r="D184" t="s">
        <v>1603</v>
      </c>
      <c r="E184">
        <v>89</v>
      </c>
      <c r="F184">
        <v>23</v>
      </c>
      <c r="G184">
        <v>21</v>
      </c>
      <c r="H184">
        <v>19</v>
      </c>
      <c r="I184">
        <v>24</v>
      </c>
      <c r="J184">
        <v>27</v>
      </c>
      <c r="K184">
        <v>35</v>
      </c>
      <c r="L184">
        <v>37</v>
      </c>
      <c r="M184">
        <v>36</v>
      </c>
      <c r="N184">
        <v>50</v>
      </c>
      <c r="O184">
        <v>51</v>
      </c>
      <c r="P184">
        <v>49</v>
      </c>
      <c r="Q184">
        <v>49</v>
      </c>
      <c r="R184">
        <v>61</v>
      </c>
      <c r="S184">
        <v>56</v>
      </c>
      <c r="T184">
        <v>57</v>
      </c>
      <c r="U184">
        <v>71</v>
      </c>
      <c r="V184">
        <v>53</v>
      </c>
      <c r="W184">
        <v>44</v>
      </c>
      <c r="X184">
        <v>41</v>
      </c>
      <c r="Y184">
        <v>32</v>
      </c>
      <c r="Z184">
        <v>19</v>
      </c>
      <c r="AA184">
        <v>49</v>
      </c>
      <c r="AB184">
        <v>48</v>
      </c>
      <c r="AC184">
        <v>54</v>
      </c>
    </row>
    <row r="185" spans="1:29" x14ac:dyDescent="0.2">
      <c r="A185" t="s">
        <v>735</v>
      </c>
      <c r="B185">
        <v>1</v>
      </c>
      <c r="C185" t="s">
        <v>233</v>
      </c>
      <c r="D185" t="s">
        <v>1604</v>
      </c>
      <c r="E185">
        <v>90</v>
      </c>
      <c r="F185">
        <v>16</v>
      </c>
      <c r="G185">
        <v>15</v>
      </c>
      <c r="H185">
        <v>12</v>
      </c>
      <c r="I185">
        <v>19</v>
      </c>
      <c r="J185">
        <v>24</v>
      </c>
      <c r="K185">
        <v>26</v>
      </c>
      <c r="L185">
        <v>30</v>
      </c>
      <c r="M185">
        <v>27</v>
      </c>
      <c r="N185">
        <v>39</v>
      </c>
      <c r="O185">
        <v>40</v>
      </c>
      <c r="P185">
        <v>45</v>
      </c>
      <c r="Q185">
        <v>44</v>
      </c>
      <c r="R185">
        <v>54</v>
      </c>
      <c r="S185">
        <v>53</v>
      </c>
      <c r="T185">
        <v>51</v>
      </c>
      <c r="U185">
        <v>62</v>
      </c>
      <c r="V185">
        <v>51</v>
      </c>
      <c r="W185">
        <v>44</v>
      </c>
      <c r="X185">
        <v>35</v>
      </c>
      <c r="Y185">
        <v>27</v>
      </c>
      <c r="Z185">
        <v>20</v>
      </c>
      <c r="AA185">
        <v>48</v>
      </c>
      <c r="AB185">
        <v>47</v>
      </c>
      <c r="AC185">
        <v>47</v>
      </c>
    </row>
    <row r="186" spans="1:29" x14ac:dyDescent="0.2">
      <c r="A186" t="s">
        <v>735</v>
      </c>
      <c r="B186">
        <v>1</v>
      </c>
      <c r="C186" t="s">
        <v>233</v>
      </c>
      <c r="D186" t="s">
        <v>1605</v>
      </c>
      <c r="E186">
        <v>91</v>
      </c>
      <c r="F186">
        <v>11</v>
      </c>
      <c r="G186">
        <v>10</v>
      </c>
      <c r="H186">
        <v>11</v>
      </c>
      <c r="I186">
        <v>16</v>
      </c>
      <c r="J186">
        <v>18</v>
      </c>
      <c r="K186">
        <v>24</v>
      </c>
      <c r="L186">
        <v>24</v>
      </c>
      <c r="M186">
        <v>22</v>
      </c>
      <c r="N186">
        <v>31</v>
      </c>
      <c r="O186">
        <v>35</v>
      </c>
      <c r="P186">
        <v>41</v>
      </c>
      <c r="Q186">
        <v>37</v>
      </c>
      <c r="R186">
        <v>46</v>
      </c>
      <c r="S186">
        <v>45</v>
      </c>
      <c r="T186">
        <v>41</v>
      </c>
      <c r="U186">
        <v>56</v>
      </c>
      <c r="V186">
        <v>47</v>
      </c>
      <c r="W186">
        <v>35</v>
      </c>
      <c r="X186">
        <v>30</v>
      </c>
      <c r="Y186">
        <v>21</v>
      </c>
      <c r="Z186">
        <v>15</v>
      </c>
      <c r="AA186">
        <v>37</v>
      </c>
      <c r="AB186">
        <v>41</v>
      </c>
      <c r="AC186">
        <v>44</v>
      </c>
    </row>
    <row r="187" spans="1:29" x14ac:dyDescent="0.2">
      <c r="A187" t="s">
        <v>735</v>
      </c>
      <c r="B187">
        <v>1</v>
      </c>
      <c r="C187" t="s">
        <v>233</v>
      </c>
      <c r="D187" t="s">
        <v>1606</v>
      </c>
      <c r="E187">
        <v>92</v>
      </c>
      <c r="F187">
        <v>7</v>
      </c>
      <c r="G187">
        <v>5</v>
      </c>
      <c r="H187">
        <v>8</v>
      </c>
      <c r="I187">
        <v>13</v>
      </c>
      <c r="J187">
        <v>14</v>
      </c>
      <c r="K187">
        <v>16</v>
      </c>
      <c r="L187">
        <v>18</v>
      </c>
      <c r="M187">
        <v>16</v>
      </c>
      <c r="N187">
        <v>21</v>
      </c>
      <c r="O187">
        <v>24</v>
      </c>
      <c r="P187">
        <v>33</v>
      </c>
      <c r="Q187">
        <v>32</v>
      </c>
      <c r="R187">
        <v>39</v>
      </c>
      <c r="S187">
        <v>38</v>
      </c>
      <c r="T187">
        <v>38</v>
      </c>
      <c r="U187">
        <v>49</v>
      </c>
      <c r="V187">
        <v>37</v>
      </c>
      <c r="W187">
        <v>30</v>
      </c>
      <c r="X187">
        <v>24</v>
      </c>
      <c r="Y187">
        <v>16</v>
      </c>
      <c r="Z187">
        <v>16</v>
      </c>
      <c r="AA187">
        <v>33</v>
      </c>
      <c r="AB187">
        <v>35</v>
      </c>
      <c r="AC187">
        <v>34</v>
      </c>
    </row>
    <row r="188" spans="1:29" x14ac:dyDescent="0.2">
      <c r="A188" t="s">
        <v>735</v>
      </c>
      <c r="B188">
        <v>1</v>
      </c>
      <c r="C188" t="s">
        <v>233</v>
      </c>
      <c r="D188" t="s">
        <v>1607</v>
      </c>
      <c r="E188">
        <v>93</v>
      </c>
      <c r="F188">
        <v>21</v>
      </c>
      <c r="G188">
        <v>32</v>
      </c>
      <c r="H188">
        <v>44</v>
      </c>
      <c r="I188">
        <v>45</v>
      </c>
      <c r="J188">
        <v>45</v>
      </c>
      <c r="K188">
        <v>43</v>
      </c>
      <c r="L188">
        <v>45</v>
      </c>
      <c r="M188">
        <v>43</v>
      </c>
      <c r="N188">
        <v>42</v>
      </c>
      <c r="O188">
        <v>58</v>
      </c>
      <c r="P188">
        <v>109</v>
      </c>
      <c r="Q188">
        <v>107</v>
      </c>
      <c r="R188">
        <v>106</v>
      </c>
      <c r="S188">
        <v>100</v>
      </c>
      <c r="T188">
        <v>121</v>
      </c>
      <c r="U188">
        <v>169</v>
      </c>
      <c r="V188">
        <v>135</v>
      </c>
      <c r="W188">
        <v>95</v>
      </c>
      <c r="X188">
        <v>72</v>
      </c>
      <c r="Y188">
        <v>64</v>
      </c>
      <c r="Z188">
        <v>91</v>
      </c>
      <c r="AA188">
        <v>140</v>
      </c>
      <c r="AB188">
        <v>139</v>
      </c>
      <c r="AC188">
        <v>156</v>
      </c>
    </row>
    <row r="189" spans="1:29" x14ac:dyDescent="0.2">
      <c r="A189" t="s">
        <v>735</v>
      </c>
      <c r="B189">
        <v>1</v>
      </c>
      <c r="C189" t="s">
        <v>205</v>
      </c>
      <c r="D189" t="s">
        <v>6</v>
      </c>
      <c r="E189">
        <v>1</v>
      </c>
      <c r="F189">
        <v>256405</v>
      </c>
      <c r="G189">
        <v>199170</v>
      </c>
      <c r="H189">
        <v>239101</v>
      </c>
      <c r="I189">
        <v>244599</v>
      </c>
      <c r="J189">
        <v>254381</v>
      </c>
      <c r="K189">
        <v>238127</v>
      </c>
      <c r="L189">
        <v>249632</v>
      </c>
      <c r="M189">
        <v>245313</v>
      </c>
      <c r="N189">
        <v>270635</v>
      </c>
      <c r="O189">
        <v>259143</v>
      </c>
      <c r="P189">
        <v>260043</v>
      </c>
      <c r="Q189">
        <v>263115</v>
      </c>
      <c r="R189">
        <v>267936</v>
      </c>
      <c r="S189">
        <v>240775</v>
      </c>
      <c r="T189">
        <v>323188</v>
      </c>
      <c r="U189">
        <v>272694</v>
      </c>
      <c r="V189">
        <v>303369</v>
      </c>
      <c r="W189">
        <v>313603</v>
      </c>
      <c r="X189">
        <v>284153</v>
      </c>
      <c r="Y189">
        <v>226314</v>
      </c>
      <c r="Z189">
        <v>493236</v>
      </c>
      <c r="AA189">
        <v>468913</v>
      </c>
      <c r="AB189">
        <v>464344</v>
      </c>
      <c r="AC189">
        <v>435421</v>
      </c>
    </row>
    <row r="190" spans="1:29" x14ac:dyDescent="0.2">
      <c r="A190" t="s">
        <v>735</v>
      </c>
      <c r="B190">
        <v>1</v>
      </c>
      <c r="C190" t="s">
        <v>205</v>
      </c>
      <c r="D190" t="s">
        <v>1610</v>
      </c>
      <c r="E190">
        <v>2</v>
      </c>
      <c r="F190">
        <v>800</v>
      </c>
      <c r="G190">
        <v>676</v>
      </c>
      <c r="H190">
        <v>738</v>
      </c>
      <c r="I190">
        <v>789</v>
      </c>
      <c r="J190">
        <v>742</v>
      </c>
      <c r="K190">
        <v>727</v>
      </c>
      <c r="L190">
        <v>739</v>
      </c>
      <c r="M190">
        <v>577</v>
      </c>
      <c r="N190">
        <v>754</v>
      </c>
      <c r="O190">
        <v>612</v>
      </c>
      <c r="P190">
        <v>560</v>
      </c>
      <c r="Q190">
        <v>568</v>
      </c>
      <c r="R190">
        <v>604</v>
      </c>
      <c r="S190">
        <v>541</v>
      </c>
      <c r="T190">
        <v>1120</v>
      </c>
      <c r="U190">
        <v>703</v>
      </c>
      <c r="V190">
        <v>857</v>
      </c>
      <c r="W190">
        <v>827</v>
      </c>
      <c r="X190">
        <v>349</v>
      </c>
      <c r="Y190">
        <v>95</v>
      </c>
      <c r="Z190">
        <v>730</v>
      </c>
      <c r="AA190">
        <v>966</v>
      </c>
      <c r="AB190">
        <v>839</v>
      </c>
      <c r="AC190">
        <v>698</v>
      </c>
    </row>
    <row r="191" spans="1:29" x14ac:dyDescent="0.2">
      <c r="A191" t="s">
        <v>735</v>
      </c>
      <c r="B191">
        <v>1</v>
      </c>
      <c r="C191" t="s">
        <v>205</v>
      </c>
      <c r="D191" t="s">
        <v>1537</v>
      </c>
      <c r="E191">
        <v>3</v>
      </c>
      <c r="F191">
        <v>4175</v>
      </c>
      <c r="G191">
        <v>3552</v>
      </c>
      <c r="H191">
        <v>4352</v>
      </c>
      <c r="I191">
        <v>4260</v>
      </c>
      <c r="J191">
        <v>4280</v>
      </c>
      <c r="K191">
        <v>3769</v>
      </c>
      <c r="L191">
        <v>3691</v>
      </c>
      <c r="M191">
        <v>3460</v>
      </c>
      <c r="N191">
        <v>3688</v>
      </c>
      <c r="O191">
        <v>3862</v>
      </c>
      <c r="P191">
        <v>3469</v>
      </c>
      <c r="Q191">
        <v>3600</v>
      </c>
      <c r="R191">
        <v>3232</v>
      </c>
      <c r="S191">
        <v>2669</v>
      </c>
      <c r="T191">
        <v>4498</v>
      </c>
      <c r="U191">
        <v>3284</v>
      </c>
      <c r="V191">
        <v>3376</v>
      </c>
      <c r="W191">
        <v>3580</v>
      </c>
      <c r="X191">
        <v>2925</v>
      </c>
      <c r="Y191">
        <v>1009</v>
      </c>
      <c r="Z191">
        <v>2480</v>
      </c>
      <c r="AA191">
        <v>4662</v>
      </c>
      <c r="AB191">
        <v>4226</v>
      </c>
      <c r="AC191">
        <v>3664</v>
      </c>
    </row>
    <row r="192" spans="1:29" x14ac:dyDescent="0.2">
      <c r="A192" t="s">
        <v>735</v>
      </c>
      <c r="B192">
        <v>1</v>
      </c>
      <c r="C192" t="s">
        <v>205</v>
      </c>
      <c r="D192" t="s">
        <v>1538</v>
      </c>
      <c r="E192">
        <v>4</v>
      </c>
      <c r="F192">
        <v>3724</v>
      </c>
      <c r="G192">
        <v>3217</v>
      </c>
      <c r="H192">
        <v>3387</v>
      </c>
      <c r="I192">
        <v>3847</v>
      </c>
      <c r="J192">
        <v>3726</v>
      </c>
      <c r="K192">
        <v>3369</v>
      </c>
      <c r="L192">
        <v>3596</v>
      </c>
      <c r="M192">
        <v>3460</v>
      </c>
      <c r="N192">
        <v>4059</v>
      </c>
      <c r="O192">
        <v>4129</v>
      </c>
      <c r="P192">
        <v>3867</v>
      </c>
      <c r="Q192">
        <v>3676</v>
      </c>
      <c r="R192">
        <v>3637</v>
      </c>
      <c r="S192">
        <v>3227</v>
      </c>
      <c r="T192">
        <v>4951</v>
      </c>
      <c r="U192">
        <v>3463</v>
      </c>
      <c r="V192">
        <v>3852</v>
      </c>
      <c r="W192">
        <v>4099</v>
      </c>
      <c r="X192">
        <v>3405</v>
      </c>
      <c r="Y192">
        <v>1604</v>
      </c>
      <c r="Z192">
        <v>3372</v>
      </c>
      <c r="AA192">
        <v>4702</v>
      </c>
      <c r="AB192">
        <v>4996</v>
      </c>
      <c r="AC192">
        <v>4484</v>
      </c>
    </row>
    <row r="193" spans="1:29" x14ac:dyDescent="0.2">
      <c r="A193" t="s">
        <v>735</v>
      </c>
      <c r="B193">
        <v>1</v>
      </c>
      <c r="C193" t="s">
        <v>205</v>
      </c>
      <c r="D193" t="s">
        <v>1539</v>
      </c>
      <c r="E193">
        <v>5</v>
      </c>
      <c r="F193">
        <v>3886</v>
      </c>
      <c r="G193">
        <v>2927</v>
      </c>
      <c r="H193">
        <v>3191</v>
      </c>
      <c r="I193">
        <v>3304</v>
      </c>
      <c r="J193">
        <v>3387</v>
      </c>
      <c r="K193">
        <v>3147</v>
      </c>
      <c r="L193">
        <v>3498</v>
      </c>
      <c r="M193">
        <v>3257</v>
      </c>
      <c r="N193">
        <v>3958</v>
      </c>
      <c r="O193">
        <v>4268</v>
      </c>
      <c r="P193">
        <v>3761</v>
      </c>
      <c r="Q193">
        <v>3798</v>
      </c>
      <c r="R193">
        <v>3364</v>
      </c>
      <c r="S193">
        <v>3312</v>
      </c>
      <c r="T193">
        <v>5560</v>
      </c>
      <c r="U193">
        <v>3812</v>
      </c>
      <c r="V193">
        <v>4128</v>
      </c>
      <c r="W193">
        <v>4391</v>
      </c>
      <c r="X193">
        <v>4006</v>
      </c>
      <c r="Y193">
        <v>1943</v>
      </c>
      <c r="Z193">
        <v>4076</v>
      </c>
      <c r="AA193">
        <v>5235</v>
      </c>
      <c r="AB193">
        <v>5141</v>
      </c>
      <c r="AC193">
        <v>5244</v>
      </c>
    </row>
    <row r="194" spans="1:29" x14ac:dyDescent="0.2">
      <c r="A194" t="s">
        <v>735</v>
      </c>
      <c r="B194">
        <v>1</v>
      </c>
      <c r="C194" t="s">
        <v>205</v>
      </c>
      <c r="D194" t="s">
        <v>1540</v>
      </c>
      <c r="E194">
        <v>6</v>
      </c>
      <c r="F194">
        <v>4178</v>
      </c>
      <c r="G194">
        <v>3028</v>
      </c>
      <c r="H194">
        <v>3581</v>
      </c>
      <c r="I194">
        <v>3623</v>
      </c>
      <c r="J194">
        <v>3290</v>
      </c>
      <c r="K194">
        <v>3059</v>
      </c>
      <c r="L194">
        <v>3404</v>
      </c>
      <c r="M194">
        <v>3197</v>
      </c>
      <c r="N194">
        <v>3957</v>
      </c>
      <c r="O194">
        <v>4153</v>
      </c>
      <c r="P194">
        <v>3931</v>
      </c>
      <c r="Q194">
        <v>3851</v>
      </c>
      <c r="R194">
        <v>3597</v>
      </c>
      <c r="S194">
        <v>3259</v>
      </c>
      <c r="T194">
        <v>5570</v>
      </c>
      <c r="U194">
        <v>3979</v>
      </c>
      <c r="V194">
        <v>4413</v>
      </c>
      <c r="W194">
        <v>4577</v>
      </c>
      <c r="X194">
        <v>4017</v>
      </c>
      <c r="Y194">
        <v>2590</v>
      </c>
      <c r="Z194">
        <v>5227</v>
      </c>
      <c r="AA194">
        <v>5929</v>
      </c>
      <c r="AB194">
        <v>5872</v>
      </c>
      <c r="AC194">
        <v>5356</v>
      </c>
    </row>
    <row r="195" spans="1:29" x14ac:dyDescent="0.2">
      <c r="A195" t="s">
        <v>735</v>
      </c>
      <c r="B195">
        <v>1</v>
      </c>
      <c r="C195" t="s">
        <v>205</v>
      </c>
      <c r="D195" t="s">
        <v>1541</v>
      </c>
      <c r="E195">
        <v>7</v>
      </c>
      <c r="F195">
        <v>4047</v>
      </c>
      <c r="G195">
        <v>3162</v>
      </c>
      <c r="H195">
        <v>3477</v>
      </c>
      <c r="I195">
        <v>3847</v>
      </c>
      <c r="J195">
        <v>3410</v>
      </c>
      <c r="K195">
        <v>3182</v>
      </c>
      <c r="L195">
        <v>3349</v>
      </c>
      <c r="M195">
        <v>3416</v>
      </c>
      <c r="N195">
        <v>4028</v>
      </c>
      <c r="O195">
        <v>4120</v>
      </c>
      <c r="P195">
        <v>3910</v>
      </c>
      <c r="Q195">
        <v>4058</v>
      </c>
      <c r="R195">
        <v>3820</v>
      </c>
      <c r="S195">
        <v>3421</v>
      </c>
      <c r="T195">
        <v>5594</v>
      </c>
      <c r="U195">
        <v>4049</v>
      </c>
      <c r="V195">
        <v>4353</v>
      </c>
      <c r="W195">
        <v>4489</v>
      </c>
      <c r="X195">
        <v>4157</v>
      </c>
      <c r="Y195">
        <v>2758</v>
      </c>
      <c r="Z195">
        <v>6003</v>
      </c>
      <c r="AA195">
        <v>6543</v>
      </c>
      <c r="AB195">
        <v>6459</v>
      </c>
      <c r="AC195">
        <v>5813</v>
      </c>
    </row>
    <row r="196" spans="1:29" x14ac:dyDescent="0.2">
      <c r="A196" t="s">
        <v>735</v>
      </c>
      <c r="B196">
        <v>1</v>
      </c>
      <c r="C196" t="s">
        <v>205</v>
      </c>
      <c r="D196" t="s">
        <v>1542</v>
      </c>
      <c r="E196">
        <v>8</v>
      </c>
      <c r="F196">
        <v>3960</v>
      </c>
      <c r="G196">
        <v>3118</v>
      </c>
      <c r="H196">
        <v>3602</v>
      </c>
      <c r="I196">
        <v>3679</v>
      </c>
      <c r="J196">
        <v>3667</v>
      </c>
      <c r="K196">
        <v>3307</v>
      </c>
      <c r="L196">
        <v>3347</v>
      </c>
      <c r="M196">
        <v>3276</v>
      </c>
      <c r="N196">
        <v>3883</v>
      </c>
      <c r="O196">
        <v>4070</v>
      </c>
      <c r="P196">
        <v>3880</v>
      </c>
      <c r="Q196">
        <v>3802</v>
      </c>
      <c r="R196">
        <v>3813</v>
      </c>
      <c r="S196">
        <v>3283</v>
      </c>
      <c r="T196">
        <v>5565</v>
      </c>
      <c r="U196">
        <v>3913</v>
      </c>
      <c r="V196">
        <v>4288</v>
      </c>
      <c r="W196">
        <v>4319</v>
      </c>
      <c r="X196">
        <v>3928</v>
      </c>
      <c r="Y196">
        <v>2809</v>
      </c>
      <c r="Z196">
        <v>6275</v>
      </c>
      <c r="AA196">
        <v>6853</v>
      </c>
      <c r="AB196">
        <v>6791</v>
      </c>
      <c r="AC196">
        <v>6002</v>
      </c>
    </row>
    <row r="197" spans="1:29" x14ac:dyDescent="0.2">
      <c r="A197" t="s">
        <v>735</v>
      </c>
      <c r="B197">
        <v>1</v>
      </c>
      <c r="C197" t="s">
        <v>205</v>
      </c>
      <c r="D197" t="s">
        <v>1543</v>
      </c>
      <c r="E197">
        <v>9</v>
      </c>
      <c r="F197">
        <v>4016</v>
      </c>
      <c r="G197">
        <v>2937</v>
      </c>
      <c r="H197">
        <v>3585</v>
      </c>
      <c r="I197">
        <v>3891</v>
      </c>
      <c r="J197">
        <v>3669</v>
      </c>
      <c r="K197">
        <v>3240</v>
      </c>
      <c r="L197">
        <v>3511</v>
      </c>
      <c r="M197">
        <v>3410</v>
      </c>
      <c r="N197">
        <v>3903</v>
      </c>
      <c r="O197">
        <v>3882</v>
      </c>
      <c r="P197">
        <v>3734</v>
      </c>
      <c r="Q197">
        <v>3584</v>
      </c>
      <c r="R197">
        <v>3692</v>
      </c>
      <c r="S197">
        <v>3385</v>
      </c>
      <c r="T197">
        <v>5224</v>
      </c>
      <c r="U197">
        <v>4010</v>
      </c>
      <c r="V197">
        <v>3972</v>
      </c>
      <c r="W197">
        <v>4344</v>
      </c>
      <c r="X197">
        <v>3883</v>
      </c>
      <c r="Y197">
        <v>2752</v>
      </c>
      <c r="Z197">
        <v>6372</v>
      </c>
      <c r="AA197">
        <v>6699</v>
      </c>
      <c r="AB197">
        <v>6854</v>
      </c>
      <c r="AC197">
        <v>6196</v>
      </c>
    </row>
    <row r="198" spans="1:29" x14ac:dyDescent="0.2">
      <c r="A198" t="s">
        <v>735</v>
      </c>
      <c r="B198">
        <v>1</v>
      </c>
      <c r="C198" t="s">
        <v>205</v>
      </c>
      <c r="D198" t="s">
        <v>1544</v>
      </c>
      <c r="E198">
        <v>10</v>
      </c>
      <c r="F198">
        <v>3925</v>
      </c>
      <c r="G198">
        <v>2948</v>
      </c>
      <c r="H198">
        <v>3470</v>
      </c>
      <c r="I198">
        <v>3842</v>
      </c>
      <c r="J198">
        <v>3748</v>
      </c>
      <c r="K198">
        <v>3296</v>
      </c>
      <c r="L198">
        <v>3483</v>
      </c>
      <c r="M198">
        <v>3458</v>
      </c>
      <c r="N198">
        <v>3748</v>
      </c>
      <c r="O198">
        <v>3904</v>
      </c>
      <c r="P198">
        <v>3694</v>
      </c>
      <c r="Q198">
        <v>3568</v>
      </c>
      <c r="R198">
        <v>3439</v>
      </c>
      <c r="S198">
        <v>3237</v>
      </c>
      <c r="T198">
        <v>5120</v>
      </c>
      <c r="U198">
        <v>3947</v>
      </c>
      <c r="V198">
        <v>3943</v>
      </c>
      <c r="W198">
        <v>3994</v>
      </c>
      <c r="X198">
        <v>3714</v>
      </c>
      <c r="Y198">
        <v>2792</v>
      </c>
      <c r="Z198">
        <v>6104</v>
      </c>
      <c r="AA198">
        <v>6581</v>
      </c>
      <c r="AB198">
        <v>6694</v>
      </c>
      <c r="AC198">
        <v>6193</v>
      </c>
    </row>
    <row r="199" spans="1:29" x14ac:dyDescent="0.2">
      <c r="A199" t="s">
        <v>735</v>
      </c>
      <c r="B199">
        <v>1</v>
      </c>
      <c r="C199" t="s">
        <v>205</v>
      </c>
      <c r="D199" t="s">
        <v>1545</v>
      </c>
      <c r="E199">
        <v>11</v>
      </c>
      <c r="F199">
        <v>3868</v>
      </c>
      <c r="G199">
        <v>2820</v>
      </c>
      <c r="H199">
        <v>3293</v>
      </c>
      <c r="I199">
        <v>3791</v>
      </c>
      <c r="J199">
        <v>3782</v>
      </c>
      <c r="K199">
        <v>3271</v>
      </c>
      <c r="L199">
        <v>3441</v>
      </c>
      <c r="M199">
        <v>3405</v>
      </c>
      <c r="N199">
        <v>3824</v>
      </c>
      <c r="O199">
        <v>3750</v>
      </c>
      <c r="P199">
        <v>3605</v>
      </c>
      <c r="Q199">
        <v>3430</v>
      </c>
      <c r="R199">
        <v>3437</v>
      </c>
      <c r="S199">
        <v>3230</v>
      </c>
      <c r="T199">
        <v>4816</v>
      </c>
      <c r="U199">
        <v>3769</v>
      </c>
      <c r="V199">
        <v>3760</v>
      </c>
      <c r="W199">
        <v>3951</v>
      </c>
      <c r="X199">
        <v>3574</v>
      </c>
      <c r="Y199">
        <v>2754</v>
      </c>
      <c r="Z199">
        <v>6223</v>
      </c>
      <c r="AA199">
        <v>6621</v>
      </c>
      <c r="AB199">
        <v>6679</v>
      </c>
      <c r="AC199">
        <v>6015</v>
      </c>
    </row>
    <row r="200" spans="1:29" x14ac:dyDescent="0.2">
      <c r="A200" t="s">
        <v>735</v>
      </c>
      <c r="B200">
        <v>1</v>
      </c>
      <c r="C200" t="s">
        <v>205</v>
      </c>
      <c r="D200" t="s">
        <v>1546</v>
      </c>
      <c r="E200">
        <v>12</v>
      </c>
      <c r="F200">
        <v>3737</v>
      </c>
      <c r="G200">
        <v>2824</v>
      </c>
      <c r="H200">
        <v>3280</v>
      </c>
      <c r="I200">
        <v>3613</v>
      </c>
      <c r="J200">
        <v>3717</v>
      </c>
      <c r="K200">
        <v>3303</v>
      </c>
      <c r="L200">
        <v>3498</v>
      </c>
      <c r="M200">
        <v>3321</v>
      </c>
      <c r="N200">
        <v>3787</v>
      </c>
      <c r="O200">
        <v>3914</v>
      </c>
      <c r="P200">
        <v>3427</v>
      </c>
      <c r="Q200">
        <v>3298</v>
      </c>
      <c r="R200">
        <v>3176</v>
      </c>
      <c r="S200">
        <v>3183</v>
      </c>
      <c r="T200">
        <v>4577</v>
      </c>
      <c r="U200">
        <v>3555</v>
      </c>
      <c r="V200">
        <v>3469</v>
      </c>
      <c r="W200">
        <v>3670</v>
      </c>
      <c r="X200">
        <v>3325</v>
      </c>
      <c r="Y200">
        <v>2577</v>
      </c>
      <c r="Z200">
        <v>5903</v>
      </c>
      <c r="AA200">
        <v>6063</v>
      </c>
      <c r="AB200">
        <v>6286</v>
      </c>
      <c r="AC200">
        <v>5859</v>
      </c>
    </row>
    <row r="201" spans="1:29" x14ac:dyDescent="0.2">
      <c r="A201" t="s">
        <v>735</v>
      </c>
      <c r="B201">
        <v>1</v>
      </c>
      <c r="C201" t="s">
        <v>205</v>
      </c>
      <c r="D201" t="s">
        <v>1547</v>
      </c>
      <c r="E201">
        <v>13</v>
      </c>
      <c r="F201">
        <v>3894</v>
      </c>
      <c r="G201">
        <v>2705</v>
      </c>
      <c r="H201">
        <v>3395</v>
      </c>
      <c r="I201">
        <v>3681</v>
      </c>
      <c r="J201">
        <v>3595</v>
      </c>
      <c r="K201">
        <v>3337</v>
      </c>
      <c r="L201">
        <v>3571</v>
      </c>
      <c r="M201">
        <v>3410</v>
      </c>
      <c r="N201">
        <v>3718</v>
      </c>
      <c r="O201">
        <v>3720</v>
      </c>
      <c r="P201">
        <v>3503</v>
      </c>
      <c r="Q201">
        <v>3178</v>
      </c>
      <c r="R201">
        <v>3092</v>
      </c>
      <c r="S201">
        <v>3105</v>
      </c>
      <c r="T201">
        <v>4304</v>
      </c>
      <c r="U201">
        <v>3479</v>
      </c>
      <c r="V201">
        <v>3423</v>
      </c>
      <c r="W201">
        <v>3458</v>
      </c>
      <c r="X201">
        <v>3130</v>
      </c>
      <c r="Y201">
        <v>2495</v>
      </c>
      <c r="Z201">
        <v>5480</v>
      </c>
      <c r="AA201">
        <v>6054</v>
      </c>
      <c r="AB201">
        <v>5969</v>
      </c>
      <c r="AC201">
        <v>5608</v>
      </c>
    </row>
    <row r="202" spans="1:29" x14ac:dyDescent="0.2">
      <c r="A202" t="s">
        <v>735</v>
      </c>
      <c r="B202">
        <v>1</v>
      </c>
      <c r="C202" t="s">
        <v>205</v>
      </c>
      <c r="D202" t="s">
        <v>1416</v>
      </c>
      <c r="E202">
        <v>14</v>
      </c>
      <c r="F202">
        <v>3830</v>
      </c>
      <c r="G202">
        <v>2786</v>
      </c>
      <c r="H202">
        <v>3203</v>
      </c>
      <c r="I202">
        <v>3627</v>
      </c>
      <c r="J202">
        <v>3534</v>
      </c>
      <c r="K202">
        <v>3308</v>
      </c>
      <c r="L202">
        <v>3397</v>
      </c>
      <c r="M202">
        <v>3456</v>
      </c>
      <c r="N202">
        <v>3669</v>
      </c>
      <c r="O202">
        <v>3563</v>
      </c>
      <c r="P202">
        <v>3512</v>
      </c>
      <c r="Q202">
        <v>3208</v>
      </c>
      <c r="R202">
        <v>3001</v>
      </c>
      <c r="S202">
        <v>3138</v>
      </c>
      <c r="T202">
        <v>4158</v>
      </c>
      <c r="U202">
        <v>3383</v>
      </c>
      <c r="V202">
        <v>3145</v>
      </c>
      <c r="W202">
        <v>3308</v>
      </c>
      <c r="X202">
        <v>2973</v>
      </c>
      <c r="Y202">
        <v>2305</v>
      </c>
      <c r="Z202">
        <v>5324</v>
      </c>
      <c r="AA202">
        <v>5568</v>
      </c>
      <c r="AB202">
        <v>5578</v>
      </c>
      <c r="AC202">
        <v>5431</v>
      </c>
    </row>
    <row r="203" spans="1:29" x14ac:dyDescent="0.2">
      <c r="A203" t="s">
        <v>735</v>
      </c>
      <c r="B203">
        <v>1</v>
      </c>
      <c r="C203" t="s">
        <v>205</v>
      </c>
      <c r="D203" t="s">
        <v>1548</v>
      </c>
      <c r="E203">
        <v>15</v>
      </c>
      <c r="F203">
        <v>3725</v>
      </c>
      <c r="G203">
        <v>2657</v>
      </c>
      <c r="H203">
        <v>3250</v>
      </c>
      <c r="I203">
        <v>3523</v>
      </c>
      <c r="J203">
        <v>3464</v>
      </c>
      <c r="K203">
        <v>3199</v>
      </c>
      <c r="L203">
        <v>3374</v>
      </c>
      <c r="M203">
        <v>3389</v>
      </c>
      <c r="N203">
        <v>3506</v>
      </c>
      <c r="O203">
        <v>3575</v>
      </c>
      <c r="P203">
        <v>3252</v>
      </c>
      <c r="Q203">
        <v>3040</v>
      </c>
      <c r="R203">
        <v>3156</v>
      </c>
      <c r="S203">
        <v>2918</v>
      </c>
      <c r="T203">
        <v>4053</v>
      </c>
      <c r="U203">
        <v>3249</v>
      </c>
      <c r="V203">
        <v>2931</v>
      </c>
      <c r="W203">
        <v>3094</v>
      </c>
      <c r="X203">
        <v>2744</v>
      </c>
      <c r="Y203">
        <v>2241</v>
      </c>
      <c r="Z203">
        <v>4979</v>
      </c>
      <c r="AA203">
        <v>5285</v>
      </c>
      <c r="AB203">
        <v>5357</v>
      </c>
      <c r="AC203">
        <v>5048</v>
      </c>
    </row>
    <row r="204" spans="1:29" x14ac:dyDescent="0.2">
      <c r="A204" t="s">
        <v>735</v>
      </c>
      <c r="B204">
        <v>1</v>
      </c>
      <c r="C204" t="s">
        <v>205</v>
      </c>
      <c r="D204" t="s">
        <v>1549</v>
      </c>
      <c r="E204">
        <v>16</v>
      </c>
      <c r="F204">
        <v>3580</v>
      </c>
      <c r="G204">
        <v>2689</v>
      </c>
      <c r="H204">
        <v>3320</v>
      </c>
      <c r="I204">
        <v>3484</v>
      </c>
      <c r="J204">
        <v>3588</v>
      </c>
      <c r="K204">
        <v>3140</v>
      </c>
      <c r="L204">
        <v>3412</v>
      </c>
      <c r="M204">
        <v>3255</v>
      </c>
      <c r="N204">
        <v>3485</v>
      </c>
      <c r="O204">
        <v>3500</v>
      </c>
      <c r="P204">
        <v>3242</v>
      </c>
      <c r="Q204">
        <v>2994</v>
      </c>
      <c r="R204">
        <v>2996</v>
      </c>
      <c r="S204">
        <v>3034</v>
      </c>
      <c r="T204">
        <v>3832</v>
      </c>
      <c r="U204">
        <v>3156</v>
      </c>
      <c r="V204">
        <v>2867</v>
      </c>
      <c r="W204">
        <v>2982</v>
      </c>
      <c r="X204">
        <v>2534</v>
      </c>
      <c r="Y204">
        <v>2041</v>
      </c>
      <c r="Z204">
        <v>4687</v>
      </c>
      <c r="AA204">
        <v>5197</v>
      </c>
      <c r="AB204">
        <v>5100</v>
      </c>
      <c r="AC204">
        <v>4810</v>
      </c>
    </row>
    <row r="205" spans="1:29" x14ac:dyDescent="0.2">
      <c r="A205" t="s">
        <v>735</v>
      </c>
      <c r="B205">
        <v>1</v>
      </c>
      <c r="C205" t="s">
        <v>205</v>
      </c>
      <c r="D205" t="s">
        <v>1550</v>
      </c>
      <c r="E205">
        <v>17</v>
      </c>
      <c r="F205">
        <v>3345</v>
      </c>
      <c r="G205">
        <v>2458</v>
      </c>
      <c r="H205">
        <v>3151</v>
      </c>
      <c r="I205">
        <v>3573</v>
      </c>
      <c r="J205">
        <v>3414</v>
      </c>
      <c r="K205">
        <v>3215</v>
      </c>
      <c r="L205">
        <v>3258</v>
      </c>
      <c r="M205">
        <v>3224</v>
      </c>
      <c r="N205">
        <v>3405</v>
      </c>
      <c r="O205">
        <v>3419</v>
      </c>
      <c r="P205">
        <v>3138</v>
      </c>
      <c r="Q205">
        <v>3007</v>
      </c>
      <c r="R205">
        <v>2816</v>
      </c>
      <c r="S205">
        <v>2986</v>
      </c>
      <c r="T205">
        <v>3738</v>
      </c>
      <c r="U205">
        <v>2895</v>
      </c>
      <c r="V205">
        <v>2810</v>
      </c>
      <c r="W205">
        <v>2763</v>
      </c>
      <c r="X205">
        <v>2439</v>
      </c>
      <c r="Y205">
        <v>1861</v>
      </c>
      <c r="Z205">
        <v>4466</v>
      </c>
      <c r="AA205">
        <v>4740</v>
      </c>
      <c r="AB205">
        <v>4803</v>
      </c>
      <c r="AC205">
        <v>4532</v>
      </c>
    </row>
    <row r="206" spans="1:29" x14ac:dyDescent="0.2">
      <c r="A206" t="s">
        <v>735</v>
      </c>
      <c r="B206">
        <v>1</v>
      </c>
      <c r="C206" t="s">
        <v>205</v>
      </c>
      <c r="D206" t="s">
        <v>1551</v>
      </c>
      <c r="E206">
        <v>18</v>
      </c>
      <c r="F206">
        <v>3257</v>
      </c>
      <c r="G206">
        <v>2549</v>
      </c>
      <c r="H206">
        <v>3004</v>
      </c>
      <c r="I206">
        <v>3481</v>
      </c>
      <c r="J206">
        <v>3627</v>
      </c>
      <c r="K206">
        <v>3143</v>
      </c>
      <c r="L206">
        <v>3180</v>
      </c>
      <c r="M206">
        <v>3173</v>
      </c>
      <c r="N206">
        <v>3312</v>
      </c>
      <c r="O206">
        <v>3213</v>
      </c>
      <c r="P206">
        <v>3093</v>
      </c>
      <c r="Q206">
        <v>2847</v>
      </c>
      <c r="R206">
        <v>2707</v>
      </c>
      <c r="S206">
        <v>2667</v>
      </c>
      <c r="T206">
        <v>3518</v>
      </c>
      <c r="U206">
        <v>2943</v>
      </c>
      <c r="V206">
        <v>2755</v>
      </c>
      <c r="W206">
        <v>2729</v>
      </c>
      <c r="X206">
        <v>2244</v>
      </c>
      <c r="Y206">
        <v>1775</v>
      </c>
      <c r="Z206">
        <v>4210</v>
      </c>
      <c r="AA206">
        <v>4501</v>
      </c>
      <c r="AB206">
        <v>4509</v>
      </c>
      <c r="AC206">
        <v>4311</v>
      </c>
    </row>
    <row r="207" spans="1:29" x14ac:dyDescent="0.2">
      <c r="A207" t="s">
        <v>735</v>
      </c>
      <c r="B207">
        <v>1</v>
      </c>
      <c r="C207" t="s">
        <v>205</v>
      </c>
      <c r="D207" t="s">
        <v>1552</v>
      </c>
      <c r="E207">
        <v>19</v>
      </c>
      <c r="F207">
        <v>3280</v>
      </c>
      <c r="G207">
        <v>2492</v>
      </c>
      <c r="H207">
        <v>3049</v>
      </c>
      <c r="I207">
        <v>3274</v>
      </c>
      <c r="J207">
        <v>3607</v>
      </c>
      <c r="K207">
        <v>3214</v>
      </c>
      <c r="L207">
        <v>3202</v>
      </c>
      <c r="M207">
        <v>3157</v>
      </c>
      <c r="N207">
        <v>3199</v>
      </c>
      <c r="O207">
        <v>3150</v>
      </c>
      <c r="P207">
        <v>2963</v>
      </c>
      <c r="Q207">
        <v>2680</v>
      </c>
      <c r="R207">
        <v>2627</v>
      </c>
      <c r="S207">
        <v>2789</v>
      </c>
      <c r="T207">
        <v>3333</v>
      </c>
      <c r="U207">
        <v>2905</v>
      </c>
      <c r="V207">
        <v>2654</v>
      </c>
      <c r="W207">
        <v>2691</v>
      </c>
      <c r="X207">
        <v>2196</v>
      </c>
      <c r="Y207">
        <v>1674</v>
      </c>
      <c r="Z207">
        <v>4035</v>
      </c>
      <c r="AA207">
        <v>4140</v>
      </c>
      <c r="AB207">
        <v>4320</v>
      </c>
      <c r="AC207">
        <v>4088</v>
      </c>
    </row>
    <row r="208" spans="1:29" x14ac:dyDescent="0.2">
      <c r="A208" t="s">
        <v>735</v>
      </c>
      <c r="B208">
        <v>1</v>
      </c>
      <c r="C208" t="s">
        <v>205</v>
      </c>
      <c r="D208" t="s">
        <v>1553</v>
      </c>
      <c r="E208">
        <v>20</v>
      </c>
      <c r="F208">
        <v>3221</v>
      </c>
      <c r="G208">
        <v>2444</v>
      </c>
      <c r="H208">
        <v>2935</v>
      </c>
      <c r="I208">
        <v>3124</v>
      </c>
      <c r="J208">
        <v>3449</v>
      </c>
      <c r="K208">
        <v>3230</v>
      </c>
      <c r="L208">
        <v>3206</v>
      </c>
      <c r="M208">
        <v>3096</v>
      </c>
      <c r="N208">
        <v>3276</v>
      </c>
      <c r="O208">
        <v>3060</v>
      </c>
      <c r="P208">
        <v>2826</v>
      </c>
      <c r="Q208">
        <v>2450</v>
      </c>
      <c r="R208">
        <v>2393</v>
      </c>
      <c r="S208">
        <v>2488</v>
      </c>
      <c r="T208">
        <v>3155</v>
      </c>
      <c r="U208">
        <v>2652</v>
      </c>
      <c r="V208">
        <v>2551</v>
      </c>
      <c r="W208">
        <v>2535</v>
      </c>
      <c r="X208">
        <v>2038</v>
      </c>
      <c r="Y208">
        <v>1480</v>
      </c>
      <c r="Z208">
        <v>3636</v>
      </c>
      <c r="AA208">
        <v>3943</v>
      </c>
      <c r="AB208">
        <v>3981</v>
      </c>
      <c r="AC208">
        <v>3697</v>
      </c>
    </row>
    <row r="209" spans="1:29" x14ac:dyDescent="0.2">
      <c r="A209" t="s">
        <v>735</v>
      </c>
      <c r="B209">
        <v>1</v>
      </c>
      <c r="C209" t="s">
        <v>205</v>
      </c>
      <c r="D209" t="s">
        <v>1554</v>
      </c>
      <c r="E209">
        <v>21</v>
      </c>
      <c r="F209">
        <v>3357</v>
      </c>
      <c r="G209">
        <v>2553</v>
      </c>
      <c r="H209">
        <v>3111</v>
      </c>
      <c r="I209">
        <v>3206</v>
      </c>
      <c r="J209">
        <v>3607</v>
      </c>
      <c r="K209">
        <v>3321</v>
      </c>
      <c r="L209">
        <v>3259</v>
      </c>
      <c r="M209">
        <v>3397</v>
      </c>
      <c r="N209">
        <v>3300</v>
      </c>
      <c r="O209">
        <v>3018</v>
      </c>
      <c r="P209">
        <v>2933</v>
      </c>
      <c r="Q209">
        <v>2625</v>
      </c>
      <c r="R209">
        <v>2483</v>
      </c>
      <c r="S209">
        <v>2517</v>
      </c>
      <c r="T209">
        <v>3199</v>
      </c>
      <c r="U209">
        <v>2658</v>
      </c>
      <c r="V209">
        <v>2617</v>
      </c>
      <c r="W209">
        <v>2746</v>
      </c>
      <c r="X209">
        <v>2170</v>
      </c>
      <c r="Y209">
        <v>1498</v>
      </c>
      <c r="Z209">
        <v>3633</v>
      </c>
      <c r="AA209">
        <v>3788</v>
      </c>
      <c r="AB209">
        <v>3998</v>
      </c>
      <c r="AC209">
        <v>3561</v>
      </c>
    </row>
    <row r="210" spans="1:29" x14ac:dyDescent="0.2">
      <c r="A210" t="s">
        <v>735</v>
      </c>
      <c r="B210">
        <v>1</v>
      </c>
      <c r="C210" t="s">
        <v>205</v>
      </c>
      <c r="D210" t="s">
        <v>1555</v>
      </c>
      <c r="E210">
        <v>22</v>
      </c>
      <c r="F210">
        <v>3355</v>
      </c>
      <c r="G210">
        <v>2686</v>
      </c>
      <c r="H210">
        <v>3427</v>
      </c>
      <c r="I210">
        <v>3212</v>
      </c>
      <c r="J210">
        <v>3658</v>
      </c>
      <c r="K210">
        <v>3466</v>
      </c>
      <c r="L210">
        <v>3402</v>
      </c>
      <c r="M210">
        <v>3360</v>
      </c>
      <c r="N210">
        <v>3389</v>
      </c>
      <c r="O210">
        <v>3130</v>
      </c>
      <c r="P210">
        <v>2918</v>
      </c>
      <c r="Q210">
        <v>2712</v>
      </c>
      <c r="R210">
        <v>2624</v>
      </c>
      <c r="S210">
        <v>2591</v>
      </c>
      <c r="T210">
        <v>3086</v>
      </c>
      <c r="U210">
        <v>2741</v>
      </c>
      <c r="V210">
        <v>2605</v>
      </c>
      <c r="W210">
        <v>2690</v>
      </c>
      <c r="X210">
        <v>2121</v>
      </c>
      <c r="Y210">
        <v>1567</v>
      </c>
      <c r="Z210">
        <v>3774</v>
      </c>
      <c r="AA210">
        <v>3966</v>
      </c>
      <c r="AB210">
        <v>3753</v>
      </c>
      <c r="AC210">
        <v>3772</v>
      </c>
    </row>
    <row r="211" spans="1:29" x14ac:dyDescent="0.2">
      <c r="A211" t="s">
        <v>735</v>
      </c>
      <c r="B211">
        <v>1</v>
      </c>
      <c r="C211" t="s">
        <v>205</v>
      </c>
      <c r="D211" t="s">
        <v>1556</v>
      </c>
      <c r="E211">
        <v>23</v>
      </c>
      <c r="F211">
        <v>3165</v>
      </c>
      <c r="G211">
        <v>2701</v>
      </c>
      <c r="H211">
        <v>3509</v>
      </c>
      <c r="I211">
        <v>3380</v>
      </c>
      <c r="J211">
        <v>4099</v>
      </c>
      <c r="K211">
        <v>3809</v>
      </c>
      <c r="L211">
        <v>3530</v>
      </c>
      <c r="M211">
        <v>3538</v>
      </c>
      <c r="N211">
        <v>3490</v>
      </c>
      <c r="O211">
        <v>3285</v>
      </c>
      <c r="P211">
        <v>3131</v>
      </c>
      <c r="Q211">
        <v>2794</v>
      </c>
      <c r="R211">
        <v>2713</v>
      </c>
      <c r="S211">
        <v>2718</v>
      </c>
      <c r="T211">
        <v>3097</v>
      </c>
      <c r="U211">
        <v>2415</v>
      </c>
      <c r="V211">
        <v>2463</v>
      </c>
      <c r="W211">
        <v>2890</v>
      </c>
      <c r="X211">
        <v>2327</v>
      </c>
      <c r="Y211">
        <v>1872</v>
      </c>
      <c r="Z211">
        <v>5217</v>
      </c>
      <c r="AA211">
        <v>4416</v>
      </c>
      <c r="AB211">
        <v>4124</v>
      </c>
      <c r="AC211">
        <v>3950</v>
      </c>
    </row>
    <row r="212" spans="1:29" x14ac:dyDescent="0.2">
      <c r="A212" t="s">
        <v>735</v>
      </c>
      <c r="B212">
        <v>1</v>
      </c>
      <c r="C212" t="s">
        <v>205</v>
      </c>
      <c r="D212" t="s">
        <v>1417</v>
      </c>
      <c r="E212">
        <v>24</v>
      </c>
      <c r="F212">
        <v>3525</v>
      </c>
      <c r="G212">
        <v>2918</v>
      </c>
      <c r="H212">
        <v>3934</v>
      </c>
      <c r="I212">
        <v>3696</v>
      </c>
      <c r="J212">
        <v>4515</v>
      </c>
      <c r="K212">
        <v>4165</v>
      </c>
      <c r="L212">
        <v>4003</v>
      </c>
      <c r="M212">
        <v>3988</v>
      </c>
      <c r="N212">
        <v>3816</v>
      </c>
      <c r="O212">
        <v>3445</v>
      </c>
      <c r="P212">
        <v>3494</v>
      </c>
      <c r="Q212">
        <v>3210</v>
      </c>
      <c r="R212">
        <v>3218</v>
      </c>
      <c r="S212">
        <v>3019</v>
      </c>
      <c r="T212">
        <v>3452</v>
      </c>
      <c r="U212">
        <v>2700</v>
      </c>
      <c r="V212">
        <v>2819</v>
      </c>
      <c r="W212">
        <v>3734</v>
      </c>
      <c r="X212">
        <v>3217</v>
      </c>
      <c r="Y212">
        <v>2950</v>
      </c>
      <c r="Z212">
        <v>9725</v>
      </c>
      <c r="AA212">
        <v>6961</v>
      </c>
      <c r="AB212">
        <v>5738</v>
      </c>
      <c r="AC212">
        <v>4787</v>
      </c>
    </row>
    <row r="213" spans="1:29" x14ac:dyDescent="0.2">
      <c r="A213" t="s">
        <v>735</v>
      </c>
      <c r="B213">
        <v>1</v>
      </c>
      <c r="C213" t="s">
        <v>205</v>
      </c>
      <c r="D213" t="s">
        <v>1418</v>
      </c>
      <c r="E213">
        <v>25</v>
      </c>
      <c r="F213">
        <v>3711</v>
      </c>
      <c r="G213">
        <v>3302</v>
      </c>
      <c r="H213">
        <v>4394</v>
      </c>
      <c r="I213">
        <v>4292</v>
      </c>
      <c r="J213">
        <v>4808</v>
      </c>
      <c r="K213">
        <v>4713</v>
      </c>
      <c r="L213">
        <v>4488</v>
      </c>
      <c r="M213">
        <v>4316</v>
      </c>
      <c r="N213">
        <v>4402</v>
      </c>
      <c r="O213">
        <v>3753</v>
      </c>
      <c r="P213">
        <v>3985</v>
      </c>
      <c r="Q213">
        <v>3767</v>
      </c>
      <c r="R213">
        <v>3847</v>
      </c>
      <c r="S213">
        <v>3542</v>
      </c>
      <c r="T213">
        <v>4274</v>
      </c>
      <c r="U213">
        <v>3528</v>
      </c>
      <c r="V213">
        <v>3647</v>
      </c>
      <c r="W213">
        <v>4679</v>
      </c>
      <c r="X213">
        <v>4555</v>
      </c>
      <c r="Y213">
        <v>4715</v>
      </c>
      <c r="Z213">
        <v>14320</v>
      </c>
      <c r="AA213">
        <v>10349</v>
      </c>
      <c r="AB213">
        <v>9024</v>
      </c>
      <c r="AC213">
        <v>7053</v>
      </c>
    </row>
    <row r="214" spans="1:29" x14ac:dyDescent="0.2">
      <c r="A214" t="s">
        <v>735</v>
      </c>
      <c r="B214">
        <v>1</v>
      </c>
      <c r="C214" t="s">
        <v>205</v>
      </c>
      <c r="D214" t="s">
        <v>1419</v>
      </c>
      <c r="E214">
        <v>26</v>
      </c>
      <c r="F214">
        <v>4413</v>
      </c>
      <c r="G214">
        <v>3734</v>
      </c>
      <c r="H214">
        <v>4929</v>
      </c>
      <c r="I214">
        <v>4589</v>
      </c>
      <c r="J214">
        <v>5266</v>
      </c>
      <c r="K214">
        <v>5330</v>
      </c>
      <c r="L214">
        <v>5304</v>
      </c>
      <c r="M214">
        <v>5036</v>
      </c>
      <c r="N214">
        <v>4947</v>
      </c>
      <c r="O214">
        <v>4237</v>
      </c>
      <c r="P214">
        <v>4638</v>
      </c>
      <c r="Q214">
        <v>4359</v>
      </c>
      <c r="R214">
        <v>4929</v>
      </c>
      <c r="S214">
        <v>4250</v>
      </c>
      <c r="T214">
        <v>5156</v>
      </c>
      <c r="U214">
        <v>4563</v>
      </c>
      <c r="V214">
        <v>5317</v>
      </c>
      <c r="W214">
        <v>5502</v>
      </c>
      <c r="X214">
        <v>5572</v>
      </c>
      <c r="Y214">
        <v>5939</v>
      </c>
      <c r="Z214">
        <v>17116</v>
      </c>
      <c r="AA214">
        <v>11872</v>
      </c>
      <c r="AB214">
        <v>11865</v>
      </c>
      <c r="AC214">
        <v>10353</v>
      </c>
    </row>
    <row r="215" spans="1:29" x14ac:dyDescent="0.2">
      <c r="A215" t="s">
        <v>735</v>
      </c>
      <c r="B215">
        <v>1</v>
      </c>
      <c r="C215" t="s">
        <v>205</v>
      </c>
      <c r="D215" t="s">
        <v>1557</v>
      </c>
      <c r="E215">
        <v>27</v>
      </c>
      <c r="F215">
        <v>5450</v>
      </c>
      <c r="G215">
        <v>4522</v>
      </c>
      <c r="H215">
        <v>5403</v>
      </c>
      <c r="I215">
        <v>5265</v>
      </c>
      <c r="J215">
        <v>5656</v>
      </c>
      <c r="K215">
        <v>6065</v>
      </c>
      <c r="L215">
        <v>6255</v>
      </c>
      <c r="M215">
        <v>5916</v>
      </c>
      <c r="N215">
        <v>6104</v>
      </c>
      <c r="O215">
        <v>5180</v>
      </c>
      <c r="P215">
        <v>5940</v>
      </c>
      <c r="Q215">
        <v>5496</v>
      </c>
      <c r="R215">
        <v>6389</v>
      </c>
      <c r="S215">
        <v>5693</v>
      </c>
      <c r="T215">
        <v>6840</v>
      </c>
      <c r="U215">
        <v>6100</v>
      </c>
      <c r="V215">
        <v>7725</v>
      </c>
      <c r="W215">
        <v>7658</v>
      </c>
      <c r="X215">
        <v>7371</v>
      </c>
      <c r="Y215">
        <v>8271</v>
      </c>
      <c r="Z215">
        <v>19066</v>
      </c>
      <c r="AA215">
        <v>13663</v>
      </c>
      <c r="AB215">
        <v>13426</v>
      </c>
      <c r="AC215">
        <v>13065</v>
      </c>
    </row>
    <row r="216" spans="1:29" x14ac:dyDescent="0.2">
      <c r="A216" t="s">
        <v>735</v>
      </c>
      <c r="B216">
        <v>1</v>
      </c>
      <c r="C216" t="s">
        <v>205</v>
      </c>
      <c r="D216" t="s">
        <v>1558</v>
      </c>
      <c r="E216">
        <v>28</v>
      </c>
      <c r="F216">
        <v>6542</v>
      </c>
      <c r="G216">
        <v>5262</v>
      </c>
      <c r="H216">
        <v>6259</v>
      </c>
      <c r="I216">
        <v>6114</v>
      </c>
      <c r="J216">
        <v>5945</v>
      </c>
      <c r="K216">
        <v>6368</v>
      </c>
      <c r="L216">
        <v>6976</v>
      </c>
      <c r="M216">
        <v>7029</v>
      </c>
      <c r="N216">
        <v>7154</v>
      </c>
      <c r="O216">
        <v>6302</v>
      </c>
      <c r="P216">
        <v>7153</v>
      </c>
      <c r="Q216">
        <v>6770</v>
      </c>
      <c r="R216">
        <v>7829</v>
      </c>
      <c r="S216">
        <v>6978</v>
      </c>
      <c r="T216">
        <v>9143</v>
      </c>
      <c r="U216">
        <v>8172</v>
      </c>
      <c r="V216">
        <v>10346</v>
      </c>
      <c r="W216">
        <v>10549</v>
      </c>
      <c r="X216">
        <v>9878</v>
      </c>
      <c r="Y216">
        <v>10702</v>
      </c>
      <c r="Z216">
        <v>22226</v>
      </c>
      <c r="AA216">
        <v>15598</v>
      </c>
      <c r="AB216">
        <v>16868</v>
      </c>
      <c r="AC216">
        <v>15126</v>
      </c>
    </row>
    <row r="217" spans="1:29" x14ac:dyDescent="0.2">
      <c r="A217" t="s">
        <v>735</v>
      </c>
      <c r="B217">
        <v>1</v>
      </c>
      <c r="C217" t="s">
        <v>205</v>
      </c>
      <c r="D217" t="s">
        <v>1559</v>
      </c>
      <c r="E217">
        <v>29</v>
      </c>
      <c r="F217">
        <v>7567</v>
      </c>
      <c r="G217">
        <v>5925</v>
      </c>
      <c r="H217">
        <v>7194</v>
      </c>
      <c r="I217">
        <v>6854</v>
      </c>
      <c r="J217">
        <v>6516</v>
      </c>
      <c r="K217">
        <v>6877</v>
      </c>
      <c r="L217">
        <v>7214</v>
      </c>
      <c r="M217">
        <v>7380</v>
      </c>
      <c r="N217">
        <v>8191</v>
      </c>
      <c r="O217">
        <v>7250</v>
      </c>
      <c r="P217">
        <v>8191</v>
      </c>
      <c r="Q217">
        <v>7582</v>
      </c>
      <c r="R217">
        <v>9047</v>
      </c>
      <c r="S217">
        <v>7695</v>
      </c>
      <c r="T217">
        <v>10905</v>
      </c>
      <c r="U217">
        <v>10004</v>
      </c>
      <c r="V217">
        <v>13295</v>
      </c>
      <c r="W217">
        <v>12539</v>
      </c>
      <c r="X217">
        <v>12475</v>
      </c>
      <c r="Y217">
        <v>11791</v>
      </c>
      <c r="Z217">
        <v>24648</v>
      </c>
      <c r="AA217">
        <v>17301</v>
      </c>
      <c r="AB217">
        <v>19248</v>
      </c>
      <c r="AC217">
        <v>18607</v>
      </c>
    </row>
    <row r="218" spans="1:29" x14ac:dyDescent="0.2">
      <c r="A218" t="s">
        <v>735</v>
      </c>
      <c r="B218">
        <v>1</v>
      </c>
      <c r="C218" t="s">
        <v>205</v>
      </c>
      <c r="D218" t="s">
        <v>1560</v>
      </c>
      <c r="E218">
        <v>30</v>
      </c>
      <c r="F218">
        <v>8476</v>
      </c>
      <c r="G218">
        <v>6478</v>
      </c>
      <c r="H218">
        <v>7730</v>
      </c>
      <c r="I218">
        <v>7612</v>
      </c>
      <c r="J218">
        <v>7020</v>
      </c>
      <c r="K218">
        <v>7196</v>
      </c>
      <c r="L218">
        <v>7544</v>
      </c>
      <c r="M218">
        <v>7362</v>
      </c>
      <c r="N218">
        <v>8617</v>
      </c>
      <c r="O218">
        <v>7968</v>
      </c>
      <c r="P218">
        <v>8799</v>
      </c>
      <c r="Q218">
        <v>8132</v>
      </c>
      <c r="R218">
        <v>9206</v>
      </c>
      <c r="S218">
        <v>8334</v>
      </c>
      <c r="T218">
        <v>11533</v>
      </c>
      <c r="U218">
        <v>10563</v>
      </c>
      <c r="V218">
        <v>14714</v>
      </c>
      <c r="W218">
        <v>13794</v>
      </c>
      <c r="X218">
        <v>13480</v>
      </c>
      <c r="Y218">
        <v>12064</v>
      </c>
      <c r="Z218">
        <v>24019</v>
      </c>
      <c r="AA218">
        <v>18324</v>
      </c>
      <c r="AB218">
        <v>20416</v>
      </c>
      <c r="AC218">
        <v>20164</v>
      </c>
    </row>
    <row r="219" spans="1:29" x14ac:dyDescent="0.2">
      <c r="A219" t="s">
        <v>735</v>
      </c>
      <c r="B219">
        <v>1</v>
      </c>
      <c r="C219" t="s">
        <v>205</v>
      </c>
      <c r="D219" t="s">
        <v>1561</v>
      </c>
      <c r="E219">
        <v>31</v>
      </c>
      <c r="F219">
        <v>8974</v>
      </c>
      <c r="G219">
        <v>6786</v>
      </c>
      <c r="H219">
        <v>8289</v>
      </c>
      <c r="I219">
        <v>8006</v>
      </c>
      <c r="J219">
        <v>7501</v>
      </c>
      <c r="K219">
        <v>7401</v>
      </c>
      <c r="L219">
        <v>7820</v>
      </c>
      <c r="M219">
        <v>7596</v>
      </c>
      <c r="N219">
        <v>8742</v>
      </c>
      <c r="O219">
        <v>8488</v>
      </c>
      <c r="P219">
        <v>9191</v>
      </c>
      <c r="Q219">
        <v>8609</v>
      </c>
      <c r="R219">
        <v>9793</v>
      </c>
      <c r="S219">
        <v>8516</v>
      </c>
      <c r="T219">
        <v>12032</v>
      </c>
      <c r="U219">
        <v>10635</v>
      </c>
      <c r="V219">
        <v>14573</v>
      </c>
      <c r="W219">
        <v>14527</v>
      </c>
      <c r="X219">
        <v>13784</v>
      </c>
      <c r="Y219">
        <v>11148</v>
      </c>
      <c r="Z219">
        <v>22876</v>
      </c>
      <c r="AA219">
        <v>18804</v>
      </c>
      <c r="AB219">
        <v>20324</v>
      </c>
      <c r="AC219">
        <v>20118</v>
      </c>
    </row>
    <row r="220" spans="1:29" x14ac:dyDescent="0.2">
      <c r="A220" t="s">
        <v>735</v>
      </c>
      <c r="B220">
        <v>1</v>
      </c>
      <c r="C220" t="s">
        <v>205</v>
      </c>
      <c r="D220" t="s">
        <v>1562</v>
      </c>
      <c r="E220">
        <v>32</v>
      </c>
      <c r="F220">
        <v>9135</v>
      </c>
      <c r="G220">
        <v>6861</v>
      </c>
      <c r="H220">
        <v>8178</v>
      </c>
      <c r="I220">
        <v>8241</v>
      </c>
      <c r="J220">
        <v>7571</v>
      </c>
      <c r="K220">
        <v>7483</v>
      </c>
      <c r="L220">
        <v>7895</v>
      </c>
      <c r="M220">
        <v>7504</v>
      </c>
      <c r="N220">
        <v>8820</v>
      </c>
      <c r="O220">
        <v>8500</v>
      </c>
      <c r="P220">
        <v>9077</v>
      </c>
      <c r="Q220">
        <v>8871</v>
      </c>
      <c r="R220">
        <v>9845</v>
      </c>
      <c r="S220">
        <v>8540</v>
      </c>
      <c r="T220">
        <v>11969</v>
      </c>
      <c r="U220">
        <v>10311</v>
      </c>
      <c r="V220">
        <v>13808</v>
      </c>
      <c r="W220">
        <v>13745</v>
      </c>
      <c r="X220">
        <v>14023</v>
      </c>
      <c r="Y220">
        <v>10412</v>
      </c>
      <c r="Z220">
        <v>20848</v>
      </c>
      <c r="AA220">
        <v>18938</v>
      </c>
      <c r="AB220">
        <v>19470</v>
      </c>
      <c r="AC220">
        <v>18711</v>
      </c>
    </row>
    <row r="221" spans="1:29" x14ac:dyDescent="0.2">
      <c r="A221" t="s">
        <v>735</v>
      </c>
      <c r="B221">
        <v>1</v>
      </c>
      <c r="C221" t="s">
        <v>205</v>
      </c>
      <c r="D221" t="s">
        <v>1563</v>
      </c>
      <c r="E221">
        <v>33</v>
      </c>
      <c r="F221">
        <v>8815</v>
      </c>
      <c r="G221">
        <v>6915</v>
      </c>
      <c r="H221">
        <v>8185</v>
      </c>
      <c r="I221">
        <v>8320</v>
      </c>
      <c r="J221">
        <v>7640</v>
      </c>
      <c r="K221">
        <v>7102</v>
      </c>
      <c r="L221">
        <v>7604</v>
      </c>
      <c r="M221">
        <v>7402</v>
      </c>
      <c r="N221">
        <v>8425</v>
      </c>
      <c r="O221">
        <v>8523</v>
      </c>
      <c r="P221">
        <v>8611</v>
      </c>
      <c r="Q221">
        <v>8720</v>
      </c>
      <c r="R221">
        <v>9658</v>
      </c>
      <c r="S221">
        <v>8577</v>
      </c>
      <c r="T221">
        <v>11865</v>
      </c>
      <c r="U221">
        <v>9886</v>
      </c>
      <c r="V221">
        <v>12887</v>
      </c>
      <c r="W221">
        <v>13003</v>
      </c>
      <c r="X221">
        <v>12916</v>
      </c>
      <c r="Y221">
        <v>9490</v>
      </c>
      <c r="Z221">
        <v>19218</v>
      </c>
      <c r="AA221">
        <v>18222</v>
      </c>
      <c r="AB221">
        <v>17984</v>
      </c>
      <c r="AC221">
        <v>16961</v>
      </c>
    </row>
    <row r="222" spans="1:29" x14ac:dyDescent="0.2">
      <c r="A222" t="s">
        <v>735</v>
      </c>
      <c r="B222">
        <v>1</v>
      </c>
      <c r="C222" t="s">
        <v>205</v>
      </c>
      <c r="D222" t="s">
        <v>1420</v>
      </c>
      <c r="E222">
        <v>34</v>
      </c>
      <c r="F222">
        <v>8399</v>
      </c>
      <c r="G222">
        <v>6603</v>
      </c>
      <c r="H222">
        <v>7900</v>
      </c>
      <c r="I222">
        <v>8264</v>
      </c>
      <c r="J222">
        <v>7511</v>
      </c>
      <c r="K222">
        <v>7031</v>
      </c>
      <c r="L222">
        <v>7493</v>
      </c>
      <c r="M222">
        <v>7187</v>
      </c>
      <c r="N222">
        <v>8388</v>
      </c>
      <c r="O222">
        <v>8385</v>
      </c>
      <c r="P222">
        <v>8404</v>
      </c>
      <c r="Q222">
        <v>8227</v>
      </c>
      <c r="R222">
        <v>9496</v>
      </c>
      <c r="S222">
        <v>8431</v>
      </c>
      <c r="T222">
        <v>11614</v>
      </c>
      <c r="U222">
        <v>9433</v>
      </c>
      <c r="V222">
        <v>11953</v>
      </c>
      <c r="W222">
        <v>11989</v>
      </c>
      <c r="X222">
        <v>11750</v>
      </c>
      <c r="Y222">
        <v>8493</v>
      </c>
      <c r="Z222">
        <v>17516</v>
      </c>
      <c r="AA222">
        <v>17768</v>
      </c>
      <c r="AB222">
        <v>15922</v>
      </c>
      <c r="AC222">
        <v>15420</v>
      </c>
    </row>
    <row r="223" spans="1:29" x14ac:dyDescent="0.2">
      <c r="A223" t="s">
        <v>735</v>
      </c>
      <c r="B223">
        <v>1</v>
      </c>
      <c r="C223" t="s">
        <v>205</v>
      </c>
      <c r="D223" t="s">
        <v>1564</v>
      </c>
      <c r="E223">
        <v>35</v>
      </c>
      <c r="F223">
        <v>8261</v>
      </c>
      <c r="G223">
        <v>6360</v>
      </c>
      <c r="H223">
        <v>7513</v>
      </c>
      <c r="I223">
        <v>7903</v>
      </c>
      <c r="J223">
        <v>7384</v>
      </c>
      <c r="K223">
        <v>6751</v>
      </c>
      <c r="L223">
        <v>7220</v>
      </c>
      <c r="M223">
        <v>6819</v>
      </c>
      <c r="N223">
        <v>8002</v>
      </c>
      <c r="O223">
        <v>7841</v>
      </c>
      <c r="P223">
        <v>8087</v>
      </c>
      <c r="Q223">
        <v>7968</v>
      </c>
      <c r="R223">
        <v>9171</v>
      </c>
      <c r="S223">
        <v>8216</v>
      </c>
      <c r="T223">
        <v>11227</v>
      </c>
      <c r="U223">
        <v>8923</v>
      </c>
      <c r="V223">
        <v>11242</v>
      </c>
      <c r="W223">
        <v>11277</v>
      </c>
      <c r="X223">
        <v>10979</v>
      </c>
      <c r="Y223">
        <v>7834</v>
      </c>
      <c r="Z223">
        <v>15484</v>
      </c>
      <c r="AA223">
        <v>16596</v>
      </c>
      <c r="AB223">
        <v>14498</v>
      </c>
      <c r="AC223">
        <v>13640</v>
      </c>
    </row>
    <row r="224" spans="1:29" x14ac:dyDescent="0.2">
      <c r="A224" t="s">
        <v>735</v>
      </c>
      <c r="B224">
        <v>1</v>
      </c>
      <c r="C224" t="s">
        <v>205</v>
      </c>
      <c r="D224" t="s">
        <v>1565</v>
      </c>
      <c r="E224">
        <v>36</v>
      </c>
      <c r="F224">
        <v>7637</v>
      </c>
      <c r="G224">
        <v>6088</v>
      </c>
      <c r="H224">
        <v>7118</v>
      </c>
      <c r="I224">
        <v>7474</v>
      </c>
      <c r="J224">
        <v>7130</v>
      </c>
      <c r="K224">
        <v>6521</v>
      </c>
      <c r="L224">
        <v>6977</v>
      </c>
      <c r="M224">
        <v>6550</v>
      </c>
      <c r="N224">
        <v>7654</v>
      </c>
      <c r="O224">
        <v>7401</v>
      </c>
      <c r="P224">
        <v>7527</v>
      </c>
      <c r="Q224">
        <v>7429</v>
      </c>
      <c r="R224">
        <v>8485</v>
      </c>
      <c r="S224">
        <v>7888</v>
      </c>
      <c r="T224">
        <v>10636</v>
      </c>
      <c r="U224">
        <v>8227</v>
      </c>
      <c r="V224">
        <v>10220</v>
      </c>
      <c r="W224">
        <v>10267</v>
      </c>
      <c r="X224">
        <v>10001</v>
      </c>
      <c r="Y224">
        <v>6886</v>
      </c>
      <c r="Z224">
        <v>13568</v>
      </c>
      <c r="AA224">
        <v>14261</v>
      </c>
      <c r="AB224">
        <v>13673</v>
      </c>
      <c r="AC224">
        <v>12738</v>
      </c>
    </row>
    <row r="225" spans="1:29" x14ac:dyDescent="0.2">
      <c r="A225" t="s">
        <v>735</v>
      </c>
      <c r="B225">
        <v>1</v>
      </c>
      <c r="C225" t="s">
        <v>205</v>
      </c>
      <c r="D225" t="s">
        <v>1566</v>
      </c>
      <c r="E225">
        <v>37</v>
      </c>
      <c r="F225">
        <v>6615</v>
      </c>
      <c r="G225">
        <v>5514</v>
      </c>
      <c r="H225">
        <v>6669</v>
      </c>
      <c r="I225">
        <v>7173</v>
      </c>
      <c r="J225">
        <v>6754</v>
      </c>
      <c r="K225">
        <v>6258</v>
      </c>
      <c r="L225">
        <v>6489</v>
      </c>
      <c r="M225">
        <v>6215</v>
      </c>
      <c r="N225">
        <v>7268</v>
      </c>
      <c r="O225">
        <v>7039</v>
      </c>
      <c r="P225">
        <v>6906</v>
      </c>
      <c r="Q225">
        <v>6967</v>
      </c>
      <c r="R225">
        <v>7908</v>
      </c>
      <c r="S225">
        <v>7419</v>
      </c>
      <c r="T225">
        <v>9621</v>
      </c>
      <c r="U225">
        <v>7822</v>
      </c>
      <c r="V225">
        <v>9408</v>
      </c>
      <c r="W225">
        <v>9355</v>
      </c>
      <c r="X225">
        <v>9000</v>
      </c>
      <c r="Y225">
        <v>6402</v>
      </c>
      <c r="Z225">
        <v>12665</v>
      </c>
      <c r="AA225">
        <v>12536</v>
      </c>
      <c r="AB225">
        <v>12286</v>
      </c>
      <c r="AC225">
        <v>11673</v>
      </c>
    </row>
    <row r="226" spans="1:29" x14ac:dyDescent="0.2">
      <c r="A226" t="s">
        <v>735</v>
      </c>
      <c r="B226">
        <v>1</v>
      </c>
      <c r="C226" t="s">
        <v>205</v>
      </c>
      <c r="D226" t="s">
        <v>1567</v>
      </c>
      <c r="E226">
        <v>38</v>
      </c>
      <c r="F226">
        <v>6548</v>
      </c>
      <c r="G226">
        <v>4567</v>
      </c>
      <c r="H226">
        <v>6318</v>
      </c>
      <c r="I226">
        <v>7028</v>
      </c>
      <c r="J226">
        <v>6513</v>
      </c>
      <c r="K226">
        <v>5727</v>
      </c>
      <c r="L226">
        <v>6344</v>
      </c>
      <c r="M226">
        <v>6057</v>
      </c>
      <c r="N226">
        <v>6925</v>
      </c>
      <c r="O226">
        <v>6730</v>
      </c>
      <c r="P226">
        <v>6488</v>
      </c>
      <c r="Q226">
        <v>6426</v>
      </c>
      <c r="R226">
        <v>7014</v>
      </c>
      <c r="S226">
        <v>6974</v>
      </c>
      <c r="T226">
        <v>9008</v>
      </c>
      <c r="U226">
        <v>7053</v>
      </c>
      <c r="V226">
        <v>8444</v>
      </c>
      <c r="W226">
        <v>8640</v>
      </c>
      <c r="X226">
        <v>7975</v>
      </c>
      <c r="Y226">
        <v>5827</v>
      </c>
      <c r="Z226">
        <v>11760</v>
      </c>
      <c r="AA226">
        <v>11644</v>
      </c>
      <c r="AB226">
        <v>11433</v>
      </c>
      <c r="AC226">
        <v>10718</v>
      </c>
    </row>
    <row r="227" spans="1:29" x14ac:dyDescent="0.2">
      <c r="A227" t="s">
        <v>735</v>
      </c>
      <c r="B227">
        <v>1</v>
      </c>
      <c r="C227" t="s">
        <v>205</v>
      </c>
      <c r="D227" t="s">
        <v>1568</v>
      </c>
      <c r="E227">
        <v>39</v>
      </c>
      <c r="F227">
        <v>6200</v>
      </c>
      <c r="G227">
        <v>4468</v>
      </c>
      <c r="H227">
        <v>5320</v>
      </c>
      <c r="I227">
        <v>6151</v>
      </c>
      <c r="J227">
        <v>6099</v>
      </c>
      <c r="K227">
        <v>5530</v>
      </c>
      <c r="L227">
        <v>6060</v>
      </c>
      <c r="M227">
        <v>5884</v>
      </c>
      <c r="N227">
        <v>6572</v>
      </c>
      <c r="O227">
        <v>6237</v>
      </c>
      <c r="P227">
        <v>6104</v>
      </c>
      <c r="Q227">
        <v>5936</v>
      </c>
      <c r="R227">
        <v>6485</v>
      </c>
      <c r="S227">
        <v>6107</v>
      </c>
      <c r="T227">
        <v>8184</v>
      </c>
      <c r="U227">
        <v>6539</v>
      </c>
      <c r="V227">
        <v>7405</v>
      </c>
      <c r="W227">
        <v>7497</v>
      </c>
      <c r="X227">
        <v>7201</v>
      </c>
      <c r="Y227">
        <v>5267</v>
      </c>
      <c r="Z227">
        <v>10835</v>
      </c>
      <c r="AA227">
        <v>10509</v>
      </c>
      <c r="AB227">
        <v>10400</v>
      </c>
      <c r="AC227">
        <v>9799</v>
      </c>
    </row>
    <row r="228" spans="1:29" x14ac:dyDescent="0.2">
      <c r="A228" t="s">
        <v>735</v>
      </c>
      <c r="B228">
        <v>1</v>
      </c>
      <c r="C228" t="s">
        <v>205</v>
      </c>
      <c r="D228" t="s">
        <v>1569</v>
      </c>
      <c r="E228">
        <v>40</v>
      </c>
      <c r="F228">
        <v>5920</v>
      </c>
      <c r="G228">
        <v>4266</v>
      </c>
      <c r="H228">
        <v>5068</v>
      </c>
      <c r="I228">
        <v>5576</v>
      </c>
      <c r="J228">
        <v>5721</v>
      </c>
      <c r="K228">
        <v>5265</v>
      </c>
      <c r="L228">
        <v>5564</v>
      </c>
      <c r="M228">
        <v>5468</v>
      </c>
      <c r="N228">
        <v>6231</v>
      </c>
      <c r="O228">
        <v>5951</v>
      </c>
      <c r="P228">
        <v>5640</v>
      </c>
      <c r="Q228">
        <v>5574</v>
      </c>
      <c r="R228">
        <v>5907</v>
      </c>
      <c r="S228">
        <v>5484</v>
      </c>
      <c r="T228">
        <v>7261</v>
      </c>
      <c r="U228">
        <v>5984</v>
      </c>
      <c r="V228">
        <v>6752</v>
      </c>
      <c r="W228">
        <v>6418</v>
      </c>
      <c r="X228">
        <v>6307</v>
      </c>
      <c r="Y228">
        <v>5035</v>
      </c>
      <c r="Z228">
        <v>9835</v>
      </c>
      <c r="AA228">
        <v>9357</v>
      </c>
      <c r="AB228">
        <v>9646</v>
      </c>
      <c r="AC228">
        <v>9035</v>
      </c>
    </row>
    <row r="229" spans="1:29" x14ac:dyDescent="0.2">
      <c r="A229" t="s">
        <v>735</v>
      </c>
      <c r="B229">
        <v>1</v>
      </c>
      <c r="C229" t="s">
        <v>205</v>
      </c>
      <c r="D229" t="s">
        <v>1570</v>
      </c>
      <c r="E229">
        <v>41</v>
      </c>
      <c r="F229">
        <v>5573</v>
      </c>
      <c r="G229">
        <v>4072</v>
      </c>
      <c r="H229">
        <v>4761</v>
      </c>
      <c r="I229">
        <v>5380</v>
      </c>
      <c r="J229">
        <v>5104</v>
      </c>
      <c r="K229">
        <v>4859</v>
      </c>
      <c r="L229">
        <v>5338</v>
      </c>
      <c r="M229">
        <v>5121</v>
      </c>
      <c r="N229">
        <v>5810</v>
      </c>
      <c r="O229">
        <v>5588</v>
      </c>
      <c r="P229">
        <v>5251</v>
      </c>
      <c r="Q229">
        <v>5060</v>
      </c>
      <c r="R229">
        <v>5422</v>
      </c>
      <c r="S229">
        <v>5042</v>
      </c>
      <c r="T229">
        <v>6474</v>
      </c>
      <c r="U229">
        <v>5402</v>
      </c>
      <c r="V229">
        <v>5742</v>
      </c>
      <c r="W229">
        <v>5764</v>
      </c>
      <c r="X229">
        <v>5272</v>
      </c>
      <c r="Y229">
        <v>4411</v>
      </c>
      <c r="Z229">
        <v>9049</v>
      </c>
      <c r="AA229">
        <v>8525</v>
      </c>
      <c r="AB229">
        <v>8783</v>
      </c>
      <c r="AC229">
        <v>8065</v>
      </c>
    </row>
    <row r="230" spans="1:29" x14ac:dyDescent="0.2">
      <c r="A230" t="s">
        <v>735</v>
      </c>
      <c r="B230">
        <v>1</v>
      </c>
      <c r="C230" t="s">
        <v>205</v>
      </c>
      <c r="D230" t="s">
        <v>1571</v>
      </c>
      <c r="E230">
        <v>42</v>
      </c>
      <c r="F230">
        <v>4481</v>
      </c>
      <c r="G230">
        <v>3752</v>
      </c>
      <c r="H230">
        <v>4654</v>
      </c>
      <c r="I230">
        <v>5055</v>
      </c>
      <c r="J230">
        <v>4818</v>
      </c>
      <c r="K230">
        <v>4300</v>
      </c>
      <c r="L230">
        <v>4804</v>
      </c>
      <c r="M230">
        <v>4716</v>
      </c>
      <c r="N230">
        <v>5399</v>
      </c>
      <c r="O230">
        <v>5220</v>
      </c>
      <c r="P230">
        <v>5028</v>
      </c>
      <c r="Q230">
        <v>4695</v>
      </c>
      <c r="R230">
        <v>4882</v>
      </c>
      <c r="S230">
        <v>4647</v>
      </c>
      <c r="T230">
        <v>5814</v>
      </c>
      <c r="U230">
        <v>4763</v>
      </c>
      <c r="V230">
        <v>5099</v>
      </c>
      <c r="W230">
        <v>5092</v>
      </c>
      <c r="X230">
        <v>4721</v>
      </c>
      <c r="Y230">
        <v>3948</v>
      </c>
      <c r="Z230">
        <v>8379</v>
      </c>
      <c r="AA230">
        <v>8154</v>
      </c>
      <c r="AB230">
        <v>7883</v>
      </c>
      <c r="AC230">
        <v>7546</v>
      </c>
    </row>
    <row r="231" spans="1:29" x14ac:dyDescent="0.2">
      <c r="A231" t="s">
        <v>735</v>
      </c>
      <c r="B231">
        <v>1</v>
      </c>
      <c r="C231" t="s">
        <v>205</v>
      </c>
      <c r="D231" t="s">
        <v>1572</v>
      </c>
      <c r="E231">
        <v>43</v>
      </c>
      <c r="F231">
        <v>4090</v>
      </c>
      <c r="G231">
        <v>3219</v>
      </c>
      <c r="H231">
        <v>4292</v>
      </c>
      <c r="I231">
        <v>5020</v>
      </c>
      <c r="J231">
        <v>4616</v>
      </c>
      <c r="K231">
        <v>4044</v>
      </c>
      <c r="L231">
        <v>4219</v>
      </c>
      <c r="M231">
        <v>4518</v>
      </c>
      <c r="N231">
        <v>5169</v>
      </c>
      <c r="O231">
        <v>4884</v>
      </c>
      <c r="P231">
        <v>4797</v>
      </c>
      <c r="Q231">
        <v>4310</v>
      </c>
      <c r="R231">
        <v>4581</v>
      </c>
      <c r="S231">
        <v>4236</v>
      </c>
      <c r="T231">
        <v>5235</v>
      </c>
      <c r="U231">
        <v>4301</v>
      </c>
      <c r="V231">
        <v>4504</v>
      </c>
      <c r="W231">
        <v>4424</v>
      </c>
      <c r="X231">
        <v>4128</v>
      </c>
      <c r="Y231">
        <v>3518</v>
      </c>
      <c r="Z231">
        <v>7449</v>
      </c>
      <c r="AA231">
        <v>7243</v>
      </c>
      <c r="AB231">
        <v>7387</v>
      </c>
      <c r="AC231">
        <v>6892</v>
      </c>
    </row>
    <row r="232" spans="1:29" x14ac:dyDescent="0.2">
      <c r="A232" t="s">
        <v>735</v>
      </c>
      <c r="B232">
        <v>1</v>
      </c>
      <c r="C232" t="s">
        <v>205</v>
      </c>
      <c r="D232" t="s">
        <v>1421</v>
      </c>
      <c r="E232">
        <v>44</v>
      </c>
      <c r="F232">
        <v>3922</v>
      </c>
      <c r="G232">
        <v>2851</v>
      </c>
      <c r="H232">
        <v>3574</v>
      </c>
      <c r="I232">
        <v>4739</v>
      </c>
      <c r="J232">
        <v>4562</v>
      </c>
      <c r="K232">
        <v>3890</v>
      </c>
      <c r="L232">
        <v>4040</v>
      </c>
      <c r="M232">
        <v>3921</v>
      </c>
      <c r="N232">
        <v>4636</v>
      </c>
      <c r="O232">
        <v>4598</v>
      </c>
      <c r="P232">
        <v>4383</v>
      </c>
      <c r="Q232">
        <v>4054</v>
      </c>
      <c r="R232">
        <v>4331</v>
      </c>
      <c r="S232">
        <v>3872</v>
      </c>
      <c r="T232">
        <v>4757</v>
      </c>
      <c r="U232">
        <v>3878</v>
      </c>
      <c r="V232">
        <v>3898</v>
      </c>
      <c r="W232">
        <v>3947</v>
      </c>
      <c r="X232">
        <v>3546</v>
      </c>
      <c r="Y232">
        <v>3100</v>
      </c>
      <c r="Z232">
        <v>6616</v>
      </c>
      <c r="AA232">
        <v>6613</v>
      </c>
      <c r="AB232">
        <v>6640</v>
      </c>
      <c r="AC232">
        <v>6078</v>
      </c>
    </row>
    <row r="233" spans="1:29" x14ac:dyDescent="0.2">
      <c r="A233" t="s">
        <v>735</v>
      </c>
      <c r="B233">
        <v>1</v>
      </c>
      <c r="C233" t="s">
        <v>205</v>
      </c>
      <c r="D233" t="s">
        <v>1573</v>
      </c>
      <c r="E233">
        <v>45</v>
      </c>
      <c r="F233">
        <v>3454</v>
      </c>
      <c r="G233">
        <v>2645</v>
      </c>
      <c r="H233">
        <v>3252</v>
      </c>
      <c r="I233">
        <v>3841</v>
      </c>
      <c r="J233">
        <v>4277</v>
      </c>
      <c r="K233">
        <v>3843</v>
      </c>
      <c r="L233">
        <v>3992</v>
      </c>
      <c r="M233">
        <v>3935</v>
      </c>
      <c r="N233">
        <v>4208</v>
      </c>
      <c r="O233">
        <v>4183</v>
      </c>
      <c r="P233">
        <v>4028</v>
      </c>
      <c r="Q233">
        <v>3725</v>
      </c>
      <c r="R233">
        <v>3887</v>
      </c>
      <c r="S233">
        <v>3571</v>
      </c>
      <c r="T233">
        <v>4335</v>
      </c>
      <c r="U233">
        <v>3535</v>
      </c>
      <c r="V233">
        <v>3516</v>
      </c>
      <c r="W233">
        <v>3534</v>
      </c>
      <c r="X233">
        <v>3254</v>
      </c>
      <c r="Y233">
        <v>2662</v>
      </c>
      <c r="Z233">
        <v>5930</v>
      </c>
      <c r="AA233">
        <v>6037</v>
      </c>
      <c r="AB233">
        <v>5827</v>
      </c>
      <c r="AC233">
        <v>5496</v>
      </c>
    </row>
    <row r="234" spans="1:29" x14ac:dyDescent="0.2">
      <c r="A234" t="s">
        <v>735</v>
      </c>
      <c r="B234">
        <v>1</v>
      </c>
      <c r="C234" t="s">
        <v>205</v>
      </c>
      <c r="D234" t="s">
        <v>1574</v>
      </c>
      <c r="E234">
        <v>46</v>
      </c>
      <c r="F234">
        <v>3316</v>
      </c>
      <c r="G234">
        <v>2345</v>
      </c>
      <c r="H234">
        <v>3133</v>
      </c>
      <c r="I234">
        <v>3470</v>
      </c>
      <c r="J234">
        <v>3501</v>
      </c>
      <c r="K234">
        <v>3691</v>
      </c>
      <c r="L234">
        <v>3785</v>
      </c>
      <c r="M234">
        <v>3736</v>
      </c>
      <c r="N234">
        <v>3966</v>
      </c>
      <c r="O234">
        <v>3663</v>
      </c>
      <c r="P234">
        <v>3667</v>
      </c>
      <c r="Q234">
        <v>3493</v>
      </c>
      <c r="R234">
        <v>3659</v>
      </c>
      <c r="S234">
        <v>3379</v>
      </c>
      <c r="T234">
        <v>3968</v>
      </c>
      <c r="U234">
        <v>3193</v>
      </c>
      <c r="V234">
        <v>3168</v>
      </c>
      <c r="W234">
        <v>3191</v>
      </c>
      <c r="X234">
        <v>2790</v>
      </c>
      <c r="Y234">
        <v>2488</v>
      </c>
      <c r="Z234">
        <v>5364</v>
      </c>
      <c r="AA234">
        <v>5371</v>
      </c>
      <c r="AB234">
        <v>5382</v>
      </c>
      <c r="AC234">
        <v>4806</v>
      </c>
    </row>
    <row r="235" spans="1:29" x14ac:dyDescent="0.2">
      <c r="A235" t="s">
        <v>735</v>
      </c>
      <c r="B235">
        <v>1</v>
      </c>
      <c r="C235" t="s">
        <v>205</v>
      </c>
      <c r="D235" t="s">
        <v>1422</v>
      </c>
      <c r="E235">
        <v>47</v>
      </c>
      <c r="F235">
        <v>3082</v>
      </c>
      <c r="G235">
        <v>2193</v>
      </c>
      <c r="H235">
        <v>2616</v>
      </c>
      <c r="I235">
        <v>3180</v>
      </c>
      <c r="J235">
        <v>3230</v>
      </c>
      <c r="K235">
        <v>3000</v>
      </c>
      <c r="L235">
        <v>3609</v>
      </c>
      <c r="M235">
        <v>3463</v>
      </c>
      <c r="N235">
        <v>3861</v>
      </c>
      <c r="O235">
        <v>3643</v>
      </c>
      <c r="P235">
        <v>3178</v>
      </c>
      <c r="Q235">
        <v>3097</v>
      </c>
      <c r="R235">
        <v>3409</v>
      </c>
      <c r="S235">
        <v>3145</v>
      </c>
      <c r="T235">
        <v>3735</v>
      </c>
      <c r="U235">
        <v>3005</v>
      </c>
      <c r="V235">
        <v>2940</v>
      </c>
      <c r="W235">
        <v>3028</v>
      </c>
      <c r="X235">
        <v>2617</v>
      </c>
      <c r="Y235">
        <v>2187</v>
      </c>
      <c r="Z235">
        <v>4822</v>
      </c>
      <c r="AA235">
        <v>4875</v>
      </c>
      <c r="AB235">
        <v>4842</v>
      </c>
      <c r="AC235">
        <v>4570</v>
      </c>
    </row>
    <row r="236" spans="1:29" x14ac:dyDescent="0.2">
      <c r="A236" t="s">
        <v>735</v>
      </c>
      <c r="B236">
        <v>1</v>
      </c>
      <c r="C236" t="s">
        <v>205</v>
      </c>
      <c r="D236" t="s">
        <v>1575</v>
      </c>
      <c r="E236">
        <v>48</v>
      </c>
      <c r="F236">
        <v>2899</v>
      </c>
      <c r="G236">
        <v>2080</v>
      </c>
      <c r="H236">
        <v>2535</v>
      </c>
      <c r="I236">
        <v>2863</v>
      </c>
      <c r="J236">
        <v>3016</v>
      </c>
      <c r="K236">
        <v>2804</v>
      </c>
      <c r="L236">
        <v>2969</v>
      </c>
      <c r="M236">
        <v>3354</v>
      </c>
      <c r="N236">
        <v>3662</v>
      </c>
      <c r="O236">
        <v>3442</v>
      </c>
      <c r="P236">
        <v>2985</v>
      </c>
      <c r="Q236">
        <v>2679</v>
      </c>
      <c r="R236">
        <v>3026</v>
      </c>
      <c r="S236">
        <v>2789</v>
      </c>
      <c r="T236">
        <v>3264</v>
      </c>
      <c r="U236">
        <v>2760</v>
      </c>
      <c r="V236">
        <v>2670</v>
      </c>
      <c r="W236">
        <v>2685</v>
      </c>
      <c r="X236">
        <v>2342</v>
      </c>
      <c r="Y236">
        <v>1907</v>
      </c>
      <c r="Z236">
        <v>4265</v>
      </c>
      <c r="AA236">
        <v>4457</v>
      </c>
      <c r="AB236">
        <v>4343</v>
      </c>
      <c r="AC236">
        <v>3979</v>
      </c>
    </row>
    <row r="237" spans="1:29" x14ac:dyDescent="0.2">
      <c r="A237" t="s">
        <v>735</v>
      </c>
      <c r="B237">
        <v>1</v>
      </c>
      <c r="C237" t="s">
        <v>205</v>
      </c>
      <c r="D237" t="s">
        <v>1576</v>
      </c>
      <c r="E237">
        <v>49</v>
      </c>
      <c r="F237">
        <v>2496</v>
      </c>
      <c r="G237">
        <v>1965</v>
      </c>
      <c r="H237">
        <v>2311</v>
      </c>
      <c r="I237">
        <v>2574</v>
      </c>
      <c r="J237">
        <v>2751</v>
      </c>
      <c r="K237">
        <v>2692</v>
      </c>
      <c r="L237">
        <v>2720</v>
      </c>
      <c r="M237">
        <v>2759</v>
      </c>
      <c r="N237">
        <v>3355</v>
      </c>
      <c r="O237">
        <v>3182</v>
      </c>
      <c r="P237">
        <v>2879</v>
      </c>
      <c r="Q237">
        <v>2550</v>
      </c>
      <c r="R237">
        <v>2574</v>
      </c>
      <c r="S237">
        <v>2498</v>
      </c>
      <c r="T237">
        <v>2942</v>
      </c>
      <c r="U237">
        <v>2523</v>
      </c>
      <c r="V237">
        <v>2442</v>
      </c>
      <c r="W237">
        <v>2480</v>
      </c>
      <c r="X237">
        <v>2179</v>
      </c>
      <c r="Y237">
        <v>1724</v>
      </c>
      <c r="Z237">
        <v>3869</v>
      </c>
      <c r="AA237">
        <v>3946</v>
      </c>
      <c r="AB237">
        <v>3808</v>
      </c>
      <c r="AC237">
        <v>3506</v>
      </c>
    </row>
    <row r="238" spans="1:29" x14ac:dyDescent="0.2">
      <c r="A238" t="s">
        <v>735</v>
      </c>
      <c r="B238">
        <v>1</v>
      </c>
      <c r="C238" t="s">
        <v>205</v>
      </c>
      <c r="D238" t="s">
        <v>1577</v>
      </c>
      <c r="E238">
        <v>50</v>
      </c>
      <c r="F238">
        <v>2074</v>
      </c>
      <c r="G238">
        <v>1684</v>
      </c>
      <c r="H238">
        <v>1965</v>
      </c>
      <c r="I238">
        <v>2371</v>
      </c>
      <c r="J238">
        <v>2696</v>
      </c>
      <c r="K238">
        <v>2301</v>
      </c>
      <c r="L238">
        <v>2567</v>
      </c>
      <c r="M238">
        <v>2476</v>
      </c>
      <c r="N238">
        <v>2623</v>
      </c>
      <c r="O238">
        <v>2971</v>
      </c>
      <c r="P238">
        <v>2664</v>
      </c>
      <c r="Q238">
        <v>2467</v>
      </c>
      <c r="R238">
        <v>2360</v>
      </c>
      <c r="S238">
        <v>2170</v>
      </c>
      <c r="T238">
        <v>2667</v>
      </c>
      <c r="U238">
        <v>2259</v>
      </c>
      <c r="V238">
        <v>2147</v>
      </c>
      <c r="W238">
        <v>2211</v>
      </c>
      <c r="X238">
        <v>1914</v>
      </c>
      <c r="Y238">
        <v>1609</v>
      </c>
      <c r="Z238">
        <v>3363</v>
      </c>
      <c r="AA238">
        <v>3609</v>
      </c>
      <c r="AB238">
        <v>3396</v>
      </c>
      <c r="AC238">
        <v>3195</v>
      </c>
    </row>
    <row r="239" spans="1:29" x14ac:dyDescent="0.2">
      <c r="A239" t="s">
        <v>735</v>
      </c>
      <c r="B239">
        <v>1</v>
      </c>
      <c r="C239" t="s">
        <v>205</v>
      </c>
      <c r="D239" t="s">
        <v>1423</v>
      </c>
      <c r="E239">
        <v>51</v>
      </c>
      <c r="F239">
        <v>1768</v>
      </c>
      <c r="G239">
        <v>1416</v>
      </c>
      <c r="H239">
        <v>1798</v>
      </c>
      <c r="I239">
        <v>2065</v>
      </c>
      <c r="J239">
        <v>2461</v>
      </c>
      <c r="K239">
        <v>2270</v>
      </c>
      <c r="L239">
        <v>2203</v>
      </c>
      <c r="M239">
        <v>2306</v>
      </c>
      <c r="N239">
        <v>2475</v>
      </c>
      <c r="O239">
        <v>2405</v>
      </c>
      <c r="P239">
        <v>2493</v>
      </c>
      <c r="Q239">
        <v>2348</v>
      </c>
      <c r="R239">
        <v>2300</v>
      </c>
      <c r="S239">
        <v>2039</v>
      </c>
      <c r="T239">
        <v>2200</v>
      </c>
      <c r="U239">
        <v>2006</v>
      </c>
      <c r="V239">
        <v>1995</v>
      </c>
      <c r="W239">
        <v>1996</v>
      </c>
      <c r="X239">
        <v>1646</v>
      </c>
      <c r="Y239">
        <v>1389</v>
      </c>
      <c r="Z239">
        <v>3172</v>
      </c>
      <c r="AA239">
        <v>3293</v>
      </c>
      <c r="AB239">
        <v>3160</v>
      </c>
      <c r="AC239">
        <v>2702</v>
      </c>
    </row>
    <row r="240" spans="1:29" x14ac:dyDescent="0.2">
      <c r="A240" t="s">
        <v>735</v>
      </c>
      <c r="B240">
        <v>1</v>
      </c>
      <c r="C240" t="s">
        <v>205</v>
      </c>
      <c r="D240" t="s">
        <v>1578</v>
      </c>
      <c r="E240">
        <v>52</v>
      </c>
      <c r="F240">
        <v>1533</v>
      </c>
      <c r="G240">
        <v>1208</v>
      </c>
      <c r="H240">
        <v>1536</v>
      </c>
      <c r="I240">
        <v>1778</v>
      </c>
      <c r="J240">
        <v>2258</v>
      </c>
      <c r="K240">
        <v>2053</v>
      </c>
      <c r="L240">
        <v>2102</v>
      </c>
      <c r="M240">
        <v>1983</v>
      </c>
      <c r="N240">
        <v>2263</v>
      </c>
      <c r="O240">
        <v>2039</v>
      </c>
      <c r="P240">
        <v>1978</v>
      </c>
      <c r="Q240">
        <v>2175</v>
      </c>
      <c r="R240">
        <v>2053</v>
      </c>
      <c r="S240">
        <v>1804</v>
      </c>
      <c r="T240">
        <v>2105</v>
      </c>
      <c r="U240">
        <v>1690</v>
      </c>
      <c r="V240">
        <v>1677</v>
      </c>
      <c r="W240">
        <v>1801</v>
      </c>
      <c r="X240">
        <v>1531</v>
      </c>
      <c r="Y240">
        <v>1232</v>
      </c>
      <c r="Z240">
        <v>2824</v>
      </c>
      <c r="AA240">
        <v>3085</v>
      </c>
      <c r="AB240">
        <v>2951</v>
      </c>
      <c r="AC240">
        <v>2546</v>
      </c>
    </row>
    <row r="241" spans="1:29" x14ac:dyDescent="0.2">
      <c r="A241" t="s">
        <v>735</v>
      </c>
      <c r="B241">
        <v>1</v>
      </c>
      <c r="C241" t="s">
        <v>205</v>
      </c>
      <c r="D241" t="s">
        <v>1579</v>
      </c>
      <c r="E241">
        <v>53</v>
      </c>
      <c r="F241">
        <v>1464</v>
      </c>
      <c r="G241">
        <v>1156</v>
      </c>
      <c r="H241">
        <v>1283</v>
      </c>
      <c r="I241">
        <v>1421</v>
      </c>
      <c r="J241">
        <v>1968</v>
      </c>
      <c r="K241">
        <v>1756</v>
      </c>
      <c r="L241">
        <v>1930</v>
      </c>
      <c r="M241">
        <v>2003</v>
      </c>
      <c r="N241">
        <v>1977</v>
      </c>
      <c r="O241">
        <v>1852</v>
      </c>
      <c r="P241">
        <v>1746</v>
      </c>
      <c r="Q241">
        <v>1758</v>
      </c>
      <c r="R241">
        <v>1945</v>
      </c>
      <c r="S241">
        <v>1687</v>
      </c>
      <c r="T241">
        <v>1920</v>
      </c>
      <c r="U241">
        <v>1615</v>
      </c>
      <c r="V241">
        <v>1443</v>
      </c>
      <c r="W241">
        <v>1470</v>
      </c>
      <c r="X241">
        <v>1315</v>
      </c>
      <c r="Y241">
        <v>1061</v>
      </c>
      <c r="Z241">
        <v>2531</v>
      </c>
      <c r="AA241">
        <v>2686</v>
      </c>
      <c r="AB241">
        <v>2661</v>
      </c>
      <c r="AC241">
        <v>2351</v>
      </c>
    </row>
    <row r="242" spans="1:29" x14ac:dyDescent="0.2">
      <c r="A242" t="s">
        <v>735</v>
      </c>
      <c r="B242">
        <v>1</v>
      </c>
      <c r="C242" t="s">
        <v>205</v>
      </c>
      <c r="D242" t="s">
        <v>1424</v>
      </c>
      <c r="E242">
        <v>54</v>
      </c>
      <c r="F242">
        <v>1414</v>
      </c>
      <c r="G242">
        <v>1099</v>
      </c>
      <c r="H242">
        <v>1185</v>
      </c>
      <c r="I242">
        <v>1210</v>
      </c>
      <c r="J242">
        <v>1841</v>
      </c>
      <c r="K242">
        <v>1712</v>
      </c>
      <c r="L242">
        <v>1751</v>
      </c>
      <c r="M242">
        <v>1799</v>
      </c>
      <c r="N242">
        <v>1878</v>
      </c>
      <c r="O242">
        <v>1634</v>
      </c>
      <c r="P242">
        <v>1669</v>
      </c>
      <c r="Q242">
        <v>1511</v>
      </c>
      <c r="R242">
        <v>1558</v>
      </c>
      <c r="S242">
        <v>1547</v>
      </c>
      <c r="T242">
        <v>1822</v>
      </c>
      <c r="U242">
        <v>1453</v>
      </c>
      <c r="V242">
        <v>1392</v>
      </c>
      <c r="W242">
        <v>1404</v>
      </c>
      <c r="X242">
        <v>1179</v>
      </c>
      <c r="Y242">
        <v>947</v>
      </c>
      <c r="Z242">
        <v>2280</v>
      </c>
      <c r="AA242">
        <v>2433</v>
      </c>
      <c r="AB242">
        <v>2340</v>
      </c>
      <c r="AC242">
        <v>2068</v>
      </c>
    </row>
    <row r="243" spans="1:29" x14ac:dyDescent="0.2">
      <c r="A243" t="s">
        <v>735</v>
      </c>
      <c r="B243">
        <v>1</v>
      </c>
      <c r="C243" t="s">
        <v>205</v>
      </c>
      <c r="D243" t="s">
        <v>1425</v>
      </c>
      <c r="E243">
        <v>55</v>
      </c>
      <c r="F243">
        <v>1334</v>
      </c>
      <c r="G243">
        <v>1050</v>
      </c>
      <c r="H243">
        <v>1072</v>
      </c>
      <c r="I243">
        <v>1002</v>
      </c>
      <c r="J243">
        <v>1560</v>
      </c>
      <c r="K243">
        <v>1428</v>
      </c>
      <c r="L243">
        <v>1583</v>
      </c>
      <c r="M243">
        <v>1612</v>
      </c>
      <c r="N243">
        <v>1611</v>
      </c>
      <c r="O243">
        <v>1508</v>
      </c>
      <c r="P243">
        <v>1393</v>
      </c>
      <c r="Q243">
        <v>1581</v>
      </c>
      <c r="R243">
        <v>1527</v>
      </c>
      <c r="S243">
        <v>1302</v>
      </c>
      <c r="T243">
        <v>1613</v>
      </c>
      <c r="U243">
        <v>1418</v>
      </c>
      <c r="V243">
        <v>1312</v>
      </c>
      <c r="W243">
        <v>1400</v>
      </c>
      <c r="X243">
        <v>1013</v>
      </c>
      <c r="Y243">
        <v>841</v>
      </c>
      <c r="Z243">
        <v>2005</v>
      </c>
      <c r="AA243">
        <v>2275</v>
      </c>
      <c r="AB243">
        <v>2190</v>
      </c>
      <c r="AC243">
        <v>1979</v>
      </c>
    </row>
    <row r="244" spans="1:29" x14ac:dyDescent="0.2">
      <c r="A244" t="s">
        <v>735</v>
      </c>
      <c r="B244">
        <v>1</v>
      </c>
      <c r="C244" t="s">
        <v>205</v>
      </c>
      <c r="D244" t="s">
        <v>1426</v>
      </c>
      <c r="E244">
        <v>56</v>
      </c>
      <c r="F244">
        <v>1325</v>
      </c>
      <c r="G244">
        <v>997</v>
      </c>
      <c r="H244">
        <v>1024</v>
      </c>
      <c r="I244">
        <v>839</v>
      </c>
      <c r="J244">
        <v>1381</v>
      </c>
      <c r="K244">
        <v>1302</v>
      </c>
      <c r="L244">
        <v>1393</v>
      </c>
      <c r="M244">
        <v>1488</v>
      </c>
      <c r="N244">
        <v>1416</v>
      </c>
      <c r="O244">
        <v>1316</v>
      </c>
      <c r="P244">
        <v>1393</v>
      </c>
      <c r="Q244">
        <v>1377</v>
      </c>
      <c r="R244">
        <v>1446</v>
      </c>
      <c r="S244">
        <v>1196</v>
      </c>
      <c r="T244">
        <v>1475</v>
      </c>
      <c r="U244">
        <v>1289</v>
      </c>
      <c r="V244">
        <v>1236</v>
      </c>
      <c r="W244">
        <v>1292</v>
      </c>
      <c r="X244">
        <v>951</v>
      </c>
      <c r="Y244">
        <v>809</v>
      </c>
      <c r="Z244">
        <v>1725</v>
      </c>
      <c r="AA244">
        <v>2009</v>
      </c>
      <c r="AB244">
        <v>1922</v>
      </c>
      <c r="AC244">
        <v>1660</v>
      </c>
    </row>
    <row r="245" spans="1:29" x14ac:dyDescent="0.2">
      <c r="A245" t="s">
        <v>735</v>
      </c>
      <c r="B245">
        <v>1</v>
      </c>
      <c r="C245" t="s">
        <v>205</v>
      </c>
      <c r="D245" t="s">
        <v>1427</v>
      </c>
      <c r="E245">
        <v>57</v>
      </c>
      <c r="F245">
        <v>1310</v>
      </c>
      <c r="G245">
        <v>1044</v>
      </c>
      <c r="H245">
        <v>981</v>
      </c>
      <c r="I245">
        <v>765</v>
      </c>
      <c r="J245">
        <v>1388</v>
      </c>
      <c r="K245">
        <v>1177</v>
      </c>
      <c r="L245">
        <v>1243</v>
      </c>
      <c r="M245">
        <v>1372</v>
      </c>
      <c r="N245">
        <v>1433</v>
      </c>
      <c r="O245">
        <v>1177</v>
      </c>
      <c r="P245">
        <v>1257</v>
      </c>
      <c r="Q245">
        <v>1406</v>
      </c>
      <c r="R245">
        <v>1239</v>
      </c>
      <c r="S245">
        <v>1154</v>
      </c>
      <c r="T245">
        <v>1317</v>
      </c>
      <c r="U245">
        <v>1142</v>
      </c>
      <c r="V245">
        <v>1156</v>
      </c>
      <c r="W245">
        <v>1299</v>
      </c>
      <c r="X245">
        <v>951</v>
      </c>
      <c r="Y245">
        <v>727</v>
      </c>
      <c r="Z245">
        <v>1633</v>
      </c>
      <c r="AA245">
        <v>1850</v>
      </c>
      <c r="AB245">
        <v>1913</v>
      </c>
      <c r="AC245">
        <v>1651</v>
      </c>
    </row>
    <row r="246" spans="1:29" x14ac:dyDescent="0.2">
      <c r="A246" t="s">
        <v>735</v>
      </c>
      <c r="B246">
        <v>1</v>
      </c>
      <c r="C246" t="s">
        <v>205</v>
      </c>
      <c r="D246" t="s">
        <v>1428</v>
      </c>
      <c r="E246">
        <v>58</v>
      </c>
      <c r="F246">
        <v>1117</v>
      </c>
      <c r="G246">
        <v>1025</v>
      </c>
      <c r="H246">
        <v>972</v>
      </c>
      <c r="I246">
        <v>748</v>
      </c>
      <c r="J246">
        <v>1334</v>
      </c>
      <c r="K246">
        <v>1119</v>
      </c>
      <c r="L246">
        <v>1004</v>
      </c>
      <c r="M246">
        <v>1201</v>
      </c>
      <c r="N246">
        <v>1207</v>
      </c>
      <c r="O246">
        <v>1132</v>
      </c>
      <c r="P246">
        <v>1129</v>
      </c>
      <c r="Q246">
        <v>1383</v>
      </c>
      <c r="R246">
        <v>1272</v>
      </c>
      <c r="S246">
        <v>934</v>
      </c>
      <c r="T246">
        <v>1267</v>
      </c>
      <c r="U246">
        <v>1090</v>
      </c>
      <c r="V246">
        <v>1021</v>
      </c>
      <c r="W246">
        <v>1366</v>
      </c>
      <c r="X246">
        <v>934</v>
      </c>
      <c r="Y246">
        <v>806</v>
      </c>
      <c r="Z246">
        <v>1581</v>
      </c>
      <c r="AA246">
        <v>1706</v>
      </c>
      <c r="AB246">
        <v>1679</v>
      </c>
      <c r="AC246">
        <v>1587</v>
      </c>
    </row>
    <row r="247" spans="1:29" x14ac:dyDescent="0.2">
      <c r="A247" t="s">
        <v>735</v>
      </c>
      <c r="B247">
        <v>1</v>
      </c>
      <c r="C247" t="s">
        <v>205</v>
      </c>
      <c r="D247" t="s">
        <v>1429</v>
      </c>
      <c r="E247">
        <v>59</v>
      </c>
      <c r="F247">
        <v>1047</v>
      </c>
      <c r="G247">
        <v>933</v>
      </c>
      <c r="H247">
        <v>1001</v>
      </c>
      <c r="I247">
        <v>708</v>
      </c>
      <c r="J247">
        <v>1252</v>
      </c>
      <c r="K247">
        <v>1100</v>
      </c>
      <c r="L247">
        <v>1033</v>
      </c>
      <c r="M247">
        <v>1131</v>
      </c>
      <c r="N247">
        <v>1179</v>
      </c>
      <c r="O247">
        <v>1007</v>
      </c>
      <c r="P247">
        <v>1289</v>
      </c>
      <c r="Q247">
        <v>1428</v>
      </c>
      <c r="R247">
        <v>1280</v>
      </c>
      <c r="S247">
        <v>1022</v>
      </c>
      <c r="T247">
        <v>1196</v>
      </c>
      <c r="U247">
        <v>1168</v>
      </c>
      <c r="V247">
        <v>953</v>
      </c>
      <c r="W247">
        <v>1197</v>
      </c>
      <c r="X247">
        <v>1042</v>
      </c>
      <c r="Y247">
        <v>759</v>
      </c>
      <c r="Z247">
        <v>1528</v>
      </c>
      <c r="AA247">
        <v>1843</v>
      </c>
      <c r="AB247">
        <v>1573</v>
      </c>
      <c r="AC247">
        <v>1480</v>
      </c>
    </row>
    <row r="248" spans="1:29" x14ac:dyDescent="0.2">
      <c r="A248" t="s">
        <v>735</v>
      </c>
      <c r="B248">
        <v>1</v>
      </c>
      <c r="C248" t="s">
        <v>205</v>
      </c>
      <c r="D248" t="s">
        <v>1580</v>
      </c>
      <c r="E248">
        <v>60</v>
      </c>
      <c r="F248">
        <v>1017</v>
      </c>
      <c r="G248">
        <v>858</v>
      </c>
      <c r="H248">
        <v>905</v>
      </c>
      <c r="I248">
        <v>619</v>
      </c>
      <c r="J248">
        <v>1201</v>
      </c>
      <c r="K248">
        <v>1049</v>
      </c>
      <c r="L248">
        <v>1039</v>
      </c>
      <c r="M248">
        <v>1079</v>
      </c>
      <c r="N248">
        <v>1013</v>
      </c>
      <c r="O248">
        <v>888</v>
      </c>
      <c r="P248">
        <v>1043</v>
      </c>
      <c r="Q248">
        <v>1572</v>
      </c>
      <c r="R248">
        <v>1207</v>
      </c>
      <c r="S248">
        <v>957</v>
      </c>
      <c r="T248">
        <v>1303</v>
      </c>
      <c r="U248">
        <v>1174</v>
      </c>
      <c r="V248">
        <v>1039</v>
      </c>
      <c r="W248">
        <v>1179</v>
      </c>
      <c r="X248">
        <v>907</v>
      </c>
      <c r="Y248">
        <v>755</v>
      </c>
      <c r="Z248">
        <v>1530</v>
      </c>
      <c r="AA248">
        <v>1853</v>
      </c>
      <c r="AB248">
        <v>1628</v>
      </c>
      <c r="AC248">
        <v>1532</v>
      </c>
    </row>
    <row r="249" spans="1:29" x14ac:dyDescent="0.2">
      <c r="A249" t="s">
        <v>735</v>
      </c>
      <c r="B249">
        <v>1</v>
      </c>
      <c r="C249" t="s">
        <v>205</v>
      </c>
      <c r="D249" t="s">
        <v>1581</v>
      </c>
      <c r="E249">
        <v>61</v>
      </c>
      <c r="F249">
        <v>952</v>
      </c>
      <c r="G249">
        <v>828</v>
      </c>
      <c r="H249">
        <v>862</v>
      </c>
      <c r="I249">
        <v>556</v>
      </c>
      <c r="J249">
        <v>1165</v>
      </c>
      <c r="K249">
        <v>1007</v>
      </c>
      <c r="L249">
        <v>981</v>
      </c>
      <c r="M249">
        <v>1041</v>
      </c>
      <c r="N249">
        <v>940</v>
      </c>
      <c r="O249">
        <v>848</v>
      </c>
      <c r="P249">
        <v>984</v>
      </c>
      <c r="Q249">
        <v>1541</v>
      </c>
      <c r="R249">
        <v>1310</v>
      </c>
      <c r="S249">
        <v>894</v>
      </c>
      <c r="T249">
        <v>1228</v>
      </c>
      <c r="U249">
        <v>1238</v>
      </c>
      <c r="V249">
        <v>974</v>
      </c>
      <c r="W249">
        <v>1315</v>
      </c>
      <c r="X249">
        <v>949</v>
      </c>
      <c r="Y249">
        <v>705</v>
      </c>
      <c r="Z249">
        <v>1669</v>
      </c>
      <c r="AA249">
        <v>1892</v>
      </c>
      <c r="AB249">
        <v>1610</v>
      </c>
      <c r="AC249">
        <v>1521</v>
      </c>
    </row>
    <row r="250" spans="1:29" x14ac:dyDescent="0.2">
      <c r="A250" t="s">
        <v>735</v>
      </c>
      <c r="B250">
        <v>1</v>
      </c>
      <c r="C250" t="s">
        <v>205</v>
      </c>
      <c r="D250" t="s">
        <v>1582</v>
      </c>
      <c r="E250">
        <v>62</v>
      </c>
      <c r="F250">
        <v>1036</v>
      </c>
      <c r="G250">
        <v>857</v>
      </c>
      <c r="H250">
        <v>836</v>
      </c>
      <c r="I250">
        <v>473</v>
      </c>
      <c r="J250">
        <v>1033</v>
      </c>
      <c r="K250">
        <v>967</v>
      </c>
      <c r="L250">
        <v>1002</v>
      </c>
      <c r="M250">
        <v>1003</v>
      </c>
      <c r="N250">
        <v>1031</v>
      </c>
      <c r="O250">
        <v>838</v>
      </c>
      <c r="P250">
        <v>1038</v>
      </c>
      <c r="Q250">
        <v>1554</v>
      </c>
      <c r="R250">
        <v>1265</v>
      </c>
      <c r="S250">
        <v>899</v>
      </c>
      <c r="T250">
        <v>1150</v>
      </c>
      <c r="U250">
        <v>1279</v>
      </c>
      <c r="V250">
        <v>1069</v>
      </c>
      <c r="W250">
        <v>1293</v>
      </c>
      <c r="X250">
        <v>935</v>
      </c>
      <c r="Y250">
        <v>695</v>
      </c>
      <c r="Z250">
        <v>1479</v>
      </c>
      <c r="AA250">
        <v>1977</v>
      </c>
      <c r="AB250">
        <v>1747</v>
      </c>
      <c r="AC250">
        <v>1612</v>
      </c>
    </row>
    <row r="251" spans="1:29" x14ac:dyDescent="0.2">
      <c r="A251" t="s">
        <v>735</v>
      </c>
      <c r="B251">
        <v>1</v>
      </c>
      <c r="C251" t="s">
        <v>205</v>
      </c>
      <c r="D251" t="s">
        <v>1583</v>
      </c>
      <c r="E251">
        <v>63</v>
      </c>
      <c r="F251">
        <v>982</v>
      </c>
      <c r="G251">
        <v>819</v>
      </c>
      <c r="H251">
        <v>864</v>
      </c>
      <c r="I251">
        <v>416</v>
      </c>
      <c r="J251">
        <v>958</v>
      </c>
      <c r="K251">
        <v>913</v>
      </c>
      <c r="L251">
        <v>956</v>
      </c>
      <c r="M251">
        <v>978</v>
      </c>
      <c r="N251">
        <v>1019</v>
      </c>
      <c r="O251">
        <v>956</v>
      </c>
      <c r="P251">
        <v>943</v>
      </c>
      <c r="Q251">
        <v>1636</v>
      </c>
      <c r="R251">
        <v>1250</v>
      </c>
      <c r="S251">
        <v>856</v>
      </c>
      <c r="T251">
        <v>1227</v>
      </c>
      <c r="U251">
        <v>1332</v>
      </c>
      <c r="V251">
        <v>1122</v>
      </c>
      <c r="W251">
        <v>1467</v>
      </c>
      <c r="X251">
        <v>932</v>
      </c>
      <c r="Y251">
        <v>734</v>
      </c>
      <c r="Z251">
        <v>1553</v>
      </c>
      <c r="AA251">
        <v>1832</v>
      </c>
      <c r="AB251">
        <v>1869</v>
      </c>
      <c r="AC251">
        <v>1623</v>
      </c>
    </row>
    <row r="252" spans="1:29" x14ac:dyDescent="0.2">
      <c r="A252" t="s">
        <v>735</v>
      </c>
      <c r="B252">
        <v>1</v>
      </c>
      <c r="C252" t="s">
        <v>205</v>
      </c>
      <c r="D252" t="s">
        <v>1430</v>
      </c>
      <c r="E252">
        <v>64</v>
      </c>
      <c r="F252">
        <v>980</v>
      </c>
      <c r="G252">
        <v>783</v>
      </c>
      <c r="H252">
        <v>838</v>
      </c>
      <c r="I252">
        <v>402</v>
      </c>
      <c r="J252">
        <v>940</v>
      </c>
      <c r="K252">
        <v>885</v>
      </c>
      <c r="L252">
        <v>911</v>
      </c>
      <c r="M252">
        <v>950</v>
      </c>
      <c r="N252">
        <v>996</v>
      </c>
      <c r="O252">
        <v>817</v>
      </c>
      <c r="P252">
        <v>1006</v>
      </c>
      <c r="Q252">
        <v>1619</v>
      </c>
      <c r="R252">
        <v>1125</v>
      </c>
      <c r="S252">
        <v>739</v>
      </c>
      <c r="T252">
        <v>1146</v>
      </c>
      <c r="U252">
        <v>1475</v>
      </c>
      <c r="V252">
        <v>1121</v>
      </c>
      <c r="W252">
        <v>1470</v>
      </c>
      <c r="X252">
        <v>955</v>
      </c>
      <c r="Y252">
        <v>758</v>
      </c>
      <c r="Z252">
        <v>1584</v>
      </c>
      <c r="AA252">
        <v>1805</v>
      </c>
      <c r="AB252">
        <v>1647</v>
      </c>
      <c r="AC252">
        <v>1706</v>
      </c>
    </row>
    <row r="253" spans="1:29" x14ac:dyDescent="0.2">
      <c r="A253" t="s">
        <v>735</v>
      </c>
      <c r="B253">
        <v>1</v>
      </c>
      <c r="C253" t="s">
        <v>205</v>
      </c>
      <c r="D253" t="s">
        <v>1431</v>
      </c>
      <c r="E253">
        <v>65</v>
      </c>
      <c r="F253">
        <v>942</v>
      </c>
      <c r="G253">
        <v>840</v>
      </c>
      <c r="H253">
        <v>871</v>
      </c>
      <c r="I253">
        <v>423</v>
      </c>
      <c r="J253">
        <v>873</v>
      </c>
      <c r="K253">
        <v>760</v>
      </c>
      <c r="L253">
        <v>816</v>
      </c>
      <c r="M253">
        <v>808</v>
      </c>
      <c r="N253">
        <v>920</v>
      </c>
      <c r="O253">
        <v>763</v>
      </c>
      <c r="P253">
        <v>967</v>
      </c>
      <c r="Q253">
        <v>1817</v>
      </c>
      <c r="R253">
        <v>1194</v>
      </c>
      <c r="S253">
        <v>760</v>
      </c>
      <c r="T253">
        <v>1045</v>
      </c>
      <c r="U253">
        <v>1369</v>
      </c>
      <c r="V253">
        <v>1227</v>
      </c>
      <c r="W253">
        <v>1468</v>
      </c>
      <c r="X253">
        <v>920</v>
      </c>
      <c r="Y253">
        <v>810</v>
      </c>
      <c r="Z253">
        <v>1529</v>
      </c>
      <c r="AA253">
        <v>1838</v>
      </c>
      <c r="AB253">
        <v>1663</v>
      </c>
      <c r="AC253">
        <v>1580</v>
      </c>
    </row>
    <row r="254" spans="1:29" x14ac:dyDescent="0.2">
      <c r="A254" t="s">
        <v>735</v>
      </c>
      <c r="B254">
        <v>1</v>
      </c>
      <c r="C254" t="s">
        <v>205</v>
      </c>
      <c r="D254" t="s">
        <v>1584</v>
      </c>
      <c r="E254">
        <v>66</v>
      </c>
      <c r="F254">
        <v>875</v>
      </c>
      <c r="G254">
        <v>748</v>
      </c>
      <c r="H254">
        <v>825</v>
      </c>
      <c r="I254">
        <v>399</v>
      </c>
      <c r="J254">
        <v>869</v>
      </c>
      <c r="K254">
        <v>730</v>
      </c>
      <c r="L254">
        <v>775</v>
      </c>
      <c r="M254">
        <v>845</v>
      </c>
      <c r="N254">
        <v>865</v>
      </c>
      <c r="O254">
        <v>809</v>
      </c>
      <c r="P254">
        <v>933</v>
      </c>
      <c r="Q254">
        <v>1705</v>
      </c>
      <c r="R254">
        <v>1200</v>
      </c>
      <c r="S254">
        <v>739</v>
      </c>
      <c r="T254">
        <v>1027</v>
      </c>
      <c r="U254">
        <v>1272</v>
      </c>
      <c r="V254">
        <v>1180</v>
      </c>
      <c r="W254">
        <v>1556</v>
      </c>
      <c r="X254">
        <v>971</v>
      </c>
      <c r="Y254">
        <v>706</v>
      </c>
      <c r="Z254">
        <v>1621</v>
      </c>
      <c r="AA254">
        <v>1811</v>
      </c>
      <c r="AB254">
        <v>1694</v>
      </c>
      <c r="AC254">
        <v>1610</v>
      </c>
    </row>
    <row r="255" spans="1:29" x14ac:dyDescent="0.2">
      <c r="A255" t="s">
        <v>735</v>
      </c>
      <c r="B255">
        <v>1</v>
      </c>
      <c r="C255" t="s">
        <v>205</v>
      </c>
      <c r="D255" t="s">
        <v>1585</v>
      </c>
      <c r="E255">
        <v>67</v>
      </c>
      <c r="F255">
        <v>830</v>
      </c>
      <c r="G255">
        <v>706</v>
      </c>
      <c r="H255">
        <v>835</v>
      </c>
      <c r="I255">
        <v>409</v>
      </c>
      <c r="J255">
        <v>730</v>
      </c>
      <c r="K255">
        <v>739</v>
      </c>
      <c r="L255">
        <v>714</v>
      </c>
      <c r="M255">
        <v>728</v>
      </c>
      <c r="N255">
        <v>824</v>
      </c>
      <c r="O255">
        <v>737</v>
      </c>
      <c r="P255">
        <v>1001</v>
      </c>
      <c r="Q255">
        <v>1688</v>
      </c>
      <c r="R255">
        <v>1107</v>
      </c>
      <c r="S255">
        <v>800</v>
      </c>
      <c r="T255">
        <v>1002</v>
      </c>
      <c r="U255">
        <v>1259</v>
      </c>
      <c r="V255">
        <v>1116</v>
      </c>
      <c r="W255">
        <v>1493</v>
      </c>
      <c r="X255">
        <v>1025</v>
      </c>
      <c r="Y255">
        <v>756</v>
      </c>
      <c r="Z255">
        <v>1615</v>
      </c>
      <c r="AA255">
        <v>1937</v>
      </c>
      <c r="AB255">
        <v>1574</v>
      </c>
      <c r="AC255">
        <v>1688</v>
      </c>
    </row>
    <row r="256" spans="1:29" x14ac:dyDescent="0.2">
      <c r="A256" t="s">
        <v>735</v>
      </c>
      <c r="B256">
        <v>1</v>
      </c>
      <c r="C256" t="s">
        <v>205</v>
      </c>
      <c r="D256" t="s">
        <v>557</v>
      </c>
      <c r="E256">
        <v>68</v>
      </c>
      <c r="F256">
        <v>822</v>
      </c>
      <c r="G256">
        <v>658</v>
      </c>
      <c r="H256">
        <v>835</v>
      </c>
      <c r="I256">
        <v>349</v>
      </c>
      <c r="J256">
        <v>736</v>
      </c>
      <c r="K256">
        <v>649</v>
      </c>
      <c r="L256">
        <v>722</v>
      </c>
      <c r="M256">
        <v>682</v>
      </c>
      <c r="N256">
        <v>690</v>
      </c>
      <c r="O256">
        <v>684</v>
      </c>
      <c r="P256">
        <v>911</v>
      </c>
      <c r="Q256">
        <v>1730</v>
      </c>
      <c r="R256">
        <v>1122</v>
      </c>
      <c r="S256">
        <v>684</v>
      </c>
      <c r="T256">
        <v>1010</v>
      </c>
      <c r="U256">
        <v>1208</v>
      </c>
      <c r="V256">
        <v>1052</v>
      </c>
      <c r="W256">
        <v>1355</v>
      </c>
      <c r="X256">
        <v>936</v>
      </c>
      <c r="Y256">
        <v>738</v>
      </c>
      <c r="Z256">
        <v>1530</v>
      </c>
      <c r="AA256">
        <v>1836</v>
      </c>
      <c r="AB256">
        <v>1708</v>
      </c>
      <c r="AC256">
        <v>1586</v>
      </c>
    </row>
    <row r="257" spans="1:29" x14ac:dyDescent="0.2">
      <c r="A257" t="s">
        <v>735</v>
      </c>
      <c r="B257">
        <v>1</v>
      </c>
      <c r="C257" t="s">
        <v>205</v>
      </c>
      <c r="D257" t="s">
        <v>1586</v>
      </c>
      <c r="E257">
        <v>69</v>
      </c>
      <c r="F257">
        <v>703</v>
      </c>
      <c r="G257">
        <v>607</v>
      </c>
      <c r="H257">
        <v>747</v>
      </c>
      <c r="I257">
        <v>373</v>
      </c>
      <c r="J257">
        <v>719</v>
      </c>
      <c r="K257">
        <v>662</v>
      </c>
      <c r="L257">
        <v>649</v>
      </c>
      <c r="M257">
        <v>653</v>
      </c>
      <c r="N257">
        <v>728</v>
      </c>
      <c r="O257">
        <v>612</v>
      </c>
      <c r="P257">
        <v>831</v>
      </c>
      <c r="Q257">
        <v>1561</v>
      </c>
      <c r="R257">
        <v>1136</v>
      </c>
      <c r="S257">
        <v>646</v>
      </c>
      <c r="T257">
        <v>899</v>
      </c>
      <c r="U257">
        <v>1236</v>
      </c>
      <c r="V257">
        <v>974</v>
      </c>
      <c r="W257">
        <v>1282</v>
      </c>
      <c r="X257">
        <v>866</v>
      </c>
      <c r="Y257">
        <v>671</v>
      </c>
      <c r="Z257">
        <v>1577</v>
      </c>
      <c r="AA257">
        <v>1859</v>
      </c>
      <c r="AB257">
        <v>1613</v>
      </c>
      <c r="AC257">
        <v>1575</v>
      </c>
    </row>
    <row r="258" spans="1:29" x14ac:dyDescent="0.2">
      <c r="A258" t="s">
        <v>735</v>
      </c>
      <c r="B258">
        <v>1</v>
      </c>
      <c r="C258" t="s">
        <v>205</v>
      </c>
      <c r="D258" t="s">
        <v>1587</v>
      </c>
      <c r="E258">
        <v>70</v>
      </c>
      <c r="F258">
        <v>641</v>
      </c>
      <c r="G258">
        <v>575</v>
      </c>
      <c r="H258">
        <v>728</v>
      </c>
      <c r="I258">
        <v>334</v>
      </c>
      <c r="J258">
        <v>654</v>
      </c>
      <c r="K258">
        <v>623</v>
      </c>
      <c r="L258">
        <v>665</v>
      </c>
      <c r="M258">
        <v>639</v>
      </c>
      <c r="N258">
        <v>697</v>
      </c>
      <c r="O258">
        <v>575</v>
      </c>
      <c r="P258">
        <v>730</v>
      </c>
      <c r="Q258">
        <v>1488</v>
      </c>
      <c r="R258">
        <v>994</v>
      </c>
      <c r="S258">
        <v>601</v>
      </c>
      <c r="T258">
        <v>843</v>
      </c>
      <c r="U258">
        <v>1150</v>
      </c>
      <c r="V258">
        <v>933</v>
      </c>
      <c r="W258">
        <v>1196</v>
      </c>
      <c r="X258">
        <v>795</v>
      </c>
      <c r="Y258">
        <v>603</v>
      </c>
      <c r="Z258">
        <v>1379</v>
      </c>
      <c r="AA258">
        <v>1867</v>
      </c>
      <c r="AB258">
        <v>1602</v>
      </c>
      <c r="AC258">
        <v>1566</v>
      </c>
    </row>
    <row r="259" spans="1:29" x14ac:dyDescent="0.2">
      <c r="A259" t="s">
        <v>735</v>
      </c>
      <c r="B259">
        <v>1</v>
      </c>
      <c r="C259" t="s">
        <v>205</v>
      </c>
      <c r="D259" t="s">
        <v>1588</v>
      </c>
      <c r="E259">
        <v>71</v>
      </c>
      <c r="F259">
        <v>600</v>
      </c>
      <c r="G259">
        <v>496</v>
      </c>
      <c r="H259">
        <v>602</v>
      </c>
      <c r="I259">
        <v>324</v>
      </c>
      <c r="J259">
        <v>570</v>
      </c>
      <c r="K259">
        <v>514</v>
      </c>
      <c r="L259">
        <v>524</v>
      </c>
      <c r="M259">
        <v>628</v>
      </c>
      <c r="N259">
        <v>726</v>
      </c>
      <c r="O259">
        <v>553</v>
      </c>
      <c r="P259">
        <v>779</v>
      </c>
      <c r="Q259">
        <v>1433</v>
      </c>
      <c r="R259">
        <v>929</v>
      </c>
      <c r="S259">
        <v>542</v>
      </c>
      <c r="T259">
        <v>830</v>
      </c>
      <c r="U259">
        <v>1038</v>
      </c>
      <c r="V259">
        <v>908</v>
      </c>
      <c r="W259">
        <v>1231</v>
      </c>
      <c r="X259">
        <v>700</v>
      </c>
      <c r="Y259">
        <v>547</v>
      </c>
      <c r="Z259">
        <v>1335</v>
      </c>
      <c r="AA259">
        <v>1659</v>
      </c>
      <c r="AB259">
        <v>1586</v>
      </c>
      <c r="AC259">
        <v>1558</v>
      </c>
    </row>
    <row r="260" spans="1:29" x14ac:dyDescent="0.2">
      <c r="A260" t="s">
        <v>735</v>
      </c>
      <c r="B260">
        <v>1</v>
      </c>
      <c r="C260" t="s">
        <v>205</v>
      </c>
      <c r="D260" t="s">
        <v>1589</v>
      </c>
      <c r="E260">
        <v>72</v>
      </c>
      <c r="F260">
        <v>510</v>
      </c>
      <c r="G260">
        <v>466</v>
      </c>
      <c r="H260">
        <v>496</v>
      </c>
      <c r="I260">
        <v>199</v>
      </c>
      <c r="J260">
        <v>497</v>
      </c>
      <c r="K260">
        <v>501</v>
      </c>
      <c r="L260">
        <v>571</v>
      </c>
      <c r="M260">
        <v>545</v>
      </c>
      <c r="N260">
        <v>597</v>
      </c>
      <c r="O260">
        <v>563</v>
      </c>
      <c r="P260">
        <v>708</v>
      </c>
      <c r="Q260">
        <v>1273</v>
      </c>
      <c r="R260">
        <v>835</v>
      </c>
      <c r="S260">
        <v>557</v>
      </c>
      <c r="T260">
        <v>718</v>
      </c>
      <c r="U260">
        <v>1060</v>
      </c>
      <c r="V260">
        <v>836</v>
      </c>
      <c r="W260">
        <v>1053</v>
      </c>
      <c r="X260">
        <v>716</v>
      </c>
      <c r="Y260">
        <v>554</v>
      </c>
      <c r="Z260">
        <v>1153</v>
      </c>
      <c r="AA260">
        <v>1534</v>
      </c>
      <c r="AB260">
        <v>1434</v>
      </c>
      <c r="AC260">
        <v>1574</v>
      </c>
    </row>
    <row r="261" spans="1:29" x14ac:dyDescent="0.2">
      <c r="A261" t="s">
        <v>735</v>
      </c>
      <c r="B261">
        <v>1</v>
      </c>
      <c r="C261" t="s">
        <v>205</v>
      </c>
      <c r="D261" t="s">
        <v>1590</v>
      </c>
      <c r="E261">
        <v>73</v>
      </c>
      <c r="F261">
        <v>470</v>
      </c>
      <c r="G261">
        <v>361</v>
      </c>
      <c r="H261">
        <v>476</v>
      </c>
      <c r="I261">
        <v>235</v>
      </c>
      <c r="J261">
        <v>446</v>
      </c>
      <c r="K261">
        <v>467</v>
      </c>
      <c r="L261">
        <v>503</v>
      </c>
      <c r="M261">
        <v>519</v>
      </c>
      <c r="N261">
        <v>563</v>
      </c>
      <c r="O261">
        <v>544</v>
      </c>
      <c r="P261">
        <v>618</v>
      </c>
      <c r="Q261">
        <v>1200</v>
      </c>
      <c r="R261">
        <v>832</v>
      </c>
      <c r="S261">
        <v>479</v>
      </c>
      <c r="T261">
        <v>655</v>
      </c>
      <c r="U261">
        <v>880</v>
      </c>
      <c r="V261">
        <v>735</v>
      </c>
      <c r="W261">
        <v>989</v>
      </c>
      <c r="X261">
        <v>631</v>
      </c>
      <c r="Y261">
        <v>450</v>
      </c>
      <c r="Z261">
        <v>1070</v>
      </c>
      <c r="AA261">
        <v>1363</v>
      </c>
      <c r="AB261">
        <v>1336</v>
      </c>
      <c r="AC261">
        <v>1390</v>
      </c>
    </row>
    <row r="262" spans="1:29" x14ac:dyDescent="0.2">
      <c r="A262" t="s">
        <v>735</v>
      </c>
      <c r="B262">
        <v>1</v>
      </c>
      <c r="C262" t="s">
        <v>205</v>
      </c>
      <c r="D262" t="s">
        <v>1432</v>
      </c>
      <c r="E262">
        <v>74</v>
      </c>
      <c r="F262">
        <v>422</v>
      </c>
      <c r="G262">
        <v>349</v>
      </c>
      <c r="H262">
        <v>423</v>
      </c>
      <c r="I262">
        <v>224</v>
      </c>
      <c r="J262">
        <v>401</v>
      </c>
      <c r="K262">
        <v>378</v>
      </c>
      <c r="L262">
        <v>423</v>
      </c>
      <c r="M262">
        <v>447</v>
      </c>
      <c r="N262">
        <v>490</v>
      </c>
      <c r="O262">
        <v>417</v>
      </c>
      <c r="P262">
        <v>590</v>
      </c>
      <c r="Q262">
        <v>1154</v>
      </c>
      <c r="R262">
        <v>698</v>
      </c>
      <c r="S262">
        <v>432</v>
      </c>
      <c r="T262">
        <v>568</v>
      </c>
      <c r="U262">
        <v>793</v>
      </c>
      <c r="V262">
        <v>645</v>
      </c>
      <c r="W262">
        <v>925</v>
      </c>
      <c r="X262">
        <v>598</v>
      </c>
      <c r="Y262">
        <v>435</v>
      </c>
      <c r="Z262">
        <v>958</v>
      </c>
      <c r="AA262">
        <v>1184</v>
      </c>
      <c r="AB262">
        <v>1117</v>
      </c>
      <c r="AC262">
        <v>1231</v>
      </c>
    </row>
    <row r="263" spans="1:29" x14ac:dyDescent="0.2">
      <c r="A263" t="s">
        <v>735</v>
      </c>
      <c r="B263">
        <v>1</v>
      </c>
      <c r="C263" t="s">
        <v>205</v>
      </c>
      <c r="D263" t="s">
        <v>1433</v>
      </c>
      <c r="E263">
        <v>75</v>
      </c>
      <c r="F263">
        <v>356</v>
      </c>
      <c r="G263">
        <v>317</v>
      </c>
      <c r="H263">
        <v>378</v>
      </c>
      <c r="I263">
        <v>184</v>
      </c>
      <c r="J263">
        <v>333</v>
      </c>
      <c r="K263">
        <v>304</v>
      </c>
      <c r="L263">
        <v>363</v>
      </c>
      <c r="M263">
        <v>407</v>
      </c>
      <c r="N263">
        <v>465</v>
      </c>
      <c r="O263">
        <v>470</v>
      </c>
      <c r="P263">
        <v>514</v>
      </c>
      <c r="Q263">
        <v>1079</v>
      </c>
      <c r="R263">
        <v>703</v>
      </c>
      <c r="S263">
        <v>399</v>
      </c>
      <c r="T263">
        <v>492</v>
      </c>
      <c r="U263">
        <v>716</v>
      </c>
      <c r="V263">
        <v>608</v>
      </c>
      <c r="W263">
        <v>806</v>
      </c>
      <c r="X263">
        <v>493</v>
      </c>
      <c r="Y263">
        <v>405</v>
      </c>
      <c r="Z263">
        <v>791</v>
      </c>
      <c r="AA263">
        <v>1200</v>
      </c>
      <c r="AB263">
        <v>1040</v>
      </c>
      <c r="AC263">
        <v>1102</v>
      </c>
    </row>
    <row r="264" spans="1:29" x14ac:dyDescent="0.2">
      <c r="A264" t="s">
        <v>735</v>
      </c>
      <c r="B264">
        <v>1</v>
      </c>
      <c r="C264" t="s">
        <v>205</v>
      </c>
      <c r="D264" t="s">
        <v>1591</v>
      </c>
      <c r="E264">
        <v>76</v>
      </c>
      <c r="F264">
        <v>290</v>
      </c>
      <c r="G264">
        <v>266</v>
      </c>
      <c r="H264">
        <v>315</v>
      </c>
      <c r="I264">
        <v>136</v>
      </c>
      <c r="J264">
        <v>261</v>
      </c>
      <c r="K264">
        <v>298</v>
      </c>
      <c r="L264">
        <v>325</v>
      </c>
      <c r="M264">
        <v>374</v>
      </c>
      <c r="N264">
        <v>400</v>
      </c>
      <c r="O264">
        <v>374</v>
      </c>
      <c r="P264">
        <v>497</v>
      </c>
      <c r="Q264">
        <v>974</v>
      </c>
      <c r="R264">
        <v>623</v>
      </c>
      <c r="S264">
        <v>350</v>
      </c>
      <c r="T264">
        <v>471</v>
      </c>
      <c r="U264">
        <v>617</v>
      </c>
      <c r="V264">
        <v>496</v>
      </c>
      <c r="W264">
        <v>722</v>
      </c>
      <c r="X264">
        <v>407</v>
      </c>
      <c r="Y264">
        <v>360</v>
      </c>
      <c r="Z264">
        <v>729</v>
      </c>
      <c r="AA264">
        <v>1002</v>
      </c>
      <c r="AB264">
        <v>1006</v>
      </c>
      <c r="AC264">
        <v>993</v>
      </c>
    </row>
    <row r="265" spans="1:29" x14ac:dyDescent="0.2">
      <c r="A265" t="s">
        <v>735</v>
      </c>
      <c r="B265">
        <v>1</v>
      </c>
      <c r="C265" t="s">
        <v>205</v>
      </c>
      <c r="D265" t="s">
        <v>1592</v>
      </c>
      <c r="E265">
        <v>77</v>
      </c>
      <c r="F265">
        <v>253</v>
      </c>
      <c r="G265">
        <v>232</v>
      </c>
      <c r="H265">
        <v>245</v>
      </c>
      <c r="I265">
        <v>144</v>
      </c>
      <c r="J265">
        <v>220</v>
      </c>
      <c r="K265">
        <v>250</v>
      </c>
      <c r="L265">
        <v>277</v>
      </c>
      <c r="M265">
        <v>263</v>
      </c>
      <c r="N265">
        <v>348</v>
      </c>
      <c r="O265">
        <v>315</v>
      </c>
      <c r="P265">
        <v>394</v>
      </c>
      <c r="Q265">
        <v>807</v>
      </c>
      <c r="R265">
        <v>510</v>
      </c>
      <c r="S265">
        <v>371</v>
      </c>
      <c r="T265">
        <v>443</v>
      </c>
      <c r="U265">
        <v>599</v>
      </c>
      <c r="V265">
        <v>469</v>
      </c>
      <c r="W265">
        <v>582</v>
      </c>
      <c r="X265">
        <v>363</v>
      </c>
      <c r="Y265">
        <v>267</v>
      </c>
      <c r="Z265">
        <v>704</v>
      </c>
      <c r="AA265">
        <v>890</v>
      </c>
      <c r="AB265">
        <v>814</v>
      </c>
      <c r="AC265">
        <v>955</v>
      </c>
    </row>
    <row r="266" spans="1:29" x14ac:dyDescent="0.2">
      <c r="A266" t="s">
        <v>735</v>
      </c>
      <c r="B266">
        <v>1</v>
      </c>
      <c r="C266" t="s">
        <v>205</v>
      </c>
      <c r="D266" t="s">
        <v>1593</v>
      </c>
      <c r="E266">
        <v>78</v>
      </c>
      <c r="F266">
        <v>218</v>
      </c>
      <c r="G266">
        <v>184</v>
      </c>
      <c r="H266">
        <v>220</v>
      </c>
      <c r="I266">
        <v>132</v>
      </c>
      <c r="J266">
        <v>216</v>
      </c>
      <c r="K266">
        <v>224</v>
      </c>
      <c r="L266">
        <v>255</v>
      </c>
      <c r="M266">
        <v>263</v>
      </c>
      <c r="N266">
        <v>266</v>
      </c>
      <c r="O266">
        <v>262</v>
      </c>
      <c r="P266">
        <v>315</v>
      </c>
      <c r="Q266">
        <v>703</v>
      </c>
      <c r="R266">
        <v>483</v>
      </c>
      <c r="S266">
        <v>300</v>
      </c>
      <c r="T266">
        <v>385</v>
      </c>
      <c r="U266">
        <v>537</v>
      </c>
      <c r="V266">
        <v>457</v>
      </c>
      <c r="W266">
        <v>553</v>
      </c>
      <c r="X266">
        <v>322</v>
      </c>
      <c r="Y266">
        <v>249</v>
      </c>
      <c r="Z266">
        <v>517</v>
      </c>
      <c r="AA266">
        <v>795</v>
      </c>
      <c r="AB266">
        <v>768</v>
      </c>
      <c r="AC266">
        <v>812</v>
      </c>
    </row>
    <row r="267" spans="1:29" x14ac:dyDescent="0.2">
      <c r="A267" t="s">
        <v>735</v>
      </c>
      <c r="B267">
        <v>1</v>
      </c>
      <c r="C267" t="s">
        <v>205</v>
      </c>
      <c r="D267" t="s">
        <v>1594</v>
      </c>
      <c r="E267">
        <v>79</v>
      </c>
      <c r="F267">
        <v>201</v>
      </c>
      <c r="G267">
        <v>155</v>
      </c>
      <c r="H267">
        <v>186</v>
      </c>
      <c r="I267">
        <v>87</v>
      </c>
      <c r="J267">
        <v>187</v>
      </c>
      <c r="K267">
        <v>206</v>
      </c>
      <c r="L267">
        <v>216</v>
      </c>
      <c r="M267">
        <v>187</v>
      </c>
      <c r="N267">
        <v>261</v>
      </c>
      <c r="O267">
        <v>211</v>
      </c>
      <c r="P267">
        <v>278</v>
      </c>
      <c r="Q267">
        <v>556</v>
      </c>
      <c r="R267">
        <v>393</v>
      </c>
      <c r="S267">
        <v>284</v>
      </c>
      <c r="T267">
        <v>336</v>
      </c>
      <c r="U267">
        <v>481</v>
      </c>
      <c r="V267">
        <v>407</v>
      </c>
      <c r="W267">
        <v>450</v>
      </c>
      <c r="X267">
        <v>301</v>
      </c>
      <c r="Y267">
        <v>206</v>
      </c>
      <c r="Z267">
        <v>468</v>
      </c>
      <c r="AA267">
        <v>651</v>
      </c>
      <c r="AB267">
        <v>668</v>
      </c>
      <c r="AC267">
        <v>614</v>
      </c>
    </row>
    <row r="268" spans="1:29" x14ac:dyDescent="0.2">
      <c r="A268" t="s">
        <v>735</v>
      </c>
      <c r="B268">
        <v>1</v>
      </c>
      <c r="C268" t="s">
        <v>205</v>
      </c>
      <c r="D268" t="s">
        <v>1595</v>
      </c>
      <c r="E268">
        <v>80</v>
      </c>
      <c r="F268">
        <v>182</v>
      </c>
      <c r="G268">
        <v>169</v>
      </c>
      <c r="H268">
        <v>162</v>
      </c>
      <c r="I268">
        <v>85</v>
      </c>
      <c r="J268">
        <v>122</v>
      </c>
      <c r="K268">
        <v>139</v>
      </c>
      <c r="L268">
        <v>192</v>
      </c>
      <c r="M268">
        <v>161</v>
      </c>
      <c r="N268">
        <v>201</v>
      </c>
      <c r="O268">
        <v>174</v>
      </c>
      <c r="P268">
        <v>221</v>
      </c>
      <c r="Q268">
        <v>463</v>
      </c>
      <c r="R268">
        <v>340</v>
      </c>
      <c r="S268">
        <v>203</v>
      </c>
      <c r="T268">
        <v>280</v>
      </c>
      <c r="U268">
        <v>400</v>
      </c>
      <c r="V268">
        <v>377</v>
      </c>
      <c r="W268">
        <v>437</v>
      </c>
      <c r="X268">
        <v>250</v>
      </c>
      <c r="Y268">
        <v>187</v>
      </c>
      <c r="Z268">
        <v>388</v>
      </c>
      <c r="AA268">
        <v>512</v>
      </c>
      <c r="AB268">
        <v>537</v>
      </c>
      <c r="AC268">
        <v>639</v>
      </c>
    </row>
    <row r="269" spans="1:29" x14ac:dyDescent="0.2">
      <c r="A269" t="s">
        <v>735</v>
      </c>
      <c r="B269">
        <v>1</v>
      </c>
      <c r="C269" t="s">
        <v>205</v>
      </c>
      <c r="D269" t="s">
        <v>1596</v>
      </c>
      <c r="E269">
        <v>81</v>
      </c>
      <c r="F269">
        <v>168</v>
      </c>
      <c r="G269">
        <v>130</v>
      </c>
      <c r="H269">
        <v>140</v>
      </c>
      <c r="I269">
        <v>81</v>
      </c>
      <c r="J269">
        <v>135</v>
      </c>
      <c r="K269">
        <v>136</v>
      </c>
      <c r="L269">
        <v>160</v>
      </c>
      <c r="M269">
        <v>176</v>
      </c>
      <c r="N269">
        <v>167</v>
      </c>
      <c r="O269">
        <v>137</v>
      </c>
      <c r="P269">
        <v>194</v>
      </c>
      <c r="Q269">
        <v>364</v>
      </c>
      <c r="R269">
        <v>290</v>
      </c>
      <c r="S269">
        <v>161</v>
      </c>
      <c r="T269">
        <v>250</v>
      </c>
      <c r="U269">
        <v>375</v>
      </c>
      <c r="V269">
        <v>306</v>
      </c>
      <c r="W269">
        <v>361</v>
      </c>
      <c r="X269">
        <v>228</v>
      </c>
      <c r="Y269">
        <v>133</v>
      </c>
      <c r="Z269">
        <v>324</v>
      </c>
      <c r="AA269">
        <v>415</v>
      </c>
      <c r="AB269">
        <v>465</v>
      </c>
      <c r="AC269">
        <v>488</v>
      </c>
    </row>
    <row r="270" spans="1:29" x14ac:dyDescent="0.2">
      <c r="A270" t="s">
        <v>735</v>
      </c>
      <c r="B270">
        <v>1</v>
      </c>
      <c r="C270" t="s">
        <v>205</v>
      </c>
      <c r="D270" t="s">
        <v>1597</v>
      </c>
      <c r="E270">
        <v>82</v>
      </c>
      <c r="F270">
        <v>150</v>
      </c>
      <c r="G270">
        <v>92</v>
      </c>
      <c r="H270">
        <v>118</v>
      </c>
      <c r="I270">
        <v>79</v>
      </c>
      <c r="J270">
        <v>102</v>
      </c>
      <c r="K270">
        <v>101</v>
      </c>
      <c r="L270">
        <v>135</v>
      </c>
      <c r="M270">
        <v>150</v>
      </c>
      <c r="N270">
        <v>157</v>
      </c>
      <c r="O270">
        <v>132</v>
      </c>
      <c r="P270">
        <v>161</v>
      </c>
      <c r="Q270">
        <v>307</v>
      </c>
      <c r="R270">
        <v>199</v>
      </c>
      <c r="S270">
        <v>172</v>
      </c>
      <c r="T270">
        <v>196</v>
      </c>
      <c r="U270">
        <v>294</v>
      </c>
      <c r="V270">
        <v>268</v>
      </c>
      <c r="W270">
        <v>339</v>
      </c>
      <c r="X270">
        <v>191</v>
      </c>
      <c r="Y270">
        <v>118</v>
      </c>
      <c r="Z270">
        <v>276</v>
      </c>
      <c r="AA270">
        <v>372</v>
      </c>
      <c r="AB270">
        <v>384</v>
      </c>
      <c r="AC270">
        <v>423</v>
      </c>
    </row>
    <row r="271" spans="1:29" x14ac:dyDescent="0.2">
      <c r="A271" t="s">
        <v>735</v>
      </c>
      <c r="B271">
        <v>1</v>
      </c>
      <c r="C271" t="s">
        <v>205</v>
      </c>
      <c r="D271" t="s">
        <v>1598</v>
      </c>
      <c r="E271">
        <v>83</v>
      </c>
      <c r="F271">
        <v>103</v>
      </c>
      <c r="G271">
        <v>85</v>
      </c>
      <c r="H271">
        <v>100</v>
      </c>
      <c r="I271">
        <v>50</v>
      </c>
      <c r="J271">
        <v>88</v>
      </c>
      <c r="K271">
        <v>82</v>
      </c>
      <c r="L271">
        <v>107</v>
      </c>
      <c r="M271">
        <v>94</v>
      </c>
      <c r="N271">
        <v>124</v>
      </c>
      <c r="O271">
        <v>117</v>
      </c>
      <c r="P271">
        <v>124</v>
      </c>
      <c r="Q271">
        <v>226</v>
      </c>
      <c r="R271">
        <v>160</v>
      </c>
      <c r="S271">
        <v>112</v>
      </c>
      <c r="T271">
        <v>167</v>
      </c>
      <c r="U271">
        <v>233</v>
      </c>
      <c r="V271">
        <v>211</v>
      </c>
      <c r="W271">
        <v>287</v>
      </c>
      <c r="X271">
        <v>155</v>
      </c>
      <c r="Y271">
        <v>126</v>
      </c>
      <c r="Z271">
        <v>267</v>
      </c>
      <c r="AA271">
        <v>333</v>
      </c>
      <c r="AB271">
        <v>332</v>
      </c>
      <c r="AC271">
        <v>326</v>
      </c>
    </row>
    <row r="272" spans="1:29" x14ac:dyDescent="0.2">
      <c r="A272" t="s">
        <v>735</v>
      </c>
      <c r="B272">
        <v>1</v>
      </c>
      <c r="C272" t="s">
        <v>205</v>
      </c>
      <c r="D272" t="s">
        <v>1434</v>
      </c>
      <c r="E272">
        <v>84</v>
      </c>
      <c r="F272">
        <v>95</v>
      </c>
      <c r="G272">
        <v>64</v>
      </c>
      <c r="H272">
        <v>72</v>
      </c>
      <c r="I272">
        <v>53</v>
      </c>
      <c r="J272">
        <v>58</v>
      </c>
      <c r="K272">
        <v>72</v>
      </c>
      <c r="L272">
        <v>96</v>
      </c>
      <c r="M272">
        <v>81</v>
      </c>
      <c r="N272">
        <v>83</v>
      </c>
      <c r="O272">
        <v>82</v>
      </c>
      <c r="P272">
        <v>98</v>
      </c>
      <c r="Q272">
        <v>154</v>
      </c>
      <c r="R272">
        <v>146</v>
      </c>
      <c r="S272">
        <v>103</v>
      </c>
      <c r="T272">
        <v>135</v>
      </c>
      <c r="U272">
        <v>179</v>
      </c>
      <c r="V272">
        <v>156</v>
      </c>
      <c r="W272">
        <v>231</v>
      </c>
      <c r="X272">
        <v>131</v>
      </c>
      <c r="Y272">
        <v>111</v>
      </c>
      <c r="Z272">
        <v>195</v>
      </c>
      <c r="AA272">
        <v>277</v>
      </c>
      <c r="AB272">
        <v>296</v>
      </c>
      <c r="AC272">
        <v>282</v>
      </c>
    </row>
    <row r="273" spans="1:29" x14ac:dyDescent="0.2">
      <c r="A273" t="s">
        <v>735</v>
      </c>
      <c r="B273">
        <v>1</v>
      </c>
      <c r="C273" t="s">
        <v>205</v>
      </c>
      <c r="D273" t="s">
        <v>1599</v>
      </c>
      <c r="E273">
        <v>85</v>
      </c>
      <c r="F273">
        <v>68</v>
      </c>
      <c r="G273">
        <v>68</v>
      </c>
      <c r="H273">
        <v>84</v>
      </c>
      <c r="I273">
        <v>45</v>
      </c>
      <c r="J273">
        <v>48</v>
      </c>
      <c r="K273">
        <v>54</v>
      </c>
      <c r="L273">
        <v>86</v>
      </c>
      <c r="M273">
        <v>73</v>
      </c>
      <c r="N273">
        <v>79</v>
      </c>
      <c r="O273">
        <v>69</v>
      </c>
      <c r="P273">
        <v>80</v>
      </c>
      <c r="Q273">
        <v>148</v>
      </c>
      <c r="R273">
        <v>136</v>
      </c>
      <c r="S273">
        <v>66</v>
      </c>
      <c r="T273">
        <v>99</v>
      </c>
      <c r="U273">
        <v>149</v>
      </c>
      <c r="V273">
        <v>135</v>
      </c>
      <c r="W273">
        <v>152</v>
      </c>
      <c r="X273">
        <v>110</v>
      </c>
      <c r="Y273">
        <v>73</v>
      </c>
      <c r="Z273">
        <v>134</v>
      </c>
      <c r="AA273">
        <v>209</v>
      </c>
      <c r="AB273">
        <v>219</v>
      </c>
      <c r="AC273">
        <v>232</v>
      </c>
    </row>
    <row r="274" spans="1:29" x14ac:dyDescent="0.2">
      <c r="A274" t="s">
        <v>735</v>
      </c>
      <c r="B274">
        <v>1</v>
      </c>
      <c r="C274" t="s">
        <v>205</v>
      </c>
      <c r="D274" t="s">
        <v>1600</v>
      </c>
      <c r="E274">
        <v>86</v>
      </c>
      <c r="F274">
        <v>58</v>
      </c>
      <c r="G274">
        <v>38</v>
      </c>
      <c r="H274">
        <v>61</v>
      </c>
      <c r="I274">
        <v>35</v>
      </c>
      <c r="J274">
        <v>46</v>
      </c>
      <c r="K274">
        <v>47</v>
      </c>
      <c r="L274">
        <v>64</v>
      </c>
      <c r="M274">
        <v>58</v>
      </c>
      <c r="N274">
        <v>52</v>
      </c>
      <c r="O274">
        <v>36</v>
      </c>
      <c r="P274">
        <v>63</v>
      </c>
      <c r="Q274">
        <v>111</v>
      </c>
      <c r="R274">
        <v>76</v>
      </c>
      <c r="S274">
        <v>64</v>
      </c>
      <c r="T274">
        <v>75</v>
      </c>
      <c r="U274">
        <v>132</v>
      </c>
      <c r="V274">
        <v>112</v>
      </c>
      <c r="W274">
        <v>130</v>
      </c>
      <c r="X274">
        <v>88</v>
      </c>
      <c r="Y274">
        <v>78</v>
      </c>
      <c r="Z274">
        <v>136</v>
      </c>
      <c r="AA274">
        <v>188</v>
      </c>
      <c r="AB274">
        <v>185</v>
      </c>
      <c r="AC274">
        <v>171</v>
      </c>
    </row>
    <row r="275" spans="1:29" x14ac:dyDescent="0.2">
      <c r="A275" t="s">
        <v>735</v>
      </c>
      <c r="B275">
        <v>1</v>
      </c>
      <c r="C275" t="s">
        <v>205</v>
      </c>
      <c r="D275" t="s">
        <v>1601</v>
      </c>
      <c r="E275">
        <v>87</v>
      </c>
      <c r="F275">
        <v>57</v>
      </c>
      <c r="G275">
        <v>25</v>
      </c>
      <c r="H275">
        <v>50</v>
      </c>
      <c r="I275">
        <v>23</v>
      </c>
      <c r="J275">
        <v>36</v>
      </c>
      <c r="K275">
        <v>49</v>
      </c>
      <c r="L275">
        <v>54</v>
      </c>
      <c r="M275">
        <v>46</v>
      </c>
      <c r="N275">
        <v>51</v>
      </c>
      <c r="O275">
        <v>43</v>
      </c>
      <c r="P275">
        <v>69</v>
      </c>
      <c r="Q275">
        <v>90</v>
      </c>
      <c r="R275">
        <v>70</v>
      </c>
      <c r="S275">
        <v>52</v>
      </c>
      <c r="T275">
        <v>71</v>
      </c>
      <c r="U275">
        <v>83</v>
      </c>
      <c r="V275">
        <v>92</v>
      </c>
      <c r="W275">
        <v>93</v>
      </c>
      <c r="X275">
        <v>67</v>
      </c>
      <c r="Y275">
        <v>53</v>
      </c>
      <c r="Z275">
        <v>115</v>
      </c>
      <c r="AA275">
        <v>193</v>
      </c>
      <c r="AB275">
        <v>144</v>
      </c>
      <c r="AC275">
        <v>142</v>
      </c>
    </row>
    <row r="276" spans="1:29" x14ac:dyDescent="0.2">
      <c r="A276" t="s">
        <v>735</v>
      </c>
      <c r="B276">
        <v>1</v>
      </c>
      <c r="C276" t="s">
        <v>205</v>
      </c>
      <c r="D276" t="s">
        <v>1602</v>
      </c>
      <c r="E276">
        <v>88</v>
      </c>
      <c r="F276">
        <v>52</v>
      </c>
      <c r="G276">
        <v>36</v>
      </c>
      <c r="H276">
        <v>30</v>
      </c>
      <c r="I276">
        <v>18</v>
      </c>
      <c r="J276">
        <v>25</v>
      </c>
      <c r="K276">
        <v>29</v>
      </c>
      <c r="L276">
        <v>30</v>
      </c>
      <c r="M276">
        <v>31</v>
      </c>
      <c r="N276">
        <v>32</v>
      </c>
      <c r="O276">
        <v>27</v>
      </c>
      <c r="P276">
        <v>38</v>
      </c>
      <c r="Q276">
        <v>59</v>
      </c>
      <c r="R276">
        <v>54</v>
      </c>
      <c r="S276">
        <v>37</v>
      </c>
      <c r="T276">
        <v>52</v>
      </c>
      <c r="U276">
        <v>81</v>
      </c>
      <c r="V276">
        <v>58</v>
      </c>
      <c r="W276">
        <v>87</v>
      </c>
      <c r="X276">
        <v>39</v>
      </c>
      <c r="Y276">
        <v>42</v>
      </c>
      <c r="Z276">
        <v>72</v>
      </c>
      <c r="AA276">
        <v>134</v>
      </c>
      <c r="AB276">
        <v>110</v>
      </c>
      <c r="AC276">
        <v>120</v>
      </c>
    </row>
    <row r="277" spans="1:29" x14ac:dyDescent="0.2">
      <c r="A277" t="s">
        <v>735</v>
      </c>
      <c r="B277">
        <v>1</v>
      </c>
      <c r="C277" t="s">
        <v>205</v>
      </c>
      <c r="D277" t="s">
        <v>1603</v>
      </c>
      <c r="E277">
        <v>89</v>
      </c>
      <c r="F277">
        <v>33</v>
      </c>
      <c r="G277">
        <v>36</v>
      </c>
      <c r="H277">
        <v>27</v>
      </c>
      <c r="I277">
        <v>9</v>
      </c>
      <c r="J277">
        <v>18</v>
      </c>
      <c r="K277">
        <v>38</v>
      </c>
      <c r="L277">
        <v>44</v>
      </c>
      <c r="M277">
        <v>29</v>
      </c>
      <c r="N277">
        <v>27</v>
      </c>
      <c r="O277">
        <v>34</v>
      </c>
      <c r="P277">
        <v>37</v>
      </c>
      <c r="Q277">
        <v>55</v>
      </c>
      <c r="R277">
        <v>42</v>
      </c>
      <c r="S277">
        <v>23</v>
      </c>
      <c r="T277">
        <v>46</v>
      </c>
      <c r="U277">
        <v>49</v>
      </c>
      <c r="V277">
        <v>53</v>
      </c>
      <c r="W277">
        <v>54</v>
      </c>
      <c r="X277">
        <v>35</v>
      </c>
      <c r="Y277">
        <v>31</v>
      </c>
      <c r="Z277">
        <v>58</v>
      </c>
      <c r="AA277">
        <v>91</v>
      </c>
      <c r="AB277">
        <v>80</v>
      </c>
      <c r="AC277">
        <v>78</v>
      </c>
    </row>
    <row r="278" spans="1:29" x14ac:dyDescent="0.2">
      <c r="A278" t="s">
        <v>735</v>
      </c>
      <c r="B278">
        <v>1</v>
      </c>
      <c r="C278" t="s">
        <v>205</v>
      </c>
      <c r="D278" t="s">
        <v>1604</v>
      </c>
      <c r="E278">
        <v>90</v>
      </c>
      <c r="F278">
        <v>44</v>
      </c>
      <c r="G278">
        <v>17</v>
      </c>
      <c r="H278">
        <v>21</v>
      </c>
      <c r="I278">
        <v>12</v>
      </c>
      <c r="J278">
        <v>17</v>
      </c>
      <c r="K278">
        <v>16</v>
      </c>
      <c r="L278">
        <v>25</v>
      </c>
      <c r="M278">
        <v>26</v>
      </c>
      <c r="N278">
        <v>34</v>
      </c>
      <c r="O278">
        <v>23</v>
      </c>
      <c r="P278">
        <v>25</v>
      </c>
      <c r="Q278">
        <v>42</v>
      </c>
      <c r="R278">
        <v>29</v>
      </c>
      <c r="S278">
        <v>30</v>
      </c>
      <c r="T278">
        <v>28</v>
      </c>
      <c r="U278">
        <v>27</v>
      </c>
      <c r="V278">
        <v>33</v>
      </c>
      <c r="W278">
        <v>42</v>
      </c>
      <c r="X278">
        <v>36</v>
      </c>
      <c r="Y278">
        <v>31</v>
      </c>
      <c r="Z278">
        <v>46</v>
      </c>
      <c r="AA278">
        <v>59</v>
      </c>
      <c r="AB278">
        <v>71</v>
      </c>
      <c r="AC278">
        <v>62</v>
      </c>
    </row>
    <row r="279" spans="1:29" x14ac:dyDescent="0.2">
      <c r="A279" t="s">
        <v>735</v>
      </c>
      <c r="B279">
        <v>1</v>
      </c>
      <c r="C279" t="s">
        <v>205</v>
      </c>
      <c r="D279" t="s">
        <v>1605</v>
      </c>
      <c r="E279">
        <v>91</v>
      </c>
      <c r="F279">
        <v>23</v>
      </c>
      <c r="G279">
        <v>19</v>
      </c>
      <c r="H279">
        <v>26</v>
      </c>
      <c r="I279">
        <v>9</v>
      </c>
      <c r="J279">
        <v>13</v>
      </c>
      <c r="K279">
        <v>18</v>
      </c>
      <c r="L279">
        <v>14</v>
      </c>
      <c r="M279">
        <v>15</v>
      </c>
      <c r="N279">
        <v>16</v>
      </c>
      <c r="O279">
        <v>11</v>
      </c>
      <c r="P279">
        <v>14</v>
      </c>
      <c r="Q279">
        <v>28</v>
      </c>
      <c r="R279">
        <v>30</v>
      </c>
      <c r="S279">
        <v>17</v>
      </c>
      <c r="T279">
        <v>35</v>
      </c>
      <c r="U279">
        <v>30</v>
      </c>
      <c r="V279">
        <v>32</v>
      </c>
      <c r="W279">
        <v>39</v>
      </c>
      <c r="X279">
        <v>27</v>
      </c>
      <c r="Y279">
        <v>26</v>
      </c>
      <c r="Z279">
        <v>35</v>
      </c>
      <c r="AA279">
        <v>47</v>
      </c>
      <c r="AB279">
        <v>46</v>
      </c>
      <c r="AC279">
        <v>49</v>
      </c>
    </row>
    <row r="280" spans="1:29" x14ac:dyDescent="0.2">
      <c r="A280" t="s">
        <v>735</v>
      </c>
      <c r="B280">
        <v>1</v>
      </c>
      <c r="C280" t="s">
        <v>205</v>
      </c>
      <c r="D280" t="s">
        <v>1606</v>
      </c>
      <c r="E280">
        <v>92</v>
      </c>
      <c r="F280">
        <v>12</v>
      </c>
      <c r="G280">
        <v>12</v>
      </c>
      <c r="H280">
        <v>14</v>
      </c>
      <c r="I280">
        <v>8</v>
      </c>
      <c r="J280">
        <v>8</v>
      </c>
      <c r="K280">
        <v>11</v>
      </c>
      <c r="L280">
        <v>12</v>
      </c>
      <c r="M280">
        <v>8</v>
      </c>
      <c r="N280">
        <v>12</v>
      </c>
      <c r="O280">
        <v>11</v>
      </c>
      <c r="P280">
        <v>15</v>
      </c>
      <c r="Q280">
        <v>19</v>
      </c>
      <c r="R280">
        <v>11</v>
      </c>
      <c r="S280">
        <v>12</v>
      </c>
      <c r="T280">
        <v>25</v>
      </c>
      <c r="U280">
        <v>7</v>
      </c>
      <c r="V280">
        <v>23</v>
      </c>
      <c r="W280">
        <v>26</v>
      </c>
      <c r="X280">
        <v>18</v>
      </c>
      <c r="Y280">
        <v>16</v>
      </c>
      <c r="Z280">
        <v>31</v>
      </c>
      <c r="AA280">
        <v>43</v>
      </c>
      <c r="AB280">
        <v>26</v>
      </c>
      <c r="AC280">
        <v>36</v>
      </c>
    </row>
    <row r="281" spans="1:29" x14ac:dyDescent="0.2">
      <c r="A281" t="s">
        <v>735</v>
      </c>
      <c r="B281">
        <v>1</v>
      </c>
      <c r="C281" t="s">
        <v>205</v>
      </c>
      <c r="D281" t="s">
        <v>1607</v>
      </c>
      <c r="E281">
        <v>93</v>
      </c>
      <c r="F281">
        <v>48</v>
      </c>
      <c r="G281">
        <v>42</v>
      </c>
      <c r="H281">
        <v>53</v>
      </c>
      <c r="I281">
        <v>36</v>
      </c>
      <c r="J281">
        <v>32</v>
      </c>
      <c r="K281">
        <v>33</v>
      </c>
      <c r="L281">
        <v>43</v>
      </c>
      <c r="M281">
        <v>31</v>
      </c>
      <c r="N281">
        <v>37</v>
      </c>
      <c r="O281">
        <v>40</v>
      </c>
      <c r="P281">
        <v>33</v>
      </c>
      <c r="Q281">
        <v>51</v>
      </c>
      <c r="R281">
        <v>40</v>
      </c>
      <c r="S281">
        <v>39</v>
      </c>
      <c r="T281">
        <v>57</v>
      </c>
      <c r="U281">
        <v>49</v>
      </c>
      <c r="V281">
        <v>47</v>
      </c>
      <c r="W281">
        <v>59</v>
      </c>
      <c r="X281">
        <v>48</v>
      </c>
      <c r="Y281">
        <v>42</v>
      </c>
      <c r="Z281">
        <v>52</v>
      </c>
      <c r="AA281">
        <v>90</v>
      </c>
      <c r="AB281">
        <v>95</v>
      </c>
      <c r="AC281">
        <v>88</v>
      </c>
    </row>
    <row r="282" spans="1:29" x14ac:dyDescent="0.2">
      <c r="A282" t="s">
        <v>735</v>
      </c>
      <c r="B282">
        <v>1</v>
      </c>
      <c r="C282" t="s">
        <v>234</v>
      </c>
      <c r="D282" t="s">
        <v>6</v>
      </c>
      <c r="E282">
        <v>1</v>
      </c>
      <c r="F282">
        <v>33510</v>
      </c>
      <c r="G282">
        <v>36771</v>
      </c>
      <c r="H282">
        <v>10348</v>
      </c>
      <c r="I282">
        <v>9148</v>
      </c>
      <c r="J282">
        <v>15978</v>
      </c>
      <c r="K282">
        <v>27424</v>
      </c>
      <c r="L282">
        <v>51478</v>
      </c>
      <c r="M282">
        <v>71886</v>
      </c>
      <c r="N282">
        <v>34243</v>
      </c>
      <c r="O282">
        <v>14724</v>
      </c>
      <c r="P282">
        <v>55400</v>
      </c>
      <c r="Q282">
        <v>49521</v>
      </c>
      <c r="R282">
        <v>32867</v>
      </c>
      <c r="S282">
        <v>-9841</v>
      </c>
      <c r="T282">
        <v>35448</v>
      </c>
      <c r="U282">
        <v>103776</v>
      </c>
      <c r="V282">
        <v>162573</v>
      </c>
      <c r="W282">
        <v>168833</v>
      </c>
      <c r="X282">
        <v>75265</v>
      </c>
      <c r="Y282">
        <v>-51719</v>
      </c>
      <c r="Z282">
        <v>224715</v>
      </c>
      <c r="AA282">
        <v>671525</v>
      </c>
      <c r="AB282">
        <v>781075</v>
      </c>
      <c r="AC282">
        <v>-14954</v>
      </c>
    </row>
    <row r="283" spans="1:29" x14ac:dyDescent="0.2">
      <c r="A283" t="s">
        <v>735</v>
      </c>
      <c r="B283">
        <v>1</v>
      </c>
      <c r="C283" t="s">
        <v>234</v>
      </c>
      <c r="D283" t="s">
        <v>1610</v>
      </c>
      <c r="E283">
        <v>2</v>
      </c>
      <c r="F283">
        <v>171</v>
      </c>
      <c r="G283">
        <v>189</v>
      </c>
      <c r="H283">
        <v>109</v>
      </c>
      <c r="I283">
        <v>95</v>
      </c>
      <c r="J283">
        <v>85</v>
      </c>
      <c r="K283">
        <v>106</v>
      </c>
      <c r="L283">
        <v>211</v>
      </c>
      <c r="M283">
        <v>220</v>
      </c>
      <c r="N283">
        <v>120</v>
      </c>
      <c r="O283">
        <v>111</v>
      </c>
      <c r="P283">
        <v>125</v>
      </c>
      <c r="Q283">
        <v>53</v>
      </c>
      <c r="R283">
        <v>67</v>
      </c>
      <c r="S283">
        <v>59</v>
      </c>
      <c r="T283">
        <v>66</v>
      </c>
      <c r="U283">
        <v>175</v>
      </c>
      <c r="V283">
        <v>355</v>
      </c>
      <c r="W283">
        <v>168</v>
      </c>
      <c r="X283">
        <v>108</v>
      </c>
      <c r="Y283">
        <v>15</v>
      </c>
      <c r="Z283">
        <v>470</v>
      </c>
      <c r="AA283">
        <v>311</v>
      </c>
      <c r="AB283">
        <v>207</v>
      </c>
      <c r="AC283">
        <v>209</v>
      </c>
    </row>
    <row r="284" spans="1:29" x14ac:dyDescent="0.2">
      <c r="A284" t="s">
        <v>735</v>
      </c>
      <c r="B284">
        <v>1</v>
      </c>
      <c r="C284" t="s">
        <v>234</v>
      </c>
      <c r="D284" t="s">
        <v>1537</v>
      </c>
      <c r="E284">
        <v>3</v>
      </c>
      <c r="F284">
        <v>422</v>
      </c>
      <c r="G284">
        <v>434</v>
      </c>
      <c r="H284">
        <v>331</v>
      </c>
      <c r="I284">
        <v>262</v>
      </c>
      <c r="J284">
        <v>255</v>
      </c>
      <c r="K284">
        <v>314</v>
      </c>
      <c r="L284">
        <v>575</v>
      </c>
      <c r="M284">
        <v>627</v>
      </c>
      <c r="N284">
        <v>335</v>
      </c>
      <c r="O284">
        <v>304</v>
      </c>
      <c r="P284">
        <v>354</v>
      </c>
      <c r="Q284">
        <v>163</v>
      </c>
      <c r="R284">
        <v>169</v>
      </c>
      <c r="S284">
        <v>181</v>
      </c>
      <c r="T284">
        <v>225</v>
      </c>
      <c r="U284">
        <v>489</v>
      </c>
      <c r="V284">
        <v>1142</v>
      </c>
      <c r="W284">
        <v>649</v>
      </c>
      <c r="X284">
        <v>532</v>
      </c>
      <c r="Y284">
        <v>58</v>
      </c>
      <c r="Z284">
        <v>1065</v>
      </c>
      <c r="AA284">
        <v>1569</v>
      </c>
      <c r="AB284">
        <v>1473</v>
      </c>
      <c r="AC284">
        <v>829</v>
      </c>
    </row>
    <row r="285" spans="1:29" x14ac:dyDescent="0.2">
      <c r="A285" t="s">
        <v>735</v>
      </c>
      <c r="B285">
        <v>1</v>
      </c>
      <c r="C285" t="s">
        <v>234</v>
      </c>
      <c r="D285" t="s">
        <v>1538</v>
      </c>
      <c r="E285">
        <v>4</v>
      </c>
      <c r="F285">
        <v>406</v>
      </c>
      <c r="G285">
        <v>428</v>
      </c>
      <c r="H285">
        <v>241</v>
      </c>
      <c r="I285">
        <v>201</v>
      </c>
      <c r="J285">
        <v>208</v>
      </c>
      <c r="K285">
        <v>257</v>
      </c>
      <c r="L285">
        <v>545</v>
      </c>
      <c r="M285">
        <v>641</v>
      </c>
      <c r="N285">
        <v>317</v>
      </c>
      <c r="O285">
        <v>230</v>
      </c>
      <c r="P285">
        <v>322</v>
      </c>
      <c r="Q285">
        <v>134</v>
      </c>
      <c r="R285">
        <v>124</v>
      </c>
      <c r="S285">
        <v>164</v>
      </c>
      <c r="T285">
        <v>214</v>
      </c>
      <c r="U285">
        <v>551</v>
      </c>
      <c r="V285">
        <v>1237</v>
      </c>
      <c r="W285">
        <v>771</v>
      </c>
      <c r="X285">
        <v>681</v>
      </c>
      <c r="Y285">
        <v>65</v>
      </c>
      <c r="Z285">
        <v>1967</v>
      </c>
      <c r="AA285">
        <v>3133</v>
      </c>
      <c r="AB285">
        <v>4022</v>
      </c>
      <c r="AC285">
        <v>2898</v>
      </c>
    </row>
    <row r="286" spans="1:29" x14ac:dyDescent="0.2">
      <c r="A286" t="s">
        <v>735</v>
      </c>
      <c r="B286">
        <v>1</v>
      </c>
      <c r="C286" t="s">
        <v>234</v>
      </c>
      <c r="D286" t="s">
        <v>1539</v>
      </c>
      <c r="E286">
        <v>5</v>
      </c>
      <c r="F286">
        <v>213</v>
      </c>
      <c r="G286">
        <v>329</v>
      </c>
      <c r="H286">
        <v>89</v>
      </c>
      <c r="I286">
        <v>91</v>
      </c>
      <c r="J286">
        <v>75</v>
      </c>
      <c r="K286">
        <v>126</v>
      </c>
      <c r="L286">
        <v>396</v>
      </c>
      <c r="M286">
        <v>498</v>
      </c>
      <c r="N286">
        <v>117</v>
      </c>
      <c r="O286">
        <v>42</v>
      </c>
      <c r="P286">
        <v>163</v>
      </c>
      <c r="Q286">
        <v>55</v>
      </c>
      <c r="R286">
        <v>37</v>
      </c>
      <c r="S286">
        <v>136</v>
      </c>
      <c r="T286">
        <v>154</v>
      </c>
      <c r="U286">
        <v>493</v>
      </c>
      <c r="V286">
        <v>1177</v>
      </c>
      <c r="W286">
        <v>682</v>
      </c>
      <c r="X286">
        <v>637</v>
      </c>
      <c r="Y286">
        <v>-46</v>
      </c>
      <c r="Z286">
        <v>2458</v>
      </c>
      <c r="AA286">
        <v>4142</v>
      </c>
      <c r="AB286">
        <v>5569</v>
      </c>
      <c r="AC286">
        <v>3642</v>
      </c>
    </row>
    <row r="287" spans="1:29" x14ac:dyDescent="0.2">
      <c r="A287" t="s">
        <v>735</v>
      </c>
      <c r="B287">
        <v>1</v>
      </c>
      <c r="C287" t="s">
        <v>234</v>
      </c>
      <c r="D287" t="s">
        <v>1540</v>
      </c>
      <c r="E287">
        <v>6</v>
      </c>
      <c r="F287">
        <v>288</v>
      </c>
      <c r="G287">
        <v>336</v>
      </c>
      <c r="H287">
        <v>14</v>
      </c>
      <c r="I287">
        <v>93</v>
      </c>
      <c r="J287">
        <v>94</v>
      </c>
      <c r="K287">
        <v>201</v>
      </c>
      <c r="L287">
        <v>480</v>
      </c>
      <c r="M287">
        <v>552</v>
      </c>
      <c r="N287">
        <v>165</v>
      </c>
      <c r="O287">
        <v>3</v>
      </c>
      <c r="P287">
        <v>109</v>
      </c>
      <c r="Q287">
        <v>101</v>
      </c>
      <c r="R287">
        <v>38</v>
      </c>
      <c r="S287">
        <v>151</v>
      </c>
      <c r="T287">
        <v>277</v>
      </c>
      <c r="U287">
        <v>650</v>
      </c>
      <c r="V287">
        <v>1303</v>
      </c>
      <c r="W287">
        <v>875</v>
      </c>
      <c r="X287">
        <v>784</v>
      </c>
      <c r="Y287">
        <v>-198</v>
      </c>
      <c r="Z287">
        <v>2138</v>
      </c>
      <c r="AA287">
        <v>4733</v>
      </c>
      <c r="AB287">
        <v>6279</v>
      </c>
      <c r="AC287">
        <v>2880</v>
      </c>
    </row>
    <row r="288" spans="1:29" x14ac:dyDescent="0.2">
      <c r="A288" t="s">
        <v>735</v>
      </c>
      <c r="B288">
        <v>1</v>
      </c>
      <c r="C288" t="s">
        <v>234</v>
      </c>
      <c r="D288" t="s">
        <v>1541</v>
      </c>
      <c r="E288">
        <v>7</v>
      </c>
      <c r="F288">
        <v>535</v>
      </c>
      <c r="G288">
        <v>458</v>
      </c>
      <c r="H288">
        <v>112</v>
      </c>
      <c r="I288">
        <v>144</v>
      </c>
      <c r="J288">
        <v>107</v>
      </c>
      <c r="K288">
        <v>214</v>
      </c>
      <c r="L288">
        <v>551</v>
      </c>
      <c r="M288">
        <v>675</v>
      </c>
      <c r="N288">
        <v>310</v>
      </c>
      <c r="O288">
        <v>18</v>
      </c>
      <c r="P288">
        <v>287</v>
      </c>
      <c r="Q288">
        <v>170</v>
      </c>
      <c r="R288">
        <v>194</v>
      </c>
      <c r="S288">
        <v>341</v>
      </c>
      <c r="T288">
        <v>379</v>
      </c>
      <c r="U288">
        <v>817</v>
      </c>
      <c r="V288">
        <v>1590</v>
      </c>
      <c r="W288">
        <v>1211</v>
      </c>
      <c r="X288">
        <v>1073</v>
      </c>
      <c r="Y288">
        <v>-19</v>
      </c>
      <c r="Z288">
        <v>2456</v>
      </c>
      <c r="AA288">
        <v>6367</v>
      </c>
      <c r="AB288">
        <v>8358</v>
      </c>
      <c r="AC288">
        <v>3659</v>
      </c>
    </row>
    <row r="289" spans="1:29" x14ac:dyDescent="0.2">
      <c r="A289" t="s">
        <v>735</v>
      </c>
      <c r="B289">
        <v>1</v>
      </c>
      <c r="C289" t="s">
        <v>234</v>
      </c>
      <c r="D289" t="s">
        <v>1542</v>
      </c>
      <c r="E289">
        <v>8</v>
      </c>
      <c r="F289">
        <v>799</v>
      </c>
      <c r="G289">
        <v>610</v>
      </c>
      <c r="H289">
        <v>272</v>
      </c>
      <c r="I289">
        <v>256</v>
      </c>
      <c r="J289">
        <v>237</v>
      </c>
      <c r="K289">
        <v>334</v>
      </c>
      <c r="L289">
        <v>728</v>
      </c>
      <c r="M289">
        <v>856</v>
      </c>
      <c r="N289">
        <v>481</v>
      </c>
      <c r="O289">
        <v>107</v>
      </c>
      <c r="P289">
        <v>335</v>
      </c>
      <c r="Q289">
        <v>209</v>
      </c>
      <c r="R289">
        <v>282</v>
      </c>
      <c r="S289">
        <v>405</v>
      </c>
      <c r="T289">
        <v>553</v>
      </c>
      <c r="U289">
        <v>984</v>
      </c>
      <c r="V289">
        <v>1761</v>
      </c>
      <c r="W289">
        <v>1490</v>
      </c>
      <c r="X289">
        <v>1274</v>
      </c>
      <c r="Y289">
        <v>220</v>
      </c>
      <c r="Z289">
        <v>2239</v>
      </c>
      <c r="AA289">
        <v>6330</v>
      </c>
      <c r="AB289">
        <v>8174</v>
      </c>
      <c r="AC289">
        <v>2664</v>
      </c>
    </row>
    <row r="290" spans="1:29" x14ac:dyDescent="0.2">
      <c r="A290" t="s">
        <v>735</v>
      </c>
      <c r="B290">
        <v>1</v>
      </c>
      <c r="C290" t="s">
        <v>234</v>
      </c>
      <c r="D290" t="s">
        <v>1543</v>
      </c>
      <c r="E290">
        <v>9</v>
      </c>
      <c r="F290">
        <v>584</v>
      </c>
      <c r="G290">
        <v>378</v>
      </c>
      <c r="H290">
        <v>0</v>
      </c>
      <c r="I290">
        <v>145</v>
      </c>
      <c r="J290">
        <v>198</v>
      </c>
      <c r="K290">
        <v>304</v>
      </c>
      <c r="L290">
        <v>641</v>
      </c>
      <c r="M290">
        <v>691</v>
      </c>
      <c r="N290">
        <v>189</v>
      </c>
      <c r="O290">
        <v>-63</v>
      </c>
      <c r="P290">
        <v>281</v>
      </c>
      <c r="Q290">
        <v>210</v>
      </c>
      <c r="R290">
        <v>228</v>
      </c>
      <c r="S290">
        <v>299</v>
      </c>
      <c r="T290">
        <v>416</v>
      </c>
      <c r="U290">
        <v>754</v>
      </c>
      <c r="V290">
        <v>1596</v>
      </c>
      <c r="W290">
        <v>1252</v>
      </c>
      <c r="X290">
        <v>1128</v>
      </c>
      <c r="Y290">
        <v>58</v>
      </c>
      <c r="Z290">
        <v>2339</v>
      </c>
      <c r="AA290">
        <v>6474</v>
      </c>
      <c r="AB290">
        <v>8102</v>
      </c>
      <c r="AC290">
        <v>2142</v>
      </c>
    </row>
    <row r="291" spans="1:29" x14ac:dyDescent="0.2">
      <c r="A291" t="s">
        <v>735</v>
      </c>
      <c r="B291">
        <v>1</v>
      </c>
      <c r="C291" t="s">
        <v>234</v>
      </c>
      <c r="D291" t="s">
        <v>1544</v>
      </c>
      <c r="E291">
        <v>10</v>
      </c>
      <c r="F291">
        <v>260</v>
      </c>
      <c r="G291">
        <v>64</v>
      </c>
      <c r="H291">
        <v>-114</v>
      </c>
      <c r="I291">
        <v>-110</v>
      </c>
      <c r="J291">
        <v>46</v>
      </c>
      <c r="K291">
        <v>199</v>
      </c>
      <c r="L291">
        <v>448</v>
      </c>
      <c r="M291">
        <v>574</v>
      </c>
      <c r="N291">
        <v>128</v>
      </c>
      <c r="O291">
        <v>-286</v>
      </c>
      <c r="P291">
        <v>33</v>
      </c>
      <c r="Q291">
        <v>2</v>
      </c>
      <c r="R291">
        <v>-27</v>
      </c>
      <c r="S291">
        <v>103</v>
      </c>
      <c r="T291">
        <v>175</v>
      </c>
      <c r="U291">
        <v>683</v>
      </c>
      <c r="V291">
        <v>1416</v>
      </c>
      <c r="W291">
        <v>1143</v>
      </c>
      <c r="X291">
        <v>973</v>
      </c>
      <c r="Y291">
        <v>-332</v>
      </c>
      <c r="Z291">
        <v>1950</v>
      </c>
      <c r="AA291">
        <v>6177</v>
      </c>
      <c r="AB291">
        <v>7373</v>
      </c>
      <c r="AC291">
        <v>1071</v>
      </c>
    </row>
    <row r="292" spans="1:29" x14ac:dyDescent="0.2">
      <c r="A292" t="s">
        <v>735</v>
      </c>
      <c r="B292">
        <v>1</v>
      </c>
      <c r="C292" t="s">
        <v>234</v>
      </c>
      <c r="D292" t="s">
        <v>1545</v>
      </c>
      <c r="E292">
        <v>11</v>
      </c>
      <c r="F292">
        <v>262</v>
      </c>
      <c r="G292">
        <v>88</v>
      </c>
      <c r="H292">
        <v>-48</v>
      </c>
      <c r="I292">
        <v>19</v>
      </c>
      <c r="J292">
        <v>108</v>
      </c>
      <c r="K292">
        <v>245</v>
      </c>
      <c r="L292">
        <v>481</v>
      </c>
      <c r="M292">
        <v>564</v>
      </c>
      <c r="N292">
        <v>65</v>
      </c>
      <c r="O292">
        <v>-399</v>
      </c>
      <c r="P292">
        <v>134</v>
      </c>
      <c r="Q292">
        <v>49</v>
      </c>
      <c r="R292">
        <v>-41</v>
      </c>
      <c r="S292">
        <v>106</v>
      </c>
      <c r="T292">
        <v>145</v>
      </c>
      <c r="U292">
        <v>505</v>
      </c>
      <c r="V292">
        <v>1160</v>
      </c>
      <c r="W292">
        <v>980</v>
      </c>
      <c r="X292">
        <v>787</v>
      </c>
      <c r="Y292">
        <v>-484</v>
      </c>
      <c r="Z292">
        <v>1382</v>
      </c>
      <c r="AA292">
        <v>5351</v>
      </c>
      <c r="AB292">
        <v>7025</v>
      </c>
      <c r="AC292">
        <v>621</v>
      </c>
    </row>
    <row r="293" spans="1:29" x14ac:dyDescent="0.2">
      <c r="A293" t="s">
        <v>735</v>
      </c>
      <c r="B293">
        <v>1</v>
      </c>
      <c r="C293" t="s">
        <v>234</v>
      </c>
      <c r="D293" t="s">
        <v>1546</v>
      </c>
      <c r="E293">
        <v>12</v>
      </c>
      <c r="F293">
        <v>366</v>
      </c>
      <c r="G293">
        <v>175</v>
      </c>
      <c r="H293">
        <v>-37</v>
      </c>
      <c r="I293">
        <v>119</v>
      </c>
      <c r="J293">
        <v>262</v>
      </c>
      <c r="K293">
        <v>640</v>
      </c>
      <c r="L293">
        <v>619</v>
      </c>
      <c r="M293">
        <v>657</v>
      </c>
      <c r="N293">
        <v>148</v>
      </c>
      <c r="O293">
        <v>-293</v>
      </c>
      <c r="P293">
        <v>104</v>
      </c>
      <c r="Q293">
        <v>10</v>
      </c>
      <c r="R293">
        <v>112</v>
      </c>
      <c r="S293">
        <v>45</v>
      </c>
      <c r="T293">
        <v>51</v>
      </c>
      <c r="U293">
        <v>574</v>
      </c>
      <c r="V293">
        <v>1272</v>
      </c>
      <c r="W293">
        <v>1037</v>
      </c>
      <c r="X293">
        <v>800</v>
      </c>
      <c r="Y293">
        <v>-546</v>
      </c>
      <c r="Z293">
        <v>1292</v>
      </c>
      <c r="AA293">
        <v>5152</v>
      </c>
      <c r="AB293">
        <v>6455</v>
      </c>
      <c r="AC293">
        <v>28</v>
      </c>
    </row>
    <row r="294" spans="1:29" x14ac:dyDescent="0.2">
      <c r="A294" t="s">
        <v>735</v>
      </c>
      <c r="B294">
        <v>1</v>
      </c>
      <c r="C294" t="s">
        <v>234</v>
      </c>
      <c r="D294" t="s">
        <v>1547</v>
      </c>
      <c r="E294">
        <v>13</v>
      </c>
      <c r="F294">
        <v>261</v>
      </c>
      <c r="G294">
        <v>252</v>
      </c>
      <c r="H294">
        <v>93</v>
      </c>
      <c r="I294">
        <v>165</v>
      </c>
      <c r="J294">
        <v>373</v>
      </c>
      <c r="K294">
        <v>712</v>
      </c>
      <c r="L294">
        <v>417</v>
      </c>
      <c r="M294">
        <v>533</v>
      </c>
      <c r="N294">
        <v>-30</v>
      </c>
      <c r="O294">
        <v>-386</v>
      </c>
      <c r="P294">
        <v>53</v>
      </c>
      <c r="Q294">
        <v>9</v>
      </c>
      <c r="R294">
        <v>-52</v>
      </c>
      <c r="S294">
        <v>-12</v>
      </c>
      <c r="T294">
        <v>180</v>
      </c>
      <c r="U294">
        <v>435</v>
      </c>
      <c r="V294">
        <v>1066</v>
      </c>
      <c r="W294">
        <v>990</v>
      </c>
      <c r="X294">
        <v>810</v>
      </c>
      <c r="Y294">
        <v>-547</v>
      </c>
      <c r="Z294">
        <v>1068</v>
      </c>
      <c r="AA294">
        <v>4573</v>
      </c>
      <c r="AB294">
        <v>5991</v>
      </c>
      <c r="AC294">
        <v>-32</v>
      </c>
    </row>
    <row r="295" spans="1:29" x14ac:dyDescent="0.2">
      <c r="A295" t="s">
        <v>735</v>
      </c>
      <c r="B295">
        <v>1</v>
      </c>
      <c r="C295" t="s">
        <v>234</v>
      </c>
      <c r="D295" t="s">
        <v>1416</v>
      </c>
      <c r="E295">
        <v>14</v>
      </c>
      <c r="F295">
        <v>353</v>
      </c>
      <c r="G295">
        <v>290</v>
      </c>
      <c r="H295">
        <v>-15</v>
      </c>
      <c r="I295">
        <v>-37</v>
      </c>
      <c r="J295">
        <v>-9</v>
      </c>
      <c r="K295">
        <v>217</v>
      </c>
      <c r="L295">
        <v>-174</v>
      </c>
      <c r="M295">
        <v>26</v>
      </c>
      <c r="N295">
        <v>-394</v>
      </c>
      <c r="O295">
        <v>-634</v>
      </c>
      <c r="P295">
        <v>-108</v>
      </c>
      <c r="Q295">
        <v>-165</v>
      </c>
      <c r="R295">
        <v>-196</v>
      </c>
      <c r="S295">
        <v>40</v>
      </c>
      <c r="T295">
        <v>19</v>
      </c>
      <c r="U295">
        <v>435</v>
      </c>
      <c r="V295">
        <v>1037</v>
      </c>
      <c r="W295">
        <v>848</v>
      </c>
      <c r="X295">
        <v>753</v>
      </c>
      <c r="Y295">
        <v>-689</v>
      </c>
      <c r="Z295">
        <v>1325</v>
      </c>
      <c r="AA295">
        <v>4762</v>
      </c>
      <c r="AB295">
        <v>6714</v>
      </c>
      <c r="AC295">
        <v>1016</v>
      </c>
    </row>
    <row r="296" spans="1:29" x14ac:dyDescent="0.2">
      <c r="A296" t="s">
        <v>735</v>
      </c>
      <c r="B296">
        <v>1</v>
      </c>
      <c r="C296" t="s">
        <v>234</v>
      </c>
      <c r="D296" t="s">
        <v>1548</v>
      </c>
      <c r="E296">
        <v>15</v>
      </c>
      <c r="F296">
        <v>556</v>
      </c>
      <c r="G296">
        <v>399</v>
      </c>
      <c r="H296">
        <v>-27</v>
      </c>
      <c r="I296">
        <v>-64</v>
      </c>
      <c r="J296">
        <v>-94</v>
      </c>
      <c r="K296">
        <v>94</v>
      </c>
      <c r="L296">
        <v>-220</v>
      </c>
      <c r="M296">
        <v>-22</v>
      </c>
      <c r="N296">
        <v>-321</v>
      </c>
      <c r="O296">
        <v>-515</v>
      </c>
      <c r="P296">
        <v>3</v>
      </c>
      <c r="Q296">
        <v>-51</v>
      </c>
      <c r="R296">
        <v>48</v>
      </c>
      <c r="S296">
        <v>256</v>
      </c>
      <c r="T296">
        <v>251</v>
      </c>
      <c r="U296">
        <v>512</v>
      </c>
      <c r="V296">
        <v>1224</v>
      </c>
      <c r="W296">
        <v>1046</v>
      </c>
      <c r="X296">
        <v>912</v>
      </c>
      <c r="Y296">
        <v>-598</v>
      </c>
      <c r="Z296">
        <v>978</v>
      </c>
      <c r="AA296">
        <v>3933</v>
      </c>
      <c r="AB296">
        <v>5344</v>
      </c>
      <c r="AC296">
        <v>2</v>
      </c>
    </row>
    <row r="297" spans="1:29" x14ac:dyDescent="0.2">
      <c r="A297" t="s">
        <v>735</v>
      </c>
      <c r="B297">
        <v>1</v>
      </c>
      <c r="C297" t="s">
        <v>234</v>
      </c>
      <c r="D297" t="s">
        <v>1549</v>
      </c>
      <c r="E297">
        <v>16</v>
      </c>
      <c r="F297">
        <v>675</v>
      </c>
      <c r="G297">
        <v>622</v>
      </c>
      <c r="H297">
        <v>388</v>
      </c>
      <c r="I297">
        <v>277</v>
      </c>
      <c r="J297">
        <v>368</v>
      </c>
      <c r="K297">
        <v>565</v>
      </c>
      <c r="L297">
        <v>396</v>
      </c>
      <c r="M297">
        <v>528</v>
      </c>
      <c r="N297">
        <v>206</v>
      </c>
      <c r="O297">
        <v>-72</v>
      </c>
      <c r="P297">
        <v>464</v>
      </c>
      <c r="Q297">
        <v>558</v>
      </c>
      <c r="R297">
        <v>625</v>
      </c>
      <c r="S297">
        <v>893</v>
      </c>
      <c r="T297">
        <v>918</v>
      </c>
      <c r="U297">
        <v>1414</v>
      </c>
      <c r="V297">
        <v>1789</v>
      </c>
      <c r="W297">
        <v>1830</v>
      </c>
      <c r="X297">
        <v>1359</v>
      </c>
      <c r="Y297">
        <v>-419</v>
      </c>
      <c r="Z297">
        <v>1501</v>
      </c>
      <c r="AA297">
        <v>4414</v>
      </c>
      <c r="AB297">
        <v>6027</v>
      </c>
      <c r="AC297">
        <v>471</v>
      </c>
    </row>
    <row r="298" spans="1:29" x14ac:dyDescent="0.2">
      <c r="A298" t="s">
        <v>735</v>
      </c>
      <c r="B298">
        <v>1</v>
      </c>
      <c r="C298" t="s">
        <v>234</v>
      </c>
      <c r="D298" t="s">
        <v>1550</v>
      </c>
      <c r="E298">
        <v>17</v>
      </c>
      <c r="F298">
        <v>954</v>
      </c>
      <c r="G298">
        <v>929</v>
      </c>
      <c r="H298">
        <v>723</v>
      </c>
      <c r="I298">
        <v>503</v>
      </c>
      <c r="J298">
        <v>620</v>
      </c>
      <c r="K298">
        <v>718</v>
      </c>
      <c r="L298">
        <v>606</v>
      </c>
      <c r="M298">
        <v>857</v>
      </c>
      <c r="N298">
        <v>569</v>
      </c>
      <c r="O298">
        <v>586</v>
      </c>
      <c r="P298">
        <v>1270</v>
      </c>
      <c r="Q298">
        <v>1392</v>
      </c>
      <c r="R298">
        <v>1804</v>
      </c>
      <c r="S298">
        <v>2313</v>
      </c>
      <c r="T298">
        <v>2673</v>
      </c>
      <c r="U298">
        <v>2963</v>
      </c>
      <c r="V298">
        <v>3768</v>
      </c>
      <c r="W298">
        <v>3278</v>
      </c>
      <c r="X298">
        <v>2875</v>
      </c>
      <c r="Y298">
        <v>164</v>
      </c>
      <c r="Z298">
        <v>2895</v>
      </c>
      <c r="AA298">
        <v>5863</v>
      </c>
      <c r="AB298">
        <v>8020</v>
      </c>
      <c r="AC298">
        <v>1853</v>
      </c>
    </row>
    <row r="299" spans="1:29" x14ac:dyDescent="0.2">
      <c r="A299" t="s">
        <v>735</v>
      </c>
      <c r="B299">
        <v>1</v>
      </c>
      <c r="C299" t="s">
        <v>234</v>
      </c>
      <c r="D299" t="s">
        <v>1551</v>
      </c>
      <c r="E299">
        <v>18</v>
      </c>
      <c r="F299">
        <v>1513</v>
      </c>
      <c r="G299">
        <v>1465</v>
      </c>
      <c r="H299">
        <v>1092</v>
      </c>
      <c r="I299">
        <v>1103</v>
      </c>
      <c r="J299">
        <v>1101</v>
      </c>
      <c r="K299">
        <v>1404</v>
      </c>
      <c r="L299">
        <v>1471</v>
      </c>
      <c r="M299">
        <v>2013</v>
      </c>
      <c r="N299">
        <v>1692</v>
      </c>
      <c r="O299">
        <v>2004</v>
      </c>
      <c r="P299">
        <v>2893</v>
      </c>
      <c r="Q299">
        <v>3064</v>
      </c>
      <c r="R299">
        <v>3635</v>
      </c>
      <c r="S299">
        <v>3975</v>
      </c>
      <c r="T299">
        <v>4847</v>
      </c>
      <c r="U299">
        <v>5524</v>
      </c>
      <c r="V299">
        <v>5953</v>
      </c>
      <c r="W299">
        <v>5825</v>
      </c>
      <c r="X299">
        <v>4543</v>
      </c>
      <c r="Y299">
        <v>838</v>
      </c>
      <c r="Z299">
        <v>5921</v>
      </c>
      <c r="AA299">
        <v>7782</v>
      </c>
      <c r="AB299">
        <v>9890</v>
      </c>
      <c r="AC299">
        <v>3813</v>
      </c>
    </row>
    <row r="300" spans="1:29" x14ac:dyDescent="0.2">
      <c r="A300" t="s">
        <v>735</v>
      </c>
      <c r="B300">
        <v>1</v>
      </c>
      <c r="C300" t="s">
        <v>234</v>
      </c>
      <c r="D300" t="s">
        <v>1552</v>
      </c>
      <c r="E300">
        <v>19</v>
      </c>
      <c r="F300">
        <v>2178</v>
      </c>
      <c r="G300">
        <v>1904</v>
      </c>
      <c r="H300">
        <v>1574</v>
      </c>
      <c r="I300">
        <v>1716</v>
      </c>
      <c r="J300">
        <v>1997</v>
      </c>
      <c r="K300">
        <v>2364</v>
      </c>
      <c r="L300">
        <v>2508</v>
      </c>
      <c r="M300">
        <v>2848</v>
      </c>
      <c r="N300">
        <v>2594</v>
      </c>
      <c r="O300">
        <v>3092</v>
      </c>
      <c r="P300">
        <v>3705</v>
      </c>
      <c r="Q300">
        <v>3602</v>
      </c>
      <c r="R300">
        <v>4371</v>
      </c>
      <c r="S300">
        <v>4591</v>
      </c>
      <c r="T300">
        <v>5257</v>
      </c>
      <c r="U300">
        <v>6540</v>
      </c>
      <c r="V300">
        <v>8081</v>
      </c>
      <c r="W300">
        <v>6881</v>
      </c>
      <c r="X300">
        <v>4528</v>
      </c>
      <c r="Y300">
        <v>139</v>
      </c>
      <c r="Z300">
        <v>6491</v>
      </c>
      <c r="AA300">
        <v>7250</v>
      </c>
      <c r="AB300">
        <v>9146</v>
      </c>
      <c r="AC300">
        <v>2715</v>
      </c>
    </row>
    <row r="301" spans="1:29" x14ac:dyDescent="0.2">
      <c r="A301" t="s">
        <v>735</v>
      </c>
      <c r="B301">
        <v>1</v>
      </c>
      <c r="C301" t="s">
        <v>234</v>
      </c>
      <c r="D301" t="s">
        <v>1553</v>
      </c>
      <c r="E301">
        <v>20</v>
      </c>
      <c r="F301">
        <v>3146</v>
      </c>
      <c r="G301">
        <v>2844</v>
      </c>
      <c r="H301">
        <v>2281</v>
      </c>
      <c r="I301">
        <v>2343</v>
      </c>
      <c r="J301">
        <v>2602</v>
      </c>
      <c r="K301">
        <v>3140</v>
      </c>
      <c r="L301">
        <v>3805</v>
      </c>
      <c r="M301">
        <v>4411</v>
      </c>
      <c r="N301">
        <v>4569</v>
      </c>
      <c r="O301">
        <v>5429</v>
      </c>
      <c r="P301">
        <v>6749</v>
      </c>
      <c r="Q301">
        <v>7064</v>
      </c>
      <c r="R301">
        <v>8434</v>
      </c>
      <c r="S301">
        <v>8782</v>
      </c>
      <c r="T301">
        <v>10639</v>
      </c>
      <c r="U301">
        <v>14495</v>
      </c>
      <c r="V301">
        <v>19548</v>
      </c>
      <c r="W301">
        <v>18564</v>
      </c>
      <c r="X301">
        <v>14537</v>
      </c>
      <c r="Y301">
        <v>1737</v>
      </c>
      <c r="Z301">
        <v>16450</v>
      </c>
      <c r="AA301">
        <v>20743</v>
      </c>
      <c r="AB301">
        <v>23207</v>
      </c>
      <c r="AC301">
        <v>7384</v>
      </c>
    </row>
    <row r="302" spans="1:29" x14ac:dyDescent="0.2">
      <c r="A302" t="s">
        <v>735</v>
      </c>
      <c r="B302">
        <v>1</v>
      </c>
      <c r="C302" t="s">
        <v>234</v>
      </c>
      <c r="D302" t="s">
        <v>1554</v>
      </c>
      <c r="E302">
        <v>21</v>
      </c>
      <c r="F302">
        <v>6391</v>
      </c>
      <c r="G302">
        <v>6069</v>
      </c>
      <c r="H302">
        <v>4999</v>
      </c>
      <c r="I302">
        <v>4923</v>
      </c>
      <c r="J302">
        <v>5201</v>
      </c>
      <c r="K302">
        <v>6430</v>
      </c>
      <c r="L302">
        <v>7279</v>
      </c>
      <c r="M302">
        <v>8257</v>
      </c>
      <c r="N302">
        <v>8957</v>
      </c>
      <c r="O302">
        <v>9392</v>
      </c>
      <c r="P302">
        <v>10809</v>
      </c>
      <c r="Q302">
        <v>10900</v>
      </c>
      <c r="R302">
        <v>12477</v>
      </c>
      <c r="S302">
        <v>12785</v>
      </c>
      <c r="T302">
        <v>16411</v>
      </c>
      <c r="U302">
        <v>23561</v>
      </c>
      <c r="V302">
        <v>30614</v>
      </c>
      <c r="W302">
        <v>29924</v>
      </c>
      <c r="X302">
        <v>27619</v>
      </c>
      <c r="Y302">
        <v>7027</v>
      </c>
      <c r="Z302">
        <v>38593</v>
      </c>
      <c r="AA302">
        <v>48806</v>
      </c>
      <c r="AB302">
        <v>54908</v>
      </c>
      <c r="AC302">
        <v>20408</v>
      </c>
    </row>
    <row r="303" spans="1:29" x14ac:dyDescent="0.2">
      <c r="A303" t="s">
        <v>735</v>
      </c>
      <c r="B303">
        <v>1</v>
      </c>
      <c r="C303" t="s">
        <v>234</v>
      </c>
      <c r="D303" t="s">
        <v>1555</v>
      </c>
      <c r="E303">
        <v>22</v>
      </c>
      <c r="F303">
        <v>4588</v>
      </c>
      <c r="G303">
        <v>4782</v>
      </c>
      <c r="H303">
        <v>3466</v>
      </c>
      <c r="I303">
        <v>3296</v>
      </c>
      <c r="J303">
        <v>3475</v>
      </c>
      <c r="K303">
        <v>4315</v>
      </c>
      <c r="L303">
        <v>4519</v>
      </c>
      <c r="M303">
        <v>5911</v>
      </c>
      <c r="N303">
        <v>6943</v>
      </c>
      <c r="O303">
        <v>6542</v>
      </c>
      <c r="P303">
        <v>7589</v>
      </c>
      <c r="Q303">
        <v>6599</v>
      </c>
      <c r="R303">
        <v>7306</v>
      </c>
      <c r="S303">
        <v>6358</v>
      </c>
      <c r="T303">
        <v>9657</v>
      </c>
      <c r="U303">
        <v>14001</v>
      </c>
      <c r="V303">
        <v>18505</v>
      </c>
      <c r="W303">
        <v>16989</v>
      </c>
      <c r="X303">
        <v>13210</v>
      </c>
      <c r="Y303">
        <v>5309</v>
      </c>
      <c r="Z303">
        <v>39989</v>
      </c>
      <c r="AA303">
        <v>44623</v>
      </c>
      <c r="AB303">
        <v>52563</v>
      </c>
      <c r="AC303">
        <v>14542</v>
      </c>
    </row>
    <row r="304" spans="1:29" x14ac:dyDescent="0.2">
      <c r="A304" t="s">
        <v>735</v>
      </c>
      <c r="B304">
        <v>1</v>
      </c>
      <c r="C304" t="s">
        <v>234</v>
      </c>
      <c r="D304" t="s">
        <v>1556</v>
      </c>
      <c r="E304">
        <v>23</v>
      </c>
      <c r="F304">
        <v>3560</v>
      </c>
      <c r="G304">
        <v>3583</v>
      </c>
      <c r="H304">
        <v>2405</v>
      </c>
      <c r="I304">
        <v>2331</v>
      </c>
      <c r="J304">
        <v>2400</v>
      </c>
      <c r="K304">
        <v>2971</v>
      </c>
      <c r="L304">
        <v>3042</v>
      </c>
      <c r="M304">
        <v>4470</v>
      </c>
      <c r="N304">
        <v>5108</v>
      </c>
      <c r="O304">
        <v>4649</v>
      </c>
      <c r="P304">
        <v>4777</v>
      </c>
      <c r="Q304">
        <v>4454</v>
      </c>
      <c r="R304">
        <v>5752</v>
      </c>
      <c r="S304">
        <v>3412</v>
      </c>
      <c r="T304">
        <v>7017</v>
      </c>
      <c r="U304">
        <v>9398</v>
      </c>
      <c r="V304">
        <v>12178</v>
      </c>
      <c r="W304">
        <v>11115</v>
      </c>
      <c r="X304">
        <v>3659</v>
      </c>
      <c r="Y304">
        <v>309</v>
      </c>
      <c r="Z304">
        <v>21873</v>
      </c>
      <c r="AA304">
        <v>32525</v>
      </c>
      <c r="AB304">
        <v>35362</v>
      </c>
      <c r="AC304">
        <v>2621</v>
      </c>
    </row>
    <row r="305" spans="1:29" x14ac:dyDescent="0.2">
      <c r="A305" t="s">
        <v>735</v>
      </c>
      <c r="B305">
        <v>1</v>
      </c>
      <c r="C305" t="s">
        <v>234</v>
      </c>
      <c r="D305" t="s">
        <v>1417</v>
      </c>
      <c r="E305">
        <v>24</v>
      </c>
      <c r="F305">
        <v>2720</v>
      </c>
      <c r="G305">
        <v>2056</v>
      </c>
      <c r="H305">
        <v>1504</v>
      </c>
      <c r="I305">
        <v>984</v>
      </c>
      <c r="J305">
        <v>1373</v>
      </c>
      <c r="K305">
        <v>1592</v>
      </c>
      <c r="L305">
        <v>1851</v>
      </c>
      <c r="M305">
        <v>3540</v>
      </c>
      <c r="N305">
        <v>4163</v>
      </c>
      <c r="O305">
        <v>3697</v>
      </c>
      <c r="P305">
        <v>4716</v>
      </c>
      <c r="Q305">
        <v>4337</v>
      </c>
      <c r="R305">
        <v>4509</v>
      </c>
      <c r="S305">
        <v>2004</v>
      </c>
      <c r="T305">
        <v>4895</v>
      </c>
      <c r="U305">
        <v>8567</v>
      </c>
      <c r="V305">
        <v>11367</v>
      </c>
      <c r="W305">
        <v>9915</v>
      </c>
      <c r="X305">
        <v>2626</v>
      </c>
      <c r="Y305">
        <v>-2632</v>
      </c>
      <c r="Z305">
        <v>14730</v>
      </c>
      <c r="AA305">
        <v>27712</v>
      </c>
      <c r="AB305">
        <v>32266</v>
      </c>
      <c r="AC305">
        <v>378</v>
      </c>
    </row>
    <row r="306" spans="1:29" x14ac:dyDescent="0.2">
      <c r="A306" t="s">
        <v>735</v>
      </c>
      <c r="B306">
        <v>1</v>
      </c>
      <c r="C306" t="s">
        <v>234</v>
      </c>
      <c r="D306" t="s">
        <v>1418</v>
      </c>
      <c r="E306">
        <v>25</v>
      </c>
      <c r="F306">
        <v>1650</v>
      </c>
      <c r="G306">
        <v>1467</v>
      </c>
      <c r="H306">
        <v>915</v>
      </c>
      <c r="I306">
        <v>278</v>
      </c>
      <c r="J306">
        <v>364</v>
      </c>
      <c r="K306">
        <v>622</v>
      </c>
      <c r="L306">
        <v>1382</v>
      </c>
      <c r="M306">
        <v>3789</v>
      </c>
      <c r="N306">
        <v>4340</v>
      </c>
      <c r="O306">
        <v>3601</v>
      </c>
      <c r="P306">
        <v>4699</v>
      </c>
      <c r="Q306">
        <v>4785</v>
      </c>
      <c r="R306">
        <v>4389</v>
      </c>
      <c r="S306">
        <v>1667</v>
      </c>
      <c r="T306">
        <v>5499</v>
      </c>
      <c r="U306">
        <v>9299</v>
      </c>
      <c r="V306">
        <v>12052</v>
      </c>
      <c r="W306">
        <v>11749</v>
      </c>
      <c r="X306">
        <v>6052</v>
      </c>
      <c r="Y306">
        <v>-1470</v>
      </c>
      <c r="Z306">
        <v>11977</v>
      </c>
      <c r="AA306">
        <v>27340</v>
      </c>
      <c r="AB306">
        <v>30347</v>
      </c>
      <c r="AC306">
        <v>-1477</v>
      </c>
    </row>
    <row r="307" spans="1:29" x14ac:dyDescent="0.2">
      <c r="A307" t="s">
        <v>735</v>
      </c>
      <c r="B307">
        <v>1</v>
      </c>
      <c r="C307" t="s">
        <v>234</v>
      </c>
      <c r="D307" t="s">
        <v>1419</v>
      </c>
      <c r="E307">
        <v>26</v>
      </c>
      <c r="F307">
        <v>1225</v>
      </c>
      <c r="G307">
        <v>927</v>
      </c>
      <c r="H307">
        <v>27</v>
      </c>
      <c r="I307">
        <v>-449</v>
      </c>
      <c r="J307">
        <v>-556</v>
      </c>
      <c r="K307">
        <v>274</v>
      </c>
      <c r="L307">
        <v>1296</v>
      </c>
      <c r="M307">
        <v>3296</v>
      </c>
      <c r="N307">
        <v>3505</v>
      </c>
      <c r="O307">
        <v>2370</v>
      </c>
      <c r="P307">
        <v>3272</v>
      </c>
      <c r="Q307">
        <v>3001</v>
      </c>
      <c r="R307">
        <v>2754</v>
      </c>
      <c r="S307">
        <v>543</v>
      </c>
      <c r="T307">
        <v>4186</v>
      </c>
      <c r="U307">
        <v>7392</v>
      </c>
      <c r="V307">
        <v>9243</v>
      </c>
      <c r="W307">
        <v>9841</v>
      </c>
      <c r="X307">
        <v>3824</v>
      </c>
      <c r="Y307">
        <v>-2519</v>
      </c>
      <c r="Z307">
        <v>11177</v>
      </c>
      <c r="AA307">
        <v>27198</v>
      </c>
      <c r="AB307">
        <v>28474</v>
      </c>
      <c r="AC307">
        <v>-5815</v>
      </c>
    </row>
    <row r="308" spans="1:29" x14ac:dyDescent="0.2">
      <c r="A308" t="s">
        <v>735</v>
      </c>
      <c r="B308">
        <v>1</v>
      </c>
      <c r="C308" t="s">
        <v>234</v>
      </c>
      <c r="D308" t="s">
        <v>1557</v>
      </c>
      <c r="E308">
        <v>27</v>
      </c>
      <c r="F308">
        <v>91</v>
      </c>
      <c r="G308">
        <v>502</v>
      </c>
      <c r="H308">
        <v>-93</v>
      </c>
      <c r="I308">
        <v>-354</v>
      </c>
      <c r="J308">
        <v>-632</v>
      </c>
      <c r="K308">
        <v>-369</v>
      </c>
      <c r="L308">
        <v>529</v>
      </c>
      <c r="M308">
        <v>2393</v>
      </c>
      <c r="N308">
        <v>2362</v>
      </c>
      <c r="O308">
        <v>619</v>
      </c>
      <c r="P308">
        <v>1663</v>
      </c>
      <c r="Q308">
        <v>1320</v>
      </c>
      <c r="R308">
        <v>1096</v>
      </c>
      <c r="S308">
        <v>-1166</v>
      </c>
      <c r="T308">
        <v>1646</v>
      </c>
      <c r="U308">
        <v>4160</v>
      </c>
      <c r="V308">
        <v>5252</v>
      </c>
      <c r="W308">
        <v>5768</v>
      </c>
      <c r="X308">
        <v>693</v>
      </c>
      <c r="Y308">
        <v>-5271</v>
      </c>
      <c r="Z308">
        <v>6889</v>
      </c>
      <c r="AA308">
        <v>27287</v>
      </c>
      <c r="AB308">
        <v>24443</v>
      </c>
      <c r="AC308">
        <v>-9201</v>
      </c>
    </row>
    <row r="309" spans="1:29" x14ac:dyDescent="0.2">
      <c r="A309" t="s">
        <v>735</v>
      </c>
      <c r="B309">
        <v>1</v>
      </c>
      <c r="C309" t="s">
        <v>234</v>
      </c>
      <c r="D309" t="s">
        <v>1558</v>
      </c>
      <c r="E309">
        <v>28</v>
      </c>
      <c r="F309">
        <v>199</v>
      </c>
      <c r="G309">
        <v>266</v>
      </c>
      <c r="H309">
        <v>-630</v>
      </c>
      <c r="I309">
        <v>-829</v>
      </c>
      <c r="J309">
        <v>-631</v>
      </c>
      <c r="K309">
        <v>-249</v>
      </c>
      <c r="L309">
        <v>78</v>
      </c>
      <c r="M309">
        <v>1420</v>
      </c>
      <c r="N309">
        <v>1094</v>
      </c>
      <c r="O309">
        <v>-558</v>
      </c>
      <c r="P309">
        <v>637</v>
      </c>
      <c r="Q309">
        <v>520</v>
      </c>
      <c r="R309">
        <v>-447</v>
      </c>
      <c r="S309">
        <v>-2981</v>
      </c>
      <c r="T309">
        <v>-131</v>
      </c>
      <c r="U309">
        <v>1655</v>
      </c>
      <c r="V309">
        <v>2316</v>
      </c>
      <c r="W309">
        <v>2817</v>
      </c>
      <c r="X309">
        <v>-1878</v>
      </c>
      <c r="Y309">
        <v>-7428</v>
      </c>
      <c r="Z309">
        <v>1893</v>
      </c>
      <c r="AA309">
        <v>24511</v>
      </c>
      <c r="AB309">
        <v>23073</v>
      </c>
      <c r="AC309">
        <v>-10229</v>
      </c>
    </row>
    <row r="310" spans="1:29" x14ac:dyDescent="0.2">
      <c r="A310" t="s">
        <v>735</v>
      </c>
      <c r="B310">
        <v>1</v>
      </c>
      <c r="C310" t="s">
        <v>234</v>
      </c>
      <c r="D310" t="s">
        <v>1559</v>
      </c>
      <c r="E310">
        <v>29</v>
      </c>
      <c r="F310">
        <v>-240</v>
      </c>
      <c r="G310">
        <v>269</v>
      </c>
      <c r="H310">
        <v>-616</v>
      </c>
      <c r="I310">
        <v>-555</v>
      </c>
      <c r="J310">
        <v>-522</v>
      </c>
      <c r="K310">
        <v>-403</v>
      </c>
      <c r="L310">
        <v>497</v>
      </c>
      <c r="M310">
        <v>1613</v>
      </c>
      <c r="N310">
        <v>163</v>
      </c>
      <c r="O310">
        <v>-1422</v>
      </c>
      <c r="P310">
        <v>71</v>
      </c>
      <c r="Q310">
        <v>375</v>
      </c>
      <c r="R310">
        <v>-1374</v>
      </c>
      <c r="S310">
        <v>-3385</v>
      </c>
      <c r="T310">
        <v>-1618</v>
      </c>
      <c r="U310">
        <v>-264</v>
      </c>
      <c r="V310">
        <v>-89</v>
      </c>
      <c r="W310">
        <v>672</v>
      </c>
      <c r="X310">
        <v>-3303</v>
      </c>
      <c r="Y310">
        <v>-7497</v>
      </c>
      <c r="Z310">
        <v>-2034</v>
      </c>
      <c r="AA310">
        <v>21783</v>
      </c>
      <c r="AB310">
        <v>19008</v>
      </c>
      <c r="AC310">
        <v>-13670</v>
      </c>
    </row>
    <row r="311" spans="1:29" x14ac:dyDescent="0.2">
      <c r="A311" t="s">
        <v>735</v>
      </c>
      <c r="B311">
        <v>1</v>
      </c>
      <c r="C311" t="s">
        <v>234</v>
      </c>
      <c r="D311" t="s">
        <v>1560</v>
      </c>
      <c r="E311">
        <v>30</v>
      </c>
      <c r="F311">
        <v>-123</v>
      </c>
      <c r="G311">
        <v>362</v>
      </c>
      <c r="H311">
        <v>-639</v>
      </c>
      <c r="I311">
        <v>-462</v>
      </c>
      <c r="J311">
        <v>-384</v>
      </c>
      <c r="K311">
        <v>-158</v>
      </c>
      <c r="L311">
        <v>840</v>
      </c>
      <c r="M311">
        <v>1861</v>
      </c>
      <c r="N311">
        <v>-111</v>
      </c>
      <c r="O311">
        <v>-1122</v>
      </c>
      <c r="P311">
        <v>79</v>
      </c>
      <c r="Q311">
        <v>-21</v>
      </c>
      <c r="R311">
        <v>-1387</v>
      </c>
      <c r="S311">
        <v>-3353</v>
      </c>
      <c r="T311">
        <v>-1735</v>
      </c>
      <c r="U311">
        <v>-886</v>
      </c>
      <c r="V311">
        <v>-1537</v>
      </c>
      <c r="W311">
        <v>303</v>
      </c>
      <c r="X311">
        <v>-3610</v>
      </c>
      <c r="Y311">
        <v>-6573</v>
      </c>
      <c r="Z311">
        <v>-1449</v>
      </c>
      <c r="AA311">
        <v>20980</v>
      </c>
      <c r="AB311">
        <v>17962</v>
      </c>
      <c r="AC311">
        <v>-13279</v>
      </c>
    </row>
    <row r="312" spans="1:29" x14ac:dyDescent="0.2">
      <c r="A312" t="s">
        <v>735</v>
      </c>
      <c r="B312">
        <v>1</v>
      </c>
      <c r="C312" t="s">
        <v>234</v>
      </c>
      <c r="D312" t="s">
        <v>1561</v>
      </c>
      <c r="E312">
        <v>31</v>
      </c>
      <c r="F312">
        <v>18</v>
      </c>
      <c r="G312">
        <v>595</v>
      </c>
      <c r="H312">
        <v>-482</v>
      </c>
      <c r="I312">
        <v>-228</v>
      </c>
      <c r="J312">
        <v>-88</v>
      </c>
      <c r="K312">
        <v>61</v>
      </c>
      <c r="L312">
        <v>843</v>
      </c>
      <c r="M312">
        <v>1919</v>
      </c>
      <c r="N312">
        <v>-228</v>
      </c>
      <c r="O312">
        <v>-1063</v>
      </c>
      <c r="P312">
        <v>-301</v>
      </c>
      <c r="Q312">
        <v>-35</v>
      </c>
      <c r="R312">
        <v>-1320</v>
      </c>
      <c r="S312">
        <v>-3123</v>
      </c>
      <c r="T312">
        <v>-1820</v>
      </c>
      <c r="U312">
        <v>-749</v>
      </c>
      <c r="V312">
        <v>-1282</v>
      </c>
      <c r="W312">
        <v>-305</v>
      </c>
      <c r="X312">
        <v>-3489</v>
      </c>
      <c r="Y312">
        <v>-5745</v>
      </c>
      <c r="Z312">
        <v>-1317</v>
      </c>
      <c r="AA312">
        <v>19371</v>
      </c>
      <c r="AB312">
        <v>16955</v>
      </c>
      <c r="AC312">
        <v>-12716</v>
      </c>
    </row>
    <row r="313" spans="1:29" x14ac:dyDescent="0.2">
      <c r="A313" t="s">
        <v>735</v>
      </c>
      <c r="B313">
        <v>1</v>
      </c>
      <c r="C313" t="s">
        <v>234</v>
      </c>
      <c r="D313" t="s">
        <v>1562</v>
      </c>
      <c r="E313">
        <v>32</v>
      </c>
      <c r="F313">
        <v>-89</v>
      </c>
      <c r="G313">
        <v>574</v>
      </c>
      <c r="H313">
        <v>-283</v>
      </c>
      <c r="I313">
        <v>-475</v>
      </c>
      <c r="J313">
        <v>23</v>
      </c>
      <c r="K313">
        <v>39</v>
      </c>
      <c r="L313">
        <v>762</v>
      </c>
      <c r="M313">
        <v>1992</v>
      </c>
      <c r="N313">
        <v>-147</v>
      </c>
      <c r="O313">
        <v>-1065</v>
      </c>
      <c r="P313">
        <v>198</v>
      </c>
      <c r="Q313">
        <v>-2</v>
      </c>
      <c r="R313">
        <v>-1459</v>
      </c>
      <c r="S313">
        <v>-3107</v>
      </c>
      <c r="T313">
        <v>-1838</v>
      </c>
      <c r="U313">
        <v>-156</v>
      </c>
      <c r="V313">
        <v>-722</v>
      </c>
      <c r="W313">
        <v>597</v>
      </c>
      <c r="X313">
        <v>-2830</v>
      </c>
      <c r="Y313">
        <v>-4237</v>
      </c>
      <c r="Z313">
        <v>14</v>
      </c>
      <c r="AA313">
        <v>18793</v>
      </c>
      <c r="AB313">
        <v>17434</v>
      </c>
      <c r="AC313">
        <v>-9643</v>
      </c>
    </row>
    <row r="314" spans="1:29" x14ac:dyDescent="0.2">
      <c r="A314" t="s">
        <v>735</v>
      </c>
      <c r="B314">
        <v>1</v>
      </c>
      <c r="C314" t="s">
        <v>234</v>
      </c>
      <c r="D314" t="s">
        <v>1563</v>
      </c>
      <c r="E314">
        <v>33</v>
      </c>
      <c r="F314">
        <v>-110</v>
      </c>
      <c r="G314">
        <v>426</v>
      </c>
      <c r="H314">
        <v>-676</v>
      </c>
      <c r="I314">
        <v>-532</v>
      </c>
      <c r="J314">
        <v>-135</v>
      </c>
      <c r="K314">
        <v>7</v>
      </c>
      <c r="L314">
        <v>933</v>
      </c>
      <c r="M314">
        <v>1614</v>
      </c>
      <c r="N314">
        <v>-372</v>
      </c>
      <c r="O314">
        <v>-1537</v>
      </c>
      <c r="P314">
        <v>424</v>
      </c>
      <c r="Q314">
        <v>108</v>
      </c>
      <c r="R314">
        <v>-1034</v>
      </c>
      <c r="S314">
        <v>-3099</v>
      </c>
      <c r="T314">
        <v>-1781</v>
      </c>
      <c r="U314">
        <v>-100</v>
      </c>
      <c r="V314">
        <v>-143</v>
      </c>
      <c r="W314">
        <v>677</v>
      </c>
      <c r="X314">
        <v>-2080</v>
      </c>
      <c r="Y314">
        <v>-3312</v>
      </c>
      <c r="Z314">
        <v>823</v>
      </c>
      <c r="AA314">
        <v>18432</v>
      </c>
      <c r="AB314">
        <v>17526</v>
      </c>
      <c r="AC314">
        <v>-7421</v>
      </c>
    </row>
    <row r="315" spans="1:29" x14ac:dyDescent="0.2">
      <c r="A315" t="s">
        <v>735</v>
      </c>
      <c r="B315">
        <v>1</v>
      </c>
      <c r="C315" t="s">
        <v>234</v>
      </c>
      <c r="D315" t="s">
        <v>1420</v>
      </c>
      <c r="E315">
        <v>34</v>
      </c>
      <c r="F315">
        <v>-10</v>
      </c>
      <c r="G315">
        <v>315</v>
      </c>
      <c r="H315">
        <v>-586</v>
      </c>
      <c r="I315">
        <v>-783</v>
      </c>
      <c r="J315">
        <v>-574</v>
      </c>
      <c r="K315">
        <v>-110</v>
      </c>
      <c r="L315">
        <v>723</v>
      </c>
      <c r="M315">
        <v>1218</v>
      </c>
      <c r="N315">
        <v>-658</v>
      </c>
      <c r="O315">
        <v>-1227</v>
      </c>
      <c r="P315">
        <v>470</v>
      </c>
      <c r="Q315">
        <v>159</v>
      </c>
      <c r="R315">
        <v>-1536</v>
      </c>
      <c r="S315">
        <v>-2867</v>
      </c>
      <c r="T315">
        <v>-2304</v>
      </c>
      <c r="U315">
        <v>-566</v>
      </c>
      <c r="V315">
        <v>-403</v>
      </c>
      <c r="W315">
        <v>702</v>
      </c>
      <c r="X315">
        <v>-1692</v>
      </c>
      <c r="Y315">
        <v>-2695</v>
      </c>
      <c r="Z315">
        <v>1374</v>
      </c>
      <c r="AA315">
        <v>17429</v>
      </c>
      <c r="AB315">
        <v>16992</v>
      </c>
      <c r="AC315">
        <v>-5277</v>
      </c>
    </row>
    <row r="316" spans="1:29" x14ac:dyDescent="0.2">
      <c r="A316" t="s">
        <v>735</v>
      </c>
      <c r="B316">
        <v>1</v>
      </c>
      <c r="C316" t="s">
        <v>234</v>
      </c>
      <c r="D316" t="s">
        <v>1564</v>
      </c>
      <c r="E316">
        <v>35</v>
      </c>
      <c r="F316">
        <v>0</v>
      </c>
      <c r="G316">
        <v>197</v>
      </c>
      <c r="H316">
        <v>-395</v>
      </c>
      <c r="I316">
        <v>-620</v>
      </c>
      <c r="J316">
        <v>-102</v>
      </c>
      <c r="K316">
        <v>-121</v>
      </c>
      <c r="L316">
        <v>1106</v>
      </c>
      <c r="M316">
        <v>1128</v>
      </c>
      <c r="N316">
        <v>-695</v>
      </c>
      <c r="O316">
        <v>-1343</v>
      </c>
      <c r="P316">
        <v>27</v>
      </c>
      <c r="Q316">
        <v>-112</v>
      </c>
      <c r="R316">
        <v>-1520</v>
      </c>
      <c r="S316">
        <v>-3106</v>
      </c>
      <c r="T316">
        <v>-2585</v>
      </c>
      <c r="U316">
        <v>-762</v>
      </c>
      <c r="V316">
        <v>149</v>
      </c>
      <c r="W316">
        <v>723</v>
      </c>
      <c r="X316">
        <v>-1366</v>
      </c>
      <c r="Y316">
        <v>-2021</v>
      </c>
      <c r="Z316">
        <v>1945</v>
      </c>
      <c r="AA316">
        <v>16875</v>
      </c>
      <c r="AB316">
        <v>16943</v>
      </c>
      <c r="AC316">
        <v>-3080</v>
      </c>
    </row>
    <row r="317" spans="1:29" x14ac:dyDescent="0.2">
      <c r="A317" t="s">
        <v>735</v>
      </c>
      <c r="B317">
        <v>1</v>
      </c>
      <c r="C317" t="s">
        <v>234</v>
      </c>
      <c r="D317" t="s">
        <v>1565</v>
      </c>
      <c r="E317">
        <v>36</v>
      </c>
      <c r="F317">
        <v>-97</v>
      </c>
      <c r="G317">
        <v>384</v>
      </c>
      <c r="H317">
        <v>-292</v>
      </c>
      <c r="I317">
        <v>-362</v>
      </c>
      <c r="J317">
        <v>15</v>
      </c>
      <c r="K317">
        <v>248</v>
      </c>
      <c r="L317">
        <v>1347</v>
      </c>
      <c r="M317">
        <v>1076</v>
      </c>
      <c r="N317">
        <v>-531</v>
      </c>
      <c r="O317">
        <v>-1054</v>
      </c>
      <c r="P317">
        <v>179</v>
      </c>
      <c r="Q317">
        <v>300</v>
      </c>
      <c r="R317">
        <v>-889</v>
      </c>
      <c r="S317">
        <v>-2639</v>
      </c>
      <c r="T317">
        <v>-2058</v>
      </c>
      <c r="U317">
        <v>-228</v>
      </c>
      <c r="V317">
        <v>807</v>
      </c>
      <c r="W317">
        <v>1416</v>
      </c>
      <c r="X317">
        <v>-159</v>
      </c>
      <c r="Y317">
        <v>-1175</v>
      </c>
      <c r="Z317">
        <v>2328</v>
      </c>
      <c r="AA317">
        <v>15622</v>
      </c>
      <c r="AB317">
        <v>17350</v>
      </c>
      <c r="AC317">
        <v>-1736</v>
      </c>
    </row>
    <row r="318" spans="1:29" x14ac:dyDescent="0.2">
      <c r="A318" t="s">
        <v>735</v>
      </c>
      <c r="B318">
        <v>1</v>
      </c>
      <c r="C318" t="s">
        <v>234</v>
      </c>
      <c r="D318" t="s">
        <v>1566</v>
      </c>
      <c r="E318">
        <v>37</v>
      </c>
      <c r="F318">
        <v>97</v>
      </c>
      <c r="G318">
        <v>204</v>
      </c>
      <c r="H318">
        <v>-214</v>
      </c>
      <c r="I318">
        <v>-346</v>
      </c>
      <c r="J318">
        <v>-8</v>
      </c>
      <c r="K318">
        <v>420</v>
      </c>
      <c r="L318">
        <v>1106</v>
      </c>
      <c r="M318">
        <v>1229</v>
      </c>
      <c r="N318">
        <v>-717</v>
      </c>
      <c r="O318">
        <v>-1124</v>
      </c>
      <c r="P318">
        <v>273</v>
      </c>
      <c r="Q318">
        <v>461</v>
      </c>
      <c r="R318">
        <v>-799</v>
      </c>
      <c r="S318">
        <v>-2366</v>
      </c>
      <c r="T318">
        <v>-1868</v>
      </c>
      <c r="U318">
        <v>-178</v>
      </c>
      <c r="V318">
        <v>1034</v>
      </c>
      <c r="W318">
        <v>1700</v>
      </c>
      <c r="X318">
        <v>68</v>
      </c>
      <c r="Y318">
        <v>-908</v>
      </c>
      <c r="Z318">
        <v>1981</v>
      </c>
      <c r="AA318">
        <v>14987</v>
      </c>
      <c r="AB318">
        <v>16381</v>
      </c>
      <c r="AC318">
        <v>-1207</v>
      </c>
    </row>
    <row r="319" spans="1:29" x14ac:dyDescent="0.2">
      <c r="A319" t="s">
        <v>735</v>
      </c>
      <c r="B319">
        <v>1</v>
      </c>
      <c r="C319" t="s">
        <v>234</v>
      </c>
      <c r="D319" t="s">
        <v>1567</v>
      </c>
      <c r="E319">
        <v>38</v>
      </c>
      <c r="F319">
        <v>10</v>
      </c>
      <c r="G319">
        <v>252</v>
      </c>
      <c r="H319">
        <v>-370</v>
      </c>
      <c r="I319">
        <v>-394</v>
      </c>
      <c r="J319">
        <v>50</v>
      </c>
      <c r="K319">
        <v>253</v>
      </c>
      <c r="L319">
        <v>1005</v>
      </c>
      <c r="M319">
        <v>1033</v>
      </c>
      <c r="N319">
        <v>-539</v>
      </c>
      <c r="O319">
        <v>-1009</v>
      </c>
      <c r="P319">
        <v>366</v>
      </c>
      <c r="Q319">
        <v>-72</v>
      </c>
      <c r="R319">
        <v>-688</v>
      </c>
      <c r="S319">
        <v>-2098</v>
      </c>
      <c r="T319">
        <v>-1882</v>
      </c>
      <c r="U319">
        <v>-164</v>
      </c>
      <c r="V319">
        <v>1024</v>
      </c>
      <c r="W319">
        <v>1849</v>
      </c>
      <c r="X319">
        <v>156</v>
      </c>
      <c r="Y319">
        <v>-586</v>
      </c>
      <c r="Z319">
        <v>1955</v>
      </c>
      <c r="AA319">
        <v>14153</v>
      </c>
      <c r="AB319">
        <v>16262</v>
      </c>
      <c r="AC319">
        <v>-545</v>
      </c>
    </row>
    <row r="320" spans="1:29" x14ac:dyDescent="0.2">
      <c r="A320" t="s">
        <v>735</v>
      </c>
      <c r="B320">
        <v>1</v>
      </c>
      <c r="C320" t="s">
        <v>234</v>
      </c>
      <c r="D320" t="s">
        <v>1568</v>
      </c>
      <c r="E320">
        <v>39</v>
      </c>
      <c r="F320">
        <v>-17</v>
      </c>
      <c r="G320">
        <v>329</v>
      </c>
      <c r="H320">
        <v>-219</v>
      </c>
      <c r="I320">
        <v>-17</v>
      </c>
      <c r="J320">
        <v>-65</v>
      </c>
      <c r="K320">
        <v>253</v>
      </c>
      <c r="L320">
        <v>1056</v>
      </c>
      <c r="M320">
        <v>833</v>
      </c>
      <c r="N320">
        <v>-703</v>
      </c>
      <c r="O320">
        <v>-1067</v>
      </c>
      <c r="P320">
        <v>106</v>
      </c>
      <c r="Q320">
        <v>-59</v>
      </c>
      <c r="R320">
        <v>-754</v>
      </c>
      <c r="S320">
        <v>-2080</v>
      </c>
      <c r="T320">
        <v>-2117</v>
      </c>
      <c r="U320">
        <v>-580</v>
      </c>
      <c r="V320">
        <v>544</v>
      </c>
      <c r="W320">
        <v>1422</v>
      </c>
      <c r="X320">
        <v>-161</v>
      </c>
      <c r="Y320">
        <v>-803</v>
      </c>
      <c r="Z320">
        <v>1408</v>
      </c>
      <c r="AA320">
        <v>12606</v>
      </c>
      <c r="AB320">
        <v>14596</v>
      </c>
      <c r="AC320">
        <v>-1348</v>
      </c>
    </row>
    <row r="321" spans="1:29" x14ac:dyDescent="0.2">
      <c r="A321" t="s">
        <v>735</v>
      </c>
      <c r="B321">
        <v>1</v>
      </c>
      <c r="C321" t="s">
        <v>234</v>
      </c>
      <c r="D321" t="s">
        <v>1569</v>
      </c>
      <c r="E321">
        <v>40</v>
      </c>
      <c r="F321">
        <v>102</v>
      </c>
      <c r="G321">
        <v>208</v>
      </c>
      <c r="H321">
        <v>-283</v>
      </c>
      <c r="I321">
        <v>-204</v>
      </c>
      <c r="J321">
        <v>26</v>
      </c>
      <c r="K321">
        <v>223</v>
      </c>
      <c r="L321">
        <v>1045</v>
      </c>
      <c r="M321">
        <v>1008</v>
      </c>
      <c r="N321">
        <v>-549</v>
      </c>
      <c r="O321">
        <v>-984</v>
      </c>
      <c r="P321">
        <v>99</v>
      </c>
      <c r="Q321">
        <v>133</v>
      </c>
      <c r="R321">
        <v>-744</v>
      </c>
      <c r="S321">
        <v>-1640</v>
      </c>
      <c r="T321">
        <v>-1736</v>
      </c>
      <c r="U321">
        <v>-471</v>
      </c>
      <c r="V321">
        <v>696</v>
      </c>
      <c r="W321">
        <v>1432</v>
      </c>
      <c r="X321">
        <v>63</v>
      </c>
      <c r="Y321">
        <v>-697</v>
      </c>
      <c r="Z321">
        <v>1617</v>
      </c>
      <c r="AA321">
        <v>12035</v>
      </c>
      <c r="AB321">
        <v>14385</v>
      </c>
      <c r="AC321">
        <v>-385</v>
      </c>
    </row>
    <row r="322" spans="1:29" x14ac:dyDescent="0.2">
      <c r="A322" t="s">
        <v>735</v>
      </c>
      <c r="B322">
        <v>1</v>
      </c>
      <c r="C322" t="s">
        <v>234</v>
      </c>
      <c r="D322" t="s">
        <v>1570</v>
      </c>
      <c r="E322">
        <v>41</v>
      </c>
      <c r="F322">
        <v>77</v>
      </c>
      <c r="G322">
        <v>295</v>
      </c>
      <c r="H322">
        <v>-198</v>
      </c>
      <c r="I322">
        <v>-81</v>
      </c>
      <c r="J322">
        <v>28</v>
      </c>
      <c r="K322">
        <v>317</v>
      </c>
      <c r="L322">
        <v>958</v>
      </c>
      <c r="M322">
        <v>821</v>
      </c>
      <c r="N322">
        <v>-573</v>
      </c>
      <c r="O322">
        <v>-841</v>
      </c>
      <c r="P322">
        <v>185</v>
      </c>
      <c r="Q322">
        <v>-8</v>
      </c>
      <c r="R322">
        <v>-589</v>
      </c>
      <c r="S322">
        <v>-1749</v>
      </c>
      <c r="T322">
        <v>-1318</v>
      </c>
      <c r="U322">
        <v>-450</v>
      </c>
      <c r="V322">
        <v>835</v>
      </c>
      <c r="W322">
        <v>1712</v>
      </c>
      <c r="X322">
        <v>639</v>
      </c>
      <c r="Y322">
        <v>-477</v>
      </c>
      <c r="Z322">
        <v>1367</v>
      </c>
      <c r="AA322">
        <v>10954</v>
      </c>
      <c r="AB322">
        <v>13682</v>
      </c>
      <c r="AC322">
        <v>32</v>
      </c>
    </row>
    <row r="323" spans="1:29" x14ac:dyDescent="0.2">
      <c r="A323" t="s">
        <v>735</v>
      </c>
      <c r="B323">
        <v>1</v>
      </c>
      <c r="C323" t="s">
        <v>234</v>
      </c>
      <c r="D323" t="s">
        <v>1571</v>
      </c>
      <c r="E323">
        <v>42</v>
      </c>
      <c r="F323">
        <v>139</v>
      </c>
      <c r="G323">
        <v>293</v>
      </c>
      <c r="H323">
        <v>-139</v>
      </c>
      <c r="I323">
        <v>-230</v>
      </c>
      <c r="J323">
        <v>47</v>
      </c>
      <c r="K323">
        <v>210</v>
      </c>
      <c r="L323">
        <v>879</v>
      </c>
      <c r="M323">
        <v>778</v>
      </c>
      <c r="N323">
        <v>-464</v>
      </c>
      <c r="O323">
        <v>-911</v>
      </c>
      <c r="P323">
        <v>-3</v>
      </c>
      <c r="Q323">
        <v>99</v>
      </c>
      <c r="R323">
        <v>-543</v>
      </c>
      <c r="S323">
        <v>-1333</v>
      </c>
      <c r="T323">
        <v>-1115</v>
      </c>
      <c r="U323">
        <v>-165</v>
      </c>
      <c r="V323">
        <v>906</v>
      </c>
      <c r="W323">
        <v>1456</v>
      </c>
      <c r="X323">
        <v>742</v>
      </c>
      <c r="Y323">
        <v>-275</v>
      </c>
      <c r="Z323">
        <v>1281</v>
      </c>
      <c r="AA323">
        <v>10242</v>
      </c>
      <c r="AB323">
        <v>13349</v>
      </c>
      <c r="AC323">
        <v>373</v>
      </c>
    </row>
    <row r="324" spans="1:29" x14ac:dyDescent="0.2">
      <c r="A324" t="s">
        <v>735</v>
      </c>
      <c r="B324">
        <v>1</v>
      </c>
      <c r="C324" t="s">
        <v>234</v>
      </c>
      <c r="D324" t="s">
        <v>1572</v>
      </c>
      <c r="E324">
        <v>43</v>
      </c>
      <c r="F324">
        <v>63</v>
      </c>
      <c r="G324">
        <v>266</v>
      </c>
      <c r="H324">
        <v>-290</v>
      </c>
      <c r="I324">
        <v>-145</v>
      </c>
      <c r="J324">
        <v>25</v>
      </c>
      <c r="K324">
        <v>119</v>
      </c>
      <c r="L324">
        <v>787</v>
      </c>
      <c r="M324">
        <v>669</v>
      </c>
      <c r="N324">
        <v>-531</v>
      </c>
      <c r="O324">
        <v>-850</v>
      </c>
      <c r="P324">
        <v>-6</v>
      </c>
      <c r="Q324">
        <v>42</v>
      </c>
      <c r="R324">
        <v>-543</v>
      </c>
      <c r="S324">
        <v>-1497</v>
      </c>
      <c r="T324">
        <v>-1140</v>
      </c>
      <c r="U324">
        <v>-446</v>
      </c>
      <c r="V324">
        <v>749</v>
      </c>
      <c r="W324">
        <v>1256</v>
      </c>
      <c r="X324">
        <v>266</v>
      </c>
      <c r="Y324">
        <v>-431</v>
      </c>
      <c r="Z324">
        <v>1041</v>
      </c>
      <c r="AA324">
        <v>9081</v>
      </c>
      <c r="AB324">
        <v>12538</v>
      </c>
      <c r="AC324">
        <v>452</v>
      </c>
    </row>
    <row r="325" spans="1:29" x14ac:dyDescent="0.2">
      <c r="A325" t="s">
        <v>735</v>
      </c>
      <c r="B325">
        <v>1</v>
      </c>
      <c r="C325" t="s">
        <v>234</v>
      </c>
      <c r="D325" t="s">
        <v>1421</v>
      </c>
      <c r="E325">
        <v>44</v>
      </c>
      <c r="F325">
        <v>28</v>
      </c>
      <c r="G325">
        <v>220</v>
      </c>
      <c r="H325">
        <v>-235</v>
      </c>
      <c r="I325">
        <v>-180</v>
      </c>
      <c r="J325">
        <v>-135</v>
      </c>
      <c r="K325">
        <v>169</v>
      </c>
      <c r="L325">
        <v>655</v>
      </c>
      <c r="M325">
        <v>652</v>
      </c>
      <c r="N325">
        <v>-605</v>
      </c>
      <c r="O325">
        <v>-782</v>
      </c>
      <c r="P325">
        <v>75</v>
      </c>
      <c r="Q325">
        <v>-25</v>
      </c>
      <c r="R325">
        <v>-540</v>
      </c>
      <c r="S325">
        <v>-1330</v>
      </c>
      <c r="T325">
        <v>-1089</v>
      </c>
      <c r="U325">
        <v>-311</v>
      </c>
      <c r="V325">
        <v>735</v>
      </c>
      <c r="W325">
        <v>1185</v>
      </c>
      <c r="X325">
        <v>359</v>
      </c>
      <c r="Y325">
        <v>-73</v>
      </c>
      <c r="Z325">
        <v>833</v>
      </c>
      <c r="AA325">
        <v>7861</v>
      </c>
      <c r="AB325">
        <v>11659</v>
      </c>
      <c r="AC325">
        <v>310</v>
      </c>
    </row>
    <row r="326" spans="1:29" x14ac:dyDescent="0.2">
      <c r="A326" t="s">
        <v>735</v>
      </c>
      <c r="B326">
        <v>1</v>
      </c>
      <c r="C326" t="s">
        <v>234</v>
      </c>
      <c r="D326" t="s">
        <v>1573</v>
      </c>
      <c r="E326">
        <v>45</v>
      </c>
      <c r="F326">
        <v>55</v>
      </c>
      <c r="G326">
        <v>183</v>
      </c>
      <c r="H326">
        <v>-179</v>
      </c>
      <c r="I326">
        <v>-236</v>
      </c>
      <c r="J326">
        <v>-65</v>
      </c>
      <c r="K326">
        <v>104</v>
      </c>
      <c r="L326">
        <v>666</v>
      </c>
      <c r="M326">
        <v>541</v>
      </c>
      <c r="N326">
        <v>-622</v>
      </c>
      <c r="O326">
        <v>-682</v>
      </c>
      <c r="P326">
        <v>-30</v>
      </c>
      <c r="Q326">
        <v>-157</v>
      </c>
      <c r="R326">
        <v>-481</v>
      </c>
      <c r="S326">
        <v>-1277</v>
      </c>
      <c r="T326">
        <v>-1101</v>
      </c>
      <c r="U326">
        <v>-155</v>
      </c>
      <c r="V326">
        <v>723</v>
      </c>
      <c r="W326">
        <v>1193</v>
      </c>
      <c r="X326">
        <v>274</v>
      </c>
      <c r="Y326">
        <v>-222</v>
      </c>
      <c r="Z326">
        <v>778</v>
      </c>
      <c r="AA326">
        <v>7174</v>
      </c>
      <c r="AB326">
        <v>10666</v>
      </c>
      <c r="AC326">
        <v>863</v>
      </c>
    </row>
    <row r="327" spans="1:29" x14ac:dyDescent="0.2">
      <c r="A327" t="s">
        <v>735</v>
      </c>
      <c r="B327">
        <v>1</v>
      </c>
      <c r="C327" t="s">
        <v>234</v>
      </c>
      <c r="D327" t="s">
        <v>1574</v>
      </c>
      <c r="E327">
        <v>46</v>
      </c>
      <c r="F327">
        <v>54</v>
      </c>
      <c r="G327">
        <v>156</v>
      </c>
      <c r="H327">
        <v>-194</v>
      </c>
      <c r="I327">
        <v>-170</v>
      </c>
      <c r="J327">
        <v>-103</v>
      </c>
      <c r="K327">
        <v>75</v>
      </c>
      <c r="L327">
        <v>523</v>
      </c>
      <c r="M327">
        <v>538</v>
      </c>
      <c r="N327">
        <v>-521</v>
      </c>
      <c r="O327">
        <v>-780</v>
      </c>
      <c r="P327">
        <v>-146</v>
      </c>
      <c r="Q327">
        <v>-143</v>
      </c>
      <c r="R327">
        <v>-549</v>
      </c>
      <c r="S327">
        <v>-1226</v>
      </c>
      <c r="T327">
        <v>-1117</v>
      </c>
      <c r="U327">
        <v>-315</v>
      </c>
      <c r="V327">
        <v>589</v>
      </c>
      <c r="W327">
        <v>852</v>
      </c>
      <c r="X327">
        <v>158</v>
      </c>
      <c r="Y327">
        <v>-93</v>
      </c>
      <c r="Z327">
        <v>800</v>
      </c>
      <c r="AA327">
        <v>6685</v>
      </c>
      <c r="AB327">
        <v>10128</v>
      </c>
      <c r="AC327">
        <v>964</v>
      </c>
    </row>
    <row r="328" spans="1:29" x14ac:dyDescent="0.2">
      <c r="A328" t="s">
        <v>735</v>
      </c>
      <c r="B328">
        <v>1</v>
      </c>
      <c r="C328" t="s">
        <v>234</v>
      </c>
      <c r="D328" t="s">
        <v>1422</v>
      </c>
      <c r="E328">
        <v>47</v>
      </c>
      <c r="F328">
        <v>79</v>
      </c>
      <c r="G328">
        <v>132</v>
      </c>
      <c r="H328">
        <v>-176</v>
      </c>
      <c r="I328">
        <v>-104</v>
      </c>
      <c r="J328">
        <v>-152</v>
      </c>
      <c r="K328">
        <v>-22</v>
      </c>
      <c r="L328">
        <v>411</v>
      </c>
      <c r="M328">
        <v>303</v>
      </c>
      <c r="N328">
        <v>-597</v>
      </c>
      <c r="O328">
        <v>-739</v>
      </c>
      <c r="P328">
        <v>-128</v>
      </c>
      <c r="Q328">
        <v>-65</v>
      </c>
      <c r="R328">
        <v>-621</v>
      </c>
      <c r="S328">
        <v>-1295</v>
      </c>
      <c r="T328">
        <v>-1053</v>
      </c>
      <c r="U328">
        <v>-405</v>
      </c>
      <c r="V328">
        <v>492</v>
      </c>
      <c r="W328">
        <v>758</v>
      </c>
      <c r="X328">
        <v>41</v>
      </c>
      <c r="Y328">
        <v>-393</v>
      </c>
      <c r="Z328">
        <v>518</v>
      </c>
      <c r="AA328">
        <v>5452</v>
      </c>
      <c r="AB328">
        <v>8787</v>
      </c>
      <c r="AC328">
        <v>488</v>
      </c>
    </row>
    <row r="329" spans="1:29" x14ac:dyDescent="0.2">
      <c r="A329" t="s">
        <v>735</v>
      </c>
      <c r="B329">
        <v>1</v>
      </c>
      <c r="C329" t="s">
        <v>234</v>
      </c>
      <c r="D329" t="s">
        <v>1575</v>
      </c>
      <c r="E329">
        <v>48</v>
      </c>
      <c r="F329">
        <v>-25</v>
      </c>
      <c r="G329">
        <v>54</v>
      </c>
      <c r="H329">
        <v>-155</v>
      </c>
      <c r="I329">
        <v>-156</v>
      </c>
      <c r="J329">
        <v>-40</v>
      </c>
      <c r="K329">
        <v>10</v>
      </c>
      <c r="L329">
        <v>320</v>
      </c>
      <c r="M329">
        <v>292</v>
      </c>
      <c r="N329">
        <v>-474</v>
      </c>
      <c r="O329">
        <v>-600</v>
      </c>
      <c r="P329">
        <v>-129</v>
      </c>
      <c r="Q329">
        <v>-232</v>
      </c>
      <c r="R329">
        <v>-652</v>
      </c>
      <c r="S329">
        <v>-1229</v>
      </c>
      <c r="T329">
        <v>-1015</v>
      </c>
      <c r="U329">
        <v>-496</v>
      </c>
      <c r="V329">
        <v>240</v>
      </c>
      <c r="W329">
        <v>571</v>
      </c>
      <c r="X329">
        <v>-92</v>
      </c>
      <c r="Y329">
        <v>-218</v>
      </c>
      <c r="Z329">
        <v>550</v>
      </c>
      <c r="AA329">
        <v>5022</v>
      </c>
      <c r="AB329">
        <v>8055</v>
      </c>
      <c r="AC329">
        <v>745</v>
      </c>
    </row>
    <row r="330" spans="1:29" x14ac:dyDescent="0.2">
      <c r="A330" t="s">
        <v>735</v>
      </c>
      <c r="B330">
        <v>1</v>
      </c>
      <c r="C330" t="s">
        <v>234</v>
      </c>
      <c r="D330" t="s">
        <v>1576</v>
      </c>
      <c r="E330">
        <v>49</v>
      </c>
      <c r="F330">
        <v>-46</v>
      </c>
      <c r="G330">
        <v>-38</v>
      </c>
      <c r="H330">
        <v>-184</v>
      </c>
      <c r="I330">
        <v>-213</v>
      </c>
      <c r="J330">
        <v>-148</v>
      </c>
      <c r="K330">
        <v>-86</v>
      </c>
      <c r="L330">
        <v>262</v>
      </c>
      <c r="M330">
        <v>194</v>
      </c>
      <c r="N330">
        <v>-440</v>
      </c>
      <c r="O330">
        <v>-573</v>
      </c>
      <c r="P330">
        <v>-154</v>
      </c>
      <c r="Q330">
        <v>-243</v>
      </c>
      <c r="R330">
        <v>-496</v>
      </c>
      <c r="S330">
        <v>-1112</v>
      </c>
      <c r="T330">
        <v>-832</v>
      </c>
      <c r="U330">
        <v>-472</v>
      </c>
      <c r="V330">
        <v>180</v>
      </c>
      <c r="W330">
        <v>403</v>
      </c>
      <c r="X330">
        <v>-52</v>
      </c>
      <c r="Y330">
        <v>-416</v>
      </c>
      <c r="Z330">
        <v>229</v>
      </c>
      <c r="AA330">
        <v>3952</v>
      </c>
      <c r="AB330">
        <v>6599</v>
      </c>
      <c r="AC330">
        <v>-39</v>
      </c>
    </row>
    <row r="331" spans="1:29" x14ac:dyDescent="0.2">
      <c r="A331" t="s">
        <v>735</v>
      </c>
      <c r="B331">
        <v>1</v>
      </c>
      <c r="C331" t="s">
        <v>234</v>
      </c>
      <c r="D331" t="s">
        <v>1577</v>
      </c>
      <c r="E331">
        <v>50</v>
      </c>
      <c r="F331">
        <v>-23</v>
      </c>
      <c r="G331">
        <v>9</v>
      </c>
      <c r="H331">
        <v>-129</v>
      </c>
      <c r="I331">
        <v>-42</v>
      </c>
      <c r="J331">
        <v>-58</v>
      </c>
      <c r="K331">
        <v>-113</v>
      </c>
      <c r="L331">
        <v>221</v>
      </c>
      <c r="M331">
        <v>180</v>
      </c>
      <c r="N331">
        <v>-339</v>
      </c>
      <c r="O331">
        <v>-572</v>
      </c>
      <c r="P331">
        <v>-170</v>
      </c>
      <c r="Q331">
        <v>-225</v>
      </c>
      <c r="R331">
        <v>-557</v>
      </c>
      <c r="S331">
        <v>-1120</v>
      </c>
      <c r="T331">
        <v>-901</v>
      </c>
      <c r="U331">
        <v>-388</v>
      </c>
      <c r="V331">
        <v>74</v>
      </c>
      <c r="W331">
        <v>399</v>
      </c>
      <c r="X331">
        <v>-120</v>
      </c>
      <c r="Y331">
        <v>-258</v>
      </c>
      <c r="Z331">
        <v>282</v>
      </c>
      <c r="AA331">
        <v>3358</v>
      </c>
      <c r="AB331">
        <v>6239</v>
      </c>
      <c r="AC331">
        <v>278</v>
      </c>
    </row>
    <row r="332" spans="1:29" x14ac:dyDescent="0.2">
      <c r="A332" t="s">
        <v>735</v>
      </c>
      <c r="B332">
        <v>1</v>
      </c>
      <c r="C332" t="s">
        <v>234</v>
      </c>
      <c r="D332" t="s">
        <v>1423</v>
      </c>
      <c r="E332">
        <v>51</v>
      </c>
      <c r="F332">
        <v>-2</v>
      </c>
      <c r="G332">
        <v>2</v>
      </c>
      <c r="H332">
        <v>-154</v>
      </c>
      <c r="I332">
        <v>-122</v>
      </c>
      <c r="J332">
        <v>-113</v>
      </c>
      <c r="K332">
        <v>-134</v>
      </c>
      <c r="L332">
        <v>156</v>
      </c>
      <c r="M332">
        <v>35</v>
      </c>
      <c r="N332">
        <v>-431</v>
      </c>
      <c r="O332">
        <v>-445</v>
      </c>
      <c r="P332">
        <v>-60</v>
      </c>
      <c r="Q332">
        <v>-291</v>
      </c>
      <c r="R332">
        <v>-645</v>
      </c>
      <c r="S332">
        <v>-932</v>
      </c>
      <c r="T332">
        <v>-684</v>
      </c>
      <c r="U332">
        <v>-495</v>
      </c>
      <c r="V332">
        <v>-41</v>
      </c>
      <c r="W332">
        <v>364</v>
      </c>
      <c r="X332">
        <v>-132</v>
      </c>
      <c r="Y332">
        <v>-367</v>
      </c>
      <c r="Z332">
        <v>166</v>
      </c>
      <c r="AA332">
        <v>3114</v>
      </c>
      <c r="AB332">
        <v>5326</v>
      </c>
      <c r="AC332">
        <v>99</v>
      </c>
    </row>
    <row r="333" spans="1:29" x14ac:dyDescent="0.2">
      <c r="A333" t="s">
        <v>735</v>
      </c>
      <c r="B333">
        <v>1</v>
      </c>
      <c r="C333" t="s">
        <v>234</v>
      </c>
      <c r="D333" t="s">
        <v>1578</v>
      </c>
      <c r="E333">
        <v>52</v>
      </c>
      <c r="F333">
        <v>27</v>
      </c>
      <c r="G333">
        <v>24</v>
      </c>
      <c r="H333">
        <v>-120</v>
      </c>
      <c r="I333">
        <v>-139</v>
      </c>
      <c r="J333">
        <v>-63</v>
      </c>
      <c r="K333">
        <v>-160</v>
      </c>
      <c r="L333">
        <v>190</v>
      </c>
      <c r="M333">
        <v>123</v>
      </c>
      <c r="N333">
        <v>-378</v>
      </c>
      <c r="O333">
        <v>-454</v>
      </c>
      <c r="P333">
        <v>-135</v>
      </c>
      <c r="Q333">
        <v>-262</v>
      </c>
      <c r="R333">
        <v>-372</v>
      </c>
      <c r="S333">
        <v>-940</v>
      </c>
      <c r="T333">
        <v>-650</v>
      </c>
      <c r="U333">
        <v>-407</v>
      </c>
      <c r="V333">
        <v>17</v>
      </c>
      <c r="W333">
        <v>123</v>
      </c>
      <c r="X333">
        <v>-196</v>
      </c>
      <c r="Y333">
        <v>-364</v>
      </c>
      <c r="Z333">
        <v>74</v>
      </c>
      <c r="AA333">
        <v>2631</v>
      </c>
      <c r="AB333">
        <v>4742</v>
      </c>
      <c r="AC333">
        <v>-35</v>
      </c>
    </row>
    <row r="334" spans="1:29" x14ac:dyDescent="0.2">
      <c r="A334" t="s">
        <v>735</v>
      </c>
      <c r="B334">
        <v>1</v>
      </c>
      <c r="C334" t="s">
        <v>234</v>
      </c>
      <c r="D334" t="s">
        <v>1579</v>
      </c>
      <c r="E334">
        <v>53</v>
      </c>
      <c r="F334">
        <v>-52</v>
      </c>
      <c r="G334">
        <v>-11</v>
      </c>
      <c r="H334">
        <v>-131</v>
      </c>
      <c r="I334">
        <v>-143</v>
      </c>
      <c r="J334">
        <v>-52</v>
      </c>
      <c r="K334">
        <v>-115</v>
      </c>
      <c r="L334">
        <v>46</v>
      </c>
      <c r="M334">
        <v>31</v>
      </c>
      <c r="N334">
        <v>-353</v>
      </c>
      <c r="O334">
        <v>-380</v>
      </c>
      <c r="P334">
        <v>-8</v>
      </c>
      <c r="Q334">
        <v>-256</v>
      </c>
      <c r="R334">
        <v>-387</v>
      </c>
      <c r="S334">
        <v>-884</v>
      </c>
      <c r="T334">
        <v>-595</v>
      </c>
      <c r="U334">
        <v>-308</v>
      </c>
      <c r="V334">
        <v>-44</v>
      </c>
      <c r="W334">
        <v>149</v>
      </c>
      <c r="X334">
        <v>-157</v>
      </c>
      <c r="Y334">
        <v>-280</v>
      </c>
      <c r="Z334">
        <v>107</v>
      </c>
      <c r="AA334">
        <v>2427</v>
      </c>
      <c r="AB334">
        <v>4326</v>
      </c>
      <c r="AC334">
        <v>93</v>
      </c>
    </row>
    <row r="335" spans="1:29" x14ac:dyDescent="0.2">
      <c r="A335" t="s">
        <v>735</v>
      </c>
      <c r="B335">
        <v>1</v>
      </c>
      <c r="C335" t="s">
        <v>234</v>
      </c>
      <c r="D335" t="s">
        <v>1424</v>
      </c>
      <c r="E335">
        <v>54</v>
      </c>
      <c r="F335">
        <v>-55</v>
      </c>
      <c r="G335">
        <v>-33</v>
      </c>
      <c r="H335">
        <v>-91</v>
      </c>
      <c r="I335">
        <v>-153</v>
      </c>
      <c r="J335">
        <v>-28</v>
      </c>
      <c r="K335">
        <v>-81</v>
      </c>
      <c r="L335">
        <v>75</v>
      </c>
      <c r="M335">
        <v>-8</v>
      </c>
      <c r="N335">
        <v>-373</v>
      </c>
      <c r="O335">
        <v>-288</v>
      </c>
      <c r="P335">
        <v>-12</v>
      </c>
      <c r="Q335">
        <v>-169</v>
      </c>
      <c r="R335">
        <v>-352</v>
      </c>
      <c r="S335">
        <v>-787</v>
      </c>
      <c r="T335">
        <v>-518</v>
      </c>
      <c r="U335">
        <v>-300</v>
      </c>
      <c r="V335">
        <v>-63</v>
      </c>
      <c r="W335">
        <v>97</v>
      </c>
      <c r="X335">
        <v>-204</v>
      </c>
      <c r="Y335">
        <v>-244</v>
      </c>
      <c r="Z335">
        <v>-9</v>
      </c>
      <c r="AA335">
        <v>2191</v>
      </c>
      <c r="AB335">
        <v>4203</v>
      </c>
      <c r="AC335">
        <v>306</v>
      </c>
    </row>
    <row r="336" spans="1:29" x14ac:dyDescent="0.2">
      <c r="A336" t="s">
        <v>735</v>
      </c>
      <c r="B336">
        <v>1</v>
      </c>
      <c r="C336" t="s">
        <v>234</v>
      </c>
      <c r="D336" t="s">
        <v>1425</v>
      </c>
      <c r="E336">
        <v>55</v>
      </c>
      <c r="F336">
        <v>-11</v>
      </c>
      <c r="G336">
        <v>17</v>
      </c>
      <c r="H336">
        <v>-124</v>
      </c>
      <c r="I336">
        <v>-106</v>
      </c>
      <c r="J336">
        <v>-71</v>
      </c>
      <c r="K336">
        <v>-11</v>
      </c>
      <c r="L336">
        <v>20</v>
      </c>
      <c r="M336">
        <v>-6</v>
      </c>
      <c r="N336">
        <v>-170</v>
      </c>
      <c r="O336">
        <v>-216</v>
      </c>
      <c r="P336">
        <v>-71</v>
      </c>
      <c r="Q336">
        <v>-277</v>
      </c>
      <c r="R336">
        <v>-395</v>
      </c>
      <c r="S336">
        <v>-728</v>
      </c>
      <c r="T336">
        <v>-490</v>
      </c>
      <c r="U336">
        <v>-425</v>
      </c>
      <c r="V336">
        <v>-43</v>
      </c>
      <c r="W336">
        <v>-2</v>
      </c>
      <c r="X336">
        <v>-183</v>
      </c>
      <c r="Y336">
        <v>-242</v>
      </c>
      <c r="Z336">
        <v>-109</v>
      </c>
      <c r="AA336">
        <v>1771</v>
      </c>
      <c r="AB336">
        <v>3349</v>
      </c>
      <c r="AC336">
        <v>-145</v>
      </c>
    </row>
    <row r="337" spans="1:29" x14ac:dyDescent="0.2">
      <c r="A337" t="s">
        <v>735</v>
      </c>
      <c r="B337">
        <v>1</v>
      </c>
      <c r="C337" t="s">
        <v>234</v>
      </c>
      <c r="D337" t="s">
        <v>1426</v>
      </c>
      <c r="E337">
        <v>56</v>
      </c>
      <c r="F337">
        <v>-61</v>
      </c>
      <c r="G337">
        <v>-22</v>
      </c>
      <c r="H337">
        <v>-88</v>
      </c>
      <c r="I337">
        <v>-65</v>
      </c>
      <c r="J337">
        <v>-62</v>
      </c>
      <c r="K337">
        <v>-105</v>
      </c>
      <c r="L337">
        <v>5</v>
      </c>
      <c r="M337">
        <v>-22</v>
      </c>
      <c r="N337">
        <v>-201</v>
      </c>
      <c r="O337">
        <v>-234</v>
      </c>
      <c r="P337">
        <v>-46</v>
      </c>
      <c r="Q337">
        <v>-191</v>
      </c>
      <c r="R337">
        <v>-365</v>
      </c>
      <c r="S337">
        <v>-623</v>
      </c>
      <c r="T337">
        <v>-379</v>
      </c>
      <c r="U337">
        <v>-344</v>
      </c>
      <c r="V337">
        <v>-11</v>
      </c>
      <c r="W337">
        <v>57</v>
      </c>
      <c r="X337">
        <v>-187</v>
      </c>
      <c r="Y337">
        <v>-289</v>
      </c>
      <c r="Z337">
        <v>240</v>
      </c>
      <c r="AA337">
        <v>1707</v>
      </c>
      <c r="AB337">
        <v>3516</v>
      </c>
      <c r="AC337">
        <v>360</v>
      </c>
    </row>
    <row r="338" spans="1:29" x14ac:dyDescent="0.2">
      <c r="A338" t="s">
        <v>735</v>
      </c>
      <c r="B338">
        <v>1</v>
      </c>
      <c r="C338" t="s">
        <v>234</v>
      </c>
      <c r="D338" t="s">
        <v>1427</v>
      </c>
      <c r="E338">
        <v>57</v>
      </c>
      <c r="F338">
        <v>-34</v>
      </c>
      <c r="G338">
        <v>-36</v>
      </c>
      <c r="H338">
        <v>-90</v>
      </c>
      <c r="I338">
        <v>-91</v>
      </c>
      <c r="J338">
        <v>-84</v>
      </c>
      <c r="K338">
        <v>-105</v>
      </c>
      <c r="L338">
        <v>37</v>
      </c>
      <c r="M338">
        <v>-26</v>
      </c>
      <c r="N338">
        <v>-177</v>
      </c>
      <c r="O338">
        <v>-172</v>
      </c>
      <c r="P338">
        <v>-41</v>
      </c>
      <c r="Q338">
        <v>-150</v>
      </c>
      <c r="R338">
        <v>-306</v>
      </c>
      <c r="S338">
        <v>-528</v>
      </c>
      <c r="T338">
        <v>-405</v>
      </c>
      <c r="U338">
        <v>-239</v>
      </c>
      <c r="V338">
        <v>-53</v>
      </c>
      <c r="W338">
        <v>14</v>
      </c>
      <c r="X338">
        <v>-266</v>
      </c>
      <c r="Y338">
        <v>-315</v>
      </c>
      <c r="Z338">
        <v>45</v>
      </c>
      <c r="AA338">
        <v>1350</v>
      </c>
      <c r="AB338">
        <v>2697</v>
      </c>
      <c r="AC338">
        <v>-95</v>
      </c>
    </row>
    <row r="339" spans="1:29" x14ac:dyDescent="0.2">
      <c r="A339" t="s">
        <v>735</v>
      </c>
      <c r="B339">
        <v>1</v>
      </c>
      <c r="C339" t="s">
        <v>234</v>
      </c>
      <c r="D339" t="s">
        <v>1428</v>
      </c>
      <c r="E339">
        <v>58</v>
      </c>
      <c r="F339">
        <v>-60</v>
      </c>
      <c r="G339">
        <v>-99</v>
      </c>
      <c r="H339">
        <v>-110</v>
      </c>
      <c r="I339">
        <v>-106</v>
      </c>
      <c r="J339">
        <v>-80</v>
      </c>
      <c r="K339">
        <v>-98</v>
      </c>
      <c r="L339">
        <v>50</v>
      </c>
      <c r="M339">
        <v>-45</v>
      </c>
      <c r="N339">
        <v>-106</v>
      </c>
      <c r="O339">
        <v>-158</v>
      </c>
      <c r="P339">
        <v>-127</v>
      </c>
      <c r="Q339">
        <v>-137</v>
      </c>
      <c r="R339">
        <v>-312</v>
      </c>
      <c r="S339">
        <v>-416</v>
      </c>
      <c r="T339">
        <v>-420</v>
      </c>
      <c r="U339">
        <v>-164</v>
      </c>
      <c r="V339">
        <v>-40</v>
      </c>
      <c r="W339">
        <v>-1</v>
      </c>
      <c r="X339">
        <v>-189</v>
      </c>
      <c r="Y339">
        <v>-239</v>
      </c>
      <c r="Z339">
        <v>117</v>
      </c>
      <c r="AA339">
        <v>1193</v>
      </c>
      <c r="AB339">
        <v>2704</v>
      </c>
      <c r="AC339">
        <v>106</v>
      </c>
    </row>
    <row r="340" spans="1:29" x14ac:dyDescent="0.2">
      <c r="A340" t="s">
        <v>735</v>
      </c>
      <c r="B340">
        <v>1</v>
      </c>
      <c r="C340" t="s">
        <v>234</v>
      </c>
      <c r="D340" t="s">
        <v>1429</v>
      </c>
      <c r="E340">
        <v>59</v>
      </c>
      <c r="F340">
        <v>-31</v>
      </c>
      <c r="G340">
        <v>-41</v>
      </c>
      <c r="H340">
        <v>-98</v>
      </c>
      <c r="I340">
        <v>-85</v>
      </c>
      <c r="J340">
        <v>-77</v>
      </c>
      <c r="K340">
        <v>-113</v>
      </c>
      <c r="L340">
        <v>-6</v>
      </c>
      <c r="M340">
        <v>-7</v>
      </c>
      <c r="N340">
        <v>-88</v>
      </c>
      <c r="O340">
        <v>-169</v>
      </c>
      <c r="P340">
        <v>-32</v>
      </c>
      <c r="Q340">
        <v>-128</v>
      </c>
      <c r="R340">
        <v>-290</v>
      </c>
      <c r="S340">
        <v>-365</v>
      </c>
      <c r="T340">
        <v>-352</v>
      </c>
      <c r="U340">
        <v>-224</v>
      </c>
      <c r="V340">
        <v>-100</v>
      </c>
      <c r="W340">
        <v>31</v>
      </c>
      <c r="X340">
        <v>-305</v>
      </c>
      <c r="Y340">
        <v>-290</v>
      </c>
      <c r="Z340">
        <v>127</v>
      </c>
      <c r="AA340">
        <v>1128</v>
      </c>
      <c r="AB340">
        <v>2446</v>
      </c>
      <c r="AC340">
        <v>133</v>
      </c>
    </row>
    <row r="341" spans="1:29" x14ac:dyDescent="0.2">
      <c r="A341" t="s">
        <v>735</v>
      </c>
      <c r="B341">
        <v>1</v>
      </c>
      <c r="C341" t="s">
        <v>234</v>
      </c>
      <c r="D341" t="s">
        <v>1580</v>
      </c>
      <c r="E341">
        <v>60</v>
      </c>
      <c r="F341">
        <v>-46</v>
      </c>
      <c r="G341">
        <v>-55</v>
      </c>
      <c r="H341">
        <v>-123</v>
      </c>
      <c r="I341">
        <v>-50</v>
      </c>
      <c r="J341">
        <v>-80</v>
      </c>
      <c r="K341">
        <v>-94</v>
      </c>
      <c r="L341">
        <v>-12</v>
      </c>
      <c r="M341">
        <v>-39</v>
      </c>
      <c r="N341">
        <v>-142</v>
      </c>
      <c r="O341">
        <v>-140</v>
      </c>
      <c r="P341">
        <v>-45</v>
      </c>
      <c r="Q341">
        <v>-109</v>
      </c>
      <c r="R341">
        <v>-183</v>
      </c>
      <c r="S341">
        <v>-430</v>
      </c>
      <c r="T341">
        <v>-339</v>
      </c>
      <c r="U341">
        <v>-222</v>
      </c>
      <c r="V341">
        <v>-53</v>
      </c>
      <c r="W341">
        <v>30</v>
      </c>
      <c r="X341">
        <v>-292</v>
      </c>
      <c r="Y341">
        <v>-230</v>
      </c>
      <c r="Z341">
        <v>147</v>
      </c>
      <c r="AA341">
        <v>975</v>
      </c>
      <c r="AB341">
        <v>2148</v>
      </c>
      <c r="AC341">
        <v>101</v>
      </c>
    </row>
    <row r="342" spans="1:29" x14ac:dyDescent="0.2">
      <c r="A342" t="s">
        <v>735</v>
      </c>
      <c r="B342">
        <v>1</v>
      </c>
      <c r="C342" t="s">
        <v>234</v>
      </c>
      <c r="D342" t="s">
        <v>1581</v>
      </c>
      <c r="E342">
        <v>61</v>
      </c>
      <c r="F342">
        <v>-44</v>
      </c>
      <c r="G342">
        <v>-52</v>
      </c>
      <c r="H342">
        <v>-93</v>
      </c>
      <c r="I342">
        <v>-27</v>
      </c>
      <c r="J342">
        <v>-58</v>
      </c>
      <c r="K342">
        <v>-66</v>
      </c>
      <c r="L342">
        <v>-52</v>
      </c>
      <c r="M342">
        <v>-24</v>
      </c>
      <c r="N342">
        <v>-106</v>
      </c>
      <c r="O342">
        <v>-101</v>
      </c>
      <c r="P342">
        <v>-55</v>
      </c>
      <c r="Q342">
        <v>-96</v>
      </c>
      <c r="R342">
        <v>-275</v>
      </c>
      <c r="S342">
        <v>-412</v>
      </c>
      <c r="T342">
        <v>-237</v>
      </c>
      <c r="U342">
        <v>-220</v>
      </c>
      <c r="V342">
        <v>-3</v>
      </c>
      <c r="W342">
        <v>-53</v>
      </c>
      <c r="X342">
        <v>-286</v>
      </c>
      <c r="Y342">
        <v>-210</v>
      </c>
      <c r="Z342">
        <v>230</v>
      </c>
      <c r="AA342">
        <v>925</v>
      </c>
      <c r="AB342">
        <v>2162</v>
      </c>
      <c r="AC342">
        <v>201</v>
      </c>
    </row>
    <row r="343" spans="1:29" x14ac:dyDescent="0.2">
      <c r="A343" t="s">
        <v>735</v>
      </c>
      <c r="B343">
        <v>1</v>
      </c>
      <c r="C343" t="s">
        <v>234</v>
      </c>
      <c r="D343" t="s">
        <v>1582</v>
      </c>
      <c r="E343">
        <v>62</v>
      </c>
      <c r="F343">
        <v>-5</v>
      </c>
      <c r="G343">
        <v>-61</v>
      </c>
      <c r="H343">
        <v>-66</v>
      </c>
      <c r="I343">
        <v>-52</v>
      </c>
      <c r="J343">
        <v>-3</v>
      </c>
      <c r="K343">
        <v>-73</v>
      </c>
      <c r="L343">
        <v>-37</v>
      </c>
      <c r="M343">
        <v>-42</v>
      </c>
      <c r="N343">
        <v>-114</v>
      </c>
      <c r="O343">
        <v>-131</v>
      </c>
      <c r="P343">
        <v>-52</v>
      </c>
      <c r="Q343">
        <v>-103</v>
      </c>
      <c r="R343">
        <v>-287</v>
      </c>
      <c r="S343">
        <v>-335</v>
      </c>
      <c r="T343">
        <v>-211</v>
      </c>
      <c r="U343">
        <v>-206</v>
      </c>
      <c r="V343">
        <v>-61</v>
      </c>
      <c r="W343">
        <v>-57</v>
      </c>
      <c r="X343">
        <v>-166</v>
      </c>
      <c r="Y343">
        <v>-264</v>
      </c>
      <c r="Z343">
        <v>307</v>
      </c>
      <c r="AA343">
        <v>1064</v>
      </c>
      <c r="AB343">
        <v>2253</v>
      </c>
      <c r="AC343">
        <v>222</v>
      </c>
    </row>
    <row r="344" spans="1:29" x14ac:dyDescent="0.2">
      <c r="A344" t="s">
        <v>735</v>
      </c>
      <c r="B344">
        <v>1</v>
      </c>
      <c r="C344" t="s">
        <v>234</v>
      </c>
      <c r="D344" t="s">
        <v>1583</v>
      </c>
      <c r="E344">
        <v>63</v>
      </c>
      <c r="F344">
        <v>-6</v>
      </c>
      <c r="G344">
        <v>-31</v>
      </c>
      <c r="H344">
        <v>-127</v>
      </c>
      <c r="I344">
        <v>-59</v>
      </c>
      <c r="J344">
        <v>-29</v>
      </c>
      <c r="K344">
        <v>-61</v>
      </c>
      <c r="L344">
        <v>-35</v>
      </c>
      <c r="M344">
        <v>-32</v>
      </c>
      <c r="N344">
        <v>-74</v>
      </c>
      <c r="O344">
        <v>-54</v>
      </c>
      <c r="P344">
        <v>17</v>
      </c>
      <c r="Q344">
        <v>-116</v>
      </c>
      <c r="R344">
        <v>-221</v>
      </c>
      <c r="S344">
        <v>-296</v>
      </c>
      <c r="T344">
        <v>-165</v>
      </c>
      <c r="U344">
        <v>-180</v>
      </c>
      <c r="V344">
        <v>-65</v>
      </c>
      <c r="W344">
        <v>-124</v>
      </c>
      <c r="X344">
        <v>-106</v>
      </c>
      <c r="Y344">
        <v>-241</v>
      </c>
      <c r="Z344">
        <v>286</v>
      </c>
      <c r="AA344">
        <v>1031</v>
      </c>
      <c r="AB344">
        <v>2228</v>
      </c>
      <c r="AC344">
        <v>191</v>
      </c>
    </row>
    <row r="345" spans="1:29" x14ac:dyDescent="0.2">
      <c r="A345" t="s">
        <v>735</v>
      </c>
      <c r="B345">
        <v>1</v>
      </c>
      <c r="C345" t="s">
        <v>234</v>
      </c>
      <c r="D345" t="s">
        <v>1430</v>
      </c>
      <c r="E345">
        <v>64</v>
      </c>
      <c r="F345">
        <v>16</v>
      </c>
      <c r="G345">
        <v>-20</v>
      </c>
      <c r="H345">
        <v>-82</v>
      </c>
      <c r="I345">
        <v>-21</v>
      </c>
      <c r="J345">
        <v>-29</v>
      </c>
      <c r="K345">
        <v>-72</v>
      </c>
      <c r="L345">
        <v>-30</v>
      </c>
      <c r="M345">
        <v>-24</v>
      </c>
      <c r="N345">
        <v>-89</v>
      </c>
      <c r="O345">
        <v>-22</v>
      </c>
      <c r="P345">
        <v>-74</v>
      </c>
      <c r="Q345">
        <v>-112</v>
      </c>
      <c r="R345">
        <v>-139</v>
      </c>
      <c r="S345">
        <v>-232</v>
      </c>
      <c r="T345">
        <v>-211</v>
      </c>
      <c r="U345">
        <v>-183</v>
      </c>
      <c r="V345">
        <v>-43</v>
      </c>
      <c r="W345">
        <v>-100</v>
      </c>
      <c r="X345">
        <v>-128</v>
      </c>
      <c r="Y345">
        <v>-209</v>
      </c>
      <c r="Z345">
        <v>257</v>
      </c>
      <c r="AA345">
        <v>922</v>
      </c>
      <c r="AB345">
        <v>1955</v>
      </c>
      <c r="AC345">
        <v>30</v>
      </c>
    </row>
    <row r="346" spans="1:29" x14ac:dyDescent="0.2">
      <c r="A346" t="s">
        <v>735</v>
      </c>
      <c r="B346">
        <v>1</v>
      </c>
      <c r="C346" t="s">
        <v>234</v>
      </c>
      <c r="D346" t="s">
        <v>1431</v>
      </c>
      <c r="E346">
        <v>65</v>
      </c>
      <c r="F346">
        <v>-76</v>
      </c>
      <c r="G346">
        <v>-87</v>
      </c>
      <c r="H346">
        <v>-115</v>
      </c>
      <c r="I346">
        <v>-50</v>
      </c>
      <c r="J346">
        <v>-73</v>
      </c>
      <c r="K346">
        <v>-78</v>
      </c>
      <c r="L346">
        <v>-5</v>
      </c>
      <c r="M346">
        <v>-45</v>
      </c>
      <c r="N346">
        <v>-65</v>
      </c>
      <c r="O346">
        <v>-72</v>
      </c>
      <c r="P346">
        <v>-56</v>
      </c>
      <c r="Q346">
        <v>-135</v>
      </c>
      <c r="R346">
        <v>-76</v>
      </c>
      <c r="S346">
        <v>-251</v>
      </c>
      <c r="T346">
        <v>-222</v>
      </c>
      <c r="U346">
        <v>-74</v>
      </c>
      <c r="V346">
        <v>-41</v>
      </c>
      <c r="W346">
        <v>-93</v>
      </c>
      <c r="X346">
        <v>-85</v>
      </c>
      <c r="Y346">
        <v>-184</v>
      </c>
      <c r="Z346">
        <v>291</v>
      </c>
      <c r="AA346">
        <v>901</v>
      </c>
      <c r="AB346">
        <v>1797</v>
      </c>
      <c r="AC346">
        <v>-24</v>
      </c>
    </row>
    <row r="347" spans="1:29" x14ac:dyDescent="0.2">
      <c r="A347" t="s">
        <v>735</v>
      </c>
      <c r="B347">
        <v>1</v>
      </c>
      <c r="C347" t="s">
        <v>234</v>
      </c>
      <c r="D347" t="s">
        <v>1584</v>
      </c>
      <c r="E347">
        <v>66</v>
      </c>
      <c r="F347">
        <v>-50</v>
      </c>
      <c r="G347">
        <v>-8</v>
      </c>
      <c r="H347">
        <v>-92</v>
      </c>
      <c r="I347">
        <v>-24</v>
      </c>
      <c r="J347">
        <v>-39</v>
      </c>
      <c r="K347">
        <v>-9</v>
      </c>
      <c r="L347">
        <v>-10</v>
      </c>
      <c r="M347">
        <v>-50</v>
      </c>
      <c r="N347">
        <v>-57</v>
      </c>
      <c r="O347">
        <v>-89</v>
      </c>
      <c r="P347">
        <v>-83</v>
      </c>
      <c r="Q347">
        <v>-87</v>
      </c>
      <c r="R347">
        <v>-119</v>
      </c>
      <c r="S347">
        <v>-163</v>
      </c>
      <c r="T347">
        <v>-143</v>
      </c>
      <c r="U347">
        <v>-33</v>
      </c>
      <c r="V347">
        <v>-86</v>
      </c>
      <c r="W347">
        <v>-13</v>
      </c>
      <c r="X347">
        <v>-124</v>
      </c>
      <c r="Y347">
        <v>-170</v>
      </c>
      <c r="Z347">
        <v>257</v>
      </c>
      <c r="AA347">
        <v>705</v>
      </c>
      <c r="AB347">
        <v>1721</v>
      </c>
      <c r="AC347">
        <v>59</v>
      </c>
    </row>
    <row r="348" spans="1:29" x14ac:dyDescent="0.2">
      <c r="A348" t="s">
        <v>735</v>
      </c>
      <c r="B348">
        <v>1</v>
      </c>
      <c r="C348" t="s">
        <v>234</v>
      </c>
      <c r="D348" t="s">
        <v>1585</v>
      </c>
      <c r="E348">
        <v>67</v>
      </c>
      <c r="F348">
        <v>-14</v>
      </c>
      <c r="G348">
        <v>13</v>
      </c>
      <c r="H348">
        <v>-64</v>
      </c>
      <c r="I348">
        <v>-37</v>
      </c>
      <c r="J348">
        <v>-30</v>
      </c>
      <c r="K348">
        <v>-43</v>
      </c>
      <c r="L348">
        <v>-30</v>
      </c>
      <c r="M348">
        <v>-18</v>
      </c>
      <c r="N348">
        <v>11</v>
      </c>
      <c r="O348">
        <v>-12</v>
      </c>
      <c r="P348">
        <v>-17</v>
      </c>
      <c r="Q348">
        <v>-41</v>
      </c>
      <c r="R348">
        <v>-121</v>
      </c>
      <c r="S348">
        <v>-184</v>
      </c>
      <c r="T348">
        <v>-216</v>
      </c>
      <c r="U348">
        <v>-125</v>
      </c>
      <c r="V348">
        <v>-70</v>
      </c>
      <c r="W348">
        <v>-58</v>
      </c>
      <c r="X348">
        <v>-96</v>
      </c>
      <c r="Y348">
        <v>-185</v>
      </c>
      <c r="Z348">
        <v>165</v>
      </c>
      <c r="AA348">
        <v>755</v>
      </c>
      <c r="AB348">
        <v>1542</v>
      </c>
      <c r="AC348">
        <v>8</v>
      </c>
    </row>
    <row r="349" spans="1:29" x14ac:dyDescent="0.2">
      <c r="A349" t="s">
        <v>735</v>
      </c>
      <c r="B349">
        <v>1</v>
      </c>
      <c r="C349" t="s">
        <v>234</v>
      </c>
      <c r="D349" t="s">
        <v>557</v>
      </c>
      <c r="E349">
        <v>68</v>
      </c>
      <c r="F349">
        <v>-17</v>
      </c>
      <c r="G349">
        <v>-5</v>
      </c>
      <c r="H349">
        <v>-77</v>
      </c>
      <c r="I349">
        <v>-43</v>
      </c>
      <c r="J349">
        <v>-9</v>
      </c>
      <c r="K349">
        <v>-45</v>
      </c>
      <c r="L349">
        <v>-22</v>
      </c>
      <c r="M349">
        <v>-7</v>
      </c>
      <c r="N349">
        <v>-30</v>
      </c>
      <c r="O349">
        <v>-60</v>
      </c>
      <c r="P349">
        <v>-59</v>
      </c>
      <c r="Q349">
        <v>-117</v>
      </c>
      <c r="R349">
        <v>-164</v>
      </c>
      <c r="S349">
        <v>-132</v>
      </c>
      <c r="T349">
        <v>-132</v>
      </c>
      <c r="U349">
        <v>-75</v>
      </c>
      <c r="V349">
        <v>-59</v>
      </c>
      <c r="W349">
        <v>-40</v>
      </c>
      <c r="X349">
        <v>-69</v>
      </c>
      <c r="Y349">
        <v>-168</v>
      </c>
      <c r="Z349">
        <v>306</v>
      </c>
      <c r="AA349">
        <v>700</v>
      </c>
      <c r="AB349">
        <v>1410</v>
      </c>
      <c r="AC349">
        <v>52</v>
      </c>
    </row>
    <row r="350" spans="1:29" x14ac:dyDescent="0.2">
      <c r="A350" t="s">
        <v>735</v>
      </c>
      <c r="B350">
        <v>1</v>
      </c>
      <c r="C350" t="s">
        <v>234</v>
      </c>
      <c r="D350" t="s">
        <v>1586</v>
      </c>
      <c r="E350">
        <v>69</v>
      </c>
      <c r="F350">
        <v>-39</v>
      </c>
      <c r="G350">
        <v>-33</v>
      </c>
      <c r="H350">
        <v>-46</v>
      </c>
      <c r="I350">
        <v>-49</v>
      </c>
      <c r="J350">
        <v>-47</v>
      </c>
      <c r="K350">
        <v>-41</v>
      </c>
      <c r="L350">
        <v>-27</v>
      </c>
      <c r="M350">
        <v>-16</v>
      </c>
      <c r="N350">
        <v>-61</v>
      </c>
      <c r="O350">
        <v>-39</v>
      </c>
      <c r="P350">
        <v>-72</v>
      </c>
      <c r="Q350">
        <v>-52</v>
      </c>
      <c r="R350">
        <v>-96</v>
      </c>
      <c r="S350">
        <v>-104</v>
      </c>
      <c r="T350">
        <v>-129</v>
      </c>
      <c r="U350">
        <v>-60</v>
      </c>
      <c r="V350">
        <v>-64</v>
      </c>
      <c r="W350">
        <v>-2</v>
      </c>
      <c r="X350">
        <v>-64</v>
      </c>
      <c r="Y350">
        <v>-156</v>
      </c>
      <c r="Z350">
        <v>159</v>
      </c>
      <c r="AA350">
        <v>491</v>
      </c>
      <c r="AB350">
        <v>1114</v>
      </c>
      <c r="AC350">
        <v>-83</v>
      </c>
    </row>
    <row r="351" spans="1:29" x14ac:dyDescent="0.2">
      <c r="A351" t="s">
        <v>735</v>
      </c>
      <c r="B351">
        <v>1</v>
      </c>
      <c r="C351" t="s">
        <v>234</v>
      </c>
      <c r="D351" t="s">
        <v>1587</v>
      </c>
      <c r="E351">
        <v>70</v>
      </c>
      <c r="F351">
        <v>-30</v>
      </c>
      <c r="G351">
        <v>-18</v>
      </c>
      <c r="H351">
        <v>-40</v>
      </c>
      <c r="I351">
        <v>-40</v>
      </c>
      <c r="J351">
        <v>-35</v>
      </c>
      <c r="K351">
        <v>-16</v>
      </c>
      <c r="L351">
        <v>-24</v>
      </c>
      <c r="M351">
        <v>-15</v>
      </c>
      <c r="N351">
        <v>-36</v>
      </c>
      <c r="O351">
        <v>-18</v>
      </c>
      <c r="P351">
        <v>-68</v>
      </c>
      <c r="Q351">
        <v>-40</v>
      </c>
      <c r="R351">
        <v>-124</v>
      </c>
      <c r="S351">
        <v>-114</v>
      </c>
      <c r="T351">
        <v>-92</v>
      </c>
      <c r="U351">
        <v>-32</v>
      </c>
      <c r="V351">
        <v>-5</v>
      </c>
      <c r="W351">
        <v>-4</v>
      </c>
      <c r="X351">
        <v>-52</v>
      </c>
      <c r="Y351">
        <v>-108</v>
      </c>
      <c r="Z351">
        <v>250</v>
      </c>
      <c r="AA351">
        <v>507</v>
      </c>
      <c r="AB351">
        <v>1178</v>
      </c>
      <c r="AC351">
        <v>133</v>
      </c>
    </row>
    <row r="352" spans="1:29" x14ac:dyDescent="0.2">
      <c r="A352" t="s">
        <v>735</v>
      </c>
      <c r="B352">
        <v>1</v>
      </c>
      <c r="C352" t="s">
        <v>234</v>
      </c>
      <c r="D352" t="s">
        <v>1588</v>
      </c>
      <c r="E352">
        <v>71</v>
      </c>
      <c r="F352">
        <v>-18</v>
      </c>
      <c r="G352">
        <v>-12</v>
      </c>
      <c r="H352">
        <v>-57</v>
      </c>
      <c r="I352">
        <v>-43</v>
      </c>
      <c r="J352">
        <v>4</v>
      </c>
      <c r="K352">
        <v>-18</v>
      </c>
      <c r="L352">
        <v>-20</v>
      </c>
      <c r="M352">
        <v>-14</v>
      </c>
      <c r="N352">
        <v>-15</v>
      </c>
      <c r="O352">
        <v>-21</v>
      </c>
      <c r="P352">
        <v>-70</v>
      </c>
      <c r="Q352">
        <v>-31</v>
      </c>
      <c r="R352">
        <v>-71</v>
      </c>
      <c r="S352">
        <v>-69</v>
      </c>
      <c r="T352">
        <v>-93</v>
      </c>
      <c r="U352">
        <v>-34</v>
      </c>
      <c r="V352">
        <v>-36</v>
      </c>
      <c r="W352">
        <v>-35</v>
      </c>
      <c r="X352">
        <v>-63</v>
      </c>
      <c r="Y352">
        <v>-117</v>
      </c>
      <c r="Z352">
        <v>166</v>
      </c>
      <c r="AA352">
        <v>400</v>
      </c>
      <c r="AB352">
        <v>895</v>
      </c>
      <c r="AC352">
        <v>-79</v>
      </c>
    </row>
    <row r="353" spans="1:29" x14ac:dyDescent="0.2">
      <c r="A353" t="s">
        <v>735</v>
      </c>
      <c r="B353">
        <v>1</v>
      </c>
      <c r="C353" t="s">
        <v>234</v>
      </c>
      <c r="D353" t="s">
        <v>1589</v>
      </c>
      <c r="E353">
        <v>72</v>
      </c>
      <c r="F353">
        <v>-2</v>
      </c>
      <c r="G353">
        <v>-16</v>
      </c>
      <c r="H353">
        <v>-49</v>
      </c>
      <c r="I353">
        <v>-14</v>
      </c>
      <c r="J353">
        <v>-8</v>
      </c>
      <c r="K353">
        <v>-21</v>
      </c>
      <c r="L353">
        <v>-11</v>
      </c>
      <c r="M353">
        <v>-15</v>
      </c>
      <c r="N353">
        <v>-4</v>
      </c>
      <c r="O353">
        <v>-18</v>
      </c>
      <c r="P353">
        <v>-16</v>
      </c>
      <c r="Q353">
        <v>-33</v>
      </c>
      <c r="R353">
        <v>-54</v>
      </c>
      <c r="S353">
        <v>-60</v>
      </c>
      <c r="T353">
        <v>-59</v>
      </c>
      <c r="U353">
        <v>-42</v>
      </c>
      <c r="V353">
        <v>-34</v>
      </c>
      <c r="W353">
        <v>-27</v>
      </c>
      <c r="X353">
        <v>-17</v>
      </c>
      <c r="Y353">
        <v>-59</v>
      </c>
      <c r="Z353">
        <v>171</v>
      </c>
      <c r="AA353">
        <v>427</v>
      </c>
      <c r="AB353">
        <v>874</v>
      </c>
      <c r="AC353">
        <v>81</v>
      </c>
    </row>
    <row r="354" spans="1:29" x14ac:dyDescent="0.2">
      <c r="A354" t="s">
        <v>735</v>
      </c>
      <c r="B354">
        <v>1</v>
      </c>
      <c r="C354" t="s">
        <v>234</v>
      </c>
      <c r="D354" t="s">
        <v>1590</v>
      </c>
      <c r="E354">
        <v>73</v>
      </c>
      <c r="F354">
        <v>-17</v>
      </c>
      <c r="G354">
        <v>-17</v>
      </c>
      <c r="H354">
        <v>-41</v>
      </c>
      <c r="I354">
        <v>-37</v>
      </c>
      <c r="J354">
        <v>-36</v>
      </c>
      <c r="K354">
        <v>-41</v>
      </c>
      <c r="L354">
        <v>-27</v>
      </c>
      <c r="M354">
        <v>-19</v>
      </c>
      <c r="N354">
        <v>-29</v>
      </c>
      <c r="O354">
        <v>-18</v>
      </c>
      <c r="P354">
        <v>-66</v>
      </c>
      <c r="Q354">
        <v>-65</v>
      </c>
      <c r="R354">
        <v>-71</v>
      </c>
      <c r="S354">
        <v>-75</v>
      </c>
      <c r="T354">
        <v>-44</v>
      </c>
      <c r="U354">
        <v>-8</v>
      </c>
      <c r="V354">
        <v>-6</v>
      </c>
      <c r="W354">
        <v>12</v>
      </c>
      <c r="X354">
        <v>-28</v>
      </c>
      <c r="Y354">
        <v>-62</v>
      </c>
      <c r="Z354">
        <v>89</v>
      </c>
      <c r="AA354">
        <v>305</v>
      </c>
      <c r="AB354">
        <v>614</v>
      </c>
      <c r="AC354">
        <v>-106</v>
      </c>
    </row>
    <row r="355" spans="1:29" x14ac:dyDescent="0.2">
      <c r="A355" t="s">
        <v>735</v>
      </c>
      <c r="B355">
        <v>1</v>
      </c>
      <c r="C355" t="s">
        <v>234</v>
      </c>
      <c r="D355" t="s">
        <v>1432</v>
      </c>
      <c r="E355">
        <v>74</v>
      </c>
      <c r="F355">
        <v>-20</v>
      </c>
      <c r="G355">
        <v>-15</v>
      </c>
      <c r="H355">
        <v>-34</v>
      </c>
      <c r="I355">
        <v>-32</v>
      </c>
      <c r="J355">
        <v>-8</v>
      </c>
      <c r="K355">
        <v>-38</v>
      </c>
      <c r="L355">
        <v>-14</v>
      </c>
      <c r="M355">
        <v>-9</v>
      </c>
      <c r="N355">
        <v>-14</v>
      </c>
      <c r="O355">
        <v>-10</v>
      </c>
      <c r="P355">
        <v>-45</v>
      </c>
      <c r="Q355">
        <v>-23</v>
      </c>
      <c r="R355">
        <v>-44</v>
      </c>
      <c r="S355">
        <v>-27</v>
      </c>
      <c r="T355">
        <v>-32</v>
      </c>
      <c r="U355">
        <v>-18</v>
      </c>
      <c r="V355">
        <v>13</v>
      </c>
      <c r="W355">
        <v>-12</v>
      </c>
      <c r="X355">
        <v>-30</v>
      </c>
      <c r="Y355">
        <v>-48</v>
      </c>
      <c r="Z355">
        <v>193</v>
      </c>
      <c r="AA355">
        <v>366</v>
      </c>
      <c r="AB355">
        <v>740</v>
      </c>
      <c r="AC355">
        <v>132</v>
      </c>
    </row>
    <row r="356" spans="1:29" x14ac:dyDescent="0.2">
      <c r="A356" t="s">
        <v>735</v>
      </c>
      <c r="B356">
        <v>1</v>
      </c>
      <c r="C356" t="s">
        <v>234</v>
      </c>
      <c r="D356" t="s">
        <v>1433</v>
      </c>
      <c r="E356">
        <v>75</v>
      </c>
      <c r="F356">
        <v>-1</v>
      </c>
      <c r="G356">
        <v>-31</v>
      </c>
      <c r="H356">
        <v>-52</v>
      </c>
      <c r="I356">
        <v>-36</v>
      </c>
      <c r="J356">
        <v>-5</v>
      </c>
      <c r="K356">
        <v>-22</v>
      </c>
      <c r="L356">
        <v>-3</v>
      </c>
      <c r="M356">
        <v>-31</v>
      </c>
      <c r="N356">
        <v>-14</v>
      </c>
      <c r="O356">
        <v>-11</v>
      </c>
      <c r="P356">
        <v>-23</v>
      </c>
      <c r="Q356">
        <v>-32</v>
      </c>
      <c r="R356">
        <v>-36</v>
      </c>
      <c r="S356">
        <v>-22</v>
      </c>
      <c r="T356">
        <v>-55</v>
      </c>
      <c r="U356">
        <v>-29</v>
      </c>
      <c r="V356">
        <v>-16</v>
      </c>
      <c r="W356">
        <v>-24</v>
      </c>
      <c r="X356">
        <v>-36</v>
      </c>
      <c r="Y356">
        <v>-70</v>
      </c>
      <c r="Z356">
        <v>204</v>
      </c>
      <c r="AA356">
        <v>270</v>
      </c>
      <c r="AB356">
        <v>539</v>
      </c>
      <c r="AC356">
        <v>25</v>
      </c>
    </row>
    <row r="357" spans="1:29" x14ac:dyDescent="0.2">
      <c r="A357" t="s">
        <v>735</v>
      </c>
      <c r="B357">
        <v>1</v>
      </c>
      <c r="C357" t="s">
        <v>234</v>
      </c>
      <c r="D357" t="s">
        <v>1591</v>
      </c>
      <c r="E357">
        <v>76</v>
      </c>
      <c r="F357">
        <v>-19</v>
      </c>
      <c r="G357">
        <v>-18</v>
      </c>
      <c r="H357">
        <v>-27</v>
      </c>
      <c r="I357">
        <v>-22</v>
      </c>
      <c r="J357">
        <v>-40</v>
      </c>
      <c r="K357">
        <v>-30</v>
      </c>
      <c r="L357">
        <v>-3</v>
      </c>
      <c r="M357">
        <v>-12</v>
      </c>
      <c r="N357">
        <v>-10</v>
      </c>
      <c r="O357">
        <v>-29</v>
      </c>
      <c r="P357">
        <v>-44</v>
      </c>
      <c r="Q357">
        <v>-46</v>
      </c>
      <c r="R357">
        <v>-47</v>
      </c>
      <c r="S357">
        <v>-33</v>
      </c>
      <c r="T357">
        <v>-51</v>
      </c>
      <c r="U357">
        <v>-5</v>
      </c>
      <c r="V357">
        <v>11</v>
      </c>
      <c r="W357">
        <v>12</v>
      </c>
      <c r="X357">
        <v>7</v>
      </c>
      <c r="Y357">
        <v>-43</v>
      </c>
      <c r="Z357">
        <v>98</v>
      </c>
      <c r="AA357">
        <v>224</v>
      </c>
      <c r="AB357">
        <v>387</v>
      </c>
      <c r="AC357">
        <v>-49</v>
      </c>
    </row>
    <row r="358" spans="1:29" x14ac:dyDescent="0.2">
      <c r="A358" t="s">
        <v>735</v>
      </c>
      <c r="B358">
        <v>1</v>
      </c>
      <c r="C358" t="s">
        <v>234</v>
      </c>
      <c r="D358" t="s">
        <v>1592</v>
      </c>
      <c r="E358">
        <v>77</v>
      </c>
      <c r="F358">
        <v>-13</v>
      </c>
      <c r="G358">
        <v>-26</v>
      </c>
      <c r="H358">
        <v>-22</v>
      </c>
      <c r="I358">
        <v>-20</v>
      </c>
      <c r="J358">
        <v>-21</v>
      </c>
      <c r="K358">
        <v>-13</v>
      </c>
      <c r="L358">
        <v>-11</v>
      </c>
      <c r="M358">
        <v>-20</v>
      </c>
      <c r="N358">
        <v>-21</v>
      </c>
      <c r="O358">
        <v>10</v>
      </c>
      <c r="P358">
        <v>-9</v>
      </c>
      <c r="Q358">
        <v>-21</v>
      </c>
      <c r="R358">
        <v>-16</v>
      </c>
      <c r="S358">
        <v>-22</v>
      </c>
      <c r="T358">
        <v>-37</v>
      </c>
      <c r="U358">
        <v>-9</v>
      </c>
      <c r="V358">
        <v>10</v>
      </c>
      <c r="W358">
        <v>2</v>
      </c>
      <c r="X358">
        <v>-12</v>
      </c>
      <c r="Y358">
        <v>-36</v>
      </c>
      <c r="Z358">
        <v>116</v>
      </c>
      <c r="AA358">
        <v>188</v>
      </c>
      <c r="AB358">
        <v>416</v>
      </c>
      <c r="AC358">
        <v>24</v>
      </c>
    </row>
    <row r="359" spans="1:29" x14ac:dyDescent="0.2">
      <c r="A359" t="s">
        <v>735</v>
      </c>
      <c r="B359">
        <v>1</v>
      </c>
      <c r="C359" t="s">
        <v>234</v>
      </c>
      <c r="D359" t="s">
        <v>1593</v>
      </c>
      <c r="E359">
        <v>78</v>
      </c>
      <c r="F359">
        <v>-18</v>
      </c>
      <c r="G359">
        <v>0</v>
      </c>
      <c r="H359">
        <v>-20</v>
      </c>
      <c r="I359">
        <v>-24</v>
      </c>
      <c r="J359">
        <v>-11</v>
      </c>
      <c r="K359">
        <v>-19</v>
      </c>
      <c r="L359">
        <v>-9</v>
      </c>
      <c r="M359">
        <v>-17</v>
      </c>
      <c r="N359">
        <v>-4</v>
      </c>
      <c r="O359">
        <v>10</v>
      </c>
      <c r="P359">
        <v>-29</v>
      </c>
      <c r="Q359">
        <v>-13</v>
      </c>
      <c r="R359">
        <v>-25</v>
      </c>
      <c r="S359">
        <v>-2</v>
      </c>
      <c r="T359">
        <v>-10</v>
      </c>
      <c r="U359">
        <v>6</v>
      </c>
      <c r="V359">
        <v>33</v>
      </c>
      <c r="W359">
        <v>9</v>
      </c>
      <c r="X359">
        <v>-4</v>
      </c>
      <c r="Y359">
        <v>-19</v>
      </c>
      <c r="Z359">
        <v>74</v>
      </c>
      <c r="AA359">
        <v>217</v>
      </c>
      <c r="AB359">
        <v>271</v>
      </c>
      <c r="AC359">
        <v>43</v>
      </c>
    </row>
    <row r="360" spans="1:29" x14ac:dyDescent="0.2">
      <c r="A360" t="s">
        <v>735</v>
      </c>
      <c r="B360">
        <v>1</v>
      </c>
      <c r="C360" t="s">
        <v>234</v>
      </c>
      <c r="D360" t="s">
        <v>1594</v>
      </c>
      <c r="E360">
        <v>79</v>
      </c>
      <c r="F360">
        <v>-8</v>
      </c>
      <c r="G360">
        <v>-21</v>
      </c>
      <c r="H360">
        <v>-21</v>
      </c>
      <c r="I360">
        <v>-20</v>
      </c>
      <c r="J360">
        <v>-17</v>
      </c>
      <c r="K360">
        <v>-21</v>
      </c>
      <c r="L360">
        <v>-16</v>
      </c>
      <c r="M360">
        <v>-4</v>
      </c>
      <c r="N360">
        <v>-9</v>
      </c>
      <c r="O360">
        <v>-26</v>
      </c>
      <c r="P360">
        <v>-24</v>
      </c>
      <c r="Q360">
        <v>-23</v>
      </c>
      <c r="R360">
        <v>-21</v>
      </c>
      <c r="S360">
        <v>-25</v>
      </c>
      <c r="T360">
        <v>-38</v>
      </c>
      <c r="U360">
        <v>-20</v>
      </c>
      <c r="V360">
        <v>-8</v>
      </c>
      <c r="W360">
        <v>-31</v>
      </c>
      <c r="X360">
        <v>2</v>
      </c>
      <c r="Y360">
        <v>-35</v>
      </c>
      <c r="Z360">
        <v>36</v>
      </c>
      <c r="AA360">
        <v>96</v>
      </c>
      <c r="AB360">
        <v>250</v>
      </c>
      <c r="AC360">
        <v>-35</v>
      </c>
    </row>
    <row r="361" spans="1:29" x14ac:dyDescent="0.2">
      <c r="A361" t="s">
        <v>735</v>
      </c>
      <c r="B361">
        <v>1</v>
      </c>
      <c r="C361" t="s">
        <v>234</v>
      </c>
      <c r="D361" t="s">
        <v>1595</v>
      </c>
      <c r="E361">
        <v>80</v>
      </c>
      <c r="F361">
        <v>-17</v>
      </c>
      <c r="G361">
        <v>-5</v>
      </c>
      <c r="H361">
        <v>-24</v>
      </c>
      <c r="I361">
        <v>-7</v>
      </c>
      <c r="J361">
        <v>-8</v>
      </c>
      <c r="K361">
        <v>-8</v>
      </c>
      <c r="L361">
        <v>-23</v>
      </c>
      <c r="M361">
        <v>3</v>
      </c>
      <c r="N361">
        <v>-23</v>
      </c>
      <c r="O361">
        <v>-20</v>
      </c>
      <c r="P361">
        <v>-9</v>
      </c>
      <c r="Q361">
        <v>-23</v>
      </c>
      <c r="R361">
        <v>-22</v>
      </c>
      <c r="S361">
        <v>-9</v>
      </c>
      <c r="T361">
        <v>-10</v>
      </c>
      <c r="U361">
        <v>-13</v>
      </c>
      <c r="V361">
        <v>-28</v>
      </c>
      <c r="W361">
        <v>-8</v>
      </c>
      <c r="X361">
        <v>0</v>
      </c>
      <c r="Y361">
        <v>-24</v>
      </c>
      <c r="Z361">
        <v>33</v>
      </c>
      <c r="AA361">
        <v>102</v>
      </c>
      <c r="AB361">
        <v>158</v>
      </c>
      <c r="AC361">
        <v>-9</v>
      </c>
    </row>
    <row r="362" spans="1:29" x14ac:dyDescent="0.2">
      <c r="A362" t="s">
        <v>735</v>
      </c>
      <c r="B362">
        <v>1</v>
      </c>
      <c r="C362" t="s">
        <v>234</v>
      </c>
      <c r="D362" t="s">
        <v>1596</v>
      </c>
      <c r="E362">
        <v>81</v>
      </c>
      <c r="F362">
        <v>-9</v>
      </c>
      <c r="G362">
        <v>1</v>
      </c>
      <c r="H362">
        <v>-16</v>
      </c>
      <c r="I362">
        <v>-15</v>
      </c>
      <c r="J362">
        <v>-14</v>
      </c>
      <c r="K362">
        <v>-12</v>
      </c>
      <c r="L362">
        <v>-10</v>
      </c>
      <c r="M362">
        <v>-1</v>
      </c>
      <c r="N362">
        <v>-4</v>
      </c>
      <c r="O362">
        <v>-13</v>
      </c>
      <c r="P362">
        <v>-13</v>
      </c>
      <c r="Q362">
        <v>-14</v>
      </c>
      <c r="R362">
        <v>-10</v>
      </c>
      <c r="S362">
        <v>-9</v>
      </c>
      <c r="T362">
        <v>-30</v>
      </c>
      <c r="U362">
        <v>4</v>
      </c>
      <c r="V362">
        <v>1</v>
      </c>
      <c r="W362">
        <v>16</v>
      </c>
      <c r="X362">
        <v>2</v>
      </c>
      <c r="Y362">
        <v>-14</v>
      </c>
      <c r="Z362">
        <v>52</v>
      </c>
      <c r="AA362">
        <v>46</v>
      </c>
      <c r="AB362">
        <v>180</v>
      </c>
      <c r="AC362">
        <v>67</v>
      </c>
    </row>
    <row r="363" spans="1:29" x14ac:dyDescent="0.2">
      <c r="A363" t="s">
        <v>735</v>
      </c>
      <c r="B363">
        <v>1</v>
      </c>
      <c r="C363" t="s">
        <v>234</v>
      </c>
      <c r="D363" t="s">
        <v>1597</v>
      </c>
      <c r="E363">
        <v>82</v>
      </c>
      <c r="F363">
        <v>-9</v>
      </c>
      <c r="G363">
        <v>-8</v>
      </c>
      <c r="H363">
        <v>-16</v>
      </c>
      <c r="I363">
        <v>-3</v>
      </c>
      <c r="J363">
        <v>-5</v>
      </c>
      <c r="K363">
        <v>-7</v>
      </c>
      <c r="L363">
        <v>-6</v>
      </c>
      <c r="M363">
        <v>-5</v>
      </c>
      <c r="N363">
        <v>-5</v>
      </c>
      <c r="O363">
        <v>-16</v>
      </c>
      <c r="P363">
        <v>-19</v>
      </c>
      <c r="Q363">
        <v>-24</v>
      </c>
      <c r="R363">
        <v>-16</v>
      </c>
      <c r="S363">
        <v>-4</v>
      </c>
      <c r="T363">
        <v>-7</v>
      </c>
      <c r="U363">
        <v>-8</v>
      </c>
      <c r="V363">
        <v>-3</v>
      </c>
      <c r="W363">
        <v>5</v>
      </c>
      <c r="X363">
        <v>2</v>
      </c>
      <c r="Y363">
        <v>3</v>
      </c>
      <c r="Z363">
        <v>40</v>
      </c>
      <c r="AA363">
        <v>73</v>
      </c>
      <c r="AB363">
        <v>115</v>
      </c>
      <c r="AC363">
        <v>-20</v>
      </c>
    </row>
    <row r="364" spans="1:29" x14ac:dyDescent="0.2">
      <c r="A364" t="s">
        <v>735</v>
      </c>
      <c r="B364">
        <v>1</v>
      </c>
      <c r="C364" t="s">
        <v>234</v>
      </c>
      <c r="D364" t="s">
        <v>1598</v>
      </c>
      <c r="E364">
        <v>83</v>
      </c>
      <c r="F364">
        <v>-11</v>
      </c>
      <c r="G364">
        <v>5</v>
      </c>
      <c r="H364">
        <v>-7</v>
      </c>
      <c r="I364">
        <v>-4</v>
      </c>
      <c r="J364">
        <v>-12</v>
      </c>
      <c r="K364">
        <v>-5</v>
      </c>
      <c r="L364">
        <v>-5</v>
      </c>
      <c r="M364">
        <v>-4</v>
      </c>
      <c r="N364">
        <v>0</v>
      </c>
      <c r="O364">
        <v>-5</v>
      </c>
      <c r="P364">
        <v>-11</v>
      </c>
      <c r="Q364">
        <v>-17</v>
      </c>
      <c r="R364">
        <v>-10</v>
      </c>
      <c r="S364">
        <v>-5</v>
      </c>
      <c r="T364">
        <v>-9</v>
      </c>
      <c r="U364">
        <v>-13</v>
      </c>
      <c r="V364">
        <v>-7</v>
      </c>
      <c r="W364">
        <v>-7</v>
      </c>
      <c r="X364">
        <v>-5</v>
      </c>
      <c r="Y364">
        <v>-16</v>
      </c>
      <c r="Z364">
        <v>21</v>
      </c>
      <c r="AA364">
        <v>94</v>
      </c>
      <c r="AB364">
        <v>85</v>
      </c>
      <c r="AC364">
        <v>24</v>
      </c>
    </row>
    <row r="365" spans="1:29" x14ac:dyDescent="0.2">
      <c r="A365" t="s">
        <v>735</v>
      </c>
      <c r="B365">
        <v>1</v>
      </c>
      <c r="C365" t="s">
        <v>234</v>
      </c>
      <c r="D365" t="s">
        <v>1434</v>
      </c>
      <c r="E365">
        <v>84</v>
      </c>
      <c r="F365">
        <v>-13</v>
      </c>
      <c r="G365">
        <v>-2</v>
      </c>
      <c r="H365">
        <v>-10</v>
      </c>
      <c r="I365">
        <v>-13</v>
      </c>
      <c r="J365">
        <v>-12</v>
      </c>
      <c r="K365">
        <v>-5</v>
      </c>
      <c r="L365">
        <v>-7</v>
      </c>
      <c r="M365">
        <v>-10</v>
      </c>
      <c r="N365">
        <v>-1</v>
      </c>
      <c r="O365">
        <v>-16</v>
      </c>
      <c r="P365">
        <v>-7</v>
      </c>
      <c r="Q365">
        <v>-5</v>
      </c>
      <c r="R365">
        <v>-7</v>
      </c>
      <c r="S365">
        <v>-2</v>
      </c>
      <c r="T365">
        <v>-16</v>
      </c>
      <c r="U365">
        <v>-5</v>
      </c>
      <c r="V365">
        <v>5</v>
      </c>
      <c r="W365">
        <v>2</v>
      </c>
      <c r="X365">
        <v>3</v>
      </c>
      <c r="Y365">
        <v>-9</v>
      </c>
      <c r="Z365">
        <v>57</v>
      </c>
      <c r="AA365">
        <v>76</v>
      </c>
      <c r="AB365">
        <v>86</v>
      </c>
      <c r="AC365">
        <v>12</v>
      </c>
    </row>
    <row r="366" spans="1:29" x14ac:dyDescent="0.2">
      <c r="A366" t="s">
        <v>735</v>
      </c>
      <c r="B366">
        <v>1</v>
      </c>
      <c r="C366" t="s">
        <v>234</v>
      </c>
      <c r="D366" t="s">
        <v>1599</v>
      </c>
      <c r="E366">
        <v>85</v>
      </c>
      <c r="F366">
        <v>-3</v>
      </c>
      <c r="G366">
        <v>-5</v>
      </c>
      <c r="H366">
        <v>-7</v>
      </c>
      <c r="I366">
        <v>-7</v>
      </c>
      <c r="J366">
        <v>-3</v>
      </c>
      <c r="K366">
        <v>-10</v>
      </c>
      <c r="L366">
        <v>-4</v>
      </c>
      <c r="M366">
        <v>-1</v>
      </c>
      <c r="N366">
        <v>-1</v>
      </c>
      <c r="O366">
        <v>-16</v>
      </c>
      <c r="P366">
        <v>-9</v>
      </c>
      <c r="Q366">
        <v>-16</v>
      </c>
      <c r="R366">
        <v>-11</v>
      </c>
      <c r="S366">
        <v>-12</v>
      </c>
      <c r="T366">
        <v>-6</v>
      </c>
      <c r="U366">
        <v>2</v>
      </c>
      <c r="V366">
        <v>-13</v>
      </c>
      <c r="W366">
        <v>7</v>
      </c>
      <c r="X366">
        <v>15</v>
      </c>
      <c r="Y366">
        <v>-4</v>
      </c>
      <c r="Z366">
        <v>50</v>
      </c>
      <c r="AA366">
        <v>58</v>
      </c>
      <c r="AB366">
        <v>67</v>
      </c>
      <c r="AC366">
        <v>-9</v>
      </c>
    </row>
    <row r="367" spans="1:29" x14ac:dyDescent="0.2">
      <c r="A367" t="s">
        <v>735</v>
      </c>
      <c r="B367">
        <v>1</v>
      </c>
      <c r="C367" t="s">
        <v>234</v>
      </c>
      <c r="D367" t="s">
        <v>1600</v>
      </c>
      <c r="E367">
        <v>86</v>
      </c>
      <c r="F367">
        <v>-8</v>
      </c>
      <c r="G367">
        <v>-1</v>
      </c>
      <c r="H367">
        <v>-9</v>
      </c>
      <c r="I367">
        <v>-7</v>
      </c>
      <c r="J367">
        <v>2</v>
      </c>
      <c r="K367">
        <v>-3</v>
      </c>
      <c r="L367">
        <v>-6</v>
      </c>
      <c r="M367">
        <v>-7</v>
      </c>
      <c r="N367">
        <v>-6</v>
      </c>
      <c r="O367">
        <v>-17</v>
      </c>
      <c r="P367">
        <v>-7</v>
      </c>
      <c r="Q367">
        <v>-11</v>
      </c>
      <c r="R367">
        <v>-5</v>
      </c>
      <c r="S367">
        <v>-5</v>
      </c>
      <c r="T367">
        <v>-11</v>
      </c>
      <c r="U367">
        <v>7</v>
      </c>
      <c r="V367">
        <v>-6</v>
      </c>
      <c r="W367">
        <v>-9</v>
      </c>
      <c r="X367">
        <v>0</v>
      </c>
      <c r="Y367">
        <v>-1</v>
      </c>
      <c r="Z367">
        <v>39</v>
      </c>
      <c r="AA367">
        <v>63</v>
      </c>
      <c r="AB367">
        <v>73</v>
      </c>
      <c r="AC367">
        <v>22</v>
      </c>
    </row>
    <row r="368" spans="1:29" x14ac:dyDescent="0.2">
      <c r="A368" t="s">
        <v>735</v>
      </c>
      <c r="B368">
        <v>1</v>
      </c>
      <c r="C368" t="s">
        <v>234</v>
      </c>
      <c r="D368" t="s">
        <v>1601</v>
      </c>
      <c r="E368">
        <v>87</v>
      </c>
      <c r="F368">
        <v>0</v>
      </c>
      <c r="G368">
        <v>2</v>
      </c>
      <c r="H368">
        <v>-7</v>
      </c>
      <c r="I368">
        <v>-4</v>
      </c>
      <c r="J368">
        <v>-4</v>
      </c>
      <c r="K368">
        <v>-4</v>
      </c>
      <c r="L368">
        <v>-8</v>
      </c>
      <c r="M368">
        <v>-7</v>
      </c>
      <c r="N368">
        <v>-7</v>
      </c>
      <c r="O368">
        <v>-6</v>
      </c>
      <c r="P368">
        <v>-6</v>
      </c>
      <c r="Q368">
        <v>-12</v>
      </c>
      <c r="R368">
        <v>-10</v>
      </c>
      <c r="S368">
        <v>-7</v>
      </c>
      <c r="T368">
        <v>-14</v>
      </c>
      <c r="U368">
        <v>-1</v>
      </c>
      <c r="V368">
        <v>-6</v>
      </c>
      <c r="W368">
        <v>1</v>
      </c>
      <c r="X368">
        <v>0</v>
      </c>
      <c r="Y368">
        <v>-10</v>
      </c>
      <c r="Z368">
        <v>14</v>
      </c>
      <c r="AA368">
        <v>54</v>
      </c>
      <c r="AB368">
        <v>83</v>
      </c>
      <c r="AC368">
        <v>23</v>
      </c>
    </row>
    <row r="369" spans="1:29" x14ac:dyDescent="0.2">
      <c r="A369" t="s">
        <v>735</v>
      </c>
      <c r="B369">
        <v>1</v>
      </c>
      <c r="C369" t="s">
        <v>234</v>
      </c>
      <c r="D369" t="s">
        <v>1602</v>
      </c>
      <c r="E369">
        <v>88</v>
      </c>
      <c r="F369">
        <v>-9</v>
      </c>
      <c r="G369">
        <v>-7</v>
      </c>
      <c r="H369">
        <v>-4</v>
      </c>
      <c r="I369">
        <v>-5</v>
      </c>
      <c r="J369">
        <v>-3</v>
      </c>
      <c r="K369">
        <v>3</v>
      </c>
      <c r="L369">
        <v>-7</v>
      </c>
      <c r="M369">
        <v>-5</v>
      </c>
      <c r="N369">
        <v>-8</v>
      </c>
      <c r="O369">
        <v>-4</v>
      </c>
      <c r="P369">
        <v>-9</v>
      </c>
      <c r="Q369">
        <v>-4</v>
      </c>
      <c r="R369">
        <v>-9</v>
      </c>
      <c r="S369">
        <v>2</v>
      </c>
      <c r="T369">
        <v>-2</v>
      </c>
      <c r="U369">
        <v>-9</v>
      </c>
      <c r="V369">
        <v>-3</v>
      </c>
      <c r="W369">
        <v>-3</v>
      </c>
      <c r="X369">
        <v>3</v>
      </c>
      <c r="Y369">
        <v>-6</v>
      </c>
      <c r="Z369">
        <v>-2</v>
      </c>
      <c r="AA369">
        <v>17</v>
      </c>
      <c r="AB369">
        <v>31</v>
      </c>
      <c r="AC369">
        <v>-31</v>
      </c>
    </row>
    <row r="370" spans="1:29" x14ac:dyDescent="0.2">
      <c r="A370" t="s">
        <v>735</v>
      </c>
      <c r="B370">
        <v>1</v>
      </c>
      <c r="C370" t="s">
        <v>234</v>
      </c>
      <c r="D370" t="s">
        <v>1603</v>
      </c>
      <c r="E370">
        <v>89</v>
      </c>
      <c r="F370">
        <v>-3</v>
      </c>
      <c r="G370">
        <v>-1</v>
      </c>
      <c r="H370">
        <v>-3</v>
      </c>
      <c r="I370">
        <v>-3</v>
      </c>
      <c r="J370">
        <v>-3</v>
      </c>
      <c r="K370">
        <v>-5</v>
      </c>
      <c r="L370">
        <v>-3</v>
      </c>
      <c r="M370">
        <v>-8</v>
      </c>
      <c r="N370">
        <v>-4</v>
      </c>
      <c r="O370">
        <v>0</v>
      </c>
      <c r="P370">
        <v>-5</v>
      </c>
      <c r="Q370">
        <v>-5</v>
      </c>
      <c r="R370">
        <v>-9</v>
      </c>
      <c r="S370">
        <v>-1</v>
      </c>
      <c r="T370">
        <v>-9</v>
      </c>
      <c r="U370">
        <v>-3</v>
      </c>
      <c r="V370">
        <v>-3</v>
      </c>
      <c r="W370">
        <v>1</v>
      </c>
      <c r="X370">
        <v>2</v>
      </c>
      <c r="Y370">
        <v>-1</v>
      </c>
      <c r="Z370">
        <v>12</v>
      </c>
      <c r="AA370">
        <v>11</v>
      </c>
      <c r="AB370">
        <v>36</v>
      </c>
      <c r="AC370">
        <v>-7</v>
      </c>
    </row>
    <row r="371" spans="1:29" x14ac:dyDescent="0.2">
      <c r="A371" t="s">
        <v>735</v>
      </c>
      <c r="B371">
        <v>1</v>
      </c>
      <c r="C371" t="s">
        <v>234</v>
      </c>
      <c r="D371" t="s">
        <v>1604</v>
      </c>
      <c r="E371">
        <v>90</v>
      </c>
      <c r="F371">
        <v>0</v>
      </c>
      <c r="G371">
        <v>-1</v>
      </c>
      <c r="H371">
        <v>-3</v>
      </c>
      <c r="I371">
        <v>-7</v>
      </c>
      <c r="J371">
        <v>-4</v>
      </c>
      <c r="K371">
        <v>1</v>
      </c>
      <c r="L371">
        <v>-6</v>
      </c>
      <c r="M371">
        <v>-3</v>
      </c>
      <c r="N371">
        <v>-6</v>
      </c>
      <c r="O371">
        <v>-6</v>
      </c>
      <c r="P371">
        <v>0</v>
      </c>
      <c r="Q371">
        <v>-9</v>
      </c>
      <c r="R371">
        <v>-3</v>
      </c>
      <c r="S371">
        <v>-4</v>
      </c>
      <c r="T371">
        <v>2</v>
      </c>
      <c r="U371">
        <v>0</v>
      </c>
      <c r="V371">
        <v>2</v>
      </c>
      <c r="W371">
        <v>4</v>
      </c>
      <c r="X371">
        <v>5</v>
      </c>
      <c r="Y371">
        <v>1</v>
      </c>
      <c r="Z371">
        <v>3</v>
      </c>
      <c r="AA371">
        <v>19</v>
      </c>
      <c r="AB371">
        <v>25</v>
      </c>
      <c r="AC371">
        <v>-1</v>
      </c>
    </row>
    <row r="372" spans="1:29" x14ac:dyDescent="0.2">
      <c r="A372" t="s">
        <v>735</v>
      </c>
      <c r="B372">
        <v>1</v>
      </c>
      <c r="C372" t="s">
        <v>234</v>
      </c>
      <c r="D372" t="s">
        <v>1605</v>
      </c>
      <c r="E372">
        <v>91</v>
      </c>
      <c r="F372">
        <v>1</v>
      </c>
      <c r="G372">
        <v>-5</v>
      </c>
      <c r="H372">
        <v>-5</v>
      </c>
      <c r="I372">
        <v>-3</v>
      </c>
      <c r="J372">
        <v>-3</v>
      </c>
      <c r="K372">
        <v>-4</v>
      </c>
      <c r="L372">
        <v>-2</v>
      </c>
      <c r="M372">
        <v>5</v>
      </c>
      <c r="N372">
        <v>-2</v>
      </c>
      <c r="O372">
        <v>-7</v>
      </c>
      <c r="P372">
        <v>-1</v>
      </c>
      <c r="Q372">
        <v>-5</v>
      </c>
      <c r="R372">
        <v>-7</v>
      </c>
      <c r="S372">
        <v>-4</v>
      </c>
      <c r="T372">
        <v>-8</v>
      </c>
      <c r="U372">
        <v>-5</v>
      </c>
      <c r="V372">
        <v>-11</v>
      </c>
      <c r="W372">
        <v>-3</v>
      </c>
      <c r="X372">
        <v>-4</v>
      </c>
      <c r="Y372">
        <v>-9</v>
      </c>
      <c r="Z372">
        <v>-1</v>
      </c>
      <c r="AA372">
        <v>10</v>
      </c>
      <c r="AB372">
        <v>3</v>
      </c>
      <c r="AC372">
        <v>-5</v>
      </c>
    </row>
    <row r="373" spans="1:29" x14ac:dyDescent="0.2">
      <c r="A373" t="s">
        <v>735</v>
      </c>
      <c r="B373">
        <v>1</v>
      </c>
      <c r="C373" t="s">
        <v>234</v>
      </c>
      <c r="D373" t="s">
        <v>1606</v>
      </c>
      <c r="E373">
        <v>92</v>
      </c>
      <c r="F373">
        <v>-3</v>
      </c>
      <c r="G373">
        <v>2</v>
      </c>
      <c r="H373">
        <v>-8</v>
      </c>
      <c r="I373">
        <v>-7</v>
      </c>
      <c r="J373">
        <v>-1</v>
      </c>
      <c r="K373">
        <v>0</v>
      </c>
      <c r="L373">
        <v>-1</v>
      </c>
      <c r="M373">
        <v>-4</v>
      </c>
      <c r="N373">
        <v>-1</v>
      </c>
      <c r="O373">
        <v>-6</v>
      </c>
      <c r="P373">
        <v>0</v>
      </c>
      <c r="Q373">
        <v>1</v>
      </c>
      <c r="R373">
        <v>-2</v>
      </c>
      <c r="S373">
        <v>3</v>
      </c>
      <c r="T373">
        <v>-7</v>
      </c>
      <c r="U373">
        <v>-3</v>
      </c>
      <c r="V373">
        <v>1</v>
      </c>
      <c r="W373">
        <v>-3</v>
      </c>
      <c r="X373">
        <v>0</v>
      </c>
      <c r="Y373">
        <v>-4</v>
      </c>
      <c r="Z373">
        <v>-1</v>
      </c>
      <c r="AA373">
        <v>5</v>
      </c>
      <c r="AB373">
        <v>12</v>
      </c>
      <c r="AC373">
        <v>-6</v>
      </c>
    </row>
    <row r="374" spans="1:29" x14ac:dyDescent="0.2">
      <c r="A374" t="s">
        <v>735</v>
      </c>
      <c r="B374">
        <v>1</v>
      </c>
      <c r="C374" t="s">
        <v>234</v>
      </c>
      <c r="D374" t="s">
        <v>1607</v>
      </c>
      <c r="E374">
        <v>93</v>
      </c>
      <c r="F374">
        <v>-8</v>
      </c>
      <c r="G374">
        <v>-23</v>
      </c>
      <c r="H374">
        <v>-16</v>
      </c>
      <c r="I374">
        <v>-23</v>
      </c>
      <c r="J374">
        <v>-10</v>
      </c>
      <c r="K374">
        <v>-9</v>
      </c>
      <c r="L374">
        <v>-14</v>
      </c>
      <c r="M374">
        <v>-6</v>
      </c>
      <c r="N374">
        <v>-8</v>
      </c>
      <c r="O374">
        <v>-20</v>
      </c>
      <c r="P374">
        <v>-5</v>
      </c>
      <c r="Q374">
        <v>-2</v>
      </c>
      <c r="R374">
        <v>-11</v>
      </c>
      <c r="S374">
        <v>-12</v>
      </c>
      <c r="T374">
        <v>-12</v>
      </c>
      <c r="U374">
        <v>-21</v>
      </c>
      <c r="V374">
        <v>2</v>
      </c>
      <c r="W374">
        <v>-5</v>
      </c>
      <c r="X374">
        <v>-1</v>
      </c>
      <c r="Y374">
        <v>-17</v>
      </c>
      <c r="Z374">
        <v>8</v>
      </c>
      <c r="AA374">
        <v>8</v>
      </c>
      <c r="AB374">
        <v>10</v>
      </c>
      <c r="AC374">
        <v>-13</v>
      </c>
    </row>
    <row r="375" spans="1:29" x14ac:dyDescent="0.2">
      <c r="A375" t="s">
        <v>735</v>
      </c>
      <c r="B375">
        <v>1</v>
      </c>
      <c r="C375" t="s">
        <v>235</v>
      </c>
      <c r="D375" t="s">
        <v>6</v>
      </c>
      <c r="E375">
        <v>1</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2">
      <c r="A376" t="s">
        <v>735</v>
      </c>
      <c r="B376">
        <v>1</v>
      </c>
      <c r="C376" t="s">
        <v>235</v>
      </c>
      <c r="D376" t="s">
        <v>1610</v>
      </c>
      <c r="E376">
        <v>2</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row>
    <row r="377" spans="1:29" x14ac:dyDescent="0.2">
      <c r="A377" t="s">
        <v>735</v>
      </c>
      <c r="B377">
        <v>1</v>
      </c>
      <c r="C377" t="s">
        <v>235</v>
      </c>
      <c r="D377" t="s">
        <v>1537</v>
      </c>
      <c r="E377">
        <v>3</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row>
    <row r="378" spans="1:29" x14ac:dyDescent="0.2">
      <c r="A378" t="s">
        <v>735</v>
      </c>
      <c r="B378">
        <v>1</v>
      </c>
      <c r="C378" t="s">
        <v>235</v>
      </c>
      <c r="D378" t="s">
        <v>1538</v>
      </c>
      <c r="E378">
        <v>4</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row>
    <row r="379" spans="1:29" x14ac:dyDescent="0.2">
      <c r="A379" t="s">
        <v>735</v>
      </c>
      <c r="B379">
        <v>1</v>
      </c>
      <c r="C379" t="s">
        <v>235</v>
      </c>
      <c r="D379" t="s">
        <v>1539</v>
      </c>
      <c r="E379">
        <v>5</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row>
    <row r="380" spans="1:29" x14ac:dyDescent="0.2">
      <c r="A380" t="s">
        <v>735</v>
      </c>
      <c r="B380">
        <v>1</v>
      </c>
      <c r="C380" t="s">
        <v>235</v>
      </c>
      <c r="D380" t="s">
        <v>1540</v>
      </c>
      <c r="E380">
        <v>6</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29" x14ac:dyDescent="0.2">
      <c r="A381" t="s">
        <v>735</v>
      </c>
      <c r="B381">
        <v>1</v>
      </c>
      <c r="C381" t="s">
        <v>235</v>
      </c>
      <c r="D381" t="s">
        <v>1541</v>
      </c>
      <c r="E381">
        <v>7</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row>
    <row r="382" spans="1:29" x14ac:dyDescent="0.2">
      <c r="A382" t="s">
        <v>735</v>
      </c>
      <c r="B382">
        <v>1</v>
      </c>
      <c r="C382" t="s">
        <v>235</v>
      </c>
      <c r="D382" t="s">
        <v>1542</v>
      </c>
      <c r="E382">
        <v>8</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row>
    <row r="383" spans="1:29" x14ac:dyDescent="0.2">
      <c r="A383" t="s">
        <v>735</v>
      </c>
      <c r="B383">
        <v>1</v>
      </c>
      <c r="C383" t="s">
        <v>235</v>
      </c>
      <c r="D383" t="s">
        <v>1543</v>
      </c>
      <c r="E383">
        <v>9</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row>
    <row r="384" spans="1:29" x14ac:dyDescent="0.2">
      <c r="A384" t="s">
        <v>735</v>
      </c>
      <c r="B384">
        <v>1</v>
      </c>
      <c r="C384" t="s">
        <v>235</v>
      </c>
      <c r="D384" t="s">
        <v>1544</v>
      </c>
      <c r="E384">
        <v>10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row>
    <row r="385" spans="1:29" x14ac:dyDescent="0.2">
      <c r="A385" t="s">
        <v>735</v>
      </c>
      <c r="B385">
        <v>1</v>
      </c>
      <c r="C385" t="s">
        <v>235</v>
      </c>
      <c r="D385" t="s">
        <v>1545</v>
      </c>
      <c r="E385">
        <v>11</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row>
    <row r="386" spans="1:29" x14ac:dyDescent="0.2">
      <c r="A386" t="s">
        <v>735</v>
      </c>
      <c r="B386">
        <v>1</v>
      </c>
      <c r="C386" t="s">
        <v>235</v>
      </c>
      <c r="D386" t="s">
        <v>1546</v>
      </c>
      <c r="E386">
        <v>12</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row>
    <row r="387" spans="1:29" x14ac:dyDescent="0.2">
      <c r="A387" t="s">
        <v>735</v>
      </c>
      <c r="B387">
        <v>1</v>
      </c>
      <c r="C387" t="s">
        <v>235</v>
      </c>
      <c r="D387" t="s">
        <v>1547</v>
      </c>
      <c r="E387">
        <v>13</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row>
    <row r="388" spans="1:29" x14ac:dyDescent="0.2">
      <c r="A388" t="s">
        <v>735</v>
      </c>
      <c r="B388">
        <v>1</v>
      </c>
      <c r="C388" t="s">
        <v>235</v>
      </c>
      <c r="D388" t="s">
        <v>1416</v>
      </c>
      <c r="E388">
        <v>14</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row>
    <row r="389" spans="1:29" x14ac:dyDescent="0.2">
      <c r="A389" t="s">
        <v>735</v>
      </c>
      <c r="B389">
        <v>1</v>
      </c>
      <c r="C389" t="s">
        <v>235</v>
      </c>
      <c r="D389" t="s">
        <v>1548</v>
      </c>
      <c r="E389">
        <v>15</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row>
    <row r="390" spans="1:29" x14ac:dyDescent="0.2">
      <c r="A390" t="s">
        <v>735</v>
      </c>
      <c r="B390">
        <v>1</v>
      </c>
      <c r="C390" t="s">
        <v>235</v>
      </c>
      <c r="D390" t="s">
        <v>1549</v>
      </c>
      <c r="E390">
        <v>16</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29" x14ac:dyDescent="0.2">
      <c r="A391" t="s">
        <v>735</v>
      </c>
      <c r="B391">
        <v>1</v>
      </c>
      <c r="C391" t="s">
        <v>235</v>
      </c>
      <c r="D391" t="s">
        <v>1550</v>
      </c>
      <c r="E391">
        <v>17</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row>
    <row r="392" spans="1:29" x14ac:dyDescent="0.2">
      <c r="A392" t="s">
        <v>735</v>
      </c>
      <c r="B392">
        <v>1</v>
      </c>
      <c r="C392" t="s">
        <v>235</v>
      </c>
      <c r="D392" t="s">
        <v>1551</v>
      </c>
      <c r="E392">
        <v>18</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row>
    <row r="393" spans="1:29" x14ac:dyDescent="0.2">
      <c r="A393" t="s">
        <v>735</v>
      </c>
      <c r="B393">
        <v>1</v>
      </c>
      <c r="C393" t="s">
        <v>235</v>
      </c>
      <c r="D393" t="s">
        <v>1552</v>
      </c>
      <c r="E393">
        <v>19</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29" x14ac:dyDescent="0.2">
      <c r="A394" t="s">
        <v>735</v>
      </c>
      <c r="B394">
        <v>1</v>
      </c>
      <c r="C394" t="s">
        <v>235</v>
      </c>
      <c r="D394" t="s">
        <v>1553</v>
      </c>
      <c r="E394">
        <v>20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2">
      <c r="A395" t="s">
        <v>735</v>
      </c>
      <c r="B395">
        <v>1</v>
      </c>
      <c r="C395" t="s">
        <v>235</v>
      </c>
      <c r="D395" t="s">
        <v>1554</v>
      </c>
      <c r="E395">
        <v>21</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row>
    <row r="396" spans="1:29" x14ac:dyDescent="0.2">
      <c r="A396" t="s">
        <v>735</v>
      </c>
      <c r="B396">
        <v>1</v>
      </c>
      <c r="C396" t="s">
        <v>235</v>
      </c>
      <c r="D396" t="s">
        <v>1555</v>
      </c>
      <c r="E396">
        <v>22</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row>
    <row r="397" spans="1:29" x14ac:dyDescent="0.2">
      <c r="A397" t="s">
        <v>735</v>
      </c>
      <c r="B397">
        <v>1</v>
      </c>
      <c r="C397" t="s">
        <v>235</v>
      </c>
      <c r="D397" t="s">
        <v>1556</v>
      </c>
      <c r="E397">
        <v>23</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row>
    <row r="398" spans="1:29" x14ac:dyDescent="0.2">
      <c r="A398" t="s">
        <v>735</v>
      </c>
      <c r="B398">
        <v>1</v>
      </c>
      <c r="C398" t="s">
        <v>235</v>
      </c>
      <c r="D398" t="s">
        <v>1417</v>
      </c>
      <c r="E398">
        <v>24</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row>
    <row r="399" spans="1:29" x14ac:dyDescent="0.2">
      <c r="A399" t="s">
        <v>735</v>
      </c>
      <c r="B399">
        <v>1</v>
      </c>
      <c r="C399" t="s">
        <v>235</v>
      </c>
      <c r="D399" t="s">
        <v>1418</v>
      </c>
      <c r="E399">
        <v>25</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29" x14ac:dyDescent="0.2">
      <c r="A400" t="s">
        <v>735</v>
      </c>
      <c r="B400">
        <v>1</v>
      </c>
      <c r="C400" t="s">
        <v>235</v>
      </c>
      <c r="D400" t="s">
        <v>1419</v>
      </c>
      <c r="E400">
        <v>26</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29" x14ac:dyDescent="0.2">
      <c r="A401" t="s">
        <v>735</v>
      </c>
      <c r="B401">
        <v>1</v>
      </c>
      <c r="C401" t="s">
        <v>235</v>
      </c>
      <c r="D401" t="s">
        <v>1557</v>
      </c>
      <c r="E401">
        <v>27</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row>
    <row r="402" spans="1:29" x14ac:dyDescent="0.2">
      <c r="A402" t="s">
        <v>735</v>
      </c>
      <c r="B402">
        <v>1</v>
      </c>
      <c r="C402" t="s">
        <v>235</v>
      </c>
      <c r="D402" t="s">
        <v>1558</v>
      </c>
      <c r="E402">
        <v>28</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row>
    <row r="403" spans="1:29" x14ac:dyDescent="0.2">
      <c r="A403" t="s">
        <v>735</v>
      </c>
      <c r="B403">
        <v>1</v>
      </c>
      <c r="C403" t="s">
        <v>235</v>
      </c>
      <c r="D403" t="s">
        <v>1559</v>
      </c>
      <c r="E403">
        <v>29</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row>
    <row r="404" spans="1:29" x14ac:dyDescent="0.2">
      <c r="A404" t="s">
        <v>735</v>
      </c>
      <c r="B404">
        <v>1</v>
      </c>
      <c r="C404" t="s">
        <v>235</v>
      </c>
      <c r="D404" t="s">
        <v>1560</v>
      </c>
      <c r="E404">
        <v>30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2">
      <c r="A405" t="s">
        <v>735</v>
      </c>
      <c r="B405">
        <v>1</v>
      </c>
      <c r="C405" t="s">
        <v>235</v>
      </c>
      <c r="D405" t="s">
        <v>1561</v>
      </c>
      <c r="E405">
        <v>31</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row>
    <row r="406" spans="1:29" x14ac:dyDescent="0.2">
      <c r="A406" t="s">
        <v>735</v>
      </c>
      <c r="B406">
        <v>1</v>
      </c>
      <c r="C406" t="s">
        <v>235</v>
      </c>
      <c r="D406" t="s">
        <v>1562</v>
      </c>
      <c r="E406">
        <v>32</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row>
    <row r="407" spans="1:29" x14ac:dyDescent="0.2">
      <c r="A407" t="s">
        <v>735</v>
      </c>
      <c r="B407">
        <v>1</v>
      </c>
      <c r="C407" t="s">
        <v>235</v>
      </c>
      <c r="D407" t="s">
        <v>1563</v>
      </c>
      <c r="E407">
        <v>33</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row>
    <row r="408" spans="1:29" x14ac:dyDescent="0.2">
      <c r="A408" t="s">
        <v>735</v>
      </c>
      <c r="B408">
        <v>1</v>
      </c>
      <c r="C408" t="s">
        <v>235</v>
      </c>
      <c r="D408" t="s">
        <v>1420</v>
      </c>
      <c r="E408">
        <v>34</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row>
    <row r="409" spans="1:29" x14ac:dyDescent="0.2">
      <c r="A409" t="s">
        <v>735</v>
      </c>
      <c r="B409">
        <v>1</v>
      </c>
      <c r="C409" t="s">
        <v>235</v>
      </c>
      <c r="D409" t="s">
        <v>1564</v>
      </c>
      <c r="E409">
        <v>35</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row>
    <row r="410" spans="1:29" x14ac:dyDescent="0.2">
      <c r="A410" t="s">
        <v>735</v>
      </c>
      <c r="B410">
        <v>1</v>
      </c>
      <c r="C410" t="s">
        <v>235</v>
      </c>
      <c r="D410" t="s">
        <v>1565</v>
      </c>
      <c r="E410">
        <v>36</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29" x14ac:dyDescent="0.2">
      <c r="A411" t="s">
        <v>735</v>
      </c>
      <c r="B411">
        <v>1</v>
      </c>
      <c r="C411" t="s">
        <v>235</v>
      </c>
      <c r="D411" t="s">
        <v>1566</v>
      </c>
      <c r="E411">
        <v>37</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row>
    <row r="412" spans="1:29" x14ac:dyDescent="0.2">
      <c r="A412" t="s">
        <v>735</v>
      </c>
      <c r="B412">
        <v>1</v>
      </c>
      <c r="C412" t="s">
        <v>235</v>
      </c>
      <c r="D412" t="s">
        <v>1567</v>
      </c>
      <c r="E412">
        <v>38</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row>
    <row r="413" spans="1:29" x14ac:dyDescent="0.2">
      <c r="A413" t="s">
        <v>735</v>
      </c>
      <c r="B413">
        <v>1</v>
      </c>
      <c r="C413" t="s">
        <v>235</v>
      </c>
      <c r="D413" t="s">
        <v>1568</v>
      </c>
      <c r="E413">
        <v>39</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row>
    <row r="414" spans="1:29" x14ac:dyDescent="0.2">
      <c r="A414" t="s">
        <v>735</v>
      </c>
      <c r="B414">
        <v>1</v>
      </c>
      <c r="C414" t="s">
        <v>235</v>
      </c>
      <c r="D414" t="s">
        <v>1569</v>
      </c>
      <c r="E414">
        <v>40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row>
    <row r="415" spans="1:29" x14ac:dyDescent="0.2">
      <c r="A415" t="s">
        <v>735</v>
      </c>
      <c r="B415">
        <v>1</v>
      </c>
      <c r="C415" t="s">
        <v>235</v>
      </c>
      <c r="D415" t="s">
        <v>1570</v>
      </c>
      <c r="E415">
        <v>41</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2">
      <c r="A416" t="s">
        <v>735</v>
      </c>
      <c r="B416">
        <v>1</v>
      </c>
      <c r="C416" t="s">
        <v>235</v>
      </c>
      <c r="D416" t="s">
        <v>1571</v>
      </c>
      <c r="E416">
        <v>42</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row>
    <row r="417" spans="1:29" x14ac:dyDescent="0.2">
      <c r="A417" t="s">
        <v>735</v>
      </c>
      <c r="B417">
        <v>1</v>
      </c>
      <c r="C417" t="s">
        <v>235</v>
      </c>
      <c r="D417" t="s">
        <v>1572</v>
      </c>
      <c r="E417">
        <v>43</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2">
      <c r="A418" t="s">
        <v>735</v>
      </c>
      <c r="B418">
        <v>1</v>
      </c>
      <c r="C418" t="s">
        <v>235</v>
      </c>
      <c r="D418" t="s">
        <v>1421</v>
      </c>
      <c r="E418">
        <v>44</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row>
    <row r="419" spans="1:29" x14ac:dyDescent="0.2">
      <c r="A419" t="s">
        <v>735</v>
      </c>
      <c r="B419">
        <v>1</v>
      </c>
      <c r="C419" t="s">
        <v>235</v>
      </c>
      <c r="D419" t="s">
        <v>1573</v>
      </c>
      <c r="E419">
        <v>45</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2">
      <c r="A420" t="s">
        <v>735</v>
      </c>
      <c r="B420">
        <v>1</v>
      </c>
      <c r="C420" t="s">
        <v>235</v>
      </c>
      <c r="D420" t="s">
        <v>1574</v>
      </c>
      <c r="E420">
        <v>46</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29" x14ac:dyDescent="0.2">
      <c r="A421" t="s">
        <v>735</v>
      </c>
      <c r="B421">
        <v>1</v>
      </c>
      <c r="C421" t="s">
        <v>235</v>
      </c>
      <c r="D421" t="s">
        <v>1422</v>
      </c>
      <c r="E421">
        <v>47</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x14ac:dyDescent="0.2">
      <c r="A422" t="s">
        <v>735</v>
      </c>
      <c r="B422">
        <v>1</v>
      </c>
      <c r="C422" t="s">
        <v>235</v>
      </c>
      <c r="D422" t="s">
        <v>1575</v>
      </c>
      <c r="E422">
        <v>48</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row>
    <row r="423" spans="1:29" x14ac:dyDescent="0.2">
      <c r="A423" t="s">
        <v>735</v>
      </c>
      <c r="B423">
        <v>1</v>
      </c>
      <c r="C423" t="s">
        <v>235</v>
      </c>
      <c r="D423" t="s">
        <v>1576</v>
      </c>
      <c r="E423">
        <v>49</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2">
      <c r="A424" t="s">
        <v>735</v>
      </c>
      <c r="B424">
        <v>1</v>
      </c>
      <c r="C424" t="s">
        <v>235</v>
      </c>
      <c r="D424" t="s">
        <v>1577</v>
      </c>
      <c r="E424">
        <v>50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row>
    <row r="425" spans="1:29" x14ac:dyDescent="0.2">
      <c r="A425" t="s">
        <v>735</v>
      </c>
      <c r="B425">
        <v>1</v>
      </c>
      <c r="C425" t="s">
        <v>235</v>
      </c>
      <c r="D425" t="s">
        <v>1423</v>
      </c>
      <c r="E425">
        <v>51</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row>
    <row r="426" spans="1:29" x14ac:dyDescent="0.2">
      <c r="A426" t="s">
        <v>735</v>
      </c>
      <c r="B426">
        <v>1</v>
      </c>
      <c r="C426" t="s">
        <v>235</v>
      </c>
      <c r="D426" t="s">
        <v>1578</v>
      </c>
      <c r="E426">
        <v>52</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29" x14ac:dyDescent="0.2">
      <c r="A427" t="s">
        <v>735</v>
      </c>
      <c r="B427">
        <v>1</v>
      </c>
      <c r="C427" t="s">
        <v>235</v>
      </c>
      <c r="D427" t="s">
        <v>1579</v>
      </c>
      <c r="E427">
        <v>53</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x14ac:dyDescent="0.2">
      <c r="A428" t="s">
        <v>735</v>
      </c>
      <c r="B428">
        <v>1</v>
      </c>
      <c r="C428" t="s">
        <v>235</v>
      </c>
      <c r="D428" t="s">
        <v>1424</v>
      </c>
      <c r="E428">
        <v>54</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row>
    <row r="429" spans="1:29" x14ac:dyDescent="0.2">
      <c r="A429" t="s">
        <v>735</v>
      </c>
      <c r="B429">
        <v>1</v>
      </c>
      <c r="C429" t="s">
        <v>235</v>
      </c>
      <c r="D429" t="s">
        <v>1425</v>
      </c>
      <c r="E429">
        <v>55</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29" x14ac:dyDescent="0.2">
      <c r="A430" t="s">
        <v>735</v>
      </c>
      <c r="B430">
        <v>1</v>
      </c>
      <c r="C430" t="s">
        <v>235</v>
      </c>
      <c r="D430" t="s">
        <v>1426</v>
      </c>
      <c r="E430">
        <v>56</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row>
    <row r="431" spans="1:29" x14ac:dyDescent="0.2">
      <c r="A431" t="s">
        <v>735</v>
      </c>
      <c r="B431">
        <v>1</v>
      </c>
      <c r="C431" t="s">
        <v>235</v>
      </c>
      <c r="D431" t="s">
        <v>1427</v>
      </c>
      <c r="E431">
        <v>57</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29" x14ac:dyDescent="0.2">
      <c r="A432" t="s">
        <v>735</v>
      </c>
      <c r="B432">
        <v>1</v>
      </c>
      <c r="C432" t="s">
        <v>235</v>
      </c>
      <c r="D432" t="s">
        <v>1428</v>
      </c>
      <c r="E432">
        <v>58</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29" x14ac:dyDescent="0.2">
      <c r="A433" t="s">
        <v>735</v>
      </c>
      <c r="B433">
        <v>1</v>
      </c>
      <c r="C433" t="s">
        <v>235</v>
      </c>
      <c r="D433" t="s">
        <v>1429</v>
      </c>
      <c r="E433">
        <v>59</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row>
    <row r="434" spans="1:29" x14ac:dyDescent="0.2">
      <c r="A434" t="s">
        <v>735</v>
      </c>
      <c r="B434">
        <v>1</v>
      </c>
      <c r="C434" t="s">
        <v>235</v>
      </c>
      <c r="D434" t="s">
        <v>1580</v>
      </c>
      <c r="E434">
        <v>60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2">
      <c r="A435" t="s">
        <v>735</v>
      </c>
      <c r="B435">
        <v>1</v>
      </c>
      <c r="C435" t="s">
        <v>235</v>
      </c>
      <c r="D435" t="s">
        <v>1581</v>
      </c>
      <c r="E435">
        <v>61</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row>
    <row r="436" spans="1:29" x14ac:dyDescent="0.2">
      <c r="A436" t="s">
        <v>735</v>
      </c>
      <c r="B436">
        <v>1</v>
      </c>
      <c r="C436" t="s">
        <v>235</v>
      </c>
      <c r="D436" t="s">
        <v>1582</v>
      </c>
      <c r="E436">
        <v>62</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2">
      <c r="A437" t="s">
        <v>735</v>
      </c>
      <c r="B437">
        <v>1</v>
      </c>
      <c r="C437" t="s">
        <v>235</v>
      </c>
      <c r="D437" t="s">
        <v>1583</v>
      </c>
      <c r="E437">
        <v>63</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2">
      <c r="A438" t="s">
        <v>735</v>
      </c>
      <c r="B438">
        <v>1</v>
      </c>
      <c r="C438" t="s">
        <v>235</v>
      </c>
      <c r="D438" t="s">
        <v>1430</v>
      </c>
      <c r="E438">
        <v>64</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2">
      <c r="A439" t="s">
        <v>735</v>
      </c>
      <c r="B439">
        <v>1</v>
      </c>
      <c r="C439" t="s">
        <v>235</v>
      </c>
      <c r="D439" t="s">
        <v>1431</v>
      </c>
      <c r="E439">
        <v>65</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row>
    <row r="440" spans="1:29" x14ac:dyDescent="0.2">
      <c r="A440" t="s">
        <v>735</v>
      </c>
      <c r="B440">
        <v>1</v>
      </c>
      <c r="C440" t="s">
        <v>235</v>
      </c>
      <c r="D440" t="s">
        <v>1584</v>
      </c>
      <c r="E440">
        <v>66</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row>
    <row r="441" spans="1:29" x14ac:dyDescent="0.2">
      <c r="A441" t="s">
        <v>735</v>
      </c>
      <c r="B441">
        <v>1</v>
      </c>
      <c r="C441" t="s">
        <v>235</v>
      </c>
      <c r="D441" t="s">
        <v>1585</v>
      </c>
      <c r="E441">
        <v>67</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row>
    <row r="442" spans="1:29" x14ac:dyDescent="0.2">
      <c r="A442" t="s">
        <v>735</v>
      </c>
      <c r="B442">
        <v>1</v>
      </c>
      <c r="C442" t="s">
        <v>235</v>
      </c>
      <c r="D442" t="s">
        <v>557</v>
      </c>
      <c r="E442">
        <v>68</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row>
    <row r="443" spans="1:29" x14ac:dyDescent="0.2">
      <c r="A443" t="s">
        <v>735</v>
      </c>
      <c r="B443">
        <v>1</v>
      </c>
      <c r="C443" t="s">
        <v>235</v>
      </c>
      <c r="D443" t="s">
        <v>1586</v>
      </c>
      <c r="E443">
        <v>69</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row>
    <row r="444" spans="1:29" x14ac:dyDescent="0.2">
      <c r="A444" t="s">
        <v>735</v>
      </c>
      <c r="B444">
        <v>1</v>
      </c>
      <c r="C444" t="s">
        <v>235</v>
      </c>
      <c r="D444" t="s">
        <v>1587</v>
      </c>
      <c r="E444">
        <v>70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2">
      <c r="A445" t="s">
        <v>735</v>
      </c>
      <c r="B445">
        <v>1</v>
      </c>
      <c r="C445" t="s">
        <v>235</v>
      </c>
      <c r="D445" t="s">
        <v>1588</v>
      </c>
      <c r="E445">
        <v>71</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row>
    <row r="446" spans="1:29" x14ac:dyDescent="0.2">
      <c r="A446" t="s">
        <v>735</v>
      </c>
      <c r="B446">
        <v>1</v>
      </c>
      <c r="C446" t="s">
        <v>235</v>
      </c>
      <c r="D446" t="s">
        <v>1589</v>
      </c>
      <c r="E446">
        <v>72</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row>
    <row r="447" spans="1:29" x14ac:dyDescent="0.2">
      <c r="A447" t="s">
        <v>735</v>
      </c>
      <c r="B447">
        <v>1</v>
      </c>
      <c r="C447" t="s">
        <v>235</v>
      </c>
      <c r="D447" t="s">
        <v>1590</v>
      </c>
      <c r="E447">
        <v>73</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row>
    <row r="448" spans="1:29" x14ac:dyDescent="0.2">
      <c r="A448" t="s">
        <v>735</v>
      </c>
      <c r="B448">
        <v>1</v>
      </c>
      <c r="C448" t="s">
        <v>235</v>
      </c>
      <c r="D448" t="s">
        <v>1432</v>
      </c>
      <c r="E448">
        <v>74</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29" x14ac:dyDescent="0.2">
      <c r="A449" t="s">
        <v>735</v>
      </c>
      <c r="B449">
        <v>1</v>
      </c>
      <c r="C449" t="s">
        <v>235</v>
      </c>
      <c r="D449" t="s">
        <v>1433</v>
      </c>
      <c r="E449">
        <v>75</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29" x14ac:dyDescent="0.2">
      <c r="A450" t="s">
        <v>735</v>
      </c>
      <c r="B450">
        <v>1</v>
      </c>
      <c r="C450" t="s">
        <v>235</v>
      </c>
      <c r="D450" t="s">
        <v>1591</v>
      </c>
      <c r="E450">
        <v>76</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29" x14ac:dyDescent="0.2">
      <c r="A451" t="s">
        <v>735</v>
      </c>
      <c r="B451">
        <v>1</v>
      </c>
      <c r="C451" t="s">
        <v>235</v>
      </c>
      <c r="D451" t="s">
        <v>1592</v>
      </c>
      <c r="E451">
        <v>77</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row>
    <row r="452" spans="1:29" x14ac:dyDescent="0.2">
      <c r="A452" t="s">
        <v>735</v>
      </c>
      <c r="B452">
        <v>1</v>
      </c>
      <c r="C452" t="s">
        <v>235</v>
      </c>
      <c r="D452" t="s">
        <v>1593</v>
      </c>
      <c r="E452">
        <v>78</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row>
    <row r="453" spans="1:29" x14ac:dyDescent="0.2">
      <c r="A453" t="s">
        <v>735</v>
      </c>
      <c r="B453">
        <v>1</v>
      </c>
      <c r="C453" t="s">
        <v>235</v>
      </c>
      <c r="D453" t="s">
        <v>1594</v>
      </c>
      <c r="E453">
        <v>79</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2">
      <c r="A454" t="s">
        <v>735</v>
      </c>
      <c r="B454">
        <v>1</v>
      </c>
      <c r="C454" t="s">
        <v>235</v>
      </c>
      <c r="D454" t="s">
        <v>1595</v>
      </c>
      <c r="E454">
        <v>80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2">
      <c r="A455" t="s">
        <v>735</v>
      </c>
      <c r="B455">
        <v>1</v>
      </c>
      <c r="C455" t="s">
        <v>235</v>
      </c>
      <c r="D455" t="s">
        <v>1596</v>
      </c>
      <c r="E455">
        <v>81</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row>
    <row r="456" spans="1:29" x14ac:dyDescent="0.2">
      <c r="A456" t="s">
        <v>735</v>
      </c>
      <c r="B456">
        <v>1</v>
      </c>
      <c r="C456" t="s">
        <v>235</v>
      </c>
      <c r="D456" t="s">
        <v>1597</v>
      </c>
      <c r="E456">
        <v>82</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row>
    <row r="457" spans="1:29" x14ac:dyDescent="0.2">
      <c r="A457" t="s">
        <v>735</v>
      </c>
      <c r="B457">
        <v>1</v>
      </c>
      <c r="C457" t="s">
        <v>235</v>
      </c>
      <c r="D457" t="s">
        <v>1598</v>
      </c>
      <c r="E457">
        <v>83</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row>
    <row r="458" spans="1:29" x14ac:dyDescent="0.2">
      <c r="A458" t="s">
        <v>735</v>
      </c>
      <c r="B458">
        <v>1</v>
      </c>
      <c r="C458" t="s">
        <v>235</v>
      </c>
      <c r="D458" t="s">
        <v>1434</v>
      </c>
      <c r="E458">
        <v>84</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row>
    <row r="459" spans="1:29" x14ac:dyDescent="0.2">
      <c r="A459" t="s">
        <v>735</v>
      </c>
      <c r="B459">
        <v>1</v>
      </c>
      <c r="C459" t="s">
        <v>235</v>
      </c>
      <c r="D459" t="s">
        <v>1599</v>
      </c>
      <c r="E459">
        <v>85</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29" x14ac:dyDescent="0.2">
      <c r="A460" t="s">
        <v>735</v>
      </c>
      <c r="B460">
        <v>1</v>
      </c>
      <c r="C460" t="s">
        <v>235</v>
      </c>
      <c r="D460" t="s">
        <v>1600</v>
      </c>
      <c r="E460">
        <v>86</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row>
    <row r="461" spans="1:29" x14ac:dyDescent="0.2">
      <c r="A461" t="s">
        <v>735</v>
      </c>
      <c r="B461">
        <v>1</v>
      </c>
      <c r="C461" t="s">
        <v>235</v>
      </c>
      <c r="D461" t="s">
        <v>1601</v>
      </c>
      <c r="E461">
        <v>87</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2">
      <c r="A462" t="s">
        <v>735</v>
      </c>
      <c r="B462">
        <v>1</v>
      </c>
      <c r="C462" t="s">
        <v>235</v>
      </c>
      <c r="D462" t="s">
        <v>1602</v>
      </c>
      <c r="E462">
        <v>88</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row>
    <row r="463" spans="1:29" x14ac:dyDescent="0.2">
      <c r="A463" t="s">
        <v>735</v>
      </c>
      <c r="B463">
        <v>1</v>
      </c>
      <c r="C463" t="s">
        <v>235</v>
      </c>
      <c r="D463" t="s">
        <v>1603</v>
      </c>
      <c r="E463">
        <v>89</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2">
      <c r="A464" t="s">
        <v>735</v>
      </c>
      <c r="B464">
        <v>1</v>
      </c>
      <c r="C464" t="s">
        <v>235</v>
      </c>
      <c r="D464" t="s">
        <v>1604</v>
      </c>
      <c r="E464">
        <v>90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row>
    <row r="465" spans="1:29" x14ac:dyDescent="0.2">
      <c r="A465" t="s">
        <v>735</v>
      </c>
      <c r="B465">
        <v>1</v>
      </c>
      <c r="C465" t="s">
        <v>235</v>
      </c>
      <c r="D465" t="s">
        <v>1605</v>
      </c>
      <c r="E465">
        <v>91</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2">
      <c r="A466" t="s">
        <v>735</v>
      </c>
      <c r="B466">
        <v>1</v>
      </c>
      <c r="C466" t="s">
        <v>235</v>
      </c>
      <c r="D466" t="s">
        <v>1606</v>
      </c>
      <c r="E466">
        <v>92</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row>
    <row r="467" spans="1:29" x14ac:dyDescent="0.2">
      <c r="A467" t="s">
        <v>735</v>
      </c>
      <c r="B467">
        <v>1</v>
      </c>
      <c r="C467" t="s">
        <v>235</v>
      </c>
      <c r="D467" t="s">
        <v>1607</v>
      </c>
      <c r="E467">
        <v>93</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row>
    <row r="468" spans="1:29" x14ac:dyDescent="0.2">
      <c r="A468" t="s">
        <v>735</v>
      </c>
      <c r="B468">
        <v>1</v>
      </c>
      <c r="C468" t="s">
        <v>236</v>
      </c>
      <c r="D468" t="s">
        <v>6</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row>
    <row r="469" spans="1:29" x14ac:dyDescent="0.2">
      <c r="A469" t="s">
        <v>735</v>
      </c>
      <c r="B469">
        <v>1</v>
      </c>
      <c r="C469" t="s">
        <v>236</v>
      </c>
      <c r="D469" t="s">
        <v>1610</v>
      </c>
      <c r="E469">
        <v>2</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row>
    <row r="470" spans="1:29" x14ac:dyDescent="0.2">
      <c r="A470" t="s">
        <v>735</v>
      </c>
      <c r="B470">
        <v>1</v>
      </c>
      <c r="C470" t="s">
        <v>236</v>
      </c>
      <c r="D470" t="s">
        <v>1537</v>
      </c>
      <c r="E470">
        <v>3</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row>
    <row r="471" spans="1:29" x14ac:dyDescent="0.2">
      <c r="A471" t="s">
        <v>735</v>
      </c>
      <c r="B471">
        <v>1</v>
      </c>
      <c r="C471" t="s">
        <v>236</v>
      </c>
      <c r="D471" t="s">
        <v>1538</v>
      </c>
      <c r="E471">
        <v>4</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row>
    <row r="472" spans="1:29" x14ac:dyDescent="0.2">
      <c r="A472" t="s">
        <v>735</v>
      </c>
      <c r="B472">
        <v>1</v>
      </c>
      <c r="C472" t="s">
        <v>236</v>
      </c>
      <c r="D472" t="s">
        <v>1539</v>
      </c>
      <c r="E472">
        <v>5</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row>
    <row r="473" spans="1:29" x14ac:dyDescent="0.2">
      <c r="A473" t="s">
        <v>735</v>
      </c>
      <c r="B473">
        <v>1</v>
      </c>
      <c r="C473" t="s">
        <v>236</v>
      </c>
      <c r="D473" t="s">
        <v>1540</v>
      </c>
      <c r="E473">
        <v>6</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row>
    <row r="474" spans="1:29" x14ac:dyDescent="0.2">
      <c r="A474" t="s">
        <v>735</v>
      </c>
      <c r="B474">
        <v>1</v>
      </c>
      <c r="C474" t="s">
        <v>236</v>
      </c>
      <c r="D474" t="s">
        <v>1541</v>
      </c>
      <c r="E474">
        <v>7</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row>
    <row r="475" spans="1:29" x14ac:dyDescent="0.2">
      <c r="A475" t="s">
        <v>735</v>
      </c>
      <c r="B475">
        <v>1</v>
      </c>
      <c r="C475" t="s">
        <v>236</v>
      </c>
      <c r="D475" t="s">
        <v>1542</v>
      </c>
      <c r="E475">
        <v>8</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row>
    <row r="476" spans="1:29" x14ac:dyDescent="0.2">
      <c r="A476" t="s">
        <v>735</v>
      </c>
      <c r="B476">
        <v>1</v>
      </c>
      <c r="C476" t="s">
        <v>236</v>
      </c>
      <c r="D476" t="s">
        <v>1543</v>
      </c>
      <c r="E476">
        <v>9</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2">
      <c r="A477" t="s">
        <v>735</v>
      </c>
      <c r="B477">
        <v>1</v>
      </c>
      <c r="C477" t="s">
        <v>236</v>
      </c>
      <c r="D477" t="s">
        <v>1544</v>
      </c>
      <c r="E477">
        <v>10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row>
    <row r="478" spans="1:29" x14ac:dyDescent="0.2">
      <c r="A478" t="s">
        <v>735</v>
      </c>
      <c r="B478">
        <v>1</v>
      </c>
      <c r="C478" t="s">
        <v>236</v>
      </c>
      <c r="D478" t="s">
        <v>1545</v>
      </c>
      <c r="E478">
        <v>11</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2">
      <c r="A479" t="s">
        <v>735</v>
      </c>
      <c r="B479">
        <v>1</v>
      </c>
      <c r="C479" t="s">
        <v>236</v>
      </c>
      <c r="D479" t="s">
        <v>1546</v>
      </c>
      <c r="E479">
        <v>12</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x14ac:dyDescent="0.2">
      <c r="A480" t="s">
        <v>735</v>
      </c>
      <c r="B480">
        <v>1</v>
      </c>
      <c r="C480" t="s">
        <v>236</v>
      </c>
      <c r="D480" t="s">
        <v>1547</v>
      </c>
      <c r="E480">
        <v>13</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row>
    <row r="481" spans="1:29" x14ac:dyDescent="0.2">
      <c r="A481" t="s">
        <v>735</v>
      </c>
      <c r="B481">
        <v>1</v>
      </c>
      <c r="C481" t="s">
        <v>236</v>
      </c>
      <c r="D481" t="s">
        <v>1416</v>
      </c>
      <c r="E481">
        <v>14</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row>
    <row r="482" spans="1:29" x14ac:dyDescent="0.2">
      <c r="A482" t="s">
        <v>735</v>
      </c>
      <c r="B482">
        <v>1</v>
      </c>
      <c r="C482" t="s">
        <v>236</v>
      </c>
      <c r="D482" t="s">
        <v>1548</v>
      </c>
      <c r="E482">
        <v>15</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row>
    <row r="483" spans="1:29" x14ac:dyDescent="0.2">
      <c r="A483" t="s">
        <v>735</v>
      </c>
      <c r="B483">
        <v>1</v>
      </c>
      <c r="C483" t="s">
        <v>236</v>
      </c>
      <c r="D483" t="s">
        <v>1549</v>
      </c>
      <c r="E483">
        <v>16</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row>
    <row r="484" spans="1:29" x14ac:dyDescent="0.2">
      <c r="A484" t="s">
        <v>735</v>
      </c>
      <c r="B484">
        <v>1</v>
      </c>
      <c r="C484" t="s">
        <v>236</v>
      </c>
      <c r="D484" t="s">
        <v>1550</v>
      </c>
      <c r="E484">
        <v>17</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2">
      <c r="A485" t="s">
        <v>735</v>
      </c>
      <c r="B485">
        <v>1</v>
      </c>
      <c r="C485" t="s">
        <v>236</v>
      </c>
      <c r="D485" t="s">
        <v>1551</v>
      </c>
      <c r="E485">
        <v>18</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row>
    <row r="486" spans="1:29" x14ac:dyDescent="0.2">
      <c r="A486" t="s">
        <v>735</v>
      </c>
      <c r="B486">
        <v>1</v>
      </c>
      <c r="C486" t="s">
        <v>236</v>
      </c>
      <c r="D486" t="s">
        <v>1552</v>
      </c>
      <c r="E486">
        <v>19</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row>
    <row r="487" spans="1:29" x14ac:dyDescent="0.2">
      <c r="A487" t="s">
        <v>735</v>
      </c>
      <c r="B487">
        <v>1</v>
      </c>
      <c r="C487" t="s">
        <v>236</v>
      </c>
      <c r="D487" t="s">
        <v>1553</v>
      </c>
      <c r="E487">
        <v>20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row>
    <row r="488" spans="1:29" x14ac:dyDescent="0.2">
      <c r="A488" t="s">
        <v>735</v>
      </c>
      <c r="B488">
        <v>1</v>
      </c>
      <c r="C488" t="s">
        <v>236</v>
      </c>
      <c r="D488" t="s">
        <v>1554</v>
      </c>
      <c r="E488">
        <v>21</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row>
    <row r="489" spans="1:29" x14ac:dyDescent="0.2">
      <c r="A489" t="s">
        <v>735</v>
      </c>
      <c r="B489">
        <v>1</v>
      </c>
      <c r="C489" t="s">
        <v>236</v>
      </c>
      <c r="D489" t="s">
        <v>1555</v>
      </c>
      <c r="E489">
        <v>22</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row>
    <row r="490" spans="1:29" x14ac:dyDescent="0.2">
      <c r="A490" t="s">
        <v>735</v>
      </c>
      <c r="B490">
        <v>1</v>
      </c>
      <c r="C490" t="s">
        <v>236</v>
      </c>
      <c r="D490" t="s">
        <v>1556</v>
      </c>
      <c r="E490">
        <v>23</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row>
    <row r="491" spans="1:29" x14ac:dyDescent="0.2">
      <c r="A491" t="s">
        <v>735</v>
      </c>
      <c r="B491">
        <v>1</v>
      </c>
      <c r="C491" t="s">
        <v>236</v>
      </c>
      <c r="D491" t="s">
        <v>1417</v>
      </c>
      <c r="E491">
        <v>24</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row>
    <row r="492" spans="1:29" x14ac:dyDescent="0.2">
      <c r="A492" t="s">
        <v>735</v>
      </c>
      <c r="B492">
        <v>1</v>
      </c>
      <c r="C492" t="s">
        <v>236</v>
      </c>
      <c r="D492" t="s">
        <v>1418</v>
      </c>
      <c r="E492">
        <v>25</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row>
    <row r="493" spans="1:29" x14ac:dyDescent="0.2">
      <c r="A493" t="s">
        <v>735</v>
      </c>
      <c r="B493">
        <v>1</v>
      </c>
      <c r="C493" t="s">
        <v>236</v>
      </c>
      <c r="D493" t="s">
        <v>1419</v>
      </c>
      <c r="E493">
        <v>26</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row>
    <row r="494" spans="1:29" x14ac:dyDescent="0.2">
      <c r="A494" t="s">
        <v>735</v>
      </c>
      <c r="B494">
        <v>1</v>
      </c>
      <c r="C494" t="s">
        <v>236</v>
      </c>
      <c r="D494" t="s">
        <v>1557</v>
      </c>
      <c r="E494">
        <v>27</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2">
      <c r="A495" t="s">
        <v>735</v>
      </c>
      <c r="B495">
        <v>1</v>
      </c>
      <c r="C495" t="s">
        <v>236</v>
      </c>
      <c r="D495" t="s">
        <v>1558</v>
      </c>
      <c r="E495">
        <v>28</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row>
    <row r="496" spans="1:29" x14ac:dyDescent="0.2">
      <c r="A496" t="s">
        <v>735</v>
      </c>
      <c r="B496">
        <v>1</v>
      </c>
      <c r="C496" t="s">
        <v>236</v>
      </c>
      <c r="D496" t="s">
        <v>1559</v>
      </c>
      <c r="E496">
        <v>29</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row>
    <row r="497" spans="1:29" x14ac:dyDescent="0.2">
      <c r="A497" t="s">
        <v>735</v>
      </c>
      <c r="B497">
        <v>1</v>
      </c>
      <c r="C497" t="s">
        <v>236</v>
      </c>
      <c r="D497" t="s">
        <v>1560</v>
      </c>
      <c r="E497">
        <v>30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row>
    <row r="498" spans="1:29" x14ac:dyDescent="0.2">
      <c r="A498" t="s">
        <v>735</v>
      </c>
      <c r="B498">
        <v>1</v>
      </c>
      <c r="C498" t="s">
        <v>236</v>
      </c>
      <c r="D498" t="s">
        <v>1561</v>
      </c>
      <c r="E498">
        <v>31</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row>
    <row r="499" spans="1:29" x14ac:dyDescent="0.2">
      <c r="A499" t="s">
        <v>735</v>
      </c>
      <c r="B499">
        <v>1</v>
      </c>
      <c r="C499" t="s">
        <v>236</v>
      </c>
      <c r="D499" t="s">
        <v>1562</v>
      </c>
      <c r="E499">
        <v>32</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row>
    <row r="500" spans="1:29" x14ac:dyDescent="0.2">
      <c r="A500" t="s">
        <v>735</v>
      </c>
      <c r="B500">
        <v>1</v>
      </c>
      <c r="C500" t="s">
        <v>236</v>
      </c>
      <c r="D500" t="s">
        <v>1563</v>
      </c>
      <c r="E500">
        <v>33</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29" x14ac:dyDescent="0.2">
      <c r="A501" t="s">
        <v>735</v>
      </c>
      <c r="B501">
        <v>1</v>
      </c>
      <c r="C501" t="s">
        <v>236</v>
      </c>
      <c r="D501" t="s">
        <v>1420</v>
      </c>
      <c r="E501">
        <v>34</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29" x14ac:dyDescent="0.2">
      <c r="A502" t="s">
        <v>735</v>
      </c>
      <c r="B502">
        <v>1</v>
      </c>
      <c r="C502" t="s">
        <v>236</v>
      </c>
      <c r="D502" t="s">
        <v>1564</v>
      </c>
      <c r="E502">
        <v>35</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row>
    <row r="503" spans="1:29" x14ac:dyDescent="0.2">
      <c r="A503" t="s">
        <v>735</v>
      </c>
      <c r="B503">
        <v>1</v>
      </c>
      <c r="C503" t="s">
        <v>236</v>
      </c>
      <c r="D503" t="s">
        <v>1565</v>
      </c>
      <c r="E503">
        <v>36</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29" x14ac:dyDescent="0.2">
      <c r="A504" t="s">
        <v>735</v>
      </c>
      <c r="B504">
        <v>1</v>
      </c>
      <c r="C504" t="s">
        <v>236</v>
      </c>
      <c r="D504" t="s">
        <v>1566</v>
      </c>
      <c r="E504">
        <v>37</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2">
      <c r="A505" t="s">
        <v>735</v>
      </c>
      <c r="B505">
        <v>1</v>
      </c>
      <c r="C505" t="s">
        <v>236</v>
      </c>
      <c r="D505" t="s">
        <v>1567</v>
      </c>
      <c r="E505">
        <v>38</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row>
    <row r="506" spans="1:29" x14ac:dyDescent="0.2">
      <c r="A506" t="s">
        <v>735</v>
      </c>
      <c r="B506">
        <v>1</v>
      </c>
      <c r="C506" t="s">
        <v>236</v>
      </c>
      <c r="D506" t="s">
        <v>1568</v>
      </c>
      <c r="E506">
        <v>39</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row>
    <row r="507" spans="1:29" x14ac:dyDescent="0.2">
      <c r="A507" t="s">
        <v>735</v>
      </c>
      <c r="B507">
        <v>1</v>
      </c>
      <c r="C507" t="s">
        <v>236</v>
      </c>
      <c r="D507" t="s">
        <v>1569</v>
      </c>
      <c r="E507">
        <v>40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row>
    <row r="508" spans="1:29" x14ac:dyDescent="0.2">
      <c r="A508" t="s">
        <v>735</v>
      </c>
      <c r="B508">
        <v>1</v>
      </c>
      <c r="C508" t="s">
        <v>236</v>
      </c>
      <c r="D508" t="s">
        <v>1570</v>
      </c>
      <c r="E508">
        <v>41</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row>
    <row r="509" spans="1:29" x14ac:dyDescent="0.2">
      <c r="A509" t="s">
        <v>735</v>
      </c>
      <c r="B509">
        <v>1</v>
      </c>
      <c r="C509" t="s">
        <v>236</v>
      </c>
      <c r="D509" t="s">
        <v>1571</v>
      </c>
      <c r="E509">
        <v>42</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row>
    <row r="510" spans="1:29" x14ac:dyDescent="0.2">
      <c r="A510" t="s">
        <v>735</v>
      </c>
      <c r="B510">
        <v>1</v>
      </c>
      <c r="C510" t="s">
        <v>236</v>
      </c>
      <c r="D510" t="s">
        <v>1572</v>
      </c>
      <c r="E510">
        <v>43</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row>
    <row r="511" spans="1:29" x14ac:dyDescent="0.2">
      <c r="A511" t="s">
        <v>735</v>
      </c>
      <c r="B511">
        <v>1</v>
      </c>
      <c r="C511" t="s">
        <v>236</v>
      </c>
      <c r="D511" t="s">
        <v>1421</v>
      </c>
      <c r="E511">
        <v>44</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row>
    <row r="512" spans="1:29" x14ac:dyDescent="0.2">
      <c r="A512" t="s">
        <v>735</v>
      </c>
      <c r="B512">
        <v>1</v>
      </c>
      <c r="C512" t="s">
        <v>236</v>
      </c>
      <c r="D512" t="s">
        <v>1573</v>
      </c>
      <c r="E512">
        <v>45</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row>
    <row r="513" spans="1:29" x14ac:dyDescent="0.2">
      <c r="A513" t="s">
        <v>735</v>
      </c>
      <c r="B513">
        <v>1</v>
      </c>
      <c r="C513" t="s">
        <v>236</v>
      </c>
      <c r="D513" t="s">
        <v>1574</v>
      </c>
      <c r="E513">
        <v>46</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row>
    <row r="514" spans="1:29" x14ac:dyDescent="0.2">
      <c r="A514" t="s">
        <v>735</v>
      </c>
      <c r="B514">
        <v>1</v>
      </c>
      <c r="C514" t="s">
        <v>236</v>
      </c>
      <c r="D514" t="s">
        <v>1422</v>
      </c>
      <c r="E514">
        <v>47</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2">
      <c r="A515" t="s">
        <v>735</v>
      </c>
      <c r="B515">
        <v>1</v>
      </c>
      <c r="C515" t="s">
        <v>236</v>
      </c>
      <c r="D515" t="s">
        <v>1575</v>
      </c>
      <c r="E515">
        <v>48</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row>
    <row r="516" spans="1:29" x14ac:dyDescent="0.2">
      <c r="A516" t="s">
        <v>735</v>
      </c>
      <c r="B516">
        <v>1</v>
      </c>
      <c r="C516" t="s">
        <v>236</v>
      </c>
      <c r="D516" t="s">
        <v>1576</v>
      </c>
      <c r="E516">
        <v>49</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29" x14ac:dyDescent="0.2">
      <c r="A517" t="s">
        <v>735</v>
      </c>
      <c r="B517">
        <v>1</v>
      </c>
      <c r="C517" t="s">
        <v>236</v>
      </c>
      <c r="D517" t="s">
        <v>1577</v>
      </c>
      <c r="E517">
        <v>50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29" x14ac:dyDescent="0.2">
      <c r="A518" t="s">
        <v>735</v>
      </c>
      <c r="B518">
        <v>1</v>
      </c>
      <c r="C518" t="s">
        <v>236</v>
      </c>
      <c r="D518" t="s">
        <v>1423</v>
      </c>
      <c r="E518">
        <v>51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2">
      <c r="A519" t="s">
        <v>735</v>
      </c>
      <c r="B519">
        <v>1</v>
      </c>
      <c r="C519" t="s">
        <v>236</v>
      </c>
      <c r="D519" t="s">
        <v>1578</v>
      </c>
      <c r="E519">
        <v>52</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row>
    <row r="520" spans="1:29" x14ac:dyDescent="0.2">
      <c r="A520" t="s">
        <v>735</v>
      </c>
      <c r="B520">
        <v>1</v>
      </c>
      <c r="C520" t="s">
        <v>236</v>
      </c>
      <c r="D520" t="s">
        <v>1579</v>
      </c>
      <c r="E520">
        <v>53</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row>
    <row r="521" spans="1:29" x14ac:dyDescent="0.2">
      <c r="A521" t="s">
        <v>735</v>
      </c>
      <c r="B521">
        <v>1</v>
      </c>
      <c r="C521" t="s">
        <v>236</v>
      </c>
      <c r="D521" t="s">
        <v>1424</v>
      </c>
      <c r="E521">
        <v>54</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29" x14ac:dyDescent="0.2">
      <c r="A522" t="s">
        <v>735</v>
      </c>
      <c r="B522">
        <v>1</v>
      </c>
      <c r="C522" t="s">
        <v>236</v>
      </c>
      <c r="D522" t="s">
        <v>1425</v>
      </c>
      <c r="E522">
        <v>55</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row>
    <row r="523" spans="1:29" x14ac:dyDescent="0.2">
      <c r="A523" t="s">
        <v>735</v>
      </c>
      <c r="B523">
        <v>1</v>
      </c>
      <c r="C523" t="s">
        <v>236</v>
      </c>
      <c r="D523" t="s">
        <v>1426</v>
      </c>
      <c r="E523">
        <v>56</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29" x14ac:dyDescent="0.2">
      <c r="A524" t="s">
        <v>735</v>
      </c>
      <c r="B524">
        <v>1</v>
      </c>
      <c r="C524" t="s">
        <v>236</v>
      </c>
      <c r="D524" t="s">
        <v>1427</v>
      </c>
      <c r="E524">
        <v>57</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row>
    <row r="525" spans="1:29" x14ac:dyDescent="0.2">
      <c r="A525" t="s">
        <v>735</v>
      </c>
      <c r="B525">
        <v>1</v>
      </c>
      <c r="C525" t="s">
        <v>236</v>
      </c>
      <c r="D525" t="s">
        <v>1428</v>
      </c>
      <c r="E525">
        <v>58</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row>
    <row r="526" spans="1:29" x14ac:dyDescent="0.2">
      <c r="A526" t="s">
        <v>735</v>
      </c>
      <c r="B526">
        <v>1</v>
      </c>
      <c r="C526" t="s">
        <v>236</v>
      </c>
      <c r="D526" t="s">
        <v>1429</v>
      </c>
      <c r="E526">
        <v>59</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row>
    <row r="527" spans="1:29" x14ac:dyDescent="0.2">
      <c r="A527" t="s">
        <v>735</v>
      </c>
      <c r="B527">
        <v>1</v>
      </c>
      <c r="C527" t="s">
        <v>236</v>
      </c>
      <c r="D527" t="s">
        <v>1580</v>
      </c>
      <c r="E527">
        <v>60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row>
    <row r="528" spans="1:29" x14ac:dyDescent="0.2">
      <c r="A528" t="s">
        <v>735</v>
      </c>
      <c r="B528">
        <v>1</v>
      </c>
      <c r="C528" t="s">
        <v>236</v>
      </c>
      <c r="D528" t="s">
        <v>1581</v>
      </c>
      <c r="E528">
        <v>61</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row>
    <row r="529" spans="1:29" x14ac:dyDescent="0.2">
      <c r="A529" t="s">
        <v>735</v>
      </c>
      <c r="B529">
        <v>1</v>
      </c>
      <c r="C529" t="s">
        <v>236</v>
      </c>
      <c r="D529" t="s">
        <v>1582</v>
      </c>
      <c r="E529">
        <v>62</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row>
    <row r="530" spans="1:29" x14ac:dyDescent="0.2">
      <c r="A530" t="s">
        <v>735</v>
      </c>
      <c r="B530">
        <v>1</v>
      </c>
      <c r="C530" t="s">
        <v>236</v>
      </c>
      <c r="D530" t="s">
        <v>1583</v>
      </c>
      <c r="E530">
        <v>63</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29" x14ac:dyDescent="0.2">
      <c r="A531" t="s">
        <v>735</v>
      </c>
      <c r="B531">
        <v>1</v>
      </c>
      <c r="C531" t="s">
        <v>236</v>
      </c>
      <c r="D531" t="s">
        <v>1430</v>
      </c>
      <c r="E531">
        <v>64</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29" x14ac:dyDescent="0.2">
      <c r="A532" t="s">
        <v>735</v>
      </c>
      <c r="B532">
        <v>1</v>
      </c>
      <c r="C532" t="s">
        <v>236</v>
      </c>
      <c r="D532" t="s">
        <v>1431</v>
      </c>
      <c r="E532">
        <v>65</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row>
    <row r="533" spans="1:29" x14ac:dyDescent="0.2">
      <c r="A533" t="s">
        <v>735</v>
      </c>
      <c r="B533">
        <v>1</v>
      </c>
      <c r="C533" t="s">
        <v>236</v>
      </c>
      <c r="D533" t="s">
        <v>1584</v>
      </c>
      <c r="E533">
        <v>66</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row>
    <row r="534" spans="1:29" x14ac:dyDescent="0.2">
      <c r="A534" t="s">
        <v>735</v>
      </c>
      <c r="B534">
        <v>1</v>
      </c>
      <c r="C534" t="s">
        <v>236</v>
      </c>
      <c r="D534" t="s">
        <v>1585</v>
      </c>
      <c r="E534">
        <v>67</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row>
    <row r="535" spans="1:29" x14ac:dyDescent="0.2">
      <c r="A535" t="s">
        <v>735</v>
      </c>
      <c r="B535">
        <v>1</v>
      </c>
      <c r="C535" t="s">
        <v>236</v>
      </c>
      <c r="D535" t="s">
        <v>557</v>
      </c>
      <c r="E535">
        <v>68</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row>
    <row r="536" spans="1:29" x14ac:dyDescent="0.2">
      <c r="A536" t="s">
        <v>735</v>
      </c>
      <c r="B536">
        <v>1</v>
      </c>
      <c r="C536" t="s">
        <v>236</v>
      </c>
      <c r="D536" t="s">
        <v>1586</v>
      </c>
      <c r="E536">
        <v>69</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row>
    <row r="537" spans="1:29" x14ac:dyDescent="0.2">
      <c r="A537" t="s">
        <v>735</v>
      </c>
      <c r="B537">
        <v>1</v>
      </c>
      <c r="C537" t="s">
        <v>236</v>
      </c>
      <c r="D537" t="s">
        <v>1587</v>
      </c>
      <c r="E537">
        <v>70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29" x14ac:dyDescent="0.2">
      <c r="A538" t="s">
        <v>735</v>
      </c>
      <c r="B538">
        <v>1</v>
      </c>
      <c r="C538" t="s">
        <v>236</v>
      </c>
      <c r="D538" t="s">
        <v>1588</v>
      </c>
      <c r="E538">
        <v>71</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2">
      <c r="A539" t="s">
        <v>735</v>
      </c>
      <c r="B539">
        <v>1</v>
      </c>
      <c r="C539" t="s">
        <v>236</v>
      </c>
      <c r="D539" t="s">
        <v>1589</v>
      </c>
      <c r="E539">
        <v>72</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29" x14ac:dyDescent="0.2">
      <c r="A540" t="s">
        <v>735</v>
      </c>
      <c r="B540">
        <v>1</v>
      </c>
      <c r="C540" t="s">
        <v>236</v>
      </c>
      <c r="D540" t="s">
        <v>1590</v>
      </c>
      <c r="E540">
        <v>73</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row>
    <row r="541" spans="1:29" x14ac:dyDescent="0.2">
      <c r="A541" t="s">
        <v>735</v>
      </c>
      <c r="B541">
        <v>1</v>
      </c>
      <c r="C541" t="s">
        <v>236</v>
      </c>
      <c r="D541" t="s">
        <v>1432</v>
      </c>
      <c r="E541">
        <v>74</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row>
    <row r="542" spans="1:29" x14ac:dyDescent="0.2">
      <c r="A542" t="s">
        <v>735</v>
      </c>
      <c r="B542">
        <v>1</v>
      </c>
      <c r="C542" t="s">
        <v>236</v>
      </c>
      <c r="D542" t="s">
        <v>1433</v>
      </c>
      <c r="E542">
        <v>75</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row>
    <row r="543" spans="1:29" x14ac:dyDescent="0.2">
      <c r="A543" t="s">
        <v>735</v>
      </c>
      <c r="B543">
        <v>1</v>
      </c>
      <c r="C543" t="s">
        <v>236</v>
      </c>
      <c r="D543" t="s">
        <v>1591</v>
      </c>
      <c r="E543">
        <v>76</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row>
    <row r="544" spans="1:29" x14ac:dyDescent="0.2">
      <c r="A544" t="s">
        <v>735</v>
      </c>
      <c r="B544">
        <v>1</v>
      </c>
      <c r="C544" t="s">
        <v>236</v>
      </c>
      <c r="D544" t="s">
        <v>1592</v>
      </c>
      <c r="E544">
        <v>77</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row>
    <row r="545" spans="1:29" x14ac:dyDescent="0.2">
      <c r="A545" t="s">
        <v>735</v>
      </c>
      <c r="B545">
        <v>1</v>
      </c>
      <c r="C545" t="s">
        <v>236</v>
      </c>
      <c r="D545" t="s">
        <v>1593</v>
      </c>
      <c r="E545">
        <v>78</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2">
      <c r="A546" t="s">
        <v>735</v>
      </c>
      <c r="B546">
        <v>1</v>
      </c>
      <c r="C546" t="s">
        <v>236</v>
      </c>
      <c r="D546" t="s">
        <v>1594</v>
      </c>
      <c r="E546">
        <v>79</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row>
    <row r="547" spans="1:29" x14ac:dyDescent="0.2">
      <c r="A547" t="s">
        <v>735</v>
      </c>
      <c r="B547">
        <v>1</v>
      </c>
      <c r="C547" t="s">
        <v>236</v>
      </c>
      <c r="D547" t="s">
        <v>1595</v>
      </c>
      <c r="E547">
        <v>80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row>
    <row r="548" spans="1:29" x14ac:dyDescent="0.2">
      <c r="A548" t="s">
        <v>735</v>
      </c>
      <c r="B548">
        <v>1</v>
      </c>
      <c r="C548" t="s">
        <v>236</v>
      </c>
      <c r="D548" t="s">
        <v>1596</v>
      </c>
      <c r="E548">
        <v>81</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row>
    <row r="549" spans="1:29" x14ac:dyDescent="0.2">
      <c r="A549" t="s">
        <v>735</v>
      </c>
      <c r="B549">
        <v>1</v>
      </c>
      <c r="C549" t="s">
        <v>236</v>
      </c>
      <c r="D549" t="s">
        <v>1597</v>
      </c>
      <c r="E549">
        <v>82</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row>
    <row r="550" spans="1:29" x14ac:dyDescent="0.2">
      <c r="A550" t="s">
        <v>735</v>
      </c>
      <c r="B550">
        <v>1</v>
      </c>
      <c r="C550" t="s">
        <v>236</v>
      </c>
      <c r="D550" t="s">
        <v>1598</v>
      </c>
      <c r="E550">
        <v>83</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2">
      <c r="A551" t="s">
        <v>735</v>
      </c>
      <c r="B551">
        <v>1</v>
      </c>
      <c r="C551" t="s">
        <v>236</v>
      </c>
      <c r="D551" t="s">
        <v>1434</v>
      </c>
      <c r="E551">
        <v>84</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row>
    <row r="552" spans="1:29" x14ac:dyDescent="0.2">
      <c r="A552" t="s">
        <v>735</v>
      </c>
      <c r="B552">
        <v>1</v>
      </c>
      <c r="C552" t="s">
        <v>236</v>
      </c>
      <c r="D552" t="s">
        <v>1599</v>
      </c>
      <c r="E552">
        <v>85</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29" x14ac:dyDescent="0.2">
      <c r="A553" t="s">
        <v>735</v>
      </c>
      <c r="B553">
        <v>1</v>
      </c>
      <c r="C553" t="s">
        <v>236</v>
      </c>
      <c r="D553" t="s">
        <v>1600</v>
      </c>
      <c r="E553">
        <v>86</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29" x14ac:dyDescent="0.2">
      <c r="A554" t="s">
        <v>735</v>
      </c>
      <c r="B554">
        <v>1</v>
      </c>
      <c r="C554" t="s">
        <v>236</v>
      </c>
      <c r="D554" t="s">
        <v>1601</v>
      </c>
      <c r="E554">
        <v>87</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29" x14ac:dyDescent="0.2">
      <c r="A555" t="s">
        <v>735</v>
      </c>
      <c r="B555">
        <v>1</v>
      </c>
      <c r="C555" t="s">
        <v>236</v>
      </c>
      <c r="D555" t="s">
        <v>1602</v>
      </c>
      <c r="E555">
        <v>88</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row>
    <row r="556" spans="1:29" x14ac:dyDescent="0.2">
      <c r="A556" t="s">
        <v>735</v>
      </c>
      <c r="B556">
        <v>1</v>
      </c>
      <c r="C556" t="s">
        <v>236</v>
      </c>
      <c r="D556" t="s">
        <v>1603</v>
      </c>
      <c r="E556">
        <v>89</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row>
    <row r="557" spans="1:29" x14ac:dyDescent="0.2">
      <c r="A557" t="s">
        <v>735</v>
      </c>
      <c r="B557">
        <v>1</v>
      </c>
      <c r="C557" t="s">
        <v>236</v>
      </c>
      <c r="D557" t="s">
        <v>1604</v>
      </c>
      <c r="E557">
        <v>90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row>
    <row r="558" spans="1:29" x14ac:dyDescent="0.2">
      <c r="A558" t="s">
        <v>735</v>
      </c>
      <c r="B558">
        <v>1</v>
      </c>
      <c r="C558" t="s">
        <v>236</v>
      </c>
      <c r="D558" t="s">
        <v>1605</v>
      </c>
      <c r="E558">
        <v>91</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2">
      <c r="A559" t="s">
        <v>735</v>
      </c>
      <c r="B559">
        <v>1</v>
      </c>
      <c r="C559" t="s">
        <v>236</v>
      </c>
      <c r="D559" t="s">
        <v>1606</v>
      </c>
      <c r="E559">
        <v>92</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row>
    <row r="560" spans="1:29" x14ac:dyDescent="0.2">
      <c r="A560" t="s">
        <v>735</v>
      </c>
      <c r="B560">
        <v>1</v>
      </c>
      <c r="C560" t="s">
        <v>236</v>
      </c>
      <c r="D560" t="s">
        <v>1607</v>
      </c>
      <c r="E560">
        <v>93</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row>
    <row r="561" spans="1:29" x14ac:dyDescent="0.2">
      <c r="A561" t="s">
        <v>735</v>
      </c>
      <c r="B561">
        <v>1</v>
      </c>
      <c r="C561" t="s">
        <v>237</v>
      </c>
      <c r="D561" t="s">
        <v>6</v>
      </c>
      <c r="E561">
        <v>1</v>
      </c>
      <c r="F561">
        <v>-7875</v>
      </c>
      <c r="G561">
        <v>-7873</v>
      </c>
      <c r="H561">
        <v>-7895</v>
      </c>
      <c r="I561">
        <v>-7872</v>
      </c>
      <c r="J561">
        <v>-10886</v>
      </c>
      <c r="K561">
        <v>-31800</v>
      </c>
      <c r="L561">
        <v>-31887</v>
      </c>
      <c r="M561">
        <v>-31798</v>
      </c>
      <c r="N561">
        <v>-31800</v>
      </c>
      <c r="O561">
        <v>-30684</v>
      </c>
      <c r="P561">
        <v>-24049</v>
      </c>
      <c r="Q561">
        <v>-23981</v>
      </c>
      <c r="R561">
        <v>-23983</v>
      </c>
      <c r="S561">
        <v>-23984</v>
      </c>
      <c r="T561">
        <v>-19456</v>
      </c>
      <c r="U561">
        <v>8245</v>
      </c>
      <c r="V561">
        <v>8244</v>
      </c>
      <c r="W561">
        <v>8246</v>
      </c>
      <c r="X561">
        <v>8268</v>
      </c>
      <c r="Y561">
        <v>7091</v>
      </c>
      <c r="Z561">
        <v>0</v>
      </c>
      <c r="AA561">
        <v>0</v>
      </c>
      <c r="AB561">
        <v>0</v>
      </c>
      <c r="AC561">
        <v>0</v>
      </c>
    </row>
    <row r="562" spans="1:29" x14ac:dyDescent="0.2">
      <c r="A562" t="s">
        <v>735</v>
      </c>
      <c r="B562">
        <v>1</v>
      </c>
      <c r="C562" t="s">
        <v>237</v>
      </c>
      <c r="D562" t="s">
        <v>1610</v>
      </c>
      <c r="E562">
        <v>2</v>
      </c>
      <c r="F562">
        <v>623</v>
      </c>
      <c r="G562">
        <v>540</v>
      </c>
      <c r="H562">
        <v>934</v>
      </c>
      <c r="I562">
        <v>202</v>
      </c>
      <c r="J562">
        <v>-2691</v>
      </c>
      <c r="K562">
        <v>79</v>
      </c>
      <c r="L562">
        <v>-129</v>
      </c>
      <c r="M562">
        <v>-970</v>
      </c>
      <c r="N562">
        <v>-1376</v>
      </c>
      <c r="O562">
        <v>-605</v>
      </c>
      <c r="P562">
        <v>226</v>
      </c>
      <c r="Q562">
        <v>164</v>
      </c>
      <c r="R562">
        <v>98</v>
      </c>
      <c r="S562">
        <v>-57</v>
      </c>
      <c r="T562">
        <v>56</v>
      </c>
      <c r="U562">
        <v>656</v>
      </c>
      <c r="V562">
        <v>509</v>
      </c>
      <c r="W562">
        <v>659</v>
      </c>
      <c r="X562">
        <v>855</v>
      </c>
      <c r="Y562">
        <v>1624</v>
      </c>
      <c r="Z562">
        <v>0</v>
      </c>
      <c r="AA562">
        <v>0</v>
      </c>
      <c r="AB562">
        <v>0</v>
      </c>
      <c r="AC562">
        <v>0</v>
      </c>
    </row>
    <row r="563" spans="1:29" x14ac:dyDescent="0.2">
      <c r="A563" t="s">
        <v>735</v>
      </c>
      <c r="B563">
        <v>1</v>
      </c>
      <c r="C563" t="s">
        <v>237</v>
      </c>
      <c r="D563" t="s">
        <v>1537</v>
      </c>
      <c r="E563">
        <v>3</v>
      </c>
      <c r="F563">
        <v>715</v>
      </c>
      <c r="G563">
        <v>1176</v>
      </c>
      <c r="H563">
        <v>1080</v>
      </c>
      <c r="I563">
        <v>1641</v>
      </c>
      <c r="J563">
        <v>290</v>
      </c>
      <c r="K563">
        <v>750</v>
      </c>
      <c r="L563">
        <v>144</v>
      </c>
      <c r="M563">
        <v>-343</v>
      </c>
      <c r="N563">
        <v>-1827</v>
      </c>
      <c r="O563">
        <v>-2494</v>
      </c>
      <c r="P563">
        <v>315</v>
      </c>
      <c r="Q563">
        <v>419</v>
      </c>
      <c r="R563">
        <v>296</v>
      </c>
      <c r="S563">
        <v>163</v>
      </c>
      <c r="T563">
        <v>-196</v>
      </c>
      <c r="U563">
        <v>1470</v>
      </c>
      <c r="V563">
        <v>1213</v>
      </c>
      <c r="W563">
        <v>949</v>
      </c>
      <c r="X563">
        <v>1233</v>
      </c>
      <c r="Y563">
        <v>263</v>
      </c>
      <c r="Z563">
        <v>0</v>
      </c>
      <c r="AA563">
        <v>0</v>
      </c>
      <c r="AB563">
        <v>0</v>
      </c>
      <c r="AC563">
        <v>0</v>
      </c>
    </row>
    <row r="564" spans="1:29" x14ac:dyDescent="0.2">
      <c r="A564" t="s">
        <v>735</v>
      </c>
      <c r="B564">
        <v>1</v>
      </c>
      <c r="C564" t="s">
        <v>237</v>
      </c>
      <c r="D564" t="s">
        <v>1538</v>
      </c>
      <c r="E564">
        <v>4</v>
      </c>
      <c r="F564">
        <v>24</v>
      </c>
      <c r="G564">
        <v>704</v>
      </c>
      <c r="H564">
        <v>1163</v>
      </c>
      <c r="I564">
        <v>1064</v>
      </c>
      <c r="J564">
        <v>849</v>
      </c>
      <c r="K564">
        <v>-90</v>
      </c>
      <c r="L564">
        <v>751</v>
      </c>
      <c r="M564">
        <v>161</v>
      </c>
      <c r="N564">
        <v>-323</v>
      </c>
      <c r="O564">
        <v>-2244</v>
      </c>
      <c r="P564">
        <v>1136</v>
      </c>
      <c r="Q564">
        <v>307</v>
      </c>
      <c r="R564">
        <v>419</v>
      </c>
      <c r="S564">
        <v>299</v>
      </c>
      <c r="T564">
        <v>512</v>
      </c>
      <c r="U564">
        <v>1328</v>
      </c>
      <c r="V564">
        <v>1452</v>
      </c>
      <c r="W564">
        <v>1206</v>
      </c>
      <c r="X564">
        <v>941</v>
      </c>
      <c r="Y564">
        <v>1320</v>
      </c>
      <c r="Z564">
        <v>0</v>
      </c>
      <c r="AA564">
        <v>0</v>
      </c>
      <c r="AB564">
        <v>0</v>
      </c>
      <c r="AC564">
        <v>0</v>
      </c>
    </row>
    <row r="565" spans="1:29" x14ac:dyDescent="0.2">
      <c r="A565" t="s">
        <v>735</v>
      </c>
      <c r="B565">
        <v>1</v>
      </c>
      <c r="C565" t="s">
        <v>237</v>
      </c>
      <c r="D565" t="s">
        <v>1539</v>
      </c>
      <c r="E565">
        <v>5</v>
      </c>
      <c r="F565">
        <v>-798</v>
      </c>
      <c r="G565">
        <v>9</v>
      </c>
      <c r="H565">
        <v>690</v>
      </c>
      <c r="I565">
        <v>1146</v>
      </c>
      <c r="J565">
        <v>1324</v>
      </c>
      <c r="K565">
        <v>-77</v>
      </c>
      <c r="L565">
        <v>-87</v>
      </c>
      <c r="M565">
        <v>761</v>
      </c>
      <c r="N565">
        <v>182</v>
      </c>
      <c r="O565">
        <v>-966</v>
      </c>
      <c r="P565">
        <v>1059</v>
      </c>
      <c r="Q565">
        <v>1132</v>
      </c>
      <c r="R565">
        <v>307</v>
      </c>
      <c r="S565">
        <v>419</v>
      </c>
      <c r="T565">
        <v>153</v>
      </c>
      <c r="U565">
        <v>869</v>
      </c>
      <c r="V565">
        <v>1319</v>
      </c>
      <c r="W565">
        <v>1446</v>
      </c>
      <c r="X565">
        <v>1189</v>
      </c>
      <c r="Y565">
        <v>788</v>
      </c>
      <c r="Z565">
        <v>0</v>
      </c>
      <c r="AA565">
        <v>0</v>
      </c>
      <c r="AB565">
        <v>0</v>
      </c>
      <c r="AC565">
        <v>0</v>
      </c>
    </row>
    <row r="566" spans="1:29" x14ac:dyDescent="0.2">
      <c r="A566" t="s">
        <v>735</v>
      </c>
      <c r="B566">
        <v>1</v>
      </c>
      <c r="C566" t="s">
        <v>237</v>
      </c>
      <c r="D566" t="s">
        <v>1540</v>
      </c>
      <c r="E566">
        <v>6</v>
      </c>
      <c r="F566">
        <v>-1190</v>
      </c>
      <c r="G566">
        <v>-812</v>
      </c>
      <c r="H566">
        <v>-7</v>
      </c>
      <c r="I566">
        <v>676</v>
      </c>
      <c r="J566">
        <v>1529</v>
      </c>
      <c r="K566">
        <v>-534</v>
      </c>
      <c r="L566">
        <v>-84</v>
      </c>
      <c r="M566">
        <v>-73</v>
      </c>
      <c r="N566">
        <v>786</v>
      </c>
      <c r="O566">
        <v>-256</v>
      </c>
      <c r="P566">
        <v>1118</v>
      </c>
      <c r="Q566">
        <v>1053</v>
      </c>
      <c r="R566">
        <v>1134</v>
      </c>
      <c r="S566">
        <v>303</v>
      </c>
      <c r="T566">
        <v>392</v>
      </c>
      <c r="U566">
        <v>1161</v>
      </c>
      <c r="V566">
        <v>853</v>
      </c>
      <c r="W566">
        <v>1302</v>
      </c>
      <c r="X566">
        <v>1430</v>
      </c>
      <c r="Y566">
        <v>977</v>
      </c>
      <c r="Z566">
        <v>0</v>
      </c>
      <c r="AA566">
        <v>0</v>
      </c>
      <c r="AB566">
        <v>0</v>
      </c>
      <c r="AC566">
        <v>0</v>
      </c>
    </row>
    <row r="567" spans="1:29" x14ac:dyDescent="0.2">
      <c r="A567" t="s">
        <v>735</v>
      </c>
      <c r="B567">
        <v>1</v>
      </c>
      <c r="C567" t="s">
        <v>237</v>
      </c>
      <c r="D567" t="s">
        <v>1541</v>
      </c>
      <c r="E567">
        <v>7</v>
      </c>
      <c r="F567">
        <v>-1169</v>
      </c>
      <c r="G567">
        <v>-1206</v>
      </c>
      <c r="H567">
        <v>-832</v>
      </c>
      <c r="I567">
        <v>-18</v>
      </c>
      <c r="J567">
        <v>2003</v>
      </c>
      <c r="K567">
        <v>-270</v>
      </c>
      <c r="L567">
        <v>-532</v>
      </c>
      <c r="M567">
        <v>-71</v>
      </c>
      <c r="N567">
        <v>-56</v>
      </c>
      <c r="O567">
        <v>2507</v>
      </c>
      <c r="P567">
        <v>765</v>
      </c>
      <c r="Q567">
        <v>1109</v>
      </c>
      <c r="R567">
        <v>1055</v>
      </c>
      <c r="S567">
        <v>1127</v>
      </c>
      <c r="T567">
        <v>908</v>
      </c>
      <c r="U567">
        <v>951</v>
      </c>
      <c r="V567">
        <v>1148</v>
      </c>
      <c r="W567">
        <v>839</v>
      </c>
      <c r="X567">
        <v>1297</v>
      </c>
      <c r="Y567">
        <v>715</v>
      </c>
      <c r="Z567">
        <v>0</v>
      </c>
      <c r="AA567">
        <v>0</v>
      </c>
      <c r="AB567">
        <v>0</v>
      </c>
      <c r="AC567">
        <v>0</v>
      </c>
    </row>
    <row r="568" spans="1:29" x14ac:dyDescent="0.2">
      <c r="A568" t="s">
        <v>735</v>
      </c>
      <c r="B568">
        <v>1</v>
      </c>
      <c r="C568" t="s">
        <v>237</v>
      </c>
      <c r="D568" t="s">
        <v>1542</v>
      </c>
      <c r="E568">
        <v>8</v>
      </c>
      <c r="F568">
        <v>-852</v>
      </c>
      <c r="G568">
        <v>-1183</v>
      </c>
      <c r="H568">
        <v>-1225</v>
      </c>
      <c r="I568">
        <v>-840</v>
      </c>
      <c r="J568">
        <v>-1351</v>
      </c>
      <c r="K568">
        <v>-270</v>
      </c>
      <c r="L568">
        <v>-272</v>
      </c>
      <c r="M568">
        <v>-520</v>
      </c>
      <c r="N568">
        <v>-45</v>
      </c>
      <c r="O568">
        <v>655</v>
      </c>
      <c r="P568">
        <v>797</v>
      </c>
      <c r="Q568">
        <v>759</v>
      </c>
      <c r="R568">
        <v>1108</v>
      </c>
      <c r="S568">
        <v>1050</v>
      </c>
      <c r="T568">
        <v>949</v>
      </c>
      <c r="U568">
        <v>908</v>
      </c>
      <c r="V568">
        <v>936</v>
      </c>
      <c r="W568">
        <v>1139</v>
      </c>
      <c r="X568">
        <v>831</v>
      </c>
      <c r="Y568">
        <v>1027</v>
      </c>
      <c r="Z568">
        <v>0</v>
      </c>
      <c r="AA568">
        <v>0</v>
      </c>
      <c r="AB568">
        <v>0</v>
      </c>
      <c r="AC568">
        <v>0</v>
      </c>
    </row>
    <row r="569" spans="1:29" x14ac:dyDescent="0.2">
      <c r="A569" t="s">
        <v>735</v>
      </c>
      <c r="B569">
        <v>1</v>
      </c>
      <c r="C569" t="s">
        <v>237</v>
      </c>
      <c r="D569" t="s">
        <v>1543</v>
      </c>
      <c r="E569">
        <v>9</v>
      </c>
      <c r="F569">
        <v>-73</v>
      </c>
      <c r="G569">
        <v>-865</v>
      </c>
      <c r="H569">
        <v>-1200</v>
      </c>
      <c r="I569">
        <v>-1238</v>
      </c>
      <c r="J569">
        <v>-53</v>
      </c>
      <c r="K569">
        <v>264</v>
      </c>
      <c r="L569">
        <v>-273</v>
      </c>
      <c r="M569">
        <v>-265</v>
      </c>
      <c r="N569">
        <v>-495</v>
      </c>
      <c r="O569">
        <v>-724</v>
      </c>
      <c r="P569">
        <v>964</v>
      </c>
      <c r="Q569">
        <v>786</v>
      </c>
      <c r="R569">
        <v>756</v>
      </c>
      <c r="S569">
        <v>1108</v>
      </c>
      <c r="T569">
        <v>831</v>
      </c>
      <c r="U569">
        <v>1025</v>
      </c>
      <c r="V569">
        <v>903</v>
      </c>
      <c r="W569">
        <v>922</v>
      </c>
      <c r="X569">
        <v>1121</v>
      </c>
      <c r="Y569">
        <v>793</v>
      </c>
      <c r="Z569">
        <v>0</v>
      </c>
      <c r="AA569">
        <v>0</v>
      </c>
      <c r="AB569">
        <v>0</v>
      </c>
      <c r="AC569">
        <v>0</v>
      </c>
    </row>
    <row r="570" spans="1:29" x14ac:dyDescent="0.2">
      <c r="A570" t="s">
        <v>735</v>
      </c>
      <c r="B570">
        <v>1</v>
      </c>
      <c r="C570" t="s">
        <v>237</v>
      </c>
      <c r="D570" t="s">
        <v>1544</v>
      </c>
      <c r="E570">
        <v>10</v>
      </c>
      <c r="F570">
        <v>227</v>
      </c>
      <c r="G570">
        <v>-84</v>
      </c>
      <c r="H570">
        <v>-886</v>
      </c>
      <c r="I570">
        <v>-1218</v>
      </c>
      <c r="J570">
        <v>-506</v>
      </c>
      <c r="K570">
        <v>224</v>
      </c>
      <c r="L570">
        <v>268</v>
      </c>
      <c r="M570">
        <v>-260</v>
      </c>
      <c r="N570">
        <v>-236</v>
      </c>
      <c r="O570">
        <v>444</v>
      </c>
      <c r="P570">
        <v>1677</v>
      </c>
      <c r="Q570">
        <v>958</v>
      </c>
      <c r="R570">
        <v>784</v>
      </c>
      <c r="S570">
        <v>755</v>
      </c>
      <c r="T570">
        <v>-53</v>
      </c>
      <c r="U570">
        <v>1106</v>
      </c>
      <c r="V570">
        <v>1009</v>
      </c>
      <c r="W570">
        <v>887</v>
      </c>
      <c r="X570">
        <v>909</v>
      </c>
      <c r="Y570">
        <v>765</v>
      </c>
      <c r="Z570">
        <v>0</v>
      </c>
      <c r="AA570">
        <v>0</v>
      </c>
      <c r="AB570">
        <v>0</v>
      </c>
      <c r="AC570">
        <v>0</v>
      </c>
    </row>
    <row r="571" spans="1:29" x14ac:dyDescent="0.2">
      <c r="A571" t="s">
        <v>735</v>
      </c>
      <c r="B571">
        <v>1</v>
      </c>
      <c r="C571" t="s">
        <v>237</v>
      </c>
      <c r="D571" t="s">
        <v>1545</v>
      </c>
      <c r="E571">
        <v>11</v>
      </c>
      <c r="F571">
        <v>646</v>
      </c>
      <c r="G571">
        <v>216</v>
      </c>
      <c r="H571">
        <v>-110</v>
      </c>
      <c r="I571">
        <v>-904</v>
      </c>
      <c r="J571">
        <v>-543</v>
      </c>
      <c r="K571">
        <v>948</v>
      </c>
      <c r="L571">
        <v>220</v>
      </c>
      <c r="M571">
        <v>274</v>
      </c>
      <c r="N571">
        <v>-238</v>
      </c>
      <c r="O571">
        <v>464</v>
      </c>
      <c r="P571">
        <v>1568</v>
      </c>
      <c r="Q571">
        <v>1667</v>
      </c>
      <c r="R571">
        <v>958</v>
      </c>
      <c r="S571">
        <v>790</v>
      </c>
      <c r="T571">
        <v>630</v>
      </c>
      <c r="U571">
        <v>1085</v>
      </c>
      <c r="V571">
        <v>1097</v>
      </c>
      <c r="W571">
        <v>1002</v>
      </c>
      <c r="X571">
        <v>872</v>
      </c>
      <c r="Y571">
        <v>483</v>
      </c>
      <c r="Z571">
        <v>0</v>
      </c>
      <c r="AA571">
        <v>0</v>
      </c>
      <c r="AB571">
        <v>0</v>
      </c>
      <c r="AC571">
        <v>0</v>
      </c>
    </row>
    <row r="572" spans="1:29" x14ac:dyDescent="0.2">
      <c r="A572" t="s">
        <v>735</v>
      </c>
      <c r="B572">
        <v>1</v>
      </c>
      <c r="C572" t="s">
        <v>237</v>
      </c>
      <c r="D572" t="s">
        <v>1546</v>
      </c>
      <c r="E572">
        <v>12</v>
      </c>
      <c r="F572">
        <v>810</v>
      </c>
      <c r="G572">
        <v>630</v>
      </c>
      <c r="H572">
        <v>195</v>
      </c>
      <c r="I572">
        <v>-118</v>
      </c>
      <c r="J572">
        <v>-1576</v>
      </c>
      <c r="K572">
        <v>1039</v>
      </c>
      <c r="L572">
        <v>956</v>
      </c>
      <c r="M572">
        <v>232</v>
      </c>
      <c r="N572">
        <v>303</v>
      </c>
      <c r="O572">
        <v>894</v>
      </c>
      <c r="P572">
        <v>1891</v>
      </c>
      <c r="Q572">
        <v>1561</v>
      </c>
      <c r="R572">
        <v>1669</v>
      </c>
      <c r="S572">
        <v>956</v>
      </c>
      <c r="T572">
        <v>1258</v>
      </c>
      <c r="U572">
        <v>779</v>
      </c>
      <c r="V572">
        <v>1079</v>
      </c>
      <c r="W572">
        <v>1085</v>
      </c>
      <c r="X572">
        <v>987</v>
      </c>
      <c r="Y572">
        <v>1718</v>
      </c>
      <c r="Z572">
        <v>0</v>
      </c>
      <c r="AA572">
        <v>0</v>
      </c>
      <c r="AB572">
        <v>0</v>
      </c>
      <c r="AC572">
        <v>0</v>
      </c>
    </row>
    <row r="573" spans="1:29" x14ac:dyDescent="0.2">
      <c r="A573" t="s">
        <v>735</v>
      </c>
      <c r="B573">
        <v>1</v>
      </c>
      <c r="C573" t="s">
        <v>237</v>
      </c>
      <c r="D573" t="s">
        <v>1547</v>
      </c>
      <c r="E573">
        <v>13</v>
      </c>
      <c r="F573">
        <v>1667</v>
      </c>
      <c r="G573">
        <v>788</v>
      </c>
      <c r="H573">
        <v>607</v>
      </c>
      <c r="I573">
        <v>181</v>
      </c>
      <c r="J573">
        <v>-376</v>
      </c>
      <c r="K573">
        <v>1959</v>
      </c>
      <c r="L573">
        <v>1040</v>
      </c>
      <c r="M573">
        <v>961</v>
      </c>
      <c r="N573">
        <v>255</v>
      </c>
      <c r="O573">
        <v>-387</v>
      </c>
      <c r="P573">
        <v>2009</v>
      </c>
      <c r="Q573">
        <v>1882</v>
      </c>
      <c r="R573">
        <v>1556</v>
      </c>
      <c r="S573">
        <v>1666</v>
      </c>
      <c r="T573">
        <v>1948</v>
      </c>
      <c r="U573">
        <v>912</v>
      </c>
      <c r="V573">
        <v>765</v>
      </c>
      <c r="W573">
        <v>1061</v>
      </c>
      <c r="X573">
        <v>1072</v>
      </c>
      <c r="Y573">
        <v>120</v>
      </c>
      <c r="Z573">
        <v>0</v>
      </c>
      <c r="AA573">
        <v>0</v>
      </c>
      <c r="AB573">
        <v>0</v>
      </c>
      <c r="AC573">
        <v>0</v>
      </c>
    </row>
    <row r="574" spans="1:29" x14ac:dyDescent="0.2">
      <c r="A574" t="s">
        <v>735</v>
      </c>
      <c r="B574">
        <v>1</v>
      </c>
      <c r="C574" t="s">
        <v>237</v>
      </c>
      <c r="D574" t="s">
        <v>1416</v>
      </c>
      <c r="E574">
        <v>14</v>
      </c>
      <c r="F574">
        <v>2182</v>
      </c>
      <c r="G574">
        <v>1651</v>
      </c>
      <c r="H574">
        <v>777</v>
      </c>
      <c r="I574">
        <v>598</v>
      </c>
      <c r="J574">
        <v>1030</v>
      </c>
      <c r="K574">
        <v>1991</v>
      </c>
      <c r="L574">
        <v>1964</v>
      </c>
      <c r="M574">
        <v>1056</v>
      </c>
      <c r="N574">
        <v>983</v>
      </c>
      <c r="O574">
        <v>1182</v>
      </c>
      <c r="P574">
        <v>2462</v>
      </c>
      <c r="Q574">
        <v>1991</v>
      </c>
      <c r="R574">
        <v>1883</v>
      </c>
      <c r="S574">
        <v>1559</v>
      </c>
      <c r="T574">
        <v>765</v>
      </c>
      <c r="U574">
        <v>899</v>
      </c>
      <c r="V574">
        <v>901</v>
      </c>
      <c r="W574">
        <v>751</v>
      </c>
      <c r="X574">
        <v>1052</v>
      </c>
      <c r="Y574">
        <v>662</v>
      </c>
      <c r="Z574">
        <v>0</v>
      </c>
      <c r="AA574">
        <v>0</v>
      </c>
      <c r="AB574">
        <v>0</v>
      </c>
      <c r="AC574">
        <v>0</v>
      </c>
    </row>
    <row r="575" spans="1:29" x14ac:dyDescent="0.2">
      <c r="A575" t="s">
        <v>735</v>
      </c>
      <c r="B575">
        <v>1</v>
      </c>
      <c r="C575" t="s">
        <v>237</v>
      </c>
      <c r="D575" t="s">
        <v>1548</v>
      </c>
      <c r="E575">
        <v>15</v>
      </c>
      <c r="F575">
        <v>1873</v>
      </c>
      <c r="G575">
        <v>2171</v>
      </c>
      <c r="H575">
        <v>1634</v>
      </c>
      <c r="I575">
        <v>759</v>
      </c>
      <c r="J575">
        <v>854</v>
      </c>
      <c r="K575">
        <v>1483</v>
      </c>
      <c r="L575">
        <v>2000</v>
      </c>
      <c r="M575">
        <v>1972</v>
      </c>
      <c r="N575">
        <v>1076</v>
      </c>
      <c r="O575">
        <v>1641</v>
      </c>
      <c r="P575">
        <v>1511</v>
      </c>
      <c r="Q575">
        <v>2449</v>
      </c>
      <c r="R575">
        <v>1996</v>
      </c>
      <c r="S575">
        <v>1877</v>
      </c>
      <c r="T575">
        <v>2106</v>
      </c>
      <c r="U575">
        <v>967</v>
      </c>
      <c r="V575">
        <v>888</v>
      </c>
      <c r="W575">
        <v>891</v>
      </c>
      <c r="X575">
        <v>739</v>
      </c>
      <c r="Y575">
        <v>-252</v>
      </c>
      <c r="Z575">
        <v>0</v>
      </c>
      <c r="AA575">
        <v>0</v>
      </c>
      <c r="AB575">
        <v>0</v>
      </c>
      <c r="AC575">
        <v>0</v>
      </c>
    </row>
    <row r="576" spans="1:29" x14ac:dyDescent="0.2">
      <c r="A576" t="s">
        <v>735</v>
      </c>
      <c r="B576">
        <v>1</v>
      </c>
      <c r="C576" t="s">
        <v>237</v>
      </c>
      <c r="D576" t="s">
        <v>1549</v>
      </c>
      <c r="E576">
        <v>16</v>
      </c>
      <c r="F576">
        <v>661</v>
      </c>
      <c r="G576">
        <v>1864</v>
      </c>
      <c r="H576">
        <v>2155</v>
      </c>
      <c r="I576">
        <v>1620</v>
      </c>
      <c r="J576">
        <v>293</v>
      </c>
      <c r="K576">
        <v>566</v>
      </c>
      <c r="L576">
        <v>1493</v>
      </c>
      <c r="M576">
        <v>2005</v>
      </c>
      <c r="N576">
        <v>2000</v>
      </c>
      <c r="O576">
        <v>1172</v>
      </c>
      <c r="P576">
        <v>287</v>
      </c>
      <c r="Q576">
        <v>1503</v>
      </c>
      <c r="R576">
        <v>2446</v>
      </c>
      <c r="S576">
        <v>1992</v>
      </c>
      <c r="T576">
        <v>1775</v>
      </c>
      <c r="U576">
        <v>-171</v>
      </c>
      <c r="V576">
        <v>957</v>
      </c>
      <c r="W576">
        <v>876</v>
      </c>
      <c r="X576">
        <v>874</v>
      </c>
      <c r="Y576">
        <v>646</v>
      </c>
      <c r="Z576">
        <v>0</v>
      </c>
      <c r="AA576">
        <v>0</v>
      </c>
      <c r="AB576">
        <v>0</v>
      </c>
      <c r="AC576">
        <v>0</v>
      </c>
    </row>
    <row r="577" spans="1:29" x14ac:dyDescent="0.2">
      <c r="A577" t="s">
        <v>735</v>
      </c>
      <c r="B577">
        <v>1</v>
      </c>
      <c r="C577" t="s">
        <v>237</v>
      </c>
      <c r="D577" t="s">
        <v>1550</v>
      </c>
      <c r="E577">
        <v>17</v>
      </c>
      <c r="F577">
        <v>356</v>
      </c>
      <c r="G577">
        <v>639</v>
      </c>
      <c r="H577">
        <v>1843</v>
      </c>
      <c r="I577">
        <v>2128</v>
      </c>
      <c r="J577">
        <v>812</v>
      </c>
      <c r="K577">
        <v>-394</v>
      </c>
      <c r="L577">
        <v>573</v>
      </c>
      <c r="M577">
        <v>1496</v>
      </c>
      <c r="N577">
        <v>2033</v>
      </c>
      <c r="O577">
        <v>790</v>
      </c>
      <c r="P577">
        <v>-1191</v>
      </c>
      <c r="Q577">
        <v>277</v>
      </c>
      <c r="R577">
        <v>1500</v>
      </c>
      <c r="S577">
        <v>2450</v>
      </c>
      <c r="T577">
        <v>1903</v>
      </c>
      <c r="U577">
        <v>-2040</v>
      </c>
      <c r="V577">
        <v>-179</v>
      </c>
      <c r="W577">
        <v>946</v>
      </c>
      <c r="X577">
        <v>863</v>
      </c>
      <c r="Y577">
        <v>1312</v>
      </c>
      <c r="Z577">
        <v>0</v>
      </c>
      <c r="AA577">
        <v>0</v>
      </c>
      <c r="AB577">
        <v>0</v>
      </c>
      <c r="AC577">
        <v>0</v>
      </c>
    </row>
    <row r="578" spans="1:29" x14ac:dyDescent="0.2">
      <c r="A578" t="s">
        <v>735</v>
      </c>
      <c r="B578">
        <v>1</v>
      </c>
      <c r="C578" t="s">
        <v>237</v>
      </c>
      <c r="D578" t="s">
        <v>1551</v>
      </c>
      <c r="E578">
        <v>18</v>
      </c>
      <c r="F578">
        <v>122</v>
      </c>
      <c r="G578">
        <v>345</v>
      </c>
      <c r="H578">
        <v>628</v>
      </c>
      <c r="I578">
        <v>1822</v>
      </c>
      <c r="J578">
        <v>-97</v>
      </c>
      <c r="K578">
        <v>-1471</v>
      </c>
      <c r="L578">
        <v>-398</v>
      </c>
      <c r="M578">
        <v>581</v>
      </c>
      <c r="N578">
        <v>1532</v>
      </c>
      <c r="O578">
        <v>629</v>
      </c>
      <c r="P578">
        <v>-1952</v>
      </c>
      <c r="Q578">
        <v>-1193</v>
      </c>
      <c r="R578">
        <v>283</v>
      </c>
      <c r="S578">
        <v>1496</v>
      </c>
      <c r="T578">
        <v>672</v>
      </c>
      <c r="U578">
        <v>-3868</v>
      </c>
      <c r="V578">
        <v>-2046</v>
      </c>
      <c r="W578">
        <v>-192</v>
      </c>
      <c r="X578">
        <v>930</v>
      </c>
      <c r="Y578">
        <v>1747</v>
      </c>
      <c r="Z578">
        <v>0</v>
      </c>
      <c r="AA578">
        <v>0</v>
      </c>
      <c r="AB578">
        <v>0</v>
      </c>
      <c r="AC578">
        <v>0</v>
      </c>
    </row>
    <row r="579" spans="1:29" x14ac:dyDescent="0.2">
      <c r="A579" t="s">
        <v>735</v>
      </c>
      <c r="B579">
        <v>1</v>
      </c>
      <c r="C579" t="s">
        <v>237</v>
      </c>
      <c r="D579" t="s">
        <v>1552</v>
      </c>
      <c r="E579">
        <v>19</v>
      </c>
      <c r="F579">
        <v>250</v>
      </c>
      <c r="G579">
        <v>105</v>
      </c>
      <c r="H579">
        <v>324</v>
      </c>
      <c r="I579">
        <v>612</v>
      </c>
      <c r="J579">
        <v>1617</v>
      </c>
      <c r="K579">
        <v>-1874</v>
      </c>
      <c r="L579">
        <v>-1478</v>
      </c>
      <c r="M579">
        <v>-381</v>
      </c>
      <c r="N579">
        <v>611</v>
      </c>
      <c r="O579">
        <v>1426</v>
      </c>
      <c r="P579">
        <v>-2506</v>
      </c>
      <c r="Q579">
        <v>-1947</v>
      </c>
      <c r="R579">
        <v>-1194</v>
      </c>
      <c r="S579">
        <v>273</v>
      </c>
      <c r="T579">
        <v>1990</v>
      </c>
      <c r="U579">
        <v>-3119</v>
      </c>
      <c r="V579">
        <v>-3881</v>
      </c>
      <c r="W579">
        <v>-2064</v>
      </c>
      <c r="X579">
        <v>-208</v>
      </c>
      <c r="Y579">
        <v>-60</v>
      </c>
      <c r="Z579">
        <v>0</v>
      </c>
      <c r="AA579">
        <v>0</v>
      </c>
      <c r="AB579">
        <v>0</v>
      </c>
      <c r="AC579">
        <v>0</v>
      </c>
    </row>
    <row r="580" spans="1:29" x14ac:dyDescent="0.2">
      <c r="A580" t="s">
        <v>735</v>
      </c>
      <c r="B580">
        <v>1</v>
      </c>
      <c r="C580" t="s">
        <v>237</v>
      </c>
      <c r="D580" t="s">
        <v>1553</v>
      </c>
      <c r="E580">
        <v>20</v>
      </c>
      <c r="F580">
        <v>-437</v>
      </c>
      <c r="G580">
        <v>239</v>
      </c>
      <c r="H580">
        <v>84</v>
      </c>
      <c r="I580">
        <v>308</v>
      </c>
      <c r="J580">
        <v>1921</v>
      </c>
      <c r="K580">
        <v>-2821</v>
      </c>
      <c r="L580">
        <v>-1881</v>
      </c>
      <c r="M580">
        <v>-1460</v>
      </c>
      <c r="N580">
        <v>-353</v>
      </c>
      <c r="O580">
        <v>218</v>
      </c>
      <c r="P580">
        <v>-3406</v>
      </c>
      <c r="Q580">
        <v>-2500</v>
      </c>
      <c r="R580">
        <v>-1947</v>
      </c>
      <c r="S580">
        <v>-1201</v>
      </c>
      <c r="T580">
        <v>351</v>
      </c>
      <c r="U580">
        <v>-2521</v>
      </c>
      <c r="V580">
        <v>-3122</v>
      </c>
      <c r="W580">
        <v>-3895</v>
      </c>
      <c r="X580">
        <v>-2078</v>
      </c>
      <c r="Y580">
        <v>576</v>
      </c>
      <c r="Z580">
        <v>0</v>
      </c>
      <c r="AA580">
        <v>0</v>
      </c>
      <c r="AB580">
        <v>0</v>
      </c>
      <c r="AC580">
        <v>0</v>
      </c>
    </row>
    <row r="581" spans="1:29" x14ac:dyDescent="0.2">
      <c r="A581" t="s">
        <v>735</v>
      </c>
      <c r="B581">
        <v>1</v>
      </c>
      <c r="C581" t="s">
        <v>237</v>
      </c>
      <c r="D581" t="s">
        <v>1554</v>
      </c>
      <c r="E581">
        <v>21</v>
      </c>
      <c r="F581">
        <v>-804</v>
      </c>
      <c r="G581">
        <v>-453</v>
      </c>
      <c r="H581">
        <v>212</v>
      </c>
      <c r="I581">
        <v>70</v>
      </c>
      <c r="J581">
        <v>492</v>
      </c>
      <c r="K581">
        <v>-2702</v>
      </c>
      <c r="L581">
        <v>-2826</v>
      </c>
      <c r="M581">
        <v>-1864</v>
      </c>
      <c r="N581">
        <v>-1431</v>
      </c>
      <c r="O581">
        <v>-613</v>
      </c>
      <c r="P581">
        <v>-3256</v>
      </c>
      <c r="Q581">
        <v>-3402</v>
      </c>
      <c r="R581">
        <v>-2504</v>
      </c>
      <c r="S581">
        <v>-1953</v>
      </c>
      <c r="T581">
        <v>-149</v>
      </c>
      <c r="U581">
        <v>-767</v>
      </c>
      <c r="V581">
        <v>-2528</v>
      </c>
      <c r="W581">
        <v>-3135</v>
      </c>
      <c r="X581">
        <v>-3916</v>
      </c>
      <c r="Y581">
        <v>-1376</v>
      </c>
      <c r="Z581">
        <v>0</v>
      </c>
      <c r="AA581">
        <v>0</v>
      </c>
      <c r="AB581">
        <v>0</v>
      </c>
      <c r="AC581">
        <v>0</v>
      </c>
    </row>
    <row r="582" spans="1:29" x14ac:dyDescent="0.2">
      <c r="A582" t="s">
        <v>735</v>
      </c>
      <c r="B582">
        <v>1</v>
      </c>
      <c r="C582" t="s">
        <v>237</v>
      </c>
      <c r="D582" t="s">
        <v>1555</v>
      </c>
      <c r="E582">
        <v>22</v>
      </c>
      <c r="F582">
        <v>-692</v>
      </c>
      <c r="G582">
        <v>-813</v>
      </c>
      <c r="H582">
        <v>-474</v>
      </c>
      <c r="I582">
        <v>203</v>
      </c>
      <c r="J582">
        <v>-771</v>
      </c>
      <c r="K582">
        <v>-2341</v>
      </c>
      <c r="L582">
        <v>-2707</v>
      </c>
      <c r="M582">
        <v>-2805</v>
      </c>
      <c r="N582">
        <v>-1832</v>
      </c>
      <c r="O582">
        <v>-2331</v>
      </c>
      <c r="P582">
        <v>-2965</v>
      </c>
      <c r="Q582">
        <v>-3246</v>
      </c>
      <c r="R582">
        <v>-3406</v>
      </c>
      <c r="S582">
        <v>-2511</v>
      </c>
      <c r="T582">
        <v>-2478</v>
      </c>
      <c r="U582">
        <v>714</v>
      </c>
      <c r="V582">
        <v>-782</v>
      </c>
      <c r="W582">
        <v>-2549</v>
      </c>
      <c r="X582">
        <v>-3162</v>
      </c>
      <c r="Y582">
        <v>-2678</v>
      </c>
      <c r="Z582">
        <v>0</v>
      </c>
      <c r="AA582">
        <v>0</v>
      </c>
      <c r="AB582">
        <v>0</v>
      </c>
      <c r="AC582">
        <v>0</v>
      </c>
    </row>
    <row r="583" spans="1:29" x14ac:dyDescent="0.2">
      <c r="A583" t="s">
        <v>735</v>
      </c>
      <c r="B583">
        <v>1</v>
      </c>
      <c r="C583" t="s">
        <v>237</v>
      </c>
      <c r="D583" t="s">
        <v>1556</v>
      </c>
      <c r="E583">
        <v>23</v>
      </c>
      <c r="F583">
        <v>-434</v>
      </c>
      <c r="G583">
        <v>-704</v>
      </c>
      <c r="H583">
        <v>-838</v>
      </c>
      <c r="I583">
        <v>-486</v>
      </c>
      <c r="J583">
        <v>-448</v>
      </c>
      <c r="K583">
        <v>-1640</v>
      </c>
      <c r="L583">
        <v>-2345</v>
      </c>
      <c r="M583">
        <v>-2687</v>
      </c>
      <c r="N583">
        <v>-2773</v>
      </c>
      <c r="O583">
        <v>-3878</v>
      </c>
      <c r="P583">
        <v>-2396</v>
      </c>
      <c r="Q583">
        <v>-2959</v>
      </c>
      <c r="R583">
        <v>-3255</v>
      </c>
      <c r="S583">
        <v>-3411</v>
      </c>
      <c r="T583">
        <v>-2774</v>
      </c>
      <c r="U583">
        <v>1870</v>
      </c>
      <c r="V583">
        <v>700</v>
      </c>
      <c r="W583">
        <v>-795</v>
      </c>
      <c r="X583">
        <v>-2569</v>
      </c>
      <c r="Y583">
        <v>-4043</v>
      </c>
      <c r="Z583">
        <v>0</v>
      </c>
      <c r="AA583">
        <v>0</v>
      </c>
      <c r="AB583">
        <v>0</v>
      </c>
      <c r="AC583">
        <v>0</v>
      </c>
    </row>
    <row r="584" spans="1:29" x14ac:dyDescent="0.2">
      <c r="A584" t="s">
        <v>735</v>
      </c>
      <c r="B584">
        <v>1</v>
      </c>
      <c r="C584" t="s">
        <v>237</v>
      </c>
      <c r="D584" t="s">
        <v>1417</v>
      </c>
      <c r="E584">
        <v>24</v>
      </c>
      <c r="F584">
        <v>-1132</v>
      </c>
      <c r="G584">
        <v>-443</v>
      </c>
      <c r="H584">
        <v>-723</v>
      </c>
      <c r="I584">
        <v>-853</v>
      </c>
      <c r="J584">
        <v>-855</v>
      </c>
      <c r="K584">
        <v>-1801</v>
      </c>
      <c r="L584">
        <v>-1650</v>
      </c>
      <c r="M584">
        <v>-2328</v>
      </c>
      <c r="N584">
        <v>-2654</v>
      </c>
      <c r="O584">
        <v>-2799</v>
      </c>
      <c r="P584">
        <v>-1866</v>
      </c>
      <c r="Q584">
        <v>-2394</v>
      </c>
      <c r="R584">
        <v>-2966</v>
      </c>
      <c r="S584">
        <v>-3252</v>
      </c>
      <c r="T584">
        <v>-2577</v>
      </c>
      <c r="U584">
        <v>1669</v>
      </c>
      <c r="V584">
        <v>1861</v>
      </c>
      <c r="W584">
        <v>689</v>
      </c>
      <c r="X584">
        <v>-818</v>
      </c>
      <c r="Y584">
        <v>-1529</v>
      </c>
      <c r="Z584">
        <v>0</v>
      </c>
      <c r="AA584">
        <v>0</v>
      </c>
      <c r="AB584">
        <v>0</v>
      </c>
      <c r="AC584">
        <v>0</v>
      </c>
    </row>
    <row r="585" spans="1:29" x14ac:dyDescent="0.2">
      <c r="A585" t="s">
        <v>735</v>
      </c>
      <c r="B585">
        <v>1</v>
      </c>
      <c r="C585" t="s">
        <v>237</v>
      </c>
      <c r="D585" t="s">
        <v>1418</v>
      </c>
      <c r="E585">
        <v>25</v>
      </c>
      <c r="F585">
        <v>-1498</v>
      </c>
      <c r="G585">
        <v>-1147</v>
      </c>
      <c r="H585">
        <v>-468</v>
      </c>
      <c r="I585">
        <v>-739</v>
      </c>
      <c r="J585">
        <v>-675</v>
      </c>
      <c r="K585">
        <v>-1642</v>
      </c>
      <c r="L585">
        <v>-1808</v>
      </c>
      <c r="M585">
        <v>-1629</v>
      </c>
      <c r="N585">
        <v>-2299</v>
      </c>
      <c r="O585">
        <v>-262</v>
      </c>
      <c r="P585">
        <v>-1721</v>
      </c>
      <c r="Q585">
        <v>-1862</v>
      </c>
      <c r="R585">
        <v>-2402</v>
      </c>
      <c r="S585">
        <v>-2963</v>
      </c>
      <c r="T585">
        <v>-2410</v>
      </c>
      <c r="U585">
        <v>1311</v>
      </c>
      <c r="V585">
        <v>1659</v>
      </c>
      <c r="W585">
        <v>1846</v>
      </c>
      <c r="X585">
        <v>665</v>
      </c>
      <c r="Y585">
        <v>-398</v>
      </c>
      <c r="Z585">
        <v>0</v>
      </c>
      <c r="AA585">
        <v>0</v>
      </c>
      <c r="AB585">
        <v>0</v>
      </c>
      <c r="AC585">
        <v>0</v>
      </c>
    </row>
    <row r="586" spans="1:29" x14ac:dyDescent="0.2">
      <c r="A586" t="s">
        <v>735</v>
      </c>
      <c r="B586">
        <v>1</v>
      </c>
      <c r="C586" t="s">
        <v>237</v>
      </c>
      <c r="D586" t="s">
        <v>1419</v>
      </c>
      <c r="E586">
        <v>26</v>
      </c>
      <c r="F586">
        <v>-1424</v>
      </c>
      <c r="G586">
        <v>-1508</v>
      </c>
      <c r="H586">
        <v>-1170</v>
      </c>
      <c r="I586">
        <v>-481</v>
      </c>
      <c r="J586">
        <v>-89</v>
      </c>
      <c r="K586">
        <v>-992</v>
      </c>
      <c r="L586">
        <v>-1649</v>
      </c>
      <c r="M586">
        <v>-1786</v>
      </c>
      <c r="N586">
        <v>-1599</v>
      </c>
      <c r="O586">
        <v>-1450</v>
      </c>
      <c r="P586">
        <v>-1387</v>
      </c>
      <c r="Q586">
        <v>-1730</v>
      </c>
      <c r="R586">
        <v>-1867</v>
      </c>
      <c r="S586">
        <v>-2394</v>
      </c>
      <c r="T586">
        <v>-2276</v>
      </c>
      <c r="U586">
        <v>1365</v>
      </c>
      <c r="V586">
        <v>1292</v>
      </c>
      <c r="W586">
        <v>1647</v>
      </c>
      <c r="X586">
        <v>1828</v>
      </c>
      <c r="Y586">
        <v>1539</v>
      </c>
      <c r="Z586">
        <v>0</v>
      </c>
      <c r="AA586">
        <v>0</v>
      </c>
      <c r="AB586">
        <v>0</v>
      </c>
      <c r="AC586">
        <v>0</v>
      </c>
    </row>
    <row r="587" spans="1:29" x14ac:dyDescent="0.2">
      <c r="A587" t="s">
        <v>735</v>
      </c>
      <c r="B587">
        <v>1</v>
      </c>
      <c r="C587" t="s">
        <v>237</v>
      </c>
      <c r="D587" t="s">
        <v>1557</v>
      </c>
      <c r="E587">
        <v>27</v>
      </c>
      <c r="F587">
        <v>-1462</v>
      </c>
      <c r="G587">
        <v>-1435</v>
      </c>
      <c r="H587">
        <v>-1533</v>
      </c>
      <c r="I587">
        <v>-1181</v>
      </c>
      <c r="J587">
        <v>-1089</v>
      </c>
      <c r="K587">
        <v>-1170</v>
      </c>
      <c r="L587">
        <v>-994</v>
      </c>
      <c r="M587">
        <v>-1627</v>
      </c>
      <c r="N587">
        <v>-1757</v>
      </c>
      <c r="O587">
        <v>-1652</v>
      </c>
      <c r="P587">
        <v>-1202</v>
      </c>
      <c r="Q587">
        <v>-1387</v>
      </c>
      <c r="R587">
        <v>-1728</v>
      </c>
      <c r="S587">
        <v>-1868</v>
      </c>
      <c r="T587">
        <v>-1992</v>
      </c>
      <c r="U587">
        <v>1426</v>
      </c>
      <c r="V587">
        <v>1351</v>
      </c>
      <c r="W587">
        <v>1278</v>
      </c>
      <c r="X587">
        <v>1628</v>
      </c>
      <c r="Y587">
        <v>1059</v>
      </c>
      <c r="Z587">
        <v>0</v>
      </c>
      <c r="AA587">
        <v>0</v>
      </c>
      <c r="AB587">
        <v>0</v>
      </c>
      <c r="AC587">
        <v>0</v>
      </c>
    </row>
    <row r="588" spans="1:29" x14ac:dyDescent="0.2">
      <c r="A588" t="s">
        <v>735</v>
      </c>
      <c r="B588">
        <v>1</v>
      </c>
      <c r="C588" t="s">
        <v>237</v>
      </c>
      <c r="D588" t="s">
        <v>1558</v>
      </c>
      <c r="E588">
        <v>28</v>
      </c>
      <c r="F588">
        <v>-1327</v>
      </c>
      <c r="G588">
        <v>-1476</v>
      </c>
      <c r="H588">
        <v>-1463</v>
      </c>
      <c r="I588">
        <v>-1545</v>
      </c>
      <c r="J588">
        <v>-1668</v>
      </c>
      <c r="K588">
        <v>-167</v>
      </c>
      <c r="L588">
        <v>-1171</v>
      </c>
      <c r="M588">
        <v>-972</v>
      </c>
      <c r="N588">
        <v>-1595</v>
      </c>
      <c r="O588">
        <v>-2620</v>
      </c>
      <c r="P588">
        <v>-674</v>
      </c>
      <c r="Q588">
        <v>-1205</v>
      </c>
      <c r="R588">
        <v>-1390</v>
      </c>
      <c r="S588">
        <v>-1726</v>
      </c>
      <c r="T588">
        <v>-3435</v>
      </c>
      <c r="U588">
        <v>2038</v>
      </c>
      <c r="V588">
        <v>1419</v>
      </c>
      <c r="W588">
        <v>1338</v>
      </c>
      <c r="X588">
        <v>1265</v>
      </c>
      <c r="Y588">
        <v>729</v>
      </c>
      <c r="Z588">
        <v>0</v>
      </c>
      <c r="AA588">
        <v>0</v>
      </c>
      <c r="AB588">
        <v>0</v>
      </c>
      <c r="AC588">
        <v>0</v>
      </c>
    </row>
    <row r="589" spans="1:29" x14ac:dyDescent="0.2">
      <c r="A589" t="s">
        <v>735</v>
      </c>
      <c r="B589">
        <v>1</v>
      </c>
      <c r="C589" t="s">
        <v>237</v>
      </c>
      <c r="D589" t="s">
        <v>1559</v>
      </c>
      <c r="E589">
        <v>29</v>
      </c>
      <c r="F589">
        <v>-1054</v>
      </c>
      <c r="G589">
        <v>-1342</v>
      </c>
      <c r="H589">
        <v>-1503</v>
      </c>
      <c r="I589">
        <v>-1467</v>
      </c>
      <c r="J589">
        <v>-1124</v>
      </c>
      <c r="K589">
        <v>-353</v>
      </c>
      <c r="L589">
        <v>-168</v>
      </c>
      <c r="M589">
        <v>-1154</v>
      </c>
      <c r="N589">
        <v>-943</v>
      </c>
      <c r="O589">
        <v>-1552</v>
      </c>
      <c r="P589">
        <v>-1326</v>
      </c>
      <c r="Q589">
        <v>-674</v>
      </c>
      <c r="R589">
        <v>-1206</v>
      </c>
      <c r="S589">
        <v>-1386</v>
      </c>
      <c r="T589">
        <v>-1068</v>
      </c>
      <c r="U589">
        <v>1396</v>
      </c>
      <c r="V589">
        <v>2022</v>
      </c>
      <c r="W589">
        <v>1398</v>
      </c>
      <c r="X589">
        <v>1317</v>
      </c>
      <c r="Y589">
        <v>1869</v>
      </c>
      <c r="Z589">
        <v>0</v>
      </c>
      <c r="AA589">
        <v>0</v>
      </c>
      <c r="AB589">
        <v>0</v>
      </c>
      <c r="AC589">
        <v>0</v>
      </c>
    </row>
    <row r="590" spans="1:29" x14ac:dyDescent="0.2">
      <c r="A590" t="s">
        <v>735</v>
      </c>
      <c r="B590">
        <v>1</v>
      </c>
      <c r="C590" t="s">
        <v>237</v>
      </c>
      <c r="D590" t="s">
        <v>1560</v>
      </c>
      <c r="E590">
        <v>30</v>
      </c>
      <c r="F590">
        <v>-1686</v>
      </c>
      <c r="G590">
        <v>-1073</v>
      </c>
      <c r="H590">
        <v>-1366</v>
      </c>
      <c r="I590">
        <v>-1508</v>
      </c>
      <c r="J590">
        <v>-209</v>
      </c>
      <c r="K590">
        <v>-589</v>
      </c>
      <c r="L590">
        <v>-361</v>
      </c>
      <c r="M590">
        <v>-151</v>
      </c>
      <c r="N590">
        <v>-1128</v>
      </c>
      <c r="O590">
        <v>-755</v>
      </c>
      <c r="P590">
        <v>-1474</v>
      </c>
      <c r="Q590">
        <v>-1331</v>
      </c>
      <c r="R590">
        <v>-680</v>
      </c>
      <c r="S590">
        <v>-1209</v>
      </c>
      <c r="T590">
        <v>665</v>
      </c>
      <c r="U590">
        <v>162</v>
      </c>
      <c r="V590">
        <v>1379</v>
      </c>
      <c r="W590">
        <v>2007</v>
      </c>
      <c r="X590">
        <v>1380</v>
      </c>
      <c r="Y590">
        <v>1054</v>
      </c>
      <c r="Z590">
        <v>0</v>
      </c>
      <c r="AA590">
        <v>0</v>
      </c>
      <c r="AB590">
        <v>0</v>
      </c>
      <c r="AC590">
        <v>0</v>
      </c>
    </row>
    <row r="591" spans="1:29" x14ac:dyDescent="0.2">
      <c r="A591" t="s">
        <v>735</v>
      </c>
      <c r="B591">
        <v>1</v>
      </c>
      <c r="C591" t="s">
        <v>237</v>
      </c>
      <c r="D591" t="s">
        <v>1561</v>
      </c>
      <c r="E591">
        <v>31</v>
      </c>
      <c r="F591">
        <v>-1731</v>
      </c>
      <c r="G591">
        <v>-1701</v>
      </c>
      <c r="H591">
        <v>-1095</v>
      </c>
      <c r="I591">
        <v>-1373</v>
      </c>
      <c r="J591">
        <v>-1667</v>
      </c>
      <c r="K591">
        <v>-814</v>
      </c>
      <c r="L591">
        <v>-590</v>
      </c>
      <c r="M591">
        <v>-345</v>
      </c>
      <c r="N591">
        <v>-120</v>
      </c>
      <c r="O591">
        <v>-796</v>
      </c>
      <c r="P591">
        <v>-1926</v>
      </c>
      <c r="Q591">
        <v>-1476</v>
      </c>
      <c r="R591">
        <v>-1330</v>
      </c>
      <c r="S591">
        <v>-679</v>
      </c>
      <c r="T591">
        <v>-448</v>
      </c>
      <c r="U591">
        <v>-505</v>
      </c>
      <c r="V591">
        <v>145</v>
      </c>
      <c r="W591">
        <v>1367</v>
      </c>
      <c r="X591">
        <v>1987</v>
      </c>
      <c r="Y591">
        <v>1371</v>
      </c>
      <c r="Z591">
        <v>0</v>
      </c>
      <c r="AA591">
        <v>0</v>
      </c>
      <c r="AB591">
        <v>0</v>
      </c>
      <c r="AC591">
        <v>0</v>
      </c>
    </row>
    <row r="592" spans="1:29" x14ac:dyDescent="0.2">
      <c r="A592" t="s">
        <v>735</v>
      </c>
      <c r="B592">
        <v>1</v>
      </c>
      <c r="C592" t="s">
        <v>237</v>
      </c>
      <c r="D592" t="s">
        <v>1562</v>
      </c>
      <c r="E592">
        <v>32</v>
      </c>
      <c r="F592">
        <v>-2227</v>
      </c>
      <c r="G592">
        <v>-1743</v>
      </c>
      <c r="H592">
        <v>-1727</v>
      </c>
      <c r="I592">
        <v>-1108</v>
      </c>
      <c r="J592">
        <v>-1188</v>
      </c>
      <c r="K592">
        <v>-778</v>
      </c>
      <c r="L592">
        <v>-810</v>
      </c>
      <c r="M592">
        <v>-574</v>
      </c>
      <c r="N592">
        <v>-311</v>
      </c>
      <c r="O592">
        <v>-1470</v>
      </c>
      <c r="P592">
        <v>-1985</v>
      </c>
      <c r="Q592">
        <v>-1922</v>
      </c>
      <c r="R592">
        <v>-1476</v>
      </c>
      <c r="S592">
        <v>-1334</v>
      </c>
      <c r="T592">
        <v>-1370</v>
      </c>
      <c r="U592">
        <v>-650</v>
      </c>
      <c r="V592">
        <v>-522</v>
      </c>
      <c r="W592">
        <v>130</v>
      </c>
      <c r="X592">
        <v>1345</v>
      </c>
      <c r="Y592">
        <v>1009</v>
      </c>
      <c r="Z592">
        <v>0</v>
      </c>
      <c r="AA592">
        <v>0</v>
      </c>
      <c r="AB592">
        <v>0</v>
      </c>
      <c r="AC592">
        <v>0</v>
      </c>
    </row>
    <row r="593" spans="1:29" x14ac:dyDescent="0.2">
      <c r="A593" t="s">
        <v>735</v>
      </c>
      <c r="B593">
        <v>1</v>
      </c>
      <c r="C593" t="s">
        <v>237</v>
      </c>
      <c r="D593" t="s">
        <v>1563</v>
      </c>
      <c r="E593">
        <v>33</v>
      </c>
      <c r="F593">
        <v>-1552</v>
      </c>
      <c r="G593">
        <v>-2242</v>
      </c>
      <c r="H593">
        <v>-1772</v>
      </c>
      <c r="I593">
        <v>-1737</v>
      </c>
      <c r="J593">
        <v>-1999</v>
      </c>
      <c r="K593">
        <v>-747</v>
      </c>
      <c r="L593">
        <v>-780</v>
      </c>
      <c r="M593">
        <v>-798</v>
      </c>
      <c r="N593">
        <v>-544</v>
      </c>
      <c r="O593">
        <v>-1003</v>
      </c>
      <c r="P593">
        <v>-2331</v>
      </c>
      <c r="Q593">
        <v>-1980</v>
      </c>
      <c r="R593">
        <v>-1924</v>
      </c>
      <c r="S593">
        <v>-1477</v>
      </c>
      <c r="T593">
        <v>-1836</v>
      </c>
      <c r="U593">
        <v>-630</v>
      </c>
      <c r="V593">
        <v>-661</v>
      </c>
      <c r="W593">
        <v>-528</v>
      </c>
      <c r="X593">
        <v>112</v>
      </c>
      <c r="Y593">
        <v>-1248</v>
      </c>
      <c r="Z593">
        <v>0</v>
      </c>
      <c r="AA593">
        <v>0</v>
      </c>
      <c r="AB593">
        <v>0</v>
      </c>
      <c r="AC593">
        <v>0</v>
      </c>
    </row>
    <row r="594" spans="1:29" x14ac:dyDescent="0.2">
      <c r="A594" t="s">
        <v>735</v>
      </c>
      <c r="B594">
        <v>1</v>
      </c>
      <c r="C594" t="s">
        <v>237</v>
      </c>
      <c r="D594" t="s">
        <v>1420</v>
      </c>
      <c r="E594">
        <v>34</v>
      </c>
      <c r="F594">
        <v>-1566</v>
      </c>
      <c r="G594">
        <v>-1567</v>
      </c>
      <c r="H594">
        <v>-2263</v>
      </c>
      <c r="I594">
        <v>-1776</v>
      </c>
      <c r="J594">
        <v>-231</v>
      </c>
      <c r="K594">
        <v>-600</v>
      </c>
      <c r="L594">
        <v>-753</v>
      </c>
      <c r="M594">
        <v>-763</v>
      </c>
      <c r="N594">
        <v>-765</v>
      </c>
      <c r="O594">
        <v>-141</v>
      </c>
      <c r="P594">
        <v>-1949</v>
      </c>
      <c r="Q594">
        <v>-2332</v>
      </c>
      <c r="R594">
        <v>-1982</v>
      </c>
      <c r="S594">
        <v>-1926</v>
      </c>
      <c r="T594">
        <v>-1220</v>
      </c>
      <c r="U594">
        <v>-232</v>
      </c>
      <c r="V594">
        <v>-644</v>
      </c>
      <c r="W594">
        <v>-679</v>
      </c>
      <c r="X594">
        <v>-556</v>
      </c>
      <c r="Y594">
        <v>349</v>
      </c>
      <c r="Z594">
        <v>0</v>
      </c>
      <c r="AA594">
        <v>0</v>
      </c>
      <c r="AB594">
        <v>0</v>
      </c>
      <c r="AC594">
        <v>0</v>
      </c>
    </row>
    <row r="595" spans="1:29" x14ac:dyDescent="0.2">
      <c r="A595" t="s">
        <v>735</v>
      </c>
      <c r="B595">
        <v>1</v>
      </c>
      <c r="C595" t="s">
        <v>237</v>
      </c>
      <c r="D595" t="s">
        <v>1564</v>
      </c>
      <c r="E595">
        <v>35</v>
      </c>
      <c r="F595">
        <v>-1470</v>
      </c>
      <c r="G595">
        <v>-1578</v>
      </c>
      <c r="H595">
        <v>-1596</v>
      </c>
      <c r="I595">
        <v>-2279</v>
      </c>
      <c r="J595">
        <v>-1243</v>
      </c>
      <c r="K595">
        <v>-1317</v>
      </c>
      <c r="L595">
        <v>-606</v>
      </c>
      <c r="M595">
        <v>-733</v>
      </c>
      <c r="N595">
        <v>-729</v>
      </c>
      <c r="O595">
        <v>-24</v>
      </c>
      <c r="P595">
        <v>-1770</v>
      </c>
      <c r="Q595">
        <v>-1952</v>
      </c>
      <c r="R595">
        <v>-2327</v>
      </c>
      <c r="S595">
        <v>-1984</v>
      </c>
      <c r="T595">
        <v>-2072</v>
      </c>
      <c r="U595">
        <v>-488</v>
      </c>
      <c r="V595">
        <v>-254</v>
      </c>
      <c r="W595">
        <v>-661</v>
      </c>
      <c r="X595">
        <v>-702</v>
      </c>
      <c r="Y595">
        <v>918</v>
      </c>
      <c r="Z595">
        <v>0</v>
      </c>
      <c r="AA595">
        <v>0</v>
      </c>
      <c r="AB595">
        <v>0</v>
      </c>
      <c r="AC595">
        <v>0</v>
      </c>
    </row>
    <row r="596" spans="1:29" x14ac:dyDescent="0.2">
      <c r="A596" t="s">
        <v>735</v>
      </c>
      <c r="B596">
        <v>1</v>
      </c>
      <c r="C596" t="s">
        <v>237</v>
      </c>
      <c r="D596" t="s">
        <v>1565</v>
      </c>
      <c r="E596">
        <v>36</v>
      </c>
      <c r="F596">
        <v>-1304</v>
      </c>
      <c r="G596">
        <v>-1488</v>
      </c>
      <c r="H596">
        <v>-1608</v>
      </c>
      <c r="I596">
        <v>-1607</v>
      </c>
      <c r="J596">
        <v>-1145</v>
      </c>
      <c r="K596">
        <v>-1429</v>
      </c>
      <c r="L596">
        <v>-1323</v>
      </c>
      <c r="M596">
        <v>-585</v>
      </c>
      <c r="N596">
        <v>-706</v>
      </c>
      <c r="O596">
        <v>-804</v>
      </c>
      <c r="P596">
        <v>-1461</v>
      </c>
      <c r="Q596">
        <v>-1769</v>
      </c>
      <c r="R596">
        <v>-1953</v>
      </c>
      <c r="S596">
        <v>-2331</v>
      </c>
      <c r="T596">
        <v>-947</v>
      </c>
      <c r="U596">
        <v>-306</v>
      </c>
      <c r="V596">
        <v>-507</v>
      </c>
      <c r="W596">
        <v>-262</v>
      </c>
      <c r="X596">
        <v>-683</v>
      </c>
      <c r="Y596">
        <v>272</v>
      </c>
      <c r="Z596">
        <v>0</v>
      </c>
      <c r="AA596">
        <v>0</v>
      </c>
      <c r="AB596">
        <v>0</v>
      </c>
      <c r="AC596">
        <v>0</v>
      </c>
    </row>
    <row r="597" spans="1:29" x14ac:dyDescent="0.2">
      <c r="A597" t="s">
        <v>735</v>
      </c>
      <c r="B597">
        <v>1</v>
      </c>
      <c r="C597" t="s">
        <v>237</v>
      </c>
      <c r="D597" t="s">
        <v>1566</v>
      </c>
      <c r="E597">
        <v>37</v>
      </c>
      <c r="F597">
        <v>-749</v>
      </c>
      <c r="G597">
        <v>-1322</v>
      </c>
      <c r="H597">
        <v>-1513</v>
      </c>
      <c r="I597">
        <v>-1618</v>
      </c>
      <c r="J597">
        <v>-3273</v>
      </c>
      <c r="K597">
        <v>-1500</v>
      </c>
      <c r="L597">
        <v>-1427</v>
      </c>
      <c r="M597">
        <v>-1304</v>
      </c>
      <c r="N597">
        <v>-560</v>
      </c>
      <c r="O597">
        <v>-670</v>
      </c>
      <c r="P597">
        <v>-1043</v>
      </c>
      <c r="Q597">
        <v>-1462</v>
      </c>
      <c r="R597">
        <v>-1769</v>
      </c>
      <c r="S597">
        <v>-1953</v>
      </c>
      <c r="T597">
        <v>-3418</v>
      </c>
      <c r="U597">
        <v>-304</v>
      </c>
      <c r="V597">
        <v>-322</v>
      </c>
      <c r="W597">
        <v>-520</v>
      </c>
      <c r="X597">
        <v>-292</v>
      </c>
      <c r="Y597">
        <v>-1850</v>
      </c>
      <c r="Z597">
        <v>0</v>
      </c>
      <c r="AA597">
        <v>0</v>
      </c>
      <c r="AB597">
        <v>0</v>
      </c>
      <c r="AC597">
        <v>0</v>
      </c>
    </row>
    <row r="598" spans="1:29" x14ac:dyDescent="0.2">
      <c r="A598" t="s">
        <v>735</v>
      </c>
      <c r="B598">
        <v>1</v>
      </c>
      <c r="C598" t="s">
        <v>237</v>
      </c>
      <c r="D598" t="s">
        <v>1567</v>
      </c>
      <c r="E598">
        <v>38</v>
      </c>
      <c r="F598">
        <v>-141</v>
      </c>
      <c r="G598">
        <v>-761</v>
      </c>
      <c r="H598">
        <v>-1345</v>
      </c>
      <c r="I598">
        <v>-1527</v>
      </c>
      <c r="J598">
        <v>-2114</v>
      </c>
      <c r="K598">
        <v>59</v>
      </c>
      <c r="L598">
        <v>-1506</v>
      </c>
      <c r="M598">
        <v>-1414</v>
      </c>
      <c r="N598">
        <v>-1273</v>
      </c>
      <c r="O598">
        <v>-1741</v>
      </c>
      <c r="P598">
        <v>-725</v>
      </c>
      <c r="Q598">
        <v>-1050</v>
      </c>
      <c r="R598">
        <v>-1461</v>
      </c>
      <c r="S598">
        <v>-1769</v>
      </c>
      <c r="T598">
        <v>-2133</v>
      </c>
      <c r="U598">
        <v>532</v>
      </c>
      <c r="V598">
        <v>-318</v>
      </c>
      <c r="W598">
        <v>-327</v>
      </c>
      <c r="X598">
        <v>-545</v>
      </c>
      <c r="Y598">
        <v>-534</v>
      </c>
      <c r="Z598">
        <v>0</v>
      </c>
      <c r="AA598">
        <v>0</v>
      </c>
      <c r="AB598">
        <v>0</v>
      </c>
      <c r="AC598">
        <v>0</v>
      </c>
    </row>
    <row r="599" spans="1:29" x14ac:dyDescent="0.2">
      <c r="A599" t="s">
        <v>735</v>
      </c>
      <c r="B599">
        <v>1</v>
      </c>
      <c r="C599" t="s">
        <v>237</v>
      </c>
      <c r="D599" t="s">
        <v>1568</v>
      </c>
      <c r="E599">
        <v>39</v>
      </c>
      <c r="F599">
        <v>1020</v>
      </c>
      <c r="G599">
        <v>-161</v>
      </c>
      <c r="H599">
        <v>-788</v>
      </c>
      <c r="I599">
        <v>-1361</v>
      </c>
      <c r="J599">
        <v>-1070</v>
      </c>
      <c r="K599">
        <v>-937</v>
      </c>
      <c r="L599">
        <v>57</v>
      </c>
      <c r="M599">
        <v>-1486</v>
      </c>
      <c r="N599">
        <v>-1384</v>
      </c>
      <c r="O599">
        <v>425</v>
      </c>
      <c r="P599">
        <v>-317</v>
      </c>
      <c r="Q599">
        <v>-726</v>
      </c>
      <c r="R599">
        <v>-1052</v>
      </c>
      <c r="S599">
        <v>-1462</v>
      </c>
      <c r="T599">
        <v>-1161</v>
      </c>
      <c r="U599">
        <v>382</v>
      </c>
      <c r="V599">
        <v>510</v>
      </c>
      <c r="W599">
        <v>-334</v>
      </c>
      <c r="X599">
        <v>-358</v>
      </c>
      <c r="Y599">
        <v>-618</v>
      </c>
      <c r="Z599">
        <v>0</v>
      </c>
      <c r="AA599">
        <v>0</v>
      </c>
      <c r="AB599">
        <v>0</v>
      </c>
      <c r="AC599">
        <v>0</v>
      </c>
    </row>
    <row r="600" spans="1:29" x14ac:dyDescent="0.2">
      <c r="A600" t="s">
        <v>735</v>
      </c>
      <c r="B600">
        <v>1</v>
      </c>
      <c r="C600" t="s">
        <v>237</v>
      </c>
      <c r="D600" t="s">
        <v>1569</v>
      </c>
      <c r="E600">
        <v>40</v>
      </c>
      <c r="F600">
        <v>1028</v>
      </c>
      <c r="G600">
        <v>1003</v>
      </c>
      <c r="H600">
        <v>-184</v>
      </c>
      <c r="I600">
        <v>-802</v>
      </c>
      <c r="J600">
        <v>-510</v>
      </c>
      <c r="K600">
        <v>-843</v>
      </c>
      <c r="L600">
        <v>-933</v>
      </c>
      <c r="M600">
        <v>77</v>
      </c>
      <c r="N600">
        <v>-1459</v>
      </c>
      <c r="O600">
        <v>-689</v>
      </c>
      <c r="P600">
        <v>-147</v>
      </c>
      <c r="Q600">
        <v>-321</v>
      </c>
      <c r="R600">
        <v>-730</v>
      </c>
      <c r="S600">
        <v>-1054</v>
      </c>
      <c r="T600">
        <v>-322</v>
      </c>
      <c r="U600">
        <v>263</v>
      </c>
      <c r="V600">
        <v>373</v>
      </c>
      <c r="W600">
        <v>497</v>
      </c>
      <c r="X600">
        <v>-355</v>
      </c>
      <c r="Y600">
        <v>-322</v>
      </c>
      <c r="Z600">
        <v>0</v>
      </c>
      <c r="AA600">
        <v>0</v>
      </c>
      <c r="AB600">
        <v>0</v>
      </c>
      <c r="AC600">
        <v>0</v>
      </c>
    </row>
    <row r="601" spans="1:29" x14ac:dyDescent="0.2">
      <c r="A601" t="s">
        <v>735</v>
      </c>
      <c r="B601">
        <v>1</v>
      </c>
      <c r="C601" t="s">
        <v>237</v>
      </c>
      <c r="D601" t="s">
        <v>1570</v>
      </c>
      <c r="E601">
        <v>41</v>
      </c>
      <c r="F601">
        <v>876</v>
      </c>
      <c r="G601">
        <v>1007</v>
      </c>
      <c r="H601">
        <v>971</v>
      </c>
      <c r="I601">
        <v>-199</v>
      </c>
      <c r="J601">
        <v>1331</v>
      </c>
      <c r="K601">
        <v>-1188</v>
      </c>
      <c r="L601">
        <v>-844</v>
      </c>
      <c r="M601">
        <v>-923</v>
      </c>
      <c r="N601">
        <v>104</v>
      </c>
      <c r="O601">
        <v>103</v>
      </c>
      <c r="P601">
        <v>28</v>
      </c>
      <c r="Q601">
        <v>-148</v>
      </c>
      <c r="R601">
        <v>-321</v>
      </c>
      <c r="S601">
        <v>-727</v>
      </c>
      <c r="T601">
        <v>-802</v>
      </c>
      <c r="U601">
        <v>90</v>
      </c>
      <c r="V601">
        <v>249</v>
      </c>
      <c r="W601">
        <v>358</v>
      </c>
      <c r="X601">
        <v>477</v>
      </c>
      <c r="Y601">
        <v>-181</v>
      </c>
      <c r="Z601">
        <v>0</v>
      </c>
      <c r="AA601">
        <v>0</v>
      </c>
      <c r="AB601">
        <v>0</v>
      </c>
      <c r="AC601">
        <v>0</v>
      </c>
    </row>
    <row r="602" spans="1:29" x14ac:dyDescent="0.2">
      <c r="A602" t="s">
        <v>735</v>
      </c>
      <c r="B602">
        <v>1</v>
      </c>
      <c r="C602" t="s">
        <v>237</v>
      </c>
      <c r="D602" t="s">
        <v>1571</v>
      </c>
      <c r="E602">
        <v>42</v>
      </c>
      <c r="F602">
        <v>-176</v>
      </c>
      <c r="G602">
        <v>851</v>
      </c>
      <c r="H602">
        <v>981</v>
      </c>
      <c r="I602">
        <v>958</v>
      </c>
      <c r="J602">
        <v>694</v>
      </c>
      <c r="K602">
        <v>-1740</v>
      </c>
      <c r="L602">
        <v>-1198</v>
      </c>
      <c r="M602">
        <v>-824</v>
      </c>
      <c r="N602">
        <v>-886</v>
      </c>
      <c r="O602">
        <v>-1765</v>
      </c>
      <c r="P602">
        <v>170</v>
      </c>
      <c r="Q602">
        <v>24</v>
      </c>
      <c r="R602">
        <v>-154</v>
      </c>
      <c r="S602">
        <v>-325</v>
      </c>
      <c r="T602">
        <v>-667</v>
      </c>
      <c r="U602">
        <v>8</v>
      </c>
      <c r="V602">
        <v>80</v>
      </c>
      <c r="W602">
        <v>234</v>
      </c>
      <c r="X602">
        <v>338</v>
      </c>
      <c r="Y602">
        <v>-38</v>
      </c>
      <c r="Z602">
        <v>0</v>
      </c>
      <c r="AA602">
        <v>0</v>
      </c>
      <c r="AB602">
        <v>0</v>
      </c>
      <c r="AC602">
        <v>0</v>
      </c>
    </row>
    <row r="603" spans="1:29" x14ac:dyDescent="0.2">
      <c r="A603" t="s">
        <v>735</v>
      </c>
      <c r="B603">
        <v>1</v>
      </c>
      <c r="C603" t="s">
        <v>237</v>
      </c>
      <c r="D603" t="s">
        <v>1572</v>
      </c>
      <c r="E603">
        <v>43</v>
      </c>
      <c r="F603">
        <v>-70</v>
      </c>
      <c r="G603">
        <v>-192</v>
      </c>
      <c r="H603">
        <v>831</v>
      </c>
      <c r="I603">
        <v>965</v>
      </c>
      <c r="J603">
        <v>-1193</v>
      </c>
      <c r="K603">
        <v>-1632</v>
      </c>
      <c r="L603">
        <v>-1747</v>
      </c>
      <c r="M603">
        <v>-1174</v>
      </c>
      <c r="N603">
        <v>-793</v>
      </c>
      <c r="O603">
        <v>-1191</v>
      </c>
      <c r="P603">
        <v>628</v>
      </c>
      <c r="Q603">
        <v>168</v>
      </c>
      <c r="R603">
        <v>15</v>
      </c>
      <c r="S603">
        <v>-155</v>
      </c>
      <c r="T603">
        <v>-1469</v>
      </c>
      <c r="U603">
        <v>90</v>
      </c>
      <c r="V603">
        <v>-4</v>
      </c>
      <c r="W603">
        <v>62</v>
      </c>
      <c r="X603">
        <v>217</v>
      </c>
      <c r="Y603">
        <v>-423</v>
      </c>
      <c r="Z603">
        <v>0</v>
      </c>
      <c r="AA603">
        <v>0</v>
      </c>
      <c r="AB603">
        <v>0</v>
      </c>
      <c r="AC603">
        <v>0</v>
      </c>
    </row>
    <row r="604" spans="1:29" x14ac:dyDescent="0.2">
      <c r="A604" t="s">
        <v>735</v>
      </c>
      <c r="B604">
        <v>1</v>
      </c>
      <c r="C604" t="s">
        <v>237</v>
      </c>
      <c r="D604" t="s">
        <v>1421</v>
      </c>
      <c r="E604">
        <v>44</v>
      </c>
      <c r="F604">
        <v>-525</v>
      </c>
      <c r="G604">
        <v>-92</v>
      </c>
      <c r="H604">
        <v>-217</v>
      </c>
      <c r="I604">
        <v>813</v>
      </c>
      <c r="J604">
        <v>-770</v>
      </c>
      <c r="K604">
        <v>-1403</v>
      </c>
      <c r="L604">
        <v>-1644</v>
      </c>
      <c r="M604">
        <v>-1727</v>
      </c>
      <c r="N604">
        <v>-1145</v>
      </c>
      <c r="O604">
        <v>-323</v>
      </c>
      <c r="P604">
        <v>901</v>
      </c>
      <c r="Q604">
        <v>623</v>
      </c>
      <c r="R604">
        <v>162</v>
      </c>
      <c r="S604">
        <v>20</v>
      </c>
      <c r="T604">
        <v>1329</v>
      </c>
      <c r="U604">
        <v>714</v>
      </c>
      <c r="V604">
        <v>80</v>
      </c>
      <c r="W604">
        <v>-16</v>
      </c>
      <c r="X604">
        <v>43</v>
      </c>
      <c r="Y604">
        <v>576</v>
      </c>
      <c r="Z604">
        <v>0</v>
      </c>
      <c r="AA604">
        <v>0</v>
      </c>
      <c r="AB604">
        <v>0</v>
      </c>
      <c r="AC604">
        <v>0</v>
      </c>
    </row>
    <row r="605" spans="1:29" x14ac:dyDescent="0.2">
      <c r="A605" t="s">
        <v>735</v>
      </c>
      <c r="B605">
        <v>1</v>
      </c>
      <c r="C605" t="s">
        <v>237</v>
      </c>
      <c r="D605" t="s">
        <v>1573</v>
      </c>
      <c r="E605">
        <v>45</v>
      </c>
      <c r="F605">
        <v>-506</v>
      </c>
      <c r="G605">
        <v>-549</v>
      </c>
      <c r="H605">
        <v>-117</v>
      </c>
      <c r="I605">
        <v>-233</v>
      </c>
      <c r="J605">
        <v>-1298</v>
      </c>
      <c r="K605">
        <v>-1828</v>
      </c>
      <c r="L605">
        <v>-1405</v>
      </c>
      <c r="M605">
        <v>-1618</v>
      </c>
      <c r="N605">
        <v>-1695</v>
      </c>
      <c r="O605">
        <v>315</v>
      </c>
      <c r="P605">
        <v>608</v>
      </c>
      <c r="Q605">
        <v>901</v>
      </c>
      <c r="R605">
        <v>618</v>
      </c>
      <c r="S605">
        <v>159</v>
      </c>
      <c r="T605">
        <v>744</v>
      </c>
      <c r="U605">
        <v>1</v>
      </c>
      <c r="V605">
        <v>695</v>
      </c>
      <c r="W605">
        <v>69</v>
      </c>
      <c r="X605">
        <v>-39</v>
      </c>
      <c r="Y605">
        <v>915</v>
      </c>
      <c r="Z605">
        <v>0</v>
      </c>
      <c r="AA605">
        <v>0</v>
      </c>
      <c r="AB605">
        <v>0</v>
      </c>
      <c r="AC605">
        <v>0</v>
      </c>
    </row>
    <row r="606" spans="1:29" x14ac:dyDescent="0.2">
      <c r="A606" t="s">
        <v>735</v>
      </c>
      <c r="B606">
        <v>1</v>
      </c>
      <c r="C606" t="s">
        <v>237</v>
      </c>
      <c r="D606" t="s">
        <v>1574</v>
      </c>
      <c r="E606">
        <v>46</v>
      </c>
      <c r="F606">
        <v>-171</v>
      </c>
      <c r="G606">
        <v>-528</v>
      </c>
      <c r="H606">
        <v>-571</v>
      </c>
      <c r="I606">
        <v>-133</v>
      </c>
      <c r="J606">
        <v>1370</v>
      </c>
      <c r="K606">
        <v>-1410</v>
      </c>
      <c r="L606">
        <v>-1837</v>
      </c>
      <c r="M606">
        <v>-1385</v>
      </c>
      <c r="N606">
        <v>-1585</v>
      </c>
      <c r="O606">
        <v>1029</v>
      </c>
      <c r="P606">
        <v>651</v>
      </c>
      <c r="Q606">
        <v>596</v>
      </c>
      <c r="R606">
        <v>894</v>
      </c>
      <c r="S606">
        <v>623</v>
      </c>
      <c r="T606">
        <v>1943</v>
      </c>
      <c r="U606">
        <v>-88</v>
      </c>
      <c r="V606">
        <v>-10</v>
      </c>
      <c r="W606">
        <v>684</v>
      </c>
      <c r="X606">
        <v>44</v>
      </c>
      <c r="Y606">
        <v>43</v>
      </c>
      <c r="Z606">
        <v>0</v>
      </c>
      <c r="AA606">
        <v>0</v>
      </c>
      <c r="AB606">
        <v>0</v>
      </c>
      <c r="AC606">
        <v>0</v>
      </c>
    </row>
    <row r="607" spans="1:29" x14ac:dyDescent="0.2">
      <c r="A607" t="s">
        <v>735</v>
      </c>
      <c r="B607">
        <v>1</v>
      </c>
      <c r="C607" t="s">
        <v>237</v>
      </c>
      <c r="D607" t="s">
        <v>1422</v>
      </c>
      <c r="E607">
        <v>47</v>
      </c>
      <c r="F607">
        <v>413</v>
      </c>
      <c r="G607">
        <v>-191</v>
      </c>
      <c r="H607">
        <v>-550</v>
      </c>
      <c r="I607">
        <v>-586</v>
      </c>
      <c r="J607">
        <v>-1193</v>
      </c>
      <c r="K607">
        <v>-1067</v>
      </c>
      <c r="L607">
        <v>-1409</v>
      </c>
      <c r="M607">
        <v>-1807</v>
      </c>
      <c r="N607">
        <v>-1346</v>
      </c>
      <c r="O607">
        <v>62</v>
      </c>
      <c r="P607">
        <v>583</v>
      </c>
      <c r="Q607">
        <v>646</v>
      </c>
      <c r="R607">
        <v>593</v>
      </c>
      <c r="S607">
        <v>896</v>
      </c>
      <c r="T607">
        <v>-2274</v>
      </c>
      <c r="U607">
        <v>140</v>
      </c>
      <c r="V607">
        <v>-101</v>
      </c>
      <c r="W607">
        <v>-30</v>
      </c>
      <c r="X607">
        <v>663</v>
      </c>
      <c r="Y607">
        <v>-17</v>
      </c>
      <c r="Z607">
        <v>0</v>
      </c>
      <c r="AA607">
        <v>0</v>
      </c>
      <c r="AB607">
        <v>0</v>
      </c>
      <c r="AC607">
        <v>0</v>
      </c>
    </row>
    <row r="608" spans="1:29" x14ac:dyDescent="0.2">
      <c r="A608" t="s">
        <v>735</v>
      </c>
      <c r="B608">
        <v>1</v>
      </c>
      <c r="C608" t="s">
        <v>237</v>
      </c>
      <c r="D608" t="s">
        <v>1575</v>
      </c>
      <c r="E608">
        <v>48</v>
      </c>
      <c r="F608">
        <v>370</v>
      </c>
      <c r="G608">
        <v>401</v>
      </c>
      <c r="H608">
        <v>-215</v>
      </c>
      <c r="I608">
        <v>-569</v>
      </c>
      <c r="J608">
        <v>-1003</v>
      </c>
      <c r="K608">
        <v>1018</v>
      </c>
      <c r="L608">
        <v>-1069</v>
      </c>
      <c r="M608">
        <v>-1388</v>
      </c>
      <c r="N608">
        <v>-1774</v>
      </c>
      <c r="O608">
        <v>-3291</v>
      </c>
      <c r="P608">
        <v>946</v>
      </c>
      <c r="Q608">
        <v>572</v>
      </c>
      <c r="R608">
        <v>642</v>
      </c>
      <c r="S608">
        <v>592</v>
      </c>
      <c r="T608">
        <v>855</v>
      </c>
      <c r="U608">
        <v>1174</v>
      </c>
      <c r="V608">
        <v>129</v>
      </c>
      <c r="W608">
        <v>-116</v>
      </c>
      <c r="X608">
        <v>-43</v>
      </c>
      <c r="Y608">
        <v>-366</v>
      </c>
      <c r="Z608">
        <v>0</v>
      </c>
      <c r="AA608">
        <v>0</v>
      </c>
      <c r="AB608">
        <v>0</v>
      </c>
      <c r="AC608">
        <v>0</v>
      </c>
    </row>
    <row r="609" spans="1:29" x14ac:dyDescent="0.2">
      <c r="A609" t="s">
        <v>735</v>
      </c>
      <c r="B609">
        <v>1</v>
      </c>
      <c r="C609" t="s">
        <v>237</v>
      </c>
      <c r="D609" t="s">
        <v>1576</v>
      </c>
      <c r="E609">
        <v>49</v>
      </c>
      <c r="F609">
        <v>1010</v>
      </c>
      <c r="G609">
        <v>354</v>
      </c>
      <c r="H609">
        <v>378</v>
      </c>
      <c r="I609">
        <v>-231</v>
      </c>
      <c r="J609">
        <v>520</v>
      </c>
      <c r="K609">
        <v>856</v>
      </c>
      <c r="L609">
        <v>1019</v>
      </c>
      <c r="M609">
        <v>-1039</v>
      </c>
      <c r="N609">
        <v>-1346</v>
      </c>
      <c r="O609">
        <v>-3105</v>
      </c>
      <c r="P609">
        <v>1416</v>
      </c>
      <c r="Q609">
        <v>937</v>
      </c>
      <c r="R609">
        <v>573</v>
      </c>
      <c r="S609">
        <v>645</v>
      </c>
      <c r="T609">
        <v>431</v>
      </c>
      <c r="U609">
        <v>244</v>
      </c>
      <c r="V609">
        <v>1151</v>
      </c>
      <c r="W609">
        <v>110</v>
      </c>
      <c r="X609">
        <v>-136</v>
      </c>
      <c r="Y609">
        <v>972</v>
      </c>
      <c r="Z609">
        <v>0</v>
      </c>
      <c r="AA609">
        <v>0</v>
      </c>
      <c r="AB609">
        <v>0</v>
      </c>
      <c r="AC609">
        <v>0</v>
      </c>
    </row>
    <row r="610" spans="1:29" x14ac:dyDescent="0.2">
      <c r="A610" t="s">
        <v>735</v>
      </c>
      <c r="B610">
        <v>1</v>
      </c>
      <c r="C610" t="s">
        <v>237</v>
      </c>
      <c r="D610" t="s">
        <v>1577</v>
      </c>
      <c r="E610">
        <v>50</v>
      </c>
      <c r="F610">
        <v>879</v>
      </c>
      <c r="G610">
        <v>998</v>
      </c>
      <c r="H610">
        <v>328</v>
      </c>
      <c r="I610">
        <v>359</v>
      </c>
      <c r="J610">
        <v>-655</v>
      </c>
      <c r="K610">
        <v>911</v>
      </c>
      <c r="L610">
        <v>866</v>
      </c>
      <c r="M610">
        <v>1040</v>
      </c>
      <c r="N610">
        <v>-1009</v>
      </c>
      <c r="O610">
        <v>-3298</v>
      </c>
      <c r="P610">
        <v>1353</v>
      </c>
      <c r="Q610">
        <v>1407</v>
      </c>
      <c r="R610">
        <v>936</v>
      </c>
      <c r="S610">
        <v>570</v>
      </c>
      <c r="T610">
        <v>1553</v>
      </c>
      <c r="U610">
        <v>115</v>
      </c>
      <c r="V610">
        <v>230</v>
      </c>
      <c r="W610">
        <v>1142</v>
      </c>
      <c r="X610">
        <v>96</v>
      </c>
      <c r="Y610">
        <v>771</v>
      </c>
      <c r="Z610">
        <v>0</v>
      </c>
      <c r="AA610">
        <v>0</v>
      </c>
      <c r="AB610">
        <v>0</v>
      </c>
      <c r="AC610">
        <v>0</v>
      </c>
    </row>
    <row r="611" spans="1:29" x14ac:dyDescent="0.2">
      <c r="A611" t="s">
        <v>735</v>
      </c>
      <c r="B611">
        <v>1</v>
      </c>
      <c r="C611" t="s">
        <v>237</v>
      </c>
      <c r="D611" t="s">
        <v>1423</v>
      </c>
      <c r="E611">
        <v>51</v>
      </c>
      <c r="F611">
        <v>693</v>
      </c>
      <c r="G611">
        <v>859</v>
      </c>
      <c r="H611">
        <v>975</v>
      </c>
      <c r="I611">
        <v>318</v>
      </c>
      <c r="J611">
        <v>-167</v>
      </c>
      <c r="K611">
        <v>1049</v>
      </c>
      <c r="L611">
        <v>918</v>
      </c>
      <c r="M611">
        <v>882</v>
      </c>
      <c r="N611">
        <v>1074</v>
      </c>
      <c r="O611">
        <v>1229</v>
      </c>
      <c r="P611">
        <v>1410</v>
      </c>
      <c r="Q611">
        <v>1338</v>
      </c>
      <c r="R611">
        <v>1403</v>
      </c>
      <c r="S611">
        <v>936</v>
      </c>
      <c r="T611">
        <v>3003</v>
      </c>
      <c r="U611">
        <v>-217</v>
      </c>
      <c r="V611">
        <v>96</v>
      </c>
      <c r="W611">
        <v>218</v>
      </c>
      <c r="X611">
        <v>1124</v>
      </c>
      <c r="Y611">
        <v>1320</v>
      </c>
      <c r="Z611">
        <v>0</v>
      </c>
      <c r="AA611">
        <v>0</v>
      </c>
      <c r="AB611">
        <v>0</v>
      </c>
      <c r="AC611">
        <v>0</v>
      </c>
    </row>
    <row r="612" spans="1:29" x14ac:dyDescent="0.2">
      <c r="A612" t="s">
        <v>735</v>
      </c>
      <c r="B612">
        <v>1</v>
      </c>
      <c r="C612" t="s">
        <v>237</v>
      </c>
      <c r="D612" t="s">
        <v>1578</v>
      </c>
      <c r="E612">
        <v>52</v>
      </c>
      <c r="F612">
        <v>118</v>
      </c>
      <c r="G612">
        <v>675</v>
      </c>
      <c r="H612">
        <v>843</v>
      </c>
      <c r="I612">
        <v>961</v>
      </c>
      <c r="J612">
        <v>1647</v>
      </c>
      <c r="K612">
        <v>493</v>
      </c>
      <c r="L612">
        <v>1054</v>
      </c>
      <c r="M612">
        <v>931</v>
      </c>
      <c r="N612">
        <v>922</v>
      </c>
      <c r="O612">
        <v>-211</v>
      </c>
      <c r="P612">
        <v>446</v>
      </c>
      <c r="Q612">
        <v>1399</v>
      </c>
      <c r="R612">
        <v>1337</v>
      </c>
      <c r="S612">
        <v>1403</v>
      </c>
      <c r="T612">
        <v>1717</v>
      </c>
      <c r="U612">
        <v>-729</v>
      </c>
      <c r="V612">
        <v>-221</v>
      </c>
      <c r="W612">
        <v>86</v>
      </c>
      <c r="X612">
        <v>199</v>
      </c>
      <c r="Y612">
        <v>-1132</v>
      </c>
      <c r="Z612">
        <v>0</v>
      </c>
      <c r="AA612">
        <v>0</v>
      </c>
      <c r="AB612">
        <v>0</v>
      </c>
      <c r="AC612">
        <v>0</v>
      </c>
    </row>
    <row r="613" spans="1:29" x14ac:dyDescent="0.2">
      <c r="A613" t="s">
        <v>735</v>
      </c>
      <c r="B613">
        <v>1</v>
      </c>
      <c r="C613" t="s">
        <v>237</v>
      </c>
      <c r="D613" t="s">
        <v>1579</v>
      </c>
      <c r="E613">
        <v>53</v>
      </c>
      <c r="F613">
        <v>367</v>
      </c>
      <c r="G613">
        <v>101</v>
      </c>
      <c r="H613">
        <v>651</v>
      </c>
      <c r="I613">
        <v>827</v>
      </c>
      <c r="J613">
        <v>-602</v>
      </c>
      <c r="K613">
        <v>141</v>
      </c>
      <c r="L613">
        <v>497</v>
      </c>
      <c r="M613">
        <v>1069</v>
      </c>
      <c r="N613">
        <v>970</v>
      </c>
      <c r="O613">
        <v>532</v>
      </c>
      <c r="P613">
        <v>626</v>
      </c>
      <c r="Q613">
        <v>437</v>
      </c>
      <c r="R613">
        <v>1396</v>
      </c>
      <c r="S613">
        <v>1336</v>
      </c>
      <c r="T613">
        <v>-996</v>
      </c>
      <c r="U613">
        <v>-591</v>
      </c>
      <c r="V613">
        <v>-739</v>
      </c>
      <c r="W613">
        <v>-241</v>
      </c>
      <c r="X613">
        <v>65</v>
      </c>
      <c r="Y613">
        <v>-516</v>
      </c>
      <c r="Z613">
        <v>0</v>
      </c>
      <c r="AA613">
        <v>0</v>
      </c>
      <c r="AB613">
        <v>0</v>
      </c>
      <c r="AC613">
        <v>0</v>
      </c>
    </row>
    <row r="614" spans="1:29" x14ac:dyDescent="0.2">
      <c r="A614" t="s">
        <v>735</v>
      </c>
      <c r="B614">
        <v>1</v>
      </c>
      <c r="C614" t="s">
        <v>237</v>
      </c>
      <c r="D614" t="s">
        <v>1424</v>
      </c>
      <c r="E614">
        <v>54</v>
      </c>
      <c r="F614">
        <v>313</v>
      </c>
      <c r="G614">
        <v>356</v>
      </c>
      <c r="H614">
        <v>85</v>
      </c>
      <c r="I614">
        <v>646</v>
      </c>
      <c r="J614">
        <v>354</v>
      </c>
      <c r="K614">
        <v>325</v>
      </c>
      <c r="L614">
        <v>133</v>
      </c>
      <c r="M614">
        <v>516</v>
      </c>
      <c r="N614">
        <v>1107</v>
      </c>
      <c r="O614">
        <v>1845</v>
      </c>
      <c r="P614">
        <v>678</v>
      </c>
      <c r="Q614">
        <v>620</v>
      </c>
      <c r="R614">
        <v>431</v>
      </c>
      <c r="S614">
        <v>1397</v>
      </c>
      <c r="T614">
        <v>-271</v>
      </c>
      <c r="U614">
        <v>365</v>
      </c>
      <c r="V614">
        <v>-606</v>
      </c>
      <c r="W614">
        <v>-753</v>
      </c>
      <c r="X614">
        <v>-260</v>
      </c>
      <c r="Y614">
        <v>286</v>
      </c>
      <c r="Z614">
        <v>0</v>
      </c>
      <c r="AA614">
        <v>0</v>
      </c>
      <c r="AB614">
        <v>0</v>
      </c>
      <c r="AC614">
        <v>0</v>
      </c>
    </row>
    <row r="615" spans="1:29" x14ac:dyDescent="0.2">
      <c r="A615" t="s">
        <v>735</v>
      </c>
      <c r="B615">
        <v>1</v>
      </c>
      <c r="C615" t="s">
        <v>237</v>
      </c>
      <c r="D615" t="s">
        <v>1425</v>
      </c>
      <c r="E615">
        <v>55</v>
      </c>
      <c r="F615">
        <v>-57</v>
      </c>
      <c r="G615">
        <v>299</v>
      </c>
      <c r="H615">
        <v>331</v>
      </c>
      <c r="I615">
        <v>70</v>
      </c>
      <c r="J615">
        <v>1152</v>
      </c>
      <c r="K615">
        <v>-201</v>
      </c>
      <c r="L615">
        <v>328</v>
      </c>
      <c r="M615">
        <v>156</v>
      </c>
      <c r="N615">
        <v>552</v>
      </c>
      <c r="O615">
        <v>632</v>
      </c>
      <c r="P615">
        <v>554</v>
      </c>
      <c r="Q615">
        <v>670</v>
      </c>
      <c r="R615">
        <v>617</v>
      </c>
      <c r="S615">
        <v>433</v>
      </c>
      <c r="T615">
        <v>-708</v>
      </c>
      <c r="U615">
        <v>-62</v>
      </c>
      <c r="V615">
        <v>347</v>
      </c>
      <c r="W615">
        <v>-621</v>
      </c>
      <c r="X615">
        <v>-781</v>
      </c>
      <c r="Y615">
        <v>773</v>
      </c>
      <c r="Z615">
        <v>0</v>
      </c>
      <c r="AA615">
        <v>0</v>
      </c>
      <c r="AB615">
        <v>0</v>
      </c>
      <c r="AC615">
        <v>0</v>
      </c>
    </row>
    <row r="616" spans="1:29" x14ac:dyDescent="0.2">
      <c r="A616" t="s">
        <v>735</v>
      </c>
      <c r="B616">
        <v>1</v>
      </c>
      <c r="C616" t="s">
        <v>237</v>
      </c>
      <c r="D616" t="s">
        <v>1426</v>
      </c>
      <c r="E616">
        <v>56</v>
      </c>
      <c r="F616">
        <v>-71</v>
      </c>
      <c r="G616">
        <v>-67</v>
      </c>
      <c r="H616">
        <v>280</v>
      </c>
      <c r="I616">
        <v>322</v>
      </c>
      <c r="J616">
        <v>934</v>
      </c>
      <c r="K616">
        <v>-375</v>
      </c>
      <c r="L616">
        <v>-200</v>
      </c>
      <c r="M616">
        <v>351</v>
      </c>
      <c r="N616">
        <v>190</v>
      </c>
      <c r="O616">
        <v>-120</v>
      </c>
      <c r="P616">
        <v>803</v>
      </c>
      <c r="Q616">
        <v>551</v>
      </c>
      <c r="R616">
        <v>663</v>
      </c>
      <c r="S616">
        <v>618</v>
      </c>
      <c r="T616">
        <v>2610</v>
      </c>
      <c r="U616">
        <v>313</v>
      </c>
      <c r="V616">
        <v>-78</v>
      </c>
      <c r="W616">
        <v>336</v>
      </c>
      <c r="X616">
        <v>-638</v>
      </c>
      <c r="Y616">
        <v>1816</v>
      </c>
      <c r="Z616">
        <v>0</v>
      </c>
      <c r="AA616">
        <v>0</v>
      </c>
      <c r="AB616">
        <v>0</v>
      </c>
      <c r="AC616">
        <v>0</v>
      </c>
    </row>
    <row r="617" spans="1:29" x14ac:dyDescent="0.2">
      <c r="A617" t="s">
        <v>735</v>
      </c>
      <c r="B617">
        <v>1</v>
      </c>
      <c r="C617" t="s">
        <v>237</v>
      </c>
      <c r="D617" t="s">
        <v>1427</v>
      </c>
      <c r="E617">
        <v>57</v>
      </c>
      <c r="F617">
        <v>1621</v>
      </c>
      <c r="G617">
        <v>-88</v>
      </c>
      <c r="H617">
        <v>-89</v>
      </c>
      <c r="I617">
        <v>275</v>
      </c>
      <c r="J617">
        <v>129</v>
      </c>
      <c r="K617">
        <v>-171</v>
      </c>
      <c r="L617">
        <v>-370</v>
      </c>
      <c r="M617">
        <v>-182</v>
      </c>
      <c r="N617">
        <v>379</v>
      </c>
      <c r="O617">
        <v>1611</v>
      </c>
      <c r="P617">
        <v>749</v>
      </c>
      <c r="Q617">
        <v>796</v>
      </c>
      <c r="R617">
        <v>545</v>
      </c>
      <c r="S617">
        <v>665</v>
      </c>
      <c r="T617">
        <v>-1364</v>
      </c>
      <c r="U617">
        <v>-176</v>
      </c>
      <c r="V617">
        <v>299</v>
      </c>
      <c r="W617">
        <v>-93</v>
      </c>
      <c r="X617">
        <v>313</v>
      </c>
      <c r="Y617">
        <v>211</v>
      </c>
      <c r="Z617">
        <v>0</v>
      </c>
      <c r="AA617">
        <v>0</v>
      </c>
      <c r="AB617">
        <v>0</v>
      </c>
      <c r="AC617">
        <v>0</v>
      </c>
    </row>
    <row r="618" spans="1:29" x14ac:dyDescent="0.2">
      <c r="A618" t="s">
        <v>735</v>
      </c>
      <c r="B618">
        <v>1</v>
      </c>
      <c r="C618" t="s">
        <v>237</v>
      </c>
      <c r="D618" t="s">
        <v>1428</v>
      </c>
      <c r="E618">
        <v>58</v>
      </c>
      <c r="F618">
        <v>-230</v>
      </c>
      <c r="G618">
        <v>1611</v>
      </c>
      <c r="H618">
        <v>-102</v>
      </c>
      <c r="I618">
        <v>-95</v>
      </c>
      <c r="J618">
        <v>514</v>
      </c>
      <c r="K618">
        <v>187</v>
      </c>
      <c r="L618">
        <v>-168</v>
      </c>
      <c r="M618">
        <v>-351</v>
      </c>
      <c r="N618">
        <v>-150</v>
      </c>
      <c r="O618">
        <v>-1218</v>
      </c>
      <c r="P618">
        <v>565</v>
      </c>
      <c r="Q618">
        <v>746</v>
      </c>
      <c r="R618">
        <v>793</v>
      </c>
      <c r="S618">
        <v>545</v>
      </c>
      <c r="T618">
        <v>336</v>
      </c>
      <c r="U618">
        <v>859</v>
      </c>
      <c r="V618">
        <v>-190</v>
      </c>
      <c r="W618">
        <v>282</v>
      </c>
      <c r="X618">
        <v>-116</v>
      </c>
      <c r="Y618">
        <v>-1789</v>
      </c>
      <c r="Z618">
        <v>0</v>
      </c>
      <c r="AA618">
        <v>0</v>
      </c>
      <c r="AB618">
        <v>0</v>
      </c>
      <c r="AC618">
        <v>0</v>
      </c>
    </row>
    <row r="619" spans="1:29" x14ac:dyDescent="0.2">
      <c r="A619" t="s">
        <v>735</v>
      </c>
      <c r="B619">
        <v>1</v>
      </c>
      <c r="C619" t="s">
        <v>237</v>
      </c>
      <c r="D619" t="s">
        <v>1429</v>
      </c>
      <c r="E619">
        <v>59</v>
      </c>
      <c r="F619">
        <v>695</v>
      </c>
      <c r="G619">
        <v>-241</v>
      </c>
      <c r="H619">
        <v>1594</v>
      </c>
      <c r="I619">
        <v>-116</v>
      </c>
      <c r="J619">
        <v>826</v>
      </c>
      <c r="K619">
        <v>212</v>
      </c>
      <c r="L619">
        <v>186</v>
      </c>
      <c r="M619">
        <v>-155</v>
      </c>
      <c r="N619">
        <v>-323</v>
      </c>
      <c r="O619">
        <v>-393</v>
      </c>
      <c r="P619">
        <v>819</v>
      </c>
      <c r="Q619">
        <v>551</v>
      </c>
      <c r="R619">
        <v>733</v>
      </c>
      <c r="S619">
        <v>792</v>
      </c>
      <c r="T619">
        <v>1265</v>
      </c>
      <c r="U619">
        <v>634</v>
      </c>
      <c r="V619">
        <v>847</v>
      </c>
      <c r="W619">
        <v>-207</v>
      </c>
      <c r="X619">
        <v>263</v>
      </c>
      <c r="Y619">
        <v>-1509</v>
      </c>
      <c r="Z619">
        <v>0</v>
      </c>
      <c r="AA619">
        <v>0</v>
      </c>
      <c r="AB619">
        <v>0</v>
      </c>
      <c r="AC619">
        <v>0</v>
      </c>
    </row>
    <row r="620" spans="1:29" x14ac:dyDescent="0.2">
      <c r="A620" t="s">
        <v>735</v>
      </c>
      <c r="B620">
        <v>1</v>
      </c>
      <c r="C620" t="s">
        <v>237</v>
      </c>
      <c r="D620" t="s">
        <v>1580</v>
      </c>
      <c r="E620">
        <v>60</v>
      </c>
      <c r="F620">
        <v>1140</v>
      </c>
      <c r="G620">
        <v>689</v>
      </c>
      <c r="H620">
        <v>-252</v>
      </c>
      <c r="I620">
        <v>1575</v>
      </c>
      <c r="J620">
        <v>-191</v>
      </c>
      <c r="K620">
        <v>366</v>
      </c>
      <c r="L620">
        <v>217</v>
      </c>
      <c r="M620">
        <v>206</v>
      </c>
      <c r="N620">
        <v>-120</v>
      </c>
      <c r="O620">
        <v>134</v>
      </c>
      <c r="P620">
        <v>688</v>
      </c>
      <c r="Q620">
        <v>808</v>
      </c>
      <c r="R620">
        <v>554</v>
      </c>
      <c r="S620">
        <v>740</v>
      </c>
      <c r="T620">
        <v>-76</v>
      </c>
      <c r="U620">
        <v>126</v>
      </c>
      <c r="V620">
        <v>620</v>
      </c>
      <c r="W620">
        <v>831</v>
      </c>
      <c r="X620">
        <v>-225</v>
      </c>
      <c r="Y620">
        <v>-1852</v>
      </c>
      <c r="Z620">
        <v>0</v>
      </c>
      <c r="AA620">
        <v>0</v>
      </c>
      <c r="AB620">
        <v>0</v>
      </c>
      <c r="AC620">
        <v>0</v>
      </c>
    </row>
    <row r="621" spans="1:29" x14ac:dyDescent="0.2">
      <c r="A621" t="s">
        <v>735</v>
      </c>
      <c r="B621">
        <v>1</v>
      </c>
      <c r="C621" t="s">
        <v>237</v>
      </c>
      <c r="D621" t="s">
        <v>1581</v>
      </c>
      <c r="E621">
        <v>61</v>
      </c>
      <c r="F621">
        <v>899</v>
      </c>
      <c r="G621">
        <v>1129</v>
      </c>
      <c r="H621">
        <v>673</v>
      </c>
      <c r="I621">
        <v>-260</v>
      </c>
      <c r="J621">
        <v>-4383</v>
      </c>
      <c r="K621">
        <v>825</v>
      </c>
      <c r="L621">
        <v>364</v>
      </c>
      <c r="M621">
        <v>223</v>
      </c>
      <c r="N621">
        <v>232</v>
      </c>
      <c r="O621">
        <v>1314</v>
      </c>
      <c r="P621">
        <v>544</v>
      </c>
      <c r="Q621">
        <v>689</v>
      </c>
      <c r="R621">
        <v>807</v>
      </c>
      <c r="S621">
        <v>548</v>
      </c>
      <c r="T621">
        <v>462</v>
      </c>
      <c r="U621">
        <v>512</v>
      </c>
      <c r="V621">
        <v>118</v>
      </c>
      <c r="W621">
        <v>598</v>
      </c>
      <c r="X621">
        <v>809</v>
      </c>
      <c r="Y621">
        <v>1713</v>
      </c>
      <c r="Z621">
        <v>0</v>
      </c>
      <c r="AA621">
        <v>0</v>
      </c>
      <c r="AB621">
        <v>0</v>
      </c>
      <c r="AC621">
        <v>0</v>
      </c>
    </row>
    <row r="622" spans="1:29" x14ac:dyDescent="0.2">
      <c r="A622" t="s">
        <v>735</v>
      </c>
      <c r="B622">
        <v>1</v>
      </c>
      <c r="C622" t="s">
        <v>237</v>
      </c>
      <c r="D622" t="s">
        <v>1582</v>
      </c>
      <c r="E622">
        <v>62</v>
      </c>
      <c r="F622">
        <v>592</v>
      </c>
      <c r="G622">
        <v>892</v>
      </c>
      <c r="H622">
        <v>1119</v>
      </c>
      <c r="I622">
        <v>661</v>
      </c>
      <c r="J622">
        <v>3396</v>
      </c>
      <c r="K622">
        <v>1957</v>
      </c>
      <c r="L622">
        <v>833</v>
      </c>
      <c r="M622">
        <v>382</v>
      </c>
      <c r="N622">
        <v>264</v>
      </c>
      <c r="O622">
        <v>93</v>
      </c>
      <c r="P622">
        <v>406</v>
      </c>
      <c r="Q622">
        <v>545</v>
      </c>
      <c r="R622">
        <v>682</v>
      </c>
      <c r="S622">
        <v>809</v>
      </c>
      <c r="T622">
        <v>1530</v>
      </c>
      <c r="U622">
        <v>458</v>
      </c>
      <c r="V622">
        <v>497</v>
      </c>
      <c r="W622">
        <v>97</v>
      </c>
      <c r="X622">
        <v>586</v>
      </c>
      <c r="Y622">
        <v>-588</v>
      </c>
      <c r="Z622">
        <v>0</v>
      </c>
      <c r="AA622">
        <v>0</v>
      </c>
      <c r="AB622">
        <v>0</v>
      </c>
      <c r="AC622">
        <v>0</v>
      </c>
    </row>
    <row r="623" spans="1:29" x14ac:dyDescent="0.2">
      <c r="A623" t="s">
        <v>735</v>
      </c>
      <c r="B623">
        <v>1</v>
      </c>
      <c r="C623" t="s">
        <v>237</v>
      </c>
      <c r="D623" t="s">
        <v>1583</v>
      </c>
      <c r="E623">
        <v>63</v>
      </c>
      <c r="F623">
        <v>915</v>
      </c>
      <c r="G623">
        <v>578</v>
      </c>
      <c r="H623">
        <v>873</v>
      </c>
      <c r="I623">
        <v>1105</v>
      </c>
      <c r="J623">
        <v>2199</v>
      </c>
      <c r="K623">
        <v>-401</v>
      </c>
      <c r="L623">
        <v>1958</v>
      </c>
      <c r="M623">
        <v>847</v>
      </c>
      <c r="N623">
        <v>412</v>
      </c>
      <c r="O623">
        <v>208</v>
      </c>
      <c r="P623">
        <v>235</v>
      </c>
      <c r="Q623">
        <v>397</v>
      </c>
      <c r="R623">
        <v>540</v>
      </c>
      <c r="S623">
        <v>681</v>
      </c>
      <c r="T623">
        <v>-957</v>
      </c>
      <c r="U623">
        <v>-29</v>
      </c>
      <c r="V623">
        <v>441</v>
      </c>
      <c r="W623">
        <v>478</v>
      </c>
      <c r="X623">
        <v>83</v>
      </c>
      <c r="Y623">
        <v>-74</v>
      </c>
      <c r="Z623">
        <v>0</v>
      </c>
      <c r="AA623">
        <v>0</v>
      </c>
      <c r="AB623">
        <v>0</v>
      </c>
      <c r="AC623">
        <v>0</v>
      </c>
    </row>
    <row r="624" spans="1:29" x14ac:dyDescent="0.2">
      <c r="A624" t="s">
        <v>735</v>
      </c>
      <c r="B624">
        <v>1</v>
      </c>
      <c r="C624" t="s">
        <v>237</v>
      </c>
      <c r="D624" t="s">
        <v>1430</v>
      </c>
      <c r="E624">
        <v>64</v>
      </c>
      <c r="F624">
        <v>154</v>
      </c>
      <c r="G624">
        <v>906</v>
      </c>
      <c r="H624">
        <v>571</v>
      </c>
      <c r="I624">
        <v>870</v>
      </c>
      <c r="J624">
        <v>767</v>
      </c>
      <c r="K624">
        <v>-620</v>
      </c>
      <c r="L624">
        <v>-399</v>
      </c>
      <c r="M624">
        <v>1971</v>
      </c>
      <c r="N624">
        <v>873</v>
      </c>
      <c r="O624">
        <v>1265</v>
      </c>
      <c r="P624">
        <v>-106</v>
      </c>
      <c r="Q624">
        <v>227</v>
      </c>
      <c r="R624">
        <v>395</v>
      </c>
      <c r="S624">
        <v>536</v>
      </c>
      <c r="T624">
        <v>408</v>
      </c>
      <c r="U624">
        <v>212</v>
      </c>
      <c r="V624">
        <v>-45</v>
      </c>
      <c r="W624">
        <v>429</v>
      </c>
      <c r="X624">
        <v>461</v>
      </c>
      <c r="Y624">
        <v>768</v>
      </c>
      <c r="Z624">
        <v>0</v>
      </c>
      <c r="AA624">
        <v>0</v>
      </c>
      <c r="AB624">
        <v>0</v>
      </c>
      <c r="AC624">
        <v>0</v>
      </c>
    </row>
    <row r="625" spans="1:29" x14ac:dyDescent="0.2">
      <c r="A625" t="s">
        <v>735</v>
      </c>
      <c r="B625">
        <v>1</v>
      </c>
      <c r="C625" t="s">
        <v>237</v>
      </c>
      <c r="D625" t="s">
        <v>1431</v>
      </c>
      <c r="E625">
        <v>65</v>
      </c>
      <c r="F625">
        <v>150</v>
      </c>
      <c r="G625">
        <v>141</v>
      </c>
      <c r="H625">
        <v>898</v>
      </c>
      <c r="I625">
        <v>559</v>
      </c>
      <c r="J625">
        <v>-434</v>
      </c>
      <c r="K625">
        <v>-351</v>
      </c>
      <c r="L625">
        <v>-625</v>
      </c>
      <c r="M625">
        <v>-381</v>
      </c>
      <c r="N625">
        <v>1999</v>
      </c>
      <c r="O625">
        <v>900</v>
      </c>
      <c r="P625">
        <v>-328</v>
      </c>
      <c r="Q625">
        <v>-112</v>
      </c>
      <c r="R625">
        <v>222</v>
      </c>
      <c r="S625">
        <v>396</v>
      </c>
      <c r="T625">
        <v>921</v>
      </c>
      <c r="U625">
        <v>-96</v>
      </c>
      <c r="V625">
        <v>202</v>
      </c>
      <c r="W625">
        <v>-62</v>
      </c>
      <c r="X625">
        <v>412</v>
      </c>
      <c r="Y625">
        <v>-394</v>
      </c>
      <c r="Z625">
        <v>0</v>
      </c>
      <c r="AA625">
        <v>0</v>
      </c>
      <c r="AB625">
        <v>0</v>
      </c>
      <c r="AC625">
        <v>0</v>
      </c>
    </row>
    <row r="626" spans="1:29" x14ac:dyDescent="0.2">
      <c r="A626" t="s">
        <v>735</v>
      </c>
      <c r="B626">
        <v>1</v>
      </c>
      <c r="C626" t="s">
        <v>237</v>
      </c>
      <c r="D626" t="s">
        <v>1584</v>
      </c>
      <c r="E626">
        <v>66</v>
      </c>
      <c r="F626">
        <v>-86</v>
      </c>
      <c r="G626">
        <v>144</v>
      </c>
      <c r="H626">
        <v>133</v>
      </c>
      <c r="I626">
        <v>893</v>
      </c>
      <c r="J626">
        <v>1428</v>
      </c>
      <c r="K626">
        <v>-251</v>
      </c>
      <c r="L626">
        <v>-351</v>
      </c>
      <c r="M626">
        <v>-607</v>
      </c>
      <c r="N626">
        <v>-362</v>
      </c>
      <c r="O626">
        <v>-4890</v>
      </c>
      <c r="P626">
        <v>-341</v>
      </c>
      <c r="Q626">
        <v>-324</v>
      </c>
      <c r="R626">
        <v>-113</v>
      </c>
      <c r="S626">
        <v>222</v>
      </c>
      <c r="T626">
        <v>1405</v>
      </c>
      <c r="U626">
        <v>-356</v>
      </c>
      <c r="V626">
        <v>-111</v>
      </c>
      <c r="W626">
        <v>190</v>
      </c>
      <c r="X626">
        <v>-74</v>
      </c>
      <c r="Y626">
        <v>121</v>
      </c>
      <c r="Z626">
        <v>0</v>
      </c>
      <c r="AA626">
        <v>0</v>
      </c>
      <c r="AB626">
        <v>0</v>
      </c>
      <c r="AC626">
        <v>0</v>
      </c>
    </row>
    <row r="627" spans="1:29" x14ac:dyDescent="0.2">
      <c r="A627" t="s">
        <v>735</v>
      </c>
      <c r="B627">
        <v>1</v>
      </c>
      <c r="C627" t="s">
        <v>237</v>
      </c>
      <c r="D627" t="s">
        <v>1585</v>
      </c>
      <c r="E627">
        <v>67</v>
      </c>
      <c r="F627">
        <v>-248</v>
      </c>
      <c r="G627">
        <v>-96</v>
      </c>
      <c r="H627">
        <v>130</v>
      </c>
      <c r="I627">
        <v>129</v>
      </c>
      <c r="J627">
        <v>256</v>
      </c>
      <c r="K627">
        <v>-715</v>
      </c>
      <c r="L627">
        <v>-247</v>
      </c>
      <c r="M627">
        <v>-337</v>
      </c>
      <c r="N627">
        <v>-584</v>
      </c>
      <c r="O627">
        <v>3672</v>
      </c>
      <c r="P627">
        <v>671</v>
      </c>
      <c r="Q627">
        <v>-345</v>
      </c>
      <c r="R627">
        <v>-329</v>
      </c>
      <c r="S627">
        <v>-117</v>
      </c>
      <c r="T627">
        <v>-17</v>
      </c>
      <c r="U627">
        <v>-554</v>
      </c>
      <c r="V627">
        <v>-373</v>
      </c>
      <c r="W627">
        <v>-124</v>
      </c>
      <c r="X627">
        <v>164</v>
      </c>
      <c r="Y627">
        <v>719</v>
      </c>
      <c r="Z627">
        <v>0</v>
      </c>
      <c r="AA627">
        <v>0</v>
      </c>
      <c r="AB627">
        <v>0</v>
      </c>
      <c r="AC627">
        <v>0</v>
      </c>
    </row>
    <row r="628" spans="1:29" x14ac:dyDescent="0.2">
      <c r="A628" t="s">
        <v>735</v>
      </c>
      <c r="B628">
        <v>1</v>
      </c>
      <c r="C628" t="s">
        <v>237</v>
      </c>
      <c r="D628" t="s">
        <v>557</v>
      </c>
      <c r="E628">
        <v>68</v>
      </c>
      <c r="F628">
        <v>-153</v>
      </c>
      <c r="G628">
        <v>-262</v>
      </c>
      <c r="H628">
        <v>-107</v>
      </c>
      <c r="I628">
        <v>122</v>
      </c>
      <c r="J628">
        <v>1050</v>
      </c>
      <c r="K628">
        <v>-295</v>
      </c>
      <c r="L628">
        <v>-714</v>
      </c>
      <c r="M628">
        <v>-235</v>
      </c>
      <c r="N628">
        <v>-317</v>
      </c>
      <c r="O628">
        <v>803</v>
      </c>
      <c r="P628">
        <v>-1536</v>
      </c>
      <c r="Q628">
        <v>663</v>
      </c>
      <c r="R628">
        <v>-349</v>
      </c>
      <c r="S628">
        <v>-332</v>
      </c>
      <c r="T628">
        <v>-115</v>
      </c>
      <c r="U628">
        <v>-371</v>
      </c>
      <c r="V628">
        <v>-565</v>
      </c>
      <c r="W628">
        <v>-381</v>
      </c>
      <c r="X628">
        <v>-142</v>
      </c>
      <c r="Y628">
        <v>-1307</v>
      </c>
      <c r="Z628">
        <v>0</v>
      </c>
      <c r="AA628">
        <v>0</v>
      </c>
      <c r="AB628">
        <v>0</v>
      </c>
      <c r="AC628">
        <v>0</v>
      </c>
    </row>
    <row r="629" spans="1:29" x14ac:dyDescent="0.2">
      <c r="A629" t="s">
        <v>735</v>
      </c>
      <c r="B629">
        <v>1</v>
      </c>
      <c r="C629" t="s">
        <v>237</v>
      </c>
      <c r="D629" t="s">
        <v>1586</v>
      </c>
      <c r="E629">
        <v>69</v>
      </c>
      <c r="F629">
        <v>34</v>
      </c>
      <c r="G629">
        <v>-159</v>
      </c>
      <c r="H629">
        <v>-271</v>
      </c>
      <c r="I629">
        <v>-115</v>
      </c>
      <c r="J629">
        <v>32</v>
      </c>
      <c r="K629">
        <v>-99</v>
      </c>
      <c r="L629">
        <v>-298</v>
      </c>
      <c r="M629">
        <v>-708</v>
      </c>
      <c r="N629">
        <v>-213</v>
      </c>
      <c r="O629">
        <v>-719</v>
      </c>
      <c r="P629">
        <v>-1056</v>
      </c>
      <c r="Q629">
        <v>-1539</v>
      </c>
      <c r="R629">
        <v>661</v>
      </c>
      <c r="S629">
        <v>-349</v>
      </c>
      <c r="T629">
        <v>625</v>
      </c>
      <c r="U629">
        <v>-324</v>
      </c>
      <c r="V629">
        <v>-385</v>
      </c>
      <c r="W629">
        <v>-581</v>
      </c>
      <c r="X629">
        <v>-403</v>
      </c>
      <c r="Y629">
        <v>-347</v>
      </c>
      <c r="Z629">
        <v>0</v>
      </c>
      <c r="AA629">
        <v>0</v>
      </c>
      <c r="AB629">
        <v>0</v>
      </c>
      <c r="AC629">
        <v>0</v>
      </c>
    </row>
    <row r="630" spans="1:29" x14ac:dyDescent="0.2">
      <c r="A630" t="s">
        <v>735</v>
      </c>
      <c r="B630">
        <v>1</v>
      </c>
      <c r="C630" t="s">
        <v>237</v>
      </c>
      <c r="D630" t="s">
        <v>1587</v>
      </c>
      <c r="E630">
        <v>70</v>
      </c>
      <c r="F630">
        <v>-181</v>
      </c>
      <c r="G630">
        <v>23</v>
      </c>
      <c r="H630">
        <v>-175</v>
      </c>
      <c r="I630">
        <v>-274</v>
      </c>
      <c r="J630">
        <v>-91</v>
      </c>
      <c r="K630">
        <v>323</v>
      </c>
      <c r="L630">
        <v>-98</v>
      </c>
      <c r="M630">
        <v>-280</v>
      </c>
      <c r="N630">
        <v>-685</v>
      </c>
      <c r="O630">
        <v>-1112</v>
      </c>
      <c r="P630">
        <v>-411</v>
      </c>
      <c r="Q630">
        <v>-1057</v>
      </c>
      <c r="R630">
        <v>-1539</v>
      </c>
      <c r="S630">
        <v>665</v>
      </c>
      <c r="T630">
        <v>-563</v>
      </c>
      <c r="U630">
        <v>-347</v>
      </c>
      <c r="V630">
        <v>-336</v>
      </c>
      <c r="W630">
        <v>-396</v>
      </c>
      <c r="X630">
        <v>-591</v>
      </c>
      <c r="Y630">
        <v>129</v>
      </c>
      <c r="Z630">
        <v>0</v>
      </c>
      <c r="AA630">
        <v>0</v>
      </c>
      <c r="AB630">
        <v>0</v>
      </c>
      <c r="AC630">
        <v>0</v>
      </c>
    </row>
    <row r="631" spans="1:29" x14ac:dyDescent="0.2">
      <c r="A631" t="s">
        <v>735</v>
      </c>
      <c r="B631">
        <v>1</v>
      </c>
      <c r="C631" t="s">
        <v>237</v>
      </c>
      <c r="D631" t="s">
        <v>1588</v>
      </c>
      <c r="E631">
        <v>71</v>
      </c>
      <c r="F631">
        <v>-83</v>
      </c>
      <c r="G631">
        <v>-195</v>
      </c>
      <c r="H631">
        <v>17</v>
      </c>
      <c r="I631">
        <v>-174</v>
      </c>
      <c r="J631">
        <v>746</v>
      </c>
      <c r="K631">
        <v>384</v>
      </c>
      <c r="L631">
        <v>321</v>
      </c>
      <c r="M631">
        <v>-89</v>
      </c>
      <c r="N631">
        <v>-263</v>
      </c>
      <c r="O631">
        <v>304</v>
      </c>
      <c r="P631">
        <v>-280</v>
      </c>
      <c r="Q631">
        <v>-409</v>
      </c>
      <c r="R631">
        <v>-1053</v>
      </c>
      <c r="S631">
        <v>-1548</v>
      </c>
      <c r="T631">
        <v>-5528</v>
      </c>
      <c r="U631">
        <v>-124</v>
      </c>
      <c r="V631">
        <v>-362</v>
      </c>
      <c r="W631">
        <v>-348</v>
      </c>
      <c r="X631">
        <v>-415</v>
      </c>
      <c r="Y631">
        <v>273</v>
      </c>
      <c r="Z631">
        <v>0</v>
      </c>
      <c r="AA631">
        <v>0</v>
      </c>
      <c r="AB631">
        <v>0</v>
      </c>
      <c r="AC631">
        <v>0</v>
      </c>
    </row>
    <row r="632" spans="1:29" x14ac:dyDescent="0.2">
      <c r="A632" t="s">
        <v>735</v>
      </c>
      <c r="B632">
        <v>1</v>
      </c>
      <c r="C632" t="s">
        <v>237</v>
      </c>
      <c r="D632" t="s">
        <v>1589</v>
      </c>
      <c r="E632">
        <v>72</v>
      </c>
      <c r="F632">
        <v>-169</v>
      </c>
      <c r="G632">
        <v>-88</v>
      </c>
      <c r="H632">
        <v>-199</v>
      </c>
      <c r="I632">
        <v>12</v>
      </c>
      <c r="J632">
        <v>-830</v>
      </c>
      <c r="K632">
        <v>119</v>
      </c>
      <c r="L632">
        <v>385</v>
      </c>
      <c r="M632">
        <v>332</v>
      </c>
      <c r="N632">
        <v>-71</v>
      </c>
      <c r="O632">
        <v>-1166</v>
      </c>
      <c r="P632">
        <v>-802</v>
      </c>
      <c r="Q632">
        <v>-278</v>
      </c>
      <c r="R632">
        <v>-415</v>
      </c>
      <c r="S632">
        <v>-1052</v>
      </c>
      <c r="T632">
        <v>2123</v>
      </c>
      <c r="U632">
        <v>1046</v>
      </c>
      <c r="V632">
        <v>-135</v>
      </c>
      <c r="W632">
        <v>-372</v>
      </c>
      <c r="X632">
        <v>-365</v>
      </c>
      <c r="Y632">
        <v>-351</v>
      </c>
      <c r="Z632">
        <v>0</v>
      </c>
      <c r="AA632">
        <v>0</v>
      </c>
      <c r="AB632">
        <v>0</v>
      </c>
      <c r="AC632">
        <v>0</v>
      </c>
    </row>
    <row r="633" spans="1:29" x14ac:dyDescent="0.2">
      <c r="A633" t="s">
        <v>735</v>
      </c>
      <c r="B633">
        <v>1</v>
      </c>
      <c r="C633" t="s">
        <v>237</v>
      </c>
      <c r="D633" t="s">
        <v>1590</v>
      </c>
      <c r="E633">
        <v>73</v>
      </c>
      <c r="F633">
        <v>-179</v>
      </c>
      <c r="G633">
        <v>-186</v>
      </c>
      <c r="H633">
        <v>-97</v>
      </c>
      <c r="I633">
        <v>-204</v>
      </c>
      <c r="J633">
        <v>76</v>
      </c>
      <c r="K633">
        <v>221</v>
      </c>
      <c r="L633">
        <v>125</v>
      </c>
      <c r="M633">
        <v>390</v>
      </c>
      <c r="N633">
        <v>345</v>
      </c>
      <c r="O633">
        <v>910</v>
      </c>
      <c r="P633">
        <v>-710</v>
      </c>
      <c r="Q633">
        <v>-809</v>
      </c>
      <c r="R633">
        <v>-282</v>
      </c>
      <c r="S633">
        <v>-413</v>
      </c>
      <c r="T633">
        <v>697</v>
      </c>
      <c r="U633">
        <v>-906</v>
      </c>
      <c r="V633">
        <v>1035</v>
      </c>
      <c r="W633">
        <v>-144</v>
      </c>
      <c r="X633">
        <v>-387</v>
      </c>
      <c r="Y633">
        <v>-278</v>
      </c>
      <c r="Z633">
        <v>0</v>
      </c>
      <c r="AA633">
        <v>0</v>
      </c>
      <c r="AB633">
        <v>0</v>
      </c>
      <c r="AC633">
        <v>0</v>
      </c>
    </row>
    <row r="634" spans="1:29" x14ac:dyDescent="0.2">
      <c r="A634" t="s">
        <v>735</v>
      </c>
      <c r="B634">
        <v>1</v>
      </c>
      <c r="C634" t="s">
        <v>237</v>
      </c>
      <c r="D634" t="s">
        <v>1432</v>
      </c>
      <c r="E634">
        <v>74</v>
      </c>
      <c r="F634">
        <v>-184</v>
      </c>
      <c r="G634">
        <v>-183</v>
      </c>
      <c r="H634">
        <v>-190</v>
      </c>
      <c r="I634">
        <v>-106</v>
      </c>
      <c r="J634">
        <v>614</v>
      </c>
      <c r="K634">
        <v>-144</v>
      </c>
      <c r="L634">
        <v>219</v>
      </c>
      <c r="M634">
        <v>133</v>
      </c>
      <c r="N634">
        <v>408</v>
      </c>
      <c r="O634">
        <v>134</v>
      </c>
      <c r="P634">
        <v>-1037</v>
      </c>
      <c r="Q634">
        <v>-710</v>
      </c>
      <c r="R634">
        <v>-808</v>
      </c>
      <c r="S634">
        <v>-282</v>
      </c>
      <c r="T634">
        <v>-718</v>
      </c>
      <c r="U634">
        <v>-539</v>
      </c>
      <c r="V634">
        <v>-914</v>
      </c>
      <c r="W634">
        <v>1020</v>
      </c>
      <c r="X634">
        <v>-161</v>
      </c>
      <c r="Y634">
        <v>505</v>
      </c>
      <c r="Z634">
        <v>0</v>
      </c>
      <c r="AA634">
        <v>0</v>
      </c>
      <c r="AB634">
        <v>0</v>
      </c>
      <c r="AC634">
        <v>0</v>
      </c>
    </row>
    <row r="635" spans="1:29" x14ac:dyDescent="0.2">
      <c r="A635" t="s">
        <v>735</v>
      </c>
      <c r="B635">
        <v>1</v>
      </c>
      <c r="C635" t="s">
        <v>237</v>
      </c>
      <c r="D635" t="s">
        <v>1433</v>
      </c>
      <c r="E635">
        <v>75</v>
      </c>
      <c r="F635">
        <v>-250</v>
      </c>
      <c r="G635">
        <v>-190</v>
      </c>
      <c r="H635">
        <v>-198</v>
      </c>
      <c r="I635">
        <v>-196</v>
      </c>
      <c r="J635">
        <v>-478</v>
      </c>
      <c r="K635">
        <v>-368</v>
      </c>
      <c r="L635">
        <v>-140</v>
      </c>
      <c r="M635">
        <v>233</v>
      </c>
      <c r="N635">
        <v>144</v>
      </c>
      <c r="O635">
        <v>268</v>
      </c>
      <c r="P635">
        <v>-830</v>
      </c>
      <c r="Q635">
        <v>-1034</v>
      </c>
      <c r="R635">
        <v>-712</v>
      </c>
      <c r="S635">
        <v>-806</v>
      </c>
      <c r="T635">
        <v>-1050</v>
      </c>
      <c r="U635">
        <v>-201</v>
      </c>
      <c r="V635">
        <v>-553</v>
      </c>
      <c r="W635">
        <v>-929</v>
      </c>
      <c r="X635">
        <v>1011</v>
      </c>
      <c r="Y635">
        <v>-502</v>
      </c>
      <c r="Z635">
        <v>0</v>
      </c>
      <c r="AA635">
        <v>0</v>
      </c>
      <c r="AB635">
        <v>0</v>
      </c>
      <c r="AC635">
        <v>0</v>
      </c>
    </row>
    <row r="636" spans="1:29" x14ac:dyDescent="0.2">
      <c r="A636" t="s">
        <v>735</v>
      </c>
      <c r="B636">
        <v>1</v>
      </c>
      <c r="C636" t="s">
        <v>237</v>
      </c>
      <c r="D636" t="s">
        <v>1591</v>
      </c>
      <c r="E636">
        <v>76</v>
      </c>
      <c r="F636">
        <v>-148</v>
      </c>
      <c r="G636">
        <v>-259</v>
      </c>
      <c r="H636">
        <v>-201</v>
      </c>
      <c r="I636">
        <v>-199</v>
      </c>
      <c r="J636">
        <v>-357</v>
      </c>
      <c r="K636">
        <v>-174</v>
      </c>
      <c r="L636">
        <v>-363</v>
      </c>
      <c r="M636">
        <v>-137</v>
      </c>
      <c r="N636">
        <v>243</v>
      </c>
      <c r="O636">
        <v>824</v>
      </c>
      <c r="P636">
        <v>-833</v>
      </c>
      <c r="Q636">
        <v>-829</v>
      </c>
      <c r="R636">
        <v>-1038</v>
      </c>
      <c r="S636">
        <v>-712</v>
      </c>
      <c r="T636">
        <v>178</v>
      </c>
      <c r="U636">
        <v>-156</v>
      </c>
      <c r="V636">
        <v>-207</v>
      </c>
      <c r="W636">
        <v>-557</v>
      </c>
      <c r="X636">
        <v>-934</v>
      </c>
      <c r="Y636">
        <v>-4773</v>
      </c>
      <c r="Z636">
        <v>0</v>
      </c>
      <c r="AA636">
        <v>0</v>
      </c>
      <c r="AB636">
        <v>0</v>
      </c>
      <c r="AC636">
        <v>0</v>
      </c>
    </row>
    <row r="637" spans="1:29" x14ac:dyDescent="0.2">
      <c r="A637" t="s">
        <v>735</v>
      </c>
      <c r="B637">
        <v>1</v>
      </c>
      <c r="C637" t="s">
        <v>237</v>
      </c>
      <c r="D637" t="s">
        <v>1592</v>
      </c>
      <c r="E637">
        <v>77</v>
      </c>
      <c r="F637">
        <v>-172</v>
      </c>
      <c r="G637">
        <v>-150</v>
      </c>
      <c r="H637">
        <v>-266</v>
      </c>
      <c r="I637">
        <v>-201</v>
      </c>
      <c r="J637">
        <v>-564</v>
      </c>
      <c r="K637">
        <v>-217</v>
      </c>
      <c r="L637">
        <v>-178</v>
      </c>
      <c r="M637">
        <v>-355</v>
      </c>
      <c r="N637">
        <v>-119</v>
      </c>
      <c r="O637">
        <v>-261</v>
      </c>
      <c r="P637">
        <v>-985</v>
      </c>
      <c r="Q637">
        <v>-836</v>
      </c>
      <c r="R637">
        <v>-832</v>
      </c>
      <c r="S637">
        <v>-1033</v>
      </c>
      <c r="T637">
        <v>-986</v>
      </c>
      <c r="U637">
        <v>-550</v>
      </c>
      <c r="V637">
        <v>-168</v>
      </c>
      <c r="W637">
        <v>-217</v>
      </c>
      <c r="X637">
        <v>-572</v>
      </c>
      <c r="Y637">
        <v>2748</v>
      </c>
      <c r="Z637">
        <v>0</v>
      </c>
      <c r="AA637">
        <v>0</v>
      </c>
      <c r="AB637">
        <v>0</v>
      </c>
      <c r="AC637">
        <v>0</v>
      </c>
    </row>
    <row r="638" spans="1:29" x14ac:dyDescent="0.2">
      <c r="A638" t="s">
        <v>735</v>
      </c>
      <c r="B638">
        <v>1</v>
      </c>
      <c r="C638" t="s">
        <v>237</v>
      </c>
      <c r="D638" t="s">
        <v>1593</v>
      </c>
      <c r="E638">
        <v>78</v>
      </c>
      <c r="F638">
        <v>13</v>
      </c>
      <c r="G638">
        <v>-179</v>
      </c>
      <c r="H638">
        <v>-164</v>
      </c>
      <c r="I638">
        <v>-271</v>
      </c>
      <c r="J638">
        <v>-602</v>
      </c>
      <c r="K638">
        <v>-41</v>
      </c>
      <c r="L638">
        <v>-214</v>
      </c>
      <c r="M638">
        <v>-162</v>
      </c>
      <c r="N638">
        <v>-343</v>
      </c>
      <c r="O638">
        <v>-381</v>
      </c>
      <c r="P638">
        <v>-571</v>
      </c>
      <c r="Q638">
        <v>-990</v>
      </c>
      <c r="R638">
        <v>-840</v>
      </c>
      <c r="S638">
        <v>-829</v>
      </c>
      <c r="T638">
        <v>-281</v>
      </c>
      <c r="U638">
        <v>180</v>
      </c>
      <c r="V638">
        <v>-557</v>
      </c>
      <c r="W638">
        <v>-170</v>
      </c>
      <c r="X638">
        <v>-228</v>
      </c>
      <c r="Y638">
        <v>944</v>
      </c>
      <c r="Z638">
        <v>0</v>
      </c>
      <c r="AA638">
        <v>0</v>
      </c>
      <c r="AB638">
        <v>0</v>
      </c>
      <c r="AC638">
        <v>0</v>
      </c>
    </row>
    <row r="639" spans="1:29" x14ac:dyDescent="0.2">
      <c r="A639" t="s">
        <v>735</v>
      </c>
      <c r="B639">
        <v>1</v>
      </c>
      <c r="C639" t="s">
        <v>237</v>
      </c>
      <c r="D639" t="s">
        <v>1594</v>
      </c>
      <c r="E639">
        <v>79</v>
      </c>
      <c r="F639">
        <v>321</v>
      </c>
      <c r="G639">
        <v>10</v>
      </c>
      <c r="H639">
        <v>-188</v>
      </c>
      <c r="I639">
        <v>-163</v>
      </c>
      <c r="J639">
        <v>411</v>
      </c>
      <c r="K639">
        <v>-53</v>
      </c>
      <c r="L639">
        <v>-33</v>
      </c>
      <c r="M639">
        <v>-203</v>
      </c>
      <c r="N639">
        <v>-151</v>
      </c>
      <c r="O639">
        <v>408</v>
      </c>
      <c r="P639">
        <v>-616</v>
      </c>
      <c r="Q639">
        <v>-568</v>
      </c>
      <c r="R639">
        <v>-989</v>
      </c>
      <c r="S639">
        <v>-836</v>
      </c>
      <c r="T639">
        <v>-738</v>
      </c>
      <c r="U639">
        <v>-21</v>
      </c>
      <c r="V639">
        <v>172</v>
      </c>
      <c r="W639">
        <v>-568</v>
      </c>
      <c r="X639">
        <v>-185</v>
      </c>
      <c r="Y639">
        <v>-501</v>
      </c>
      <c r="Z639">
        <v>0</v>
      </c>
      <c r="AA639">
        <v>0</v>
      </c>
      <c r="AB639">
        <v>0</v>
      </c>
      <c r="AC639">
        <v>0</v>
      </c>
    </row>
    <row r="640" spans="1:29" x14ac:dyDescent="0.2">
      <c r="A640" t="s">
        <v>735</v>
      </c>
      <c r="B640">
        <v>1</v>
      </c>
      <c r="C640" t="s">
        <v>237</v>
      </c>
      <c r="D640" t="s">
        <v>1595</v>
      </c>
      <c r="E640">
        <v>80</v>
      </c>
      <c r="F640">
        <v>216</v>
      </c>
      <c r="G640">
        <v>315</v>
      </c>
      <c r="H640">
        <v>-5</v>
      </c>
      <c r="I640">
        <v>-188</v>
      </c>
      <c r="J640">
        <v>-605</v>
      </c>
      <c r="K640">
        <v>-297</v>
      </c>
      <c r="L640">
        <v>-52</v>
      </c>
      <c r="M640">
        <v>-32</v>
      </c>
      <c r="N640">
        <v>-190</v>
      </c>
      <c r="O640">
        <v>-523</v>
      </c>
      <c r="P640">
        <v>-579</v>
      </c>
      <c r="Q640">
        <v>-623</v>
      </c>
      <c r="R640">
        <v>-573</v>
      </c>
      <c r="S640">
        <v>-987</v>
      </c>
      <c r="T640">
        <v>-805</v>
      </c>
      <c r="U640">
        <v>-36</v>
      </c>
      <c r="V640">
        <v>-30</v>
      </c>
      <c r="W640">
        <v>166</v>
      </c>
      <c r="X640">
        <v>-573</v>
      </c>
      <c r="Y640">
        <v>-935</v>
      </c>
      <c r="Z640">
        <v>0</v>
      </c>
      <c r="AA640">
        <v>0</v>
      </c>
      <c r="AB640">
        <v>0</v>
      </c>
      <c r="AC640">
        <v>0</v>
      </c>
    </row>
    <row r="641" spans="1:29" x14ac:dyDescent="0.2">
      <c r="A641" t="s">
        <v>735</v>
      </c>
      <c r="B641">
        <v>1</v>
      </c>
      <c r="C641" t="s">
        <v>237</v>
      </c>
      <c r="D641" t="s">
        <v>1596</v>
      </c>
      <c r="E641">
        <v>81</v>
      </c>
      <c r="F641">
        <v>-2</v>
      </c>
      <c r="G641">
        <v>213</v>
      </c>
      <c r="H641">
        <v>311</v>
      </c>
      <c r="I641">
        <v>-2</v>
      </c>
      <c r="J641">
        <v>213</v>
      </c>
      <c r="K641">
        <v>-104</v>
      </c>
      <c r="L641">
        <v>-295</v>
      </c>
      <c r="M641">
        <v>-42</v>
      </c>
      <c r="N641">
        <v>-15</v>
      </c>
      <c r="O641">
        <v>-338</v>
      </c>
      <c r="P641">
        <v>-328</v>
      </c>
      <c r="Q641">
        <v>-578</v>
      </c>
      <c r="R641">
        <v>-621</v>
      </c>
      <c r="S641">
        <v>-573</v>
      </c>
      <c r="T641">
        <v>-260</v>
      </c>
      <c r="U641">
        <v>-22</v>
      </c>
      <c r="V641">
        <v>-42</v>
      </c>
      <c r="W641">
        <v>-40</v>
      </c>
      <c r="X641">
        <v>155</v>
      </c>
      <c r="Y641">
        <v>283</v>
      </c>
      <c r="Z641">
        <v>0</v>
      </c>
      <c r="AA641">
        <v>0</v>
      </c>
      <c r="AB641">
        <v>0</v>
      </c>
      <c r="AC641">
        <v>0</v>
      </c>
    </row>
    <row r="642" spans="1:29" x14ac:dyDescent="0.2">
      <c r="A642" t="s">
        <v>735</v>
      </c>
      <c r="B642">
        <v>1</v>
      </c>
      <c r="C642" t="s">
        <v>237</v>
      </c>
      <c r="D642" t="s">
        <v>1597</v>
      </c>
      <c r="E642">
        <v>82</v>
      </c>
      <c r="F642">
        <v>73</v>
      </c>
      <c r="G642">
        <v>-14</v>
      </c>
      <c r="H642">
        <v>208</v>
      </c>
      <c r="I642">
        <v>306</v>
      </c>
      <c r="J642">
        <v>-421</v>
      </c>
      <c r="K642">
        <v>-330</v>
      </c>
      <c r="L642">
        <v>-109</v>
      </c>
      <c r="M642">
        <v>-289</v>
      </c>
      <c r="N642">
        <v>-29</v>
      </c>
      <c r="O642">
        <v>-543</v>
      </c>
      <c r="P642">
        <v>-443</v>
      </c>
      <c r="Q642">
        <v>-331</v>
      </c>
      <c r="R642">
        <v>-574</v>
      </c>
      <c r="S642">
        <v>-621</v>
      </c>
      <c r="T642">
        <v>-1012</v>
      </c>
      <c r="U642">
        <v>-238</v>
      </c>
      <c r="V642">
        <v>-26</v>
      </c>
      <c r="W642">
        <v>-48</v>
      </c>
      <c r="X642">
        <v>-43</v>
      </c>
      <c r="Y642">
        <v>-70</v>
      </c>
      <c r="Z642">
        <v>0</v>
      </c>
      <c r="AA642">
        <v>0</v>
      </c>
      <c r="AB642">
        <v>0</v>
      </c>
      <c r="AC642">
        <v>0</v>
      </c>
    </row>
    <row r="643" spans="1:29" x14ac:dyDescent="0.2">
      <c r="A643" t="s">
        <v>735</v>
      </c>
      <c r="B643">
        <v>1</v>
      </c>
      <c r="C643" t="s">
        <v>237</v>
      </c>
      <c r="D643" t="s">
        <v>1598</v>
      </c>
      <c r="E643">
        <v>83</v>
      </c>
      <c r="F643">
        <v>30</v>
      </c>
      <c r="G643">
        <v>62</v>
      </c>
      <c r="H643">
        <v>-18</v>
      </c>
      <c r="I643">
        <v>201</v>
      </c>
      <c r="J643">
        <v>215</v>
      </c>
      <c r="K643">
        <v>-476</v>
      </c>
      <c r="L643">
        <v>-335</v>
      </c>
      <c r="M643">
        <v>-95</v>
      </c>
      <c r="N643">
        <v>-277</v>
      </c>
      <c r="O643">
        <v>-279</v>
      </c>
      <c r="P643">
        <v>-512</v>
      </c>
      <c r="Q643">
        <v>-441</v>
      </c>
      <c r="R643">
        <v>-330</v>
      </c>
      <c r="S643">
        <v>-582</v>
      </c>
      <c r="T643">
        <v>-506</v>
      </c>
      <c r="U643">
        <v>-136</v>
      </c>
      <c r="V643">
        <v>-235</v>
      </c>
      <c r="W643">
        <v>-36</v>
      </c>
      <c r="X643">
        <v>-53</v>
      </c>
      <c r="Y643">
        <v>473</v>
      </c>
      <c r="Z643">
        <v>0</v>
      </c>
      <c r="AA643">
        <v>0</v>
      </c>
      <c r="AB643">
        <v>0</v>
      </c>
      <c r="AC643">
        <v>0</v>
      </c>
    </row>
    <row r="644" spans="1:29" x14ac:dyDescent="0.2">
      <c r="A644" t="s">
        <v>735</v>
      </c>
      <c r="B644">
        <v>1</v>
      </c>
      <c r="C644" t="s">
        <v>237</v>
      </c>
      <c r="D644" t="s">
        <v>1434</v>
      </c>
      <c r="E644">
        <v>84</v>
      </c>
      <c r="F644">
        <v>157</v>
      </c>
      <c r="G644">
        <v>18</v>
      </c>
      <c r="H644">
        <v>62</v>
      </c>
      <c r="I644">
        <v>-20</v>
      </c>
      <c r="J644">
        <v>52</v>
      </c>
      <c r="K644">
        <v>-710</v>
      </c>
      <c r="L644">
        <v>-473</v>
      </c>
      <c r="M644">
        <v>-325</v>
      </c>
      <c r="N644">
        <v>-88</v>
      </c>
      <c r="O644">
        <v>70</v>
      </c>
      <c r="P644">
        <v>-542</v>
      </c>
      <c r="Q644">
        <v>-512</v>
      </c>
      <c r="R644">
        <v>-443</v>
      </c>
      <c r="S644">
        <v>-333</v>
      </c>
      <c r="T644">
        <v>26</v>
      </c>
      <c r="U644">
        <v>-276</v>
      </c>
      <c r="V644">
        <v>-147</v>
      </c>
      <c r="W644">
        <v>-243</v>
      </c>
      <c r="X644">
        <v>-39</v>
      </c>
      <c r="Y644">
        <v>-45</v>
      </c>
      <c r="Z644">
        <v>0</v>
      </c>
      <c r="AA644">
        <v>0</v>
      </c>
      <c r="AB644">
        <v>0</v>
      </c>
      <c r="AC644">
        <v>0</v>
      </c>
    </row>
    <row r="645" spans="1:29" x14ac:dyDescent="0.2">
      <c r="A645" t="s">
        <v>735</v>
      </c>
      <c r="B645">
        <v>1</v>
      </c>
      <c r="C645" t="s">
        <v>237</v>
      </c>
      <c r="D645" t="s">
        <v>1599</v>
      </c>
      <c r="E645">
        <v>85</v>
      </c>
      <c r="F645">
        <v>-393</v>
      </c>
      <c r="G645">
        <v>152</v>
      </c>
      <c r="H645">
        <v>21</v>
      </c>
      <c r="I645">
        <v>59</v>
      </c>
      <c r="J645">
        <v>90</v>
      </c>
      <c r="K645">
        <v>-699</v>
      </c>
      <c r="L645">
        <v>-707</v>
      </c>
      <c r="M645">
        <v>-465</v>
      </c>
      <c r="N645">
        <v>-316</v>
      </c>
      <c r="O645">
        <v>-349</v>
      </c>
      <c r="P645">
        <v>-682</v>
      </c>
      <c r="Q645">
        <v>-540</v>
      </c>
      <c r="R645">
        <v>-510</v>
      </c>
      <c r="S645">
        <v>-443</v>
      </c>
      <c r="T645">
        <v>-542</v>
      </c>
      <c r="U645">
        <v>-404</v>
      </c>
      <c r="V645">
        <v>-289</v>
      </c>
      <c r="W645">
        <v>-146</v>
      </c>
      <c r="X645">
        <v>-249</v>
      </c>
      <c r="Y645">
        <v>-142</v>
      </c>
      <c r="Z645">
        <v>0</v>
      </c>
      <c r="AA645">
        <v>0</v>
      </c>
      <c r="AB645">
        <v>0</v>
      </c>
      <c r="AC645">
        <v>0</v>
      </c>
    </row>
    <row r="646" spans="1:29" x14ac:dyDescent="0.2">
      <c r="A646" t="s">
        <v>735</v>
      </c>
      <c r="B646">
        <v>1</v>
      </c>
      <c r="C646" t="s">
        <v>237</v>
      </c>
      <c r="D646" t="s">
        <v>1600</v>
      </c>
      <c r="E646">
        <v>86</v>
      </c>
      <c r="F646">
        <v>-150</v>
      </c>
      <c r="G646">
        <v>-394</v>
      </c>
      <c r="H646">
        <v>151</v>
      </c>
      <c r="I646">
        <v>10</v>
      </c>
      <c r="J646">
        <v>-260</v>
      </c>
      <c r="K646">
        <v>-584</v>
      </c>
      <c r="L646">
        <v>-699</v>
      </c>
      <c r="M646">
        <v>-703</v>
      </c>
      <c r="N646">
        <v>-458</v>
      </c>
      <c r="O646">
        <v>-14</v>
      </c>
      <c r="P646">
        <v>-457</v>
      </c>
      <c r="Q646">
        <v>-678</v>
      </c>
      <c r="R646">
        <v>-538</v>
      </c>
      <c r="S646">
        <v>-520</v>
      </c>
      <c r="T646">
        <v>-461</v>
      </c>
      <c r="U646">
        <v>-272</v>
      </c>
      <c r="V646">
        <v>-411</v>
      </c>
      <c r="W646">
        <v>-286</v>
      </c>
      <c r="X646">
        <v>-156</v>
      </c>
      <c r="Y646">
        <v>459</v>
      </c>
      <c r="Z646">
        <v>0</v>
      </c>
      <c r="AA646">
        <v>0</v>
      </c>
      <c r="AB646">
        <v>0</v>
      </c>
      <c r="AC646">
        <v>0</v>
      </c>
    </row>
    <row r="647" spans="1:29" x14ac:dyDescent="0.2">
      <c r="A647" t="s">
        <v>735</v>
      </c>
      <c r="B647">
        <v>1</v>
      </c>
      <c r="C647" t="s">
        <v>237</v>
      </c>
      <c r="D647" t="s">
        <v>1601</v>
      </c>
      <c r="E647">
        <v>87</v>
      </c>
      <c r="F647">
        <v>-39</v>
      </c>
      <c r="G647">
        <v>-156</v>
      </c>
      <c r="H647">
        <v>-402</v>
      </c>
      <c r="I647">
        <v>147</v>
      </c>
      <c r="J647">
        <v>-327</v>
      </c>
      <c r="K647">
        <v>-519</v>
      </c>
      <c r="L647">
        <v>-584</v>
      </c>
      <c r="M647">
        <v>-697</v>
      </c>
      <c r="N647">
        <v>-695</v>
      </c>
      <c r="O647">
        <v>-553</v>
      </c>
      <c r="P647">
        <v>-497</v>
      </c>
      <c r="Q647">
        <v>-458</v>
      </c>
      <c r="R647">
        <v>-680</v>
      </c>
      <c r="S647">
        <v>-542</v>
      </c>
      <c r="T647">
        <v>-893</v>
      </c>
      <c r="U647">
        <v>-173</v>
      </c>
      <c r="V647">
        <v>-276</v>
      </c>
      <c r="W647">
        <v>-414</v>
      </c>
      <c r="X647">
        <v>-293</v>
      </c>
      <c r="Y647">
        <v>-624</v>
      </c>
      <c r="Z647">
        <v>0</v>
      </c>
      <c r="AA647">
        <v>0</v>
      </c>
      <c r="AB647">
        <v>0</v>
      </c>
      <c r="AC647">
        <v>0</v>
      </c>
    </row>
    <row r="648" spans="1:29" x14ac:dyDescent="0.2">
      <c r="A648" t="s">
        <v>735</v>
      </c>
      <c r="B648">
        <v>1</v>
      </c>
      <c r="C648" t="s">
        <v>237</v>
      </c>
      <c r="D648" t="s">
        <v>1602</v>
      </c>
      <c r="E648">
        <v>88</v>
      </c>
      <c r="F648">
        <v>-227</v>
      </c>
      <c r="G648">
        <v>-38</v>
      </c>
      <c r="H648">
        <v>-157</v>
      </c>
      <c r="I648">
        <v>-399</v>
      </c>
      <c r="J648">
        <v>-81</v>
      </c>
      <c r="K648">
        <v>-518</v>
      </c>
      <c r="L648">
        <v>-515</v>
      </c>
      <c r="M648">
        <v>-578</v>
      </c>
      <c r="N648">
        <v>-686</v>
      </c>
      <c r="O648">
        <v>-813</v>
      </c>
      <c r="P648">
        <v>-394</v>
      </c>
      <c r="Q648">
        <v>-503</v>
      </c>
      <c r="R648">
        <v>-456</v>
      </c>
      <c r="S648">
        <v>-679</v>
      </c>
      <c r="T648">
        <v>-606</v>
      </c>
      <c r="U648">
        <v>-139</v>
      </c>
      <c r="V648">
        <v>-180</v>
      </c>
      <c r="W648">
        <v>-278</v>
      </c>
      <c r="X648">
        <v>-419</v>
      </c>
      <c r="Y648">
        <v>-80</v>
      </c>
      <c r="Z648">
        <v>0</v>
      </c>
      <c r="AA648">
        <v>0</v>
      </c>
      <c r="AB648">
        <v>0</v>
      </c>
      <c r="AC648">
        <v>0</v>
      </c>
    </row>
    <row r="649" spans="1:29" x14ac:dyDescent="0.2">
      <c r="A649" t="s">
        <v>735</v>
      </c>
      <c r="B649">
        <v>1</v>
      </c>
      <c r="C649" t="s">
        <v>237</v>
      </c>
      <c r="D649" t="s">
        <v>1603</v>
      </c>
      <c r="E649">
        <v>89</v>
      </c>
      <c r="F649">
        <v>-235</v>
      </c>
      <c r="G649">
        <v>-238</v>
      </c>
      <c r="H649">
        <v>-44</v>
      </c>
      <c r="I649">
        <v>-157</v>
      </c>
      <c r="J649">
        <v>134</v>
      </c>
      <c r="K649">
        <v>-27</v>
      </c>
      <c r="L649">
        <v>-522</v>
      </c>
      <c r="M649">
        <v>-510</v>
      </c>
      <c r="N649">
        <v>-571</v>
      </c>
      <c r="O649">
        <v>-732</v>
      </c>
      <c r="P649">
        <v>-316</v>
      </c>
      <c r="Q649">
        <v>-394</v>
      </c>
      <c r="R649">
        <v>-499</v>
      </c>
      <c r="S649">
        <v>-458</v>
      </c>
      <c r="T649">
        <v>-229</v>
      </c>
      <c r="U649">
        <v>-210</v>
      </c>
      <c r="V649">
        <v>-140</v>
      </c>
      <c r="W649">
        <v>-182</v>
      </c>
      <c r="X649">
        <v>-281</v>
      </c>
      <c r="Y649">
        <v>23</v>
      </c>
      <c r="Z649">
        <v>0</v>
      </c>
      <c r="AA649">
        <v>0</v>
      </c>
      <c r="AB649">
        <v>0</v>
      </c>
      <c r="AC649">
        <v>0</v>
      </c>
    </row>
    <row r="650" spans="1:29" x14ac:dyDescent="0.2">
      <c r="A650" t="s">
        <v>735</v>
      </c>
      <c r="B650">
        <v>1</v>
      </c>
      <c r="C650" t="s">
        <v>237</v>
      </c>
      <c r="D650" t="s">
        <v>1604</v>
      </c>
      <c r="E650">
        <v>90</v>
      </c>
      <c r="F650">
        <v>-166</v>
      </c>
      <c r="G650">
        <v>-242</v>
      </c>
      <c r="H650">
        <v>-233</v>
      </c>
      <c r="I650">
        <v>-43</v>
      </c>
      <c r="J650">
        <v>216</v>
      </c>
      <c r="K650">
        <v>-371</v>
      </c>
      <c r="L650">
        <v>-24</v>
      </c>
      <c r="M650">
        <v>-511</v>
      </c>
      <c r="N650">
        <v>-505</v>
      </c>
      <c r="O650">
        <v>-186</v>
      </c>
      <c r="P650">
        <v>-235</v>
      </c>
      <c r="Q650">
        <v>-312</v>
      </c>
      <c r="R650">
        <v>-396</v>
      </c>
      <c r="S650">
        <v>-504</v>
      </c>
      <c r="T650">
        <v>-583</v>
      </c>
      <c r="U650">
        <v>-168</v>
      </c>
      <c r="V650">
        <v>-217</v>
      </c>
      <c r="W650">
        <v>-141</v>
      </c>
      <c r="X650">
        <v>-186</v>
      </c>
      <c r="Y650">
        <v>-481</v>
      </c>
      <c r="Z650">
        <v>0</v>
      </c>
      <c r="AA650">
        <v>0</v>
      </c>
      <c r="AB650">
        <v>0</v>
      </c>
      <c r="AC650">
        <v>0</v>
      </c>
    </row>
    <row r="651" spans="1:29" x14ac:dyDescent="0.2">
      <c r="A651" t="s">
        <v>735</v>
      </c>
      <c r="B651">
        <v>1</v>
      </c>
      <c r="C651" t="s">
        <v>237</v>
      </c>
      <c r="D651" t="s">
        <v>1605</v>
      </c>
      <c r="E651">
        <v>91</v>
      </c>
      <c r="F651">
        <v>-113</v>
      </c>
      <c r="G651">
        <v>-166</v>
      </c>
      <c r="H651">
        <v>-245</v>
      </c>
      <c r="I651">
        <v>-238</v>
      </c>
      <c r="J651">
        <v>62</v>
      </c>
      <c r="K651">
        <v>-241</v>
      </c>
      <c r="L651">
        <v>-363</v>
      </c>
      <c r="M651">
        <v>-21</v>
      </c>
      <c r="N651">
        <v>-508</v>
      </c>
      <c r="O651">
        <v>-524</v>
      </c>
      <c r="P651">
        <v>-246</v>
      </c>
      <c r="Q651">
        <v>-235</v>
      </c>
      <c r="R651">
        <v>-319</v>
      </c>
      <c r="S651">
        <v>-396</v>
      </c>
      <c r="T651">
        <v>-266</v>
      </c>
      <c r="U651">
        <v>-121</v>
      </c>
      <c r="V651">
        <v>-177</v>
      </c>
      <c r="W651">
        <v>-218</v>
      </c>
      <c r="X651">
        <v>-150</v>
      </c>
      <c r="Y651">
        <v>-66</v>
      </c>
      <c r="Z651">
        <v>0</v>
      </c>
      <c r="AA651">
        <v>0</v>
      </c>
      <c r="AB651">
        <v>0</v>
      </c>
      <c r="AC651">
        <v>0</v>
      </c>
    </row>
    <row r="652" spans="1:29" x14ac:dyDescent="0.2">
      <c r="A652" t="s">
        <v>735</v>
      </c>
      <c r="B652">
        <v>1</v>
      </c>
      <c r="C652" t="s">
        <v>237</v>
      </c>
      <c r="D652" t="s">
        <v>1606</v>
      </c>
      <c r="E652">
        <v>92</v>
      </c>
      <c r="F652">
        <v>-86</v>
      </c>
      <c r="G652">
        <v>-115</v>
      </c>
      <c r="H652">
        <v>-166</v>
      </c>
      <c r="I652">
        <v>-241</v>
      </c>
      <c r="J652">
        <v>-84</v>
      </c>
      <c r="K652">
        <v>-216</v>
      </c>
      <c r="L652">
        <v>-243</v>
      </c>
      <c r="M652">
        <v>-365</v>
      </c>
      <c r="N652">
        <v>-19</v>
      </c>
      <c r="O652">
        <v>-796</v>
      </c>
      <c r="P652">
        <v>-261</v>
      </c>
      <c r="Q652">
        <v>-248</v>
      </c>
      <c r="R652">
        <v>-240</v>
      </c>
      <c r="S652">
        <v>-315</v>
      </c>
      <c r="T652">
        <v>-338</v>
      </c>
      <c r="U652">
        <v>-71</v>
      </c>
      <c r="V652">
        <v>-125</v>
      </c>
      <c r="W652">
        <v>-176</v>
      </c>
      <c r="X652">
        <v>-224</v>
      </c>
      <c r="Y652">
        <v>-442</v>
      </c>
      <c r="Z652">
        <v>0</v>
      </c>
      <c r="AA652">
        <v>0</v>
      </c>
      <c r="AB652">
        <v>0</v>
      </c>
      <c r="AC652">
        <v>0</v>
      </c>
    </row>
    <row r="653" spans="1:29" x14ac:dyDescent="0.2">
      <c r="A653" t="s">
        <v>735</v>
      </c>
      <c r="B653">
        <v>1</v>
      </c>
      <c r="C653" t="s">
        <v>237</v>
      </c>
      <c r="D653" t="s">
        <v>1607</v>
      </c>
      <c r="E653">
        <v>93</v>
      </c>
      <c r="F653">
        <v>-286</v>
      </c>
      <c r="G653">
        <v>-372</v>
      </c>
      <c r="H653">
        <v>-508</v>
      </c>
      <c r="I653">
        <v>-668</v>
      </c>
      <c r="J653">
        <v>-178</v>
      </c>
      <c r="K653">
        <v>-550</v>
      </c>
      <c r="L653">
        <v>-763</v>
      </c>
      <c r="M653">
        <v>-988</v>
      </c>
      <c r="N653">
        <v>-1331</v>
      </c>
      <c r="O653">
        <v>224</v>
      </c>
      <c r="P653">
        <v>-1402</v>
      </c>
      <c r="Q653">
        <v>-1648</v>
      </c>
      <c r="R653">
        <v>-1941</v>
      </c>
      <c r="S653">
        <v>-2125</v>
      </c>
      <c r="T653">
        <v>-1065</v>
      </c>
      <c r="U653">
        <v>-1976</v>
      </c>
      <c r="V653">
        <v>-2063</v>
      </c>
      <c r="W653">
        <v>-2227</v>
      </c>
      <c r="X653">
        <v>-2374</v>
      </c>
      <c r="Y653">
        <v>-724</v>
      </c>
      <c r="Z653">
        <v>0</v>
      </c>
      <c r="AA653">
        <v>0</v>
      </c>
      <c r="AB653">
        <v>0</v>
      </c>
      <c r="AC653">
        <v>0</v>
      </c>
    </row>
  </sheetData>
  <printOptions gridLines="1"/>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
  <sheetViews>
    <sheetView workbookViewId="0"/>
  </sheetViews>
  <sheetFormatPr defaultRowHeight="14.25" x14ac:dyDescent="0.2"/>
  <sheetData>
    <row r="1" spans="1:6" x14ac:dyDescent="0.2">
      <c r="A1" t="s">
        <v>1405</v>
      </c>
      <c r="B1" t="s">
        <v>1481</v>
      </c>
      <c r="C1" t="s">
        <v>1536</v>
      </c>
      <c r="D1" t="s">
        <v>1611</v>
      </c>
      <c r="E1" t="s">
        <v>20</v>
      </c>
      <c r="F1" t="s">
        <v>1612</v>
      </c>
    </row>
  </sheetData>
  <printOptions gridLines="1"/>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D153"/>
  <sheetViews>
    <sheetView workbookViewId="0"/>
  </sheetViews>
  <sheetFormatPr defaultRowHeight="14.25" x14ac:dyDescent="0.2"/>
  <sheetData>
    <row r="1" spans="1:30" x14ac:dyDescent="0.2">
      <c r="A1" t="s">
        <v>1481</v>
      </c>
      <c r="B1" t="s">
        <v>1536</v>
      </c>
      <c r="C1" t="s">
        <v>1613</v>
      </c>
      <c r="D1" t="s">
        <v>1609</v>
      </c>
      <c r="E1" t="s">
        <v>1535</v>
      </c>
      <c r="F1" t="s">
        <v>1614</v>
      </c>
      <c r="G1" t="s">
        <v>1615</v>
      </c>
      <c r="H1" t="s">
        <v>1616</v>
      </c>
      <c r="I1" t="s">
        <v>1617</v>
      </c>
      <c r="J1" t="s">
        <v>1618</v>
      </c>
      <c r="K1" t="s">
        <v>1619</v>
      </c>
      <c r="L1" t="s">
        <v>1620</v>
      </c>
      <c r="M1" t="s">
        <v>1621</v>
      </c>
      <c r="N1" t="s">
        <v>1622</v>
      </c>
      <c r="O1" t="s">
        <v>1623</v>
      </c>
      <c r="P1" t="s">
        <v>1624</v>
      </c>
      <c r="Q1" t="s">
        <v>1625</v>
      </c>
      <c r="R1" t="s">
        <v>1626</v>
      </c>
      <c r="S1" t="s">
        <v>1627</v>
      </c>
      <c r="T1" t="s">
        <v>1628</v>
      </c>
      <c r="U1" t="s">
        <v>1629</v>
      </c>
      <c r="V1" t="s">
        <v>1630</v>
      </c>
      <c r="W1" t="s">
        <v>1631</v>
      </c>
      <c r="X1" t="s">
        <v>1632</v>
      </c>
      <c r="Y1" t="s">
        <v>1633</v>
      </c>
      <c r="Z1" t="s">
        <v>1634</v>
      </c>
      <c r="AA1" t="s">
        <v>1635</v>
      </c>
      <c r="AB1" t="s">
        <v>1636</v>
      </c>
      <c r="AC1" t="s">
        <v>1637</v>
      </c>
      <c r="AD1" t="s">
        <v>1638</v>
      </c>
    </row>
    <row r="2" spans="1:30" x14ac:dyDescent="0.2">
      <c r="A2">
        <v>1</v>
      </c>
      <c r="B2" t="s">
        <v>6</v>
      </c>
      <c r="C2" t="s">
        <v>108</v>
      </c>
      <c r="D2">
        <v>1</v>
      </c>
      <c r="E2">
        <v>41651700</v>
      </c>
      <c r="F2">
        <v>41418500</v>
      </c>
      <c r="G2">
        <v>41304600</v>
      </c>
      <c r="H2">
        <v>41348800</v>
      </c>
      <c r="I2">
        <v>41523600</v>
      </c>
      <c r="J2">
        <v>41688300</v>
      </c>
      <c r="K2">
        <v>41841800</v>
      </c>
      <c r="L2">
        <v>41984100</v>
      </c>
      <c r="M2">
        <v>42115600</v>
      </c>
      <c r="N2">
        <v>42236800</v>
      </c>
      <c r="O2">
        <v>42348500</v>
      </c>
      <c r="P2">
        <v>42451300</v>
      </c>
      <c r="Q2">
        <v>42546300</v>
      </c>
      <c r="R2">
        <v>42634200</v>
      </c>
      <c r="S2">
        <v>42716100</v>
      </c>
      <c r="T2">
        <v>42792500</v>
      </c>
      <c r="U2">
        <v>42863800</v>
      </c>
      <c r="V2">
        <v>42930700</v>
      </c>
      <c r="W2">
        <v>42993800</v>
      </c>
      <c r="X2">
        <v>43053400</v>
      </c>
      <c r="Y2">
        <v>43109400</v>
      </c>
      <c r="Z2">
        <v>43162000</v>
      </c>
      <c r="AA2">
        <v>43211100</v>
      </c>
      <c r="AB2">
        <v>43257100</v>
      </c>
      <c r="AC2">
        <v>43300000</v>
      </c>
      <c r="AD2">
        <v>43340300</v>
      </c>
    </row>
    <row r="3" spans="1:30" x14ac:dyDescent="0.2">
      <c r="A3">
        <v>1</v>
      </c>
      <c r="B3" t="s">
        <v>6</v>
      </c>
      <c r="C3" t="s">
        <v>109</v>
      </c>
      <c r="D3">
        <v>1</v>
      </c>
      <c r="E3">
        <v>41651700</v>
      </c>
      <c r="F3">
        <v>41655500</v>
      </c>
      <c r="G3">
        <v>41691500</v>
      </c>
      <c r="H3">
        <v>41877900</v>
      </c>
      <c r="I3">
        <v>42215700</v>
      </c>
      <c r="J3">
        <v>42548500</v>
      </c>
      <c r="K3">
        <v>42875100</v>
      </c>
      <c r="L3">
        <v>43195900</v>
      </c>
      <c r="M3">
        <v>43511400</v>
      </c>
      <c r="N3">
        <v>43822200</v>
      </c>
      <c r="O3">
        <v>44129000</v>
      </c>
      <c r="P3">
        <v>44432500</v>
      </c>
      <c r="Q3">
        <v>44733700</v>
      </c>
      <c r="R3">
        <v>45033100</v>
      </c>
      <c r="S3">
        <v>45331600</v>
      </c>
      <c r="T3">
        <v>45629900</v>
      </c>
      <c r="U3">
        <v>45928600</v>
      </c>
      <c r="V3">
        <v>46228000</v>
      </c>
      <c r="W3">
        <v>46528800</v>
      </c>
      <c r="X3">
        <v>46831000</v>
      </c>
      <c r="Y3">
        <v>47134900</v>
      </c>
      <c r="Z3">
        <v>47440700</v>
      </c>
      <c r="AA3">
        <v>47748600</v>
      </c>
      <c r="AB3">
        <v>48058500</v>
      </c>
      <c r="AC3">
        <v>48370700</v>
      </c>
      <c r="AD3">
        <v>48685100</v>
      </c>
    </row>
    <row r="4" spans="1:30" x14ac:dyDescent="0.2">
      <c r="A4">
        <v>1</v>
      </c>
      <c r="B4" t="s">
        <v>6</v>
      </c>
      <c r="C4" t="s">
        <v>110</v>
      </c>
      <c r="D4">
        <v>1</v>
      </c>
      <c r="E4">
        <v>41651700</v>
      </c>
      <c r="F4">
        <v>41655400</v>
      </c>
      <c r="G4">
        <v>41691500</v>
      </c>
      <c r="H4">
        <v>41877800</v>
      </c>
      <c r="I4">
        <v>42215600</v>
      </c>
      <c r="J4">
        <v>42548200</v>
      </c>
      <c r="K4">
        <v>42874800</v>
      </c>
      <c r="L4">
        <v>43195600</v>
      </c>
      <c r="M4">
        <v>43511100</v>
      </c>
      <c r="N4">
        <v>43822000</v>
      </c>
      <c r="O4">
        <v>44128900</v>
      </c>
      <c r="P4">
        <v>44432700</v>
      </c>
      <c r="Q4">
        <v>44734100</v>
      </c>
      <c r="R4">
        <v>45034000</v>
      </c>
      <c r="S4">
        <v>45333100</v>
      </c>
      <c r="T4">
        <v>45632000</v>
      </c>
      <c r="U4">
        <v>45931300</v>
      </c>
      <c r="V4">
        <v>46231500</v>
      </c>
      <c r="W4">
        <v>46533100</v>
      </c>
      <c r="X4">
        <v>46836100</v>
      </c>
      <c r="Y4">
        <v>47140900</v>
      </c>
      <c r="Z4">
        <v>47447600</v>
      </c>
      <c r="AA4">
        <v>47756300</v>
      </c>
      <c r="AB4">
        <v>48067200</v>
      </c>
      <c r="AC4">
        <v>48380400</v>
      </c>
      <c r="AD4">
        <v>48695700</v>
      </c>
    </row>
    <row r="5" spans="1:30" x14ac:dyDescent="0.2">
      <c r="A5">
        <v>1</v>
      </c>
      <c r="B5" t="s">
        <v>6</v>
      </c>
      <c r="C5" t="s">
        <v>111</v>
      </c>
      <c r="D5">
        <v>1</v>
      </c>
      <c r="E5">
        <v>41651700</v>
      </c>
      <c r="F5">
        <v>41655400</v>
      </c>
      <c r="G5">
        <v>41691400</v>
      </c>
      <c r="H5">
        <v>41877600</v>
      </c>
      <c r="I5">
        <v>42215300</v>
      </c>
      <c r="J5">
        <v>42547800</v>
      </c>
      <c r="K5">
        <v>42874100</v>
      </c>
      <c r="L5">
        <v>43194700</v>
      </c>
      <c r="M5">
        <v>43510000</v>
      </c>
      <c r="N5">
        <v>43820500</v>
      </c>
      <c r="O5">
        <v>44127100</v>
      </c>
      <c r="P5">
        <v>44430600</v>
      </c>
      <c r="Q5">
        <v>44731700</v>
      </c>
      <c r="R5">
        <v>45031200</v>
      </c>
      <c r="S5">
        <v>45329800</v>
      </c>
      <c r="T5">
        <v>45628300</v>
      </c>
      <c r="U5">
        <v>45927100</v>
      </c>
      <c r="V5">
        <v>46226900</v>
      </c>
      <c r="W5">
        <v>46527900</v>
      </c>
      <c r="X5">
        <v>46830400</v>
      </c>
      <c r="Y5">
        <v>47134600</v>
      </c>
      <c r="Z5">
        <v>47440700</v>
      </c>
      <c r="AA5">
        <v>47748800</v>
      </c>
      <c r="AB5">
        <v>48059000</v>
      </c>
      <c r="AC5">
        <v>48371500</v>
      </c>
      <c r="AD5">
        <v>48686100</v>
      </c>
    </row>
    <row r="6" spans="1:30" x14ac:dyDescent="0.2">
      <c r="A6">
        <v>1</v>
      </c>
      <c r="B6" t="s">
        <v>6</v>
      </c>
      <c r="C6" t="s">
        <v>112</v>
      </c>
      <c r="D6">
        <v>1</v>
      </c>
      <c r="E6">
        <v>41651700</v>
      </c>
      <c r="F6">
        <v>41655400</v>
      </c>
      <c r="G6">
        <v>41691400</v>
      </c>
      <c r="H6">
        <v>41877700</v>
      </c>
      <c r="I6">
        <v>42215400</v>
      </c>
      <c r="J6">
        <v>42547900</v>
      </c>
      <c r="K6">
        <v>42874400</v>
      </c>
      <c r="L6">
        <v>43195100</v>
      </c>
      <c r="M6">
        <v>43510400</v>
      </c>
      <c r="N6">
        <v>43821100</v>
      </c>
      <c r="O6">
        <v>44127800</v>
      </c>
      <c r="P6">
        <v>44431400</v>
      </c>
      <c r="Q6">
        <v>44732600</v>
      </c>
      <c r="R6">
        <v>45032200</v>
      </c>
      <c r="S6">
        <v>45330900</v>
      </c>
      <c r="T6">
        <v>45629300</v>
      </c>
      <c r="U6">
        <v>45928200</v>
      </c>
      <c r="V6">
        <v>46227900</v>
      </c>
      <c r="W6">
        <v>46528900</v>
      </c>
      <c r="X6">
        <v>46831400</v>
      </c>
      <c r="Y6">
        <v>47135500</v>
      </c>
      <c r="Z6">
        <v>47441500</v>
      </c>
      <c r="AA6">
        <v>47749500</v>
      </c>
      <c r="AB6">
        <v>48059600</v>
      </c>
      <c r="AC6">
        <v>48371900</v>
      </c>
      <c r="AD6">
        <v>48686300</v>
      </c>
    </row>
    <row r="7" spans="1:30" x14ac:dyDescent="0.2">
      <c r="A7">
        <v>1</v>
      </c>
      <c r="B7" t="s">
        <v>6</v>
      </c>
      <c r="C7" t="s">
        <v>113</v>
      </c>
      <c r="D7">
        <v>1</v>
      </c>
      <c r="E7">
        <v>41651700</v>
      </c>
      <c r="F7">
        <v>41655400</v>
      </c>
      <c r="G7">
        <v>41691200</v>
      </c>
      <c r="H7">
        <v>41877100</v>
      </c>
      <c r="I7">
        <v>42214300</v>
      </c>
      <c r="J7">
        <v>42546300</v>
      </c>
      <c r="K7">
        <v>42872100</v>
      </c>
      <c r="L7">
        <v>43192000</v>
      </c>
      <c r="M7">
        <v>43506400</v>
      </c>
      <c r="N7">
        <v>43816100</v>
      </c>
      <c r="O7">
        <v>44121600</v>
      </c>
      <c r="P7">
        <v>44423900</v>
      </c>
      <c r="Q7">
        <v>44723800</v>
      </c>
      <c r="R7">
        <v>45021900</v>
      </c>
      <c r="S7">
        <v>45319000</v>
      </c>
      <c r="T7">
        <v>45615800</v>
      </c>
      <c r="U7">
        <v>45912900</v>
      </c>
      <c r="V7">
        <v>46210700</v>
      </c>
      <c r="W7">
        <v>46509700</v>
      </c>
      <c r="X7">
        <v>46810100</v>
      </c>
      <c r="Y7">
        <v>47112000</v>
      </c>
      <c r="Z7">
        <v>47415700</v>
      </c>
      <c r="AA7">
        <v>47721300</v>
      </c>
      <c r="AB7">
        <v>48028900</v>
      </c>
      <c r="AC7">
        <v>48338700</v>
      </c>
      <c r="AD7">
        <v>48650400</v>
      </c>
    </row>
    <row r="8" spans="1:30" x14ac:dyDescent="0.2">
      <c r="A8">
        <v>1</v>
      </c>
      <c r="B8" t="s">
        <v>6</v>
      </c>
      <c r="C8" t="s">
        <v>114</v>
      </c>
      <c r="D8">
        <v>1</v>
      </c>
      <c r="E8">
        <v>41651700</v>
      </c>
      <c r="F8">
        <v>41655500</v>
      </c>
      <c r="G8">
        <v>41691500</v>
      </c>
      <c r="H8">
        <v>41877900</v>
      </c>
      <c r="I8">
        <v>42215800</v>
      </c>
      <c r="J8">
        <v>42548600</v>
      </c>
      <c r="K8">
        <v>42875400</v>
      </c>
      <c r="L8">
        <v>43196400</v>
      </c>
      <c r="M8">
        <v>43512200</v>
      </c>
      <c r="N8">
        <v>43823300</v>
      </c>
      <c r="O8">
        <v>44130500</v>
      </c>
      <c r="P8">
        <v>44434600</v>
      </c>
      <c r="Q8">
        <v>44736300</v>
      </c>
      <c r="R8">
        <v>45036500</v>
      </c>
      <c r="S8">
        <v>45335800</v>
      </c>
      <c r="T8">
        <v>45635000</v>
      </c>
      <c r="U8">
        <v>45934500</v>
      </c>
      <c r="V8">
        <v>46235000</v>
      </c>
      <c r="W8">
        <v>46536700</v>
      </c>
      <c r="X8">
        <v>46840000</v>
      </c>
      <c r="Y8">
        <v>47145100</v>
      </c>
      <c r="Z8">
        <v>47452000</v>
      </c>
      <c r="AA8">
        <v>47761100</v>
      </c>
      <c r="AB8">
        <v>48072300</v>
      </c>
      <c r="AC8">
        <v>48385900</v>
      </c>
      <c r="AD8">
        <v>48701600</v>
      </c>
    </row>
    <row r="9" spans="1:30" x14ac:dyDescent="0.2">
      <c r="A9">
        <v>1</v>
      </c>
      <c r="B9" t="s">
        <v>6</v>
      </c>
      <c r="C9" t="s">
        <v>115</v>
      </c>
      <c r="D9">
        <v>1</v>
      </c>
      <c r="E9">
        <v>41651700</v>
      </c>
      <c r="F9">
        <v>41932300</v>
      </c>
      <c r="G9">
        <v>42145000</v>
      </c>
      <c r="H9">
        <v>42495100</v>
      </c>
      <c r="I9">
        <v>43019100</v>
      </c>
      <c r="J9">
        <v>43541900</v>
      </c>
      <c r="K9">
        <v>44064900</v>
      </c>
      <c r="L9">
        <v>44589200</v>
      </c>
      <c r="M9">
        <v>45115400</v>
      </c>
      <c r="N9">
        <v>45644400</v>
      </c>
      <c r="O9">
        <v>46177200</v>
      </c>
      <c r="P9">
        <v>46714500</v>
      </c>
      <c r="Q9">
        <v>47257200</v>
      </c>
      <c r="R9">
        <v>47806300</v>
      </c>
      <c r="S9">
        <v>48362800</v>
      </c>
      <c r="T9">
        <v>48927200</v>
      </c>
      <c r="U9">
        <v>49500600</v>
      </c>
      <c r="V9">
        <v>50083300</v>
      </c>
      <c r="W9">
        <v>50676000</v>
      </c>
      <c r="X9">
        <v>51279200</v>
      </c>
      <c r="Y9">
        <v>51893200</v>
      </c>
      <c r="Z9">
        <v>52518200</v>
      </c>
      <c r="AA9">
        <v>53154800</v>
      </c>
      <c r="AB9">
        <v>53803400</v>
      </c>
      <c r="AC9">
        <v>54464200</v>
      </c>
      <c r="AD9">
        <v>55137300</v>
      </c>
    </row>
    <row r="10" spans="1:30" x14ac:dyDescent="0.2">
      <c r="A10">
        <v>1</v>
      </c>
      <c r="B10" t="s">
        <v>159</v>
      </c>
      <c r="C10" t="s">
        <v>108</v>
      </c>
      <c r="D10">
        <v>2</v>
      </c>
      <c r="E10">
        <v>1871200</v>
      </c>
      <c r="F10">
        <v>1851100</v>
      </c>
      <c r="G10">
        <v>1816400</v>
      </c>
      <c r="H10">
        <v>1784200</v>
      </c>
      <c r="I10">
        <v>1737200</v>
      </c>
      <c r="J10">
        <v>1679000</v>
      </c>
      <c r="K10">
        <v>1636100</v>
      </c>
      <c r="L10">
        <v>1604900</v>
      </c>
      <c r="M10">
        <v>1581500</v>
      </c>
      <c r="N10">
        <v>1563000</v>
      </c>
      <c r="O10">
        <v>1548400</v>
      </c>
      <c r="P10">
        <v>1537400</v>
      </c>
      <c r="Q10">
        <v>1529900</v>
      </c>
      <c r="R10">
        <v>1525800</v>
      </c>
      <c r="S10">
        <v>1524900</v>
      </c>
      <c r="T10">
        <v>1526800</v>
      </c>
      <c r="U10">
        <v>1530900</v>
      </c>
      <c r="V10">
        <v>1536800</v>
      </c>
      <c r="W10">
        <v>1543600</v>
      </c>
      <c r="X10">
        <v>1550600</v>
      </c>
      <c r="Y10">
        <v>1557200</v>
      </c>
      <c r="Z10">
        <v>1562600</v>
      </c>
      <c r="AA10">
        <v>1566300</v>
      </c>
      <c r="AB10">
        <v>1567900</v>
      </c>
      <c r="AC10">
        <v>1567400</v>
      </c>
      <c r="AD10">
        <v>1564700</v>
      </c>
    </row>
    <row r="11" spans="1:30" x14ac:dyDescent="0.2">
      <c r="A11">
        <v>1</v>
      </c>
      <c r="B11" t="s">
        <v>159</v>
      </c>
      <c r="C11" t="s">
        <v>109</v>
      </c>
      <c r="D11">
        <v>2</v>
      </c>
      <c r="E11">
        <v>1871200</v>
      </c>
      <c r="F11">
        <v>1867700</v>
      </c>
      <c r="G11">
        <v>1857800</v>
      </c>
      <c r="H11">
        <v>1856100</v>
      </c>
      <c r="I11">
        <v>1844400</v>
      </c>
      <c r="J11">
        <v>1825500</v>
      </c>
      <c r="K11">
        <v>1812400</v>
      </c>
      <c r="L11">
        <v>1805800</v>
      </c>
      <c r="M11">
        <v>1804300</v>
      </c>
      <c r="N11">
        <v>1806100</v>
      </c>
      <c r="O11">
        <v>1810900</v>
      </c>
      <c r="P11">
        <v>1818700</v>
      </c>
      <c r="Q11">
        <v>1829700</v>
      </c>
      <c r="R11">
        <v>1843800</v>
      </c>
      <c r="S11">
        <v>1861000</v>
      </c>
      <c r="T11">
        <v>1880800</v>
      </c>
      <c r="U11">
        <v>1902800</v>
      </c>
      <c r="V11">
        <v>1926200</v>
      </c>
      <c r="W11">
        <v>1950300</v>
      </c>
      <c r="X11">
        <v>1974400</v>
      </c>
      <c r="Y11">
        <v>1997900</v>
      </c>
      <c r="Z11">
        <v>2020000</v>
      </c>
      <c r="AA11">
        <v>2040200</v>
      </c>
      <c r="AB11">
        <v>2058100</v>
      </c>
      <c r="AC11">
        <v>2073200</v>
      </c>
      <c r="AD11">
        <v>2085100</v>
      </c>
    </row>
    <row r="12" spans="1:30" x14ac:dyDescent="0.2">
      <c r="A12">
        <v>1</v>
      </c>
      <c r="B12" t="s">
        <v>159</v>
      </c>
      <c r="C12" t="s">
        <v>110</v>
      </c>
      <c r="D12">
        <v>2</v>
      </c>
      <c r="E12">
        <v>1871200</v>
      </c>
      <c r="F12">
        <v>1867700</v>
      </c>
      <c r="G12">
        <v>1857700</v>
      </c>
      <c r="H12">
        <v>1856000</v>
      </c>
      <c r="I12">
        <v>1844200</v>
      </c>
      <c r="J12">
        <v>1825200</v>
      </c>
      <c r="K12">
        <v>1812000</v>
      </c>
      <c r="L12">
        <v>1805300</v>
      </c>
      <c r="M12">
        <v>1803900</v>
      </c>
      <c r="N12">
        <v>1805800</v>
      </c>
      <c r="O12">
        <v>1810800</v>
      </c>
      <c r="P12">
        <v>1818800</v>
      </c>
      <c r="Q12">
        <v>1830100</v>
      </c>
      <c r="R12">
        <v>1844600</v>
      </c>
      <c r="S12">
        <v>1862200</v>
      </c>
      <c r="T12">
        <v>1882400</v>
      </c>
      <c r="U12">
        <v>1904700</v>
      </c>
      <c r="V12">
        <v>1928500</v>
      </c>
      <c r="W12">
        <v>1952900</v>
      </c>
      <c r="X12">
        <v>1977200</v>
      </c>
      <c r="Y12">
        <v>2000900</v>
      </c>
      <c r="Z12">
        <v>2023100</v>
      </c>
      <c r="AA12">
        <v>2043500</v>
      </c>
      <c r="AB12">
        <v>2061500</v>
      </c>
      <c r="AC12">
        <v>2076700</v>
      </c>
      <c r="AD12">
        <v>2088700</v>
      </c>
    </row>
    <row r="13" spans="1:30" x14ac:dyDescent="0.2">
      <c r="A13">
        <v>1</v>
      </c>
      <c r="B13" t="s">
        <v>159</v>
      </c>
      <c r="C13" t="s">
        <v>111</v>
      </c>
      <c r="D13">
        <v>2</v>
      </c>
      <c r="E13">
        <v>1871200</v>
      </c>
      <c r="F13">
        <v>1867700</v>
      </c>
      <c r="G13">
        <v>1857600</v>
      </c>
      <c r="H13">
        <v>1855900</v>
      </c>
      <c r="I13">
        <v>1844000</v>
      </c>
      <c r="J13">
        <v>1824900</v>
      </c>
      <c r="K13">
        <v>1811600</v>
      </c>
      <c r="L13">
        <v>1804700</v>
      </c>
      <c r="M13">
        <v>1803100</v>
      </c>
      <c r="N13">
        <v>1804900</v>
      </c>
      <c r="O13">
        <v>1809800</v>
      </c>
      <c r="P13">
        <v>1817700</v>
      </c>
      <c r="Q13">
        <v>1828900</v>
      </c>
      <c r="R13">
        <v>1843300</v>
      </c>
      <c r="S13">
        <v>1860800</v>
      </c>
      <c r="T13">
        <v>1880900</v>
      </c>
      <c r="U13">
        <v>1903100</v>
      </c>
      <c r="V13">
        <v>1926800</v>
      </c>
      <c r="W13">
        <v>1951100</v>
      </c>
      <c r="X13">
        <v>1975400</v>
      </c>
      <c r="Y13">
        <v>1998900</v>
      </c>
      <c r="Z13">
        <v>2021100</v>
      </c>
      <c r="AA13">
        <v>2041300</v>
      </c>
      <c r="AB13">
        <v>2059200</v>
      </c>
      <c r="AC13">
        <v>2074300</v>
      </c>
      <c r="AD13">
        <v>2086200</v>
      </c>
    </row>
    <row r="14" spans="1:30" x14ac:dyDescent="0.2">
      <c r="A14">
        <v>1</v>
      </c>
      <c r="B14" t="s">
        <v>159</v>
      </c>
      <c r="C14" t="s">
        <v>112</v>
      </c>
      <c r="D14">
        <v>2</v>
      </c>
      <c r="E14">
        <v>1871200</v>
      </c>
      <c r="F14">
        <v>1867700</v>
      </c>
      <c r="G14">
        <v>1857700</v>
      </c>
      <c r="H14">
        <v>1855900</v>
      </c>
      <c r="I14">
        <v>1844100</v>
      </c>
      <c r="J14">
        <v>1825000</v>
      </c>
      <c r="K14">
        <v>1811700</v>
      </c>
      <c r="L14">
        <v>1805000</v>
      </c>
      <c r="M14">
        <v>1803400</v>
      </c>
      <c r="N14">
        <v>1805300</v>
      </c>
      <c r="O14">
        <v>1810200</v>
      </c>
      <c r="P14">
        <v>1818100</v>
      </c>
      <c r="Q14">
        <v>1829300</v>
      </c>
      <c r="R14">
        <v>1843600</v>
      </c>
      <c r="S14">
        <v>1861100</v>
      </c>
      <c r="T14">
        <v>1881100</v>
      </c>
      <c r="U14">
        <v>1903300</v>
      </c>
      <c r="V14">
        <v>1926800</v>
      </c>
      <c r="W14">
        <v>1951100</v>
      </c>
      <c r="X14">
        <v>1975200</v>
      </c>
      <c r="Y14">
        <v>1998700</v>
      </c>
      <c r="Z14">
        <v>2020800</v>
      </c>
      <c r="AA14">
        <v>2041000</v>
      </c>
      <c r="AB14">
        <v>2058800</v>
      </c>
      <c r="AC14">
        <v>2073800</v>
      </c>
      <c r="AD14">
        <v>2085700</v>
      </c>
    </row>
    <row r="15" spans="1:30" x14ac:dyDescent="0.2">
      <c r="A15">
        <v>1</v>
      </c>
      <c r="B15" t="s">
        <v>159</v>
      </c>
      <c r="C15" t="s">
        <v>113</v>
      </c>
      <c r="D15">
        <v>2</v>
      </c>
      <c r="E15">
        <v>1871200</v>
      </c>
      <c r="F15">
        <v>1867600</v>
      </c>
      <c r="G15">
        <v>1857500</v>
      </c>
      <c r="H15">
        <v>1855500</v>
      </c>
      <c r="I15">
        <v>1843300</v>
      </c>
      <c r="J15">
        <v>1823800</v>
      </c>
      <c r="K15">
        <v>1810100</v>
      </c>
      <c r="L15">
        <v>1802800</v>
      </c>
      <c r="M15">
        <v>1800800</v>
      </c>
      <c r="N15">
        <v>1802300</v>
      </c>
      <c r="O15">
        <v>1806700</v>
      </c>
      <c r="P15">
        <v>1814300</v>
      </c>
      <c r="Q15">
        <v>1825000</v>
      </c>
      <c r="R15">
        <v>1839000</v>
      </c>
      <c r="S15">
        <v>1856000</v>
      </c>
      <c r="T15">
        <v>1875700</v>
      </c>
      <c r="U15">
        <v>1897400</v>
      </c>
      <c r="V15">
        <v>1920600</v>
      </c>
      <c r="W15">
        <v>1944400</v>
      </c>
      <c r="X15">
        <v>1968200</v>
      </c>
      <c r="Y15">
        <v>1991300</v>
      </c>
      <c r="Z15">
        <v>2013000</v>
      </c>
      <c r="AA15">
        <v>2032800</v>
      </c>
      <c r="AB15">
        <v>2050300</v>
      </c>
      <c r="AC15">
        <v>2065000</v>
      </c>
      <c r="AD15">
        <v>2076500</v>
      </c>
    </row>
    <row r="16" spans="1:30" x14ac:dyDescent="0.2">
      <c r="A16">
        <v>1</v>
      </c>
      <c r="B16" t="s">
        <v>159</v>
      </c>
      <c r="C16" t="s">
        <v>114</v>
      </c>
      <c r="D16">
        <v>2</v>
      </c>
      <c r="E16">
        <v>1871200</v>
      </c>
      <c r="F16">
        <v>1867700</v>
      </c>
      <c r="G16">
        <v>1857800</v>
      </c>
      <c r="H16">
        <v>1856100</v>
      </c>
      <c r="I16">
        <v>1844500</v>
      </c>
      <c r="J16">
        <v>1825700</v>
      </c>
      <c r="K16">
        <v>1812700</v>
      </c>
      <c r="L16">
        <v>1806200</v>
      </c>
      <c r="M16">
        <v>1804900</v>
      </c>
      <c r="N16">
        <v>1807000</v>
      </c>
      <c r="O16">
        <v>1812100</v>
      </c>
      <c r="P16">
        <v>1820300</v>
      </c>
      <c r="Q16">
        <v>1831600</v>
      </c>
      <c r="R16">
        <v>1846100</v>
      </c>
      <c r="S16">
        <v>1863600</v>
      </c>
      <c r="T16">
        <v>1883800</v>
      </c>
      <c r="U16">
        <v>1906000</v>
      </c>
      <c r="V16">
        <v>1929700</v>
      </c>
      <c r="W16">
        <v>1954000</v>
      </c>
      <c r="X16">
        <v>1978400</v>
      </c>
      <c r="Y16">
        <v>2002000</v>
      </c>
      <c r="Z16">
        <v>2024200</v>
      </c>
      <c r="AA16">
        <v>2044600</v>
      </c>
      <c r="AB16">
        <v>2062600</v>
      </c>
      <c r="AC16">
        <v>2077900</v>
      </c>
      <c r="AD16">
        <v>2090000</v>
      </c>
    </row>
    <row r="17" spans="1:30" x14ac:dyDescent="0.2">
      <c r="A17">
        <v>1</v>
      </c>
      <c r="B17" t="s">
        <v>159</v>
      </c>
      <c r="C17" t="s">
        <v>115</v>
      </c>
      <c r="D17">
        <v>2</v>
      </c>
      <c r="E17">
        <v>1871200</v>
      </c>
      <c r="F17">
        <v>1885100</v>
      </c>
      <c r="G17">
        <v>1901900</v>
      </c>
      <c r="H17">
        <v>1933200</v>
      </c>
      <c r="I17">
        <v>1959800</v>
      </c>
      <c r="J17">
        <v>1983700</v>
      </c>
      <c r="K17">
        <v>2004100</v>
      </c>
      <c r="L17">
        <v>2025700</v>
      </c>
      <c r="M17">
        <v>2049900</v>
      </c>
      <c r="N17">
        <v>2076100</v>
      </c>
      <c r="O17">
        <v>2104300</v>
      </c>
      <c r="P17">
        <v>2135200</v>
      </c>
      <c r="Q17">
        <v>2169000</v>
      </c>
      <c r="R17">
        <v>2205900</v>
      </c>
      <c r="S17">
        <v>2245900</v>
      </c>
      <c r="T17">
        <v>2288700</v>
      </c>
      <c r="U17">
        <v>2333700</v>
      </c>
      <c r="V17">
        <v>2380300</v>
      </c>
      <c r="W17">
        <v>2427700</v>
      </c>
      <c r="X17">
        <v>2475200</v>
      </c>
      <c r="Y17">
        <v>2522000</v>
      </c>
      <c r="Z17">
        <v>2567500</v>
      </c>
      <c r="AA17">
        <v>2611200</v>
      </c>
      <c r="AB17">
        <v>2652500</v>
      </c>
      <c r="AC17">
        <v>2691200</v>
      </c>
      <c r="AD17">
        <v>2726700</v>
      </c>
    </row>
    <row r="18" spans="1:30" x14ac:dyDescent="0.2">
      <c r="A18">
        <v>1</v>
      </c>
      <c r="B18" t="s">
        <v>160</v>
      </c>
      <c r="C18" t="s">
        <v>108</v>
      </c>
      <c r="D18">
        <v>3</v>
      </c>
      <c r="E18">
        <v>2138400</v>
      </c>
      <c r="F18">
        <v>2093600</v>
      </c>
      <c r="G18">
        <v>2062100</v>
      </c>
      <c r="H18">
        <v>2026600</v>
      </c>
      <c r="I18">
        <v>2006300</v>
      </c>
      <c r="J18">
        <v>1997200</v>
      </c>
      <c r="K18">
        <v>1977300</v>
      </c>
      <c r="L18">
        <v>1940500</v>
      </c>
      <c r="M18">
        <v>1906900</v>
      </c>
      <c r="N18">
        <v>1859400</v>
      </c>
      <c r="O18">
        <v>1800700</v>
      </c>
      <c r="P18">
        <v>1757300</v>
      </c>
      <c r="Q18">
        <v>1725400</v>
      </c>
      <c r="R18">
        <v>1701300</v>
      </c>
      <c r="S18">
        <v>1682200</v>
      </c>
      <c r="T18">
        <v>1666900</v>
      </c>
      <c r="U18">
        <v>1655300</v>
      </c>
      <c r="V18">
        <v>1647200</v>
      </c>
      <c r="W18">
        <v>1642400</v>
      </c>
      <c r="X18">
        <v>1640900</v>
      </c>
      <c r="Y18">
        <v>1642200</v>
      </c>
      <c r="Z18">
        <v>1645800</v>
      </c>
      <c r="AA18">
        <v>1651100</v>
      </c>
      <c r="AB18">
        <v>1657400</v>
      </c>
      <c r="AC18">
        <v>1663900</v>
      </c>
      <c r="AD18">
        <v>1670100</v>
      </c>
    </row>
    <row r="19" spans="1:30" x14ac:dyDescent="0.2">
      <c r="A19">
        <v>1</v>
      </c>
      <c r="B19" t="s">
        <v>160</v>
      </c>
      <c r="C19" t="s">
        <v>109</v>
      </c>
      <c r="D19">
        <v>3</v>
      </c>
      <c r="E19">
        <v>2138400</v>
      </c>
      <c r="F19">
        <v>2101500</v>
      </c>
      <c r="G19">
        <v>2075300</v>
      </c>
      <c r="H19">
        <v>2044500</v>
      </c>
      <c r="I19">
        <v>2029500</v>
      </c>
      <c r="J19">
        <v>2025600</v>
      </c>
      <c r="K19">
        <v>2024400</v>
      </c>
      <c r="L19">
        <v>2014800</v>
      </c>
      <c r="M19">
        <v>2014100</v>
      </c>
      <c r="N19">
        <v>2003800</v>
      </c>
      <c r="O19">
        <v>1986200</v>
      </c>
      <c r="P19">
        <v>1974300</v>
      </c>
      <c r="Q19">
        <v>1968600</v>
      </c>
      <c r="R19">
        <v>1968100</v>
      </c>
      <c r="S19">
        <v>1970900</v>
      </c>
      <c r="T19">
        <v>1976600</v>
      </c>
      <c r="U19">
        <v>1985400</v>
      </c>
      <c r="V19">
        <v>1997200</v>
      </c>
      <c r="W19">
        <v>2012200</v>
      </c>
      <c r="X19">
        <v>2030300</v>
      </c>
      <c r="Y19">
        <v>2051000</v>
      </c>
      <c r="Z19">
        <v>2073800</v>
      </c>
      <c r="AA19">
        <v>2098100</v>
      </c>
      <c r="AB19">
        <v>2123200</v>
      </c>
      <c r="AC19">
        <v>2148400</v>
      </c>
      <c r="AD19">
        <v>2173000</v>
      </c>
    </row>
    <row r="20" spans="1:30" x14ac:dyDescent="0.2">
      <c r="A20">
        <v>1</v>
      </c>
      <c r="B20" t="s">
        <v>160</v>
      </c>
      <c r="C20" t="s">
        <v>110</v>
      </c>
      <c r="D20">
        <v>3</v>
      </c>
      <c r="E20">
        <v>2138400</v>
      </c>
      <c r="F20">
        <v>2101500</v>
      </c>
      <c r="G20">
        <v>2075200</v>
      </c>
      <c r="H20">
        <v>2044500</v>
      </c>
      <c r="I20">
        <v>2029500</v>
      </c>
      <c r="J20">
        <v>2025500</v>
      </c>
      <c r="K20">
        <v>2024400</v>
      </c>
      <c r="L20">
        <v>2014700</v>
      </c>
      <c r="M20">
        <v>2013900</v>
      </c>
      <c r="N20">
        <v>2003600</v>
      </c>
      <c r="O20">
        <v>1985900</v>
      </c>
      <c r="P20">
        <v>1973900</v>
      </c>
      <c r="Q20">
        <v>1968200</v>
      </c>
      <c r="R20">
        <v>1967700</v>
      </c>
      <c r="S20">
        <v>1970600</v>
      </c>
      <c r="T20">
        <v>1976500</v>
      </c>
      <c r="U20">
        <v>1985400</v>
      </c>
      <c r="V20">
        <v>1997600</v>
      </c>
      <c r="W20">
        <v>2013000</v>
      </c>
      <c r="X20">
        <v>2031400</v>
      </c>
      <c r="Y20">
        <v>2052500</v>
      </c>
      <c r="Z20">
        <v>2075700</v>
      </c>
      <c r="AA20">
        <v>2100400</v>
      </c>
      <c r="AB20">
        <v>2125800</v>
      </c>
      <c r="AC20">
        <v>2151200</v>
      </c>
      <c r="AD20">
        <v>2176000</v>
      </c>
    </row>
    <row r="21" spans="1:30" x14ac:dyDescent="0.2">
      <c r="A21">
        <v>1</v>
      </c>
      <c r="B21" t="s">
        <v>160</v>
      </c>
      <c r="C21" t="s">
        <v>111</v>
      </c>
      <c r="D21">
        <v>3</v>
      </c>
      <c r="E21">
        <v>2138400</v>
      </c>
      <c r="F21">
        <v>2101500</v>
      </c>
      <c r="G21">
        <v>2075200</v>
      </c>
      <c r="H21">
        <v>2044500</v>
      </c>
      <c r="I21">
        <v>2029400</v>
      </c>
      <c r="J21">
        <v>2025500</v>
      </c>
      <c r="K21">
        <v>2024300</v>
      </c>
      <c r="L21">
        <v>2014600</v>
      </c>
      <c r="M21">
        <v>2013800</v>
      </c>
      <c r="N21">
        <v>2003400</v>
      </c>
      <c r="O21">
        <v>1985600</v>
      </c>
      <c r="P21">
        <v>1973400</v>
      </c>
      <c r="Q21">
        <v>1967600</v>
      </c>
      <c r="R21">
        <v>1966900</v>
      </c>
      <c r="S21">
        <v>1969700</v>
      </c>
      <c r="T21">
        <v>1975500</v>
      </c>
      <c r="U21">
        <v>1984300</v>
      </c>
      <c r="V21">
        <v>1996400</v>
      </c>
      <c r="W21">
        <v>2011700</v>
      </c>
      <c r="X21">
        <v>2030000</v>
      </c>
      <c r="Y21">
        <v>2051000</v>
      </c>
      <c r="Z21">
        <v>2074200</v>
      </c>
      <c r="AA21">
        <v>2098700</v>
      </c>
      <c r="AB21">
        <v>2124100</v>
      </c>
      <c r="AC21">
        <v>2149400</v>
      </c>
      <c r="AD21">
        <v>2174000</v>
      </c>
    </row>
    <row r="22" spans="1:30" x14ac:dyDescent="0.2">
      <c r="A22">
        <v>1</v>
      </c>
      <c r="B22" t="s">
        <v>160</v>
      </c>
      <c r="C22" t="s">
        <v>112</v>
      </c>
      <c r="D22">
        <v>3</v>
      </c>
      <c r="E22">
        <v>2138400</v>
      </c>
      <c r="F22">
        <v>2101500</v>
      </c>
      <c r="G22">
        <v>2075200</v>
      </c>
      <c r="H22">
        <v>2044500</v>
      </c>
      <c r="I22">
        <v>2029400</v>
      </c>
      <c r="J22">
        <v>2025500</v>
      </c>
      <c r="K22">
        <v>2024300</v>
      </c>
      <c r="L22">
        <v>2014600</v>
      </c>
      <c r="M22">
        <v>2013800</v>
      </c>
      <c r="N22">
        <v>2003400</v>
      </c>
      <c r="O22">
        <v>1985700</v>
      </c>
      <c r="P22">
        <v>1973500</v>
      </c>
      <c r="Q22">
        <v>1967800</v>
      </c>
      <c r="R22">
        <v>1967200</v>
      </c>
      <c r="S22">
        <v>1970000</v>
      </c>
      <c r="T22">
        <v>1975800</v>
      </c>
      <c r="U22">
        <v>1984700</v>
      </c>
      <c r="V22">
        <v>1996700</v>
      </c>
      <c r="W22">
        <v>2011900</v>
      </c>
      <c r="X22">
        <v>2030200</v>
      </c>
      <c r="Y22">
        <v>2051200</v>
      </c>
      <c r="Z22">
        <v>2074200</v>
      </c>
      <c r="AA22">
        <v>2098700</v>
      </c>
      <c r="AB22">
        <v>2123900</v>
      </c>
      <c r="AC22">
        <v>2149200</v>
      </c>
      <c r="AD22">
        <v>2173700</v>
      </c>
    </row>
    <row r="23" spans="1:30" x14ac:dyDescent="0.2">
      <c r="A23">
        <v>1</v>
      </c>
      <c r="B23" t="s">
        <v>160</v>
      </c>
      <c r="C23" t="s">
        <v>113</v>
      </c>
      <c r="D23">
        <v>3</v>
      </c>
      <c r="E23">
        <v>2138400</v>
      </c>
      <c r="F23">
        <v>2101500</v>
      </c>
      <c r="G23">
        <v>2075200</v>
      </c>
      <c r="H23">
        <v>2044500</v>
      </c>
      <c r="I23">
        <v>2029400</v>
      </c>
      <c r="J23">
        <v>2025500</v>
      </c>
      <c r="K23">
        <v>2024200</v>
      </c>
      <c r="L23">
        <v>2014300</v>
      </c>
      <c r="M23">
        <v>2013300</v>
      </c>
      <c r="N23">
        <v>2002500</v>
      </c>
      <c r="O23">
        <v>1984400</v>
      </c>
      <c r="P23">
        <v>1971700</v>
      </c>
      <c r="Q23">
        <v>1965500</v>
      </c>
      <c r="R23">
        <v>1964500</v>
      </c>
      <c r="S23">
        <v>1966900</v>
      </c>
      <c r="T23">
        <v>1972300</v>
      </c>
      <c r="U23">
        <v>1980700</v>
      </c>
      <c r="V23">
        <v>1992300</v>
      </c>
      <c r="W23">
        <v>2007100</v>
      </c>
      <c r="X23">
        <v>2025000</v>
      </c>
      <c r="Y23">
        <v>2045600</v>
      </c>
      <c r="Z23">
        <v>2068200</v>
      </c>
      <c r="AA23">
        <v>2092300</v>
      </c>
      <c r="AB23">
        <v>2117100</v>
      </c>
      <c r="AC23">
        <v>2141900</v>
      </c>
      <c r="AD23">
        <v>2166100</v>
      </c>
    </row>
    <row r="24" spans="1:30" x14ac:dyDescent="0.2">
      <c r="A24">
        <v>1</v>
      </c>
      <c r="B24" t="s">
        <v>160</v>
      </c>
      <c r="C24" t="s">
        <v>114</v>
      </c>
      <c r="D24">
        <v>3</v>
      </c>
      <c r="E24">
        <v>2138400</v>
      </c>
      <c r="F24">
        <v>2101500</v>
      </c>
      <c r="G24">
        <v>2075300</v>
      </c>
      <c r="H24">
        <v>2044500</v>
      </c>
      <c r="I24">
        <v>2029500</v>
      </c>
      <c r="J24">
        <v>2025600</v>
      </c>
      <c r="K24">
        <v>2024400</v>
      </c>
      <c r="L24">
        <v>2014800</v>
      </c>
      <c r="M24">
        <v>2014100</v>
      </c>
      <c r="N24">
        <v>2003900</v>
      </c>
      <c r="O24">
        <v>1986400</v>
      </c>
      <c r="P24">
        <v>1974600</v>
      </c>
      <c r="Q24">
        <v>1969100</v>
      </c>
      <c r="R24">
        <v>1968800</v>
      </c>
      <c r="S24">
        <v>1971900</v>
      </c>
      <c r="T24">
        <v>1978000</v>
      </c>
      <c r="U24">
        <v>1987000</v>
      </c>
      <c r="V24">
        <v>1999200</v>
      </c>
      <c r="W24">
        <v>2014600</v>
      </c>
      <c r="X24">
        <v>2033100</v>
      </c>
      <c r="Y24">
        <v>2054100</v>
      </c>
      <c r="Z24">
        <v>2077300</v>
      </c>
      <c r="AA24">
        <v>2101900</v>
      </c>
      <c r="AB24">
        <v>2127200</v>
      </c>
      <c r="AC24">
        <v>2152600</v>
      </c>
      <c r="AD24">
        <v>2177300</v>
      </c>
    </row>
    <row r="25" spans="1:30" x14ac:dyDescent="0.2">
      <c r="A25">
        <v>1</v>
      </c>
      <c r="B25" t="s">
        <v>160</v>
      </c>
      <c r="C25" t="s">
        <v>115</v>
      </c>
      <c r="D25">
        <v>3</v>
      </c>
      <c r="E25">
        <v>2138400</v>
      </c>
      <c r="F25">
        <v>2110900</v>
      </c>
      <c r="G25">
        <v>2091000</v>
      </c>
      <c r="H25">
        <v>2066000</v>
      </c>
      <c r="I25">
        <v>2056900</v>
      </c>
      <c r="J25">
        <v>2058900</v>
      </c>
      <c r="K25">
        <v>2077600</v>
      </c>
      <c r="L25">
        <v>2097200</v>
      </c>
      <c r="M25">
        <v>2132000</v>
      </c>
      <c r="N25">
        <v>2162600</v>
      </c>
      <c r="O25">
        <v>2190300</v>
      </c>
      <c r="P25">
        <v>2214200</v>
      </c>
      <c r="Q25">
        <v>2239200</v>
      </c>
      <c r="R25">
        <v>2266700</v>
      </c>
      <c r="S25">
        <v>2296200</v>
      </c>
      <c r="T25">
        <v>2327700</v>
      </c>
      <c r="U25">
        <v>2361800</v>
      </c>
      <c r="V25">
        <v>2398800</v>
      </c>
      <c r="W25">
        <v>2439000</v>
      </c>
      <c r="X25">
        <v>2482300</v>
      </c>
      <c r="Y25">
        <v>2528400</v>
      </c>
      <c r="Z25">
        <v>2576800</v>
      </c>
      <c r="AA25">
        <v>2626800</v>
      </c>
      <c r="AB25">
        <v>2677800</v>
      </c>
      <c r="AC25">
        <v>2728900</v>
      </c>
      <c r="AD25">
        <v>2779500</v>
      </c>
    </row>
    <row r="26" spans="1:30" x14ac:dyDescent="0.2">
      <c r="A26">
        <v>1</v>
      </c>
      <c r="B26" t="s">
        <v>118</v>
      </c>
      <c r="C26" t="s">
        <v>108</v>
      </c>
      <c r="D26">
        <v>4</v>
      </c>
      <c r="E26">
        <v>2251600</v>
      </c>
      <c r="F26">
        <v>2246200</v>
      </c>
      <c r="G26">
        <v>2239900</v>
      </c>
      <c r="H26">
        <v>2227800</v>
      </c>
      <c r="I26">
        <v>2215000</v>
      </c>
      <c r="J26">
        <v>2193200</v>
      </c>
      <c r="K26">
        <v>2164200</v>
      </c>
      <c r="L26">
        <v>2140900</v>
      </c>
      <c r="M26">
        <v>2109800</v>
      </c>
      <c r="N26">
        <v>2090400</v>
      </c>
      <c r="O26">
        <v>2081900</v>
      </c>
      <c r="P26">
        <v>2061700</v>
      </c>
      <c r="Q26">
        <v>2024700</v>
      </c>
      <c r="R26">
        <v>1991100</v>
      </c>
      <c r="S26">
        <v>1943600</v>
      </c>
      <c r="T26">
        <v>1885100</v>
      </c>
      <c r="U26">
        <v>1841700</v>
      </c>
      <c r="V26">
        <v>1809900</v>
      </c>
      <c r="W26">
        <v>1785700</v>
      </c>
      <c r="X26">
        <v>1766600</v>
      </c>
      <c r="Y26">
        <v>1751200</v>
      </c>
      <c r="Z26">
        <v>1739600</v>
      </c>
      <c r="AA26">
        <v>1731300</v>
      </c>
      <c r="AB26">
        <v>1726500</v>
      </c>
      <c r="AC26">
        <v>1724900</v>
      </c>
      <c r="AD26">
        <v>1726200</v>
      </c>
    </row>
    <row r="27" spans="1:30" x14ac:dyDescent="0.2">
      <c r="A27">
        <v>1</v>
      </c>
      <c r="B27" t="s">
        <v>118</v>
      </c>
      <c r="C27" t="s">
        <v>109</v>
      </c>
      <c r="D27">
        <v>4</v>
      </c>
      <c r="E27">
        <v>2251600</v>
      </c>
      <c r="F27">
        <v>2254000</v>
      </c>
      <c r="G27">
        <v>2252500</v>
      </c>
      <c r="H27">
        <v>2245000</v>
      </c>
      <c r="I27">
        <v>2237500</v>
      </c>
      <c r="J27">
        <v>2221200</v>
      </c>
      <c r="K27">
        <v>2198300</v>
      </c>
      <c r="L27">
        <v>2181400</v>
      </c>
      <c r="M27">
        <v>2156800</v>
      </c>
      <c r="N27">
        <v>2144200</v>
      </c>
      <c r="O27">
        <v>2142400</v>
      </c>
      <c r="P27">
        <v>2142000</v>
      </c>
      <c r="Q27">
        <v>2133200</v>
      </c>
      <c r="R27">
        <v>2133300</v>
      </c>
      <c r="S27">
        <v>2124000</v>
      </c>
      <c r="T27">
        <v>2107500</v>
      </c>
      <c r="U27">
        <v>2096500</v>
      </c>
      <c r="V27">
        <v>2091800</v>
      </c>
      <c r="W27">
        <v>2092300</v>
      </c>
      <c r="X27">
        <v>2096100</v>
      </c>
      <c r="Y27">
        <v>2102800</v>
      </c>
      <c r="Z27">
        <v>2112500</v>
      </c>
      <c r="AA27">
        <v>2125400</v>
      </c>
      <c r="AB27">
        <v>2141500</v>
      </c>
      <c r="AC27">
        <v>2160600</v>
      </c>
      <c r="AD27">
        <v>2182400</v>
      </c>
    </row>
    <row r="28" spans="1:30" x14ac:dyDescent="0.2">
      <c r="A28">
        <v>1</v>
      </c>
      <c r="B28" t="s">
        <v>118</v>
      </c>
      <c r="C28" t="s">
        <v>110</v>
      </c>
      <c r="D28">
        <v>4</v>
      </c>
      <c r="E28">
        <v>2251600</v>
      </c>
      <c r="F28">
        <v>2254000</v>
      </c>
      <c r="G28">
        <v>2252500</v>
      </c>
      <c r="H28">
        <v>2245000</v>
      </c>
      <c r="I28">
        <v>2237500</v>
      </c>
      <c r="J28">
        <v>2221200</v>
      </c>
      <c r="K28">
        <v>2198200</v>
      </c>
      <c r="L28">
        <v>2181300</v>
      </c>
      <c r="M28">
        <v>2156800</v>
      </c>
      <c r="N28">
        <v>2144100</v>
      </c>
      <c r="O28">
        <v>2142400</v>
      </c>
      <c r="P28">
        <v>2142000</v>
      </c>
      <c r="Q28">
        <v>2133100</v>
      </c>
      <c r="R28">
        <v>2133200</v>
      </c>
      <c r="S28">
        <v>2123800</v>
      </c>
      <c r="T28">
        <v>2107200</v>
      </c>
      <c r="U28">
        <v>2096100</v>
      </c>
      <c r="V28">
        <v>2091400</v>
      </c>
      <c r="W28">
        <v>2091900</v>
      </c>
      <c r="X28">
        <v>2095800</v>
      </c>
      <c r="Y28">
        <v>2102600</v>
      </c>
      <c r="Z28">
        <v>2112600</v>
      </c>
      <c r="AA28">
        <v>2125800</v>
      </c>
      <c r="AB28">
        <v>2142200</v>
      </c>
      <c r="AC28">
        <v>2161700</v>
      </c>
      <c r="AD28">
        <v>2183900</v>
      </c>
    </row>
    <row r="29" spans="1:30" x14ac:dyDescent="0.2">
      <c r="A29">
        <v>1</v>
      </c>
      <c r="B29" t="s">
        <v>118</v>
      </c>
      <c r="C29" t="s">
        <v>111</v>
      </c>
      <c r="D29">
        <v>4</v>
      </c>
      <c r="E29">
        <v>2251600</v>
      </c>
      <c r="F29">
        <v>2254000</v>
      </c>
      <c r="G29">
        <v>2252500</v>
      </c>
      <c r="H29">
        <v>2245000</v>
      </c>
      <c r="I29">
        <v>2237500</v>
      </c>
      <c r="J29">
        <v>2221200</v>
      </c>
      <c r="K29">
        <v>2198300</v>
      </c>
      <c r="L29">
        <v>2181400</v>
      </c>
      <c r="M29">
        <v>2156800</v>
      </c>
      <c r="N29">
        <v>2144200</v>
      </c>
      <c r="O29">
        <v>2142500</v>
      </c>
      <c r="P29">
        <v>2142000</v>
      </c>
      <c r="Q29">
        <v>2133200</v>
      </c>
      <c r="R29">
        <v>2133200</v>
      </c>
      <c r="S29">
        <v>2123700</v>
      </c>
      <c r="T29">
        <v>2106900</v>
      </c>
      <c r="U29">
        <v>2095700</v>
      </c>
      <c r="V29">
        <v>2090900</v>
      </c>
      <c r="W29">
        <v>2091300</v>
      </c>
      <c r="X29">
        <v>2095000</v>
      </c>
      <c r="Y29">
        <v>2101800</v>
      </c>
      <c r="Z29">
        <v>2111700</v>
      </c>
      <c r="AA29">
        <v>2124700</v>
      </c>
      <c r="AB29">
        <v>2141100</v>
      </c>
      <c r="AC29">
        <v>2160500</v>
      </c>
      <c r="AD29">
        <v>2182600</v>
      </c>
    </row>
    <row r="30" spans="1:30" x14ac:dyDescent="0.2">
      <c r="A30">
        <v>1</v>
      </c>
      <c r="B30" t="s">
        <v>118</v>
      </c>
      <c r="C30" t="s">
        <v>112</v>
      </c>
      <c r="D30">
        <v>4</v>
      </c>
      <c r="E30">
        <v>2251600</v>
      </c>
      <c r="F30">
        <v>2254000</v>
      </c>
      <c r="G30">
        <v>2252500</v>
      </c>
      <c r="H30">
        <v>2245000</v>
      </c>
      <c r="I30">
        <v>2237500</v>
      </c>
      <c r="J30">
        <v>2221200</v>
      </c>
      <c r="K30">
        <v>2198200</v>
      </c>
      <c r="L30">
        <v>2181300</v>
      </c>
      <c r="M30">
        <v>2156800</v>
      </c>
      <c r="N30">
        <v>2144100</v>
      </c>
      <c r="O30">
        <v>2142400</v>
      </c>
      <c r="P30">
        <v>2142000</v>
      </c>
      <c r="Q30">
        <v>2133100</v>
      </c>
      <c r="R30">
        <v>2133100</v>
      </c>
      <c r="S30">
        <v>2123600</v>
      </c>
      <c r="T30">
        <v>2106900</v>
      </c>
      <c r="U30">
        <v>2095800</v>
      </c>
      <c r="V30">
        <v>2091000</v>
      </c>
      <c r="W30">
        <v>2091400</v>
      </c>
      <c r="X30">
        <v>2095300</v>
      </c>
      <c r="Y30">
        <v>2102000</v>
      </c>
      <c r="Z30">
        <v>2111900</v>
      </c>
      <c r="AA30">
        <v>2125000</v>
      </c>
      <c r="AB30">
        <v>2141300</v>
      </c>
      <c r="AC30">
        <v>2160600</v>
      </c>
      <c r="AD30">
        <v>2182700</v>
      </c>
    </row>
    <row r="31" spans="1:30" x14ac:dyDescent="0.2">
      <c r="A31">
        <v>1</v>
      </c>
      <c r="B31" t="s">
        <v>118</v>
      </c>
      <c r="C31" t="s">
        <v>113</v>
      </c>
      <c r="D31">
        <v>4</v>
      </c>
      <c r="E31">
        <v>2251600</v>
      </c>
      <c r="F31">
        <v>2254000</v>
      </c>
      <c r="G31">
        <v>2252400</v>
      </c>
      <c r="H31">
        <v>2245000</v>
      </c>
      <c r="I31">
        <v>2237400</v>
      </c>
      <c r="J31">
        <v>2221200</v>
      </c>
      <c r="K31">
        <v>2198200</v>
      </c>
      <c r="L31">
        <v>2181300</v>
      </c>
      <c r="M31">
        <v>2156800</v>
      </c>
      <c r="N31">
        <v>2144100</v>
      </c>
      <c r="O31">
        <v>2142300</v>
      </c>
      <c r="P31">
        <v>2141900</v>
      </c>
      <c r="Q31">
        <v>2132800</v>
      </c>
      <c r="R31">
        <v>2132600</v>
      </c>
      <c r="S31">
        <v>2122800</v>
      </c>
      <c r="T31">
        <v>2105700</v>
      </c>
      <c r="U31">
        <v>2094000</v>
      </c>
      <c r="V31">
        <v>2088800</v>
      </c>
      <c r="W31">
        <v>2088800</v>
      </c>
      <c r="X31">
        <v>2092200</v>
      </c>
      <c r="Y31">
        <v>2098500</v>
      </c>
      <c r="Z31">
        <v>2108000</v>
      </c>
      <c r="AA31">
        <v>2120600</v>
      </c>
      <c r="AB31">
        <v>2136500</v>
      </c>
      <c r="AC31">
        <v>2155500</v>
      </c>
      <c r="AD31">
        <v>2177100</v>
      </c>
    </row>
    <row r="32" spans="1:30" x14ac:dyDescent="0.2">
      <c r="A32">
        <v>1</v>
      </c>
      <c r="B32" t="s">
        <v>118</v>
      </c>
      <c r="C32" t="s">
        <v>114</v>
      </c>
      <c r="D32">
        <v>4</v>
      </c>
      <c r="E32">
        <v>2251600</v>
      </c>
      <c r="F32">
        <v>2254000</v>
      </c>
      <c r="G32">
        <v>2252500</v>
      </c>
      <c r="H32">
        <v>2245000</v>
      </c>
      <c r="I32">
        <v>2237500</v>
      </c>
      <c r="J32">
        <v>2221300</v>
      </c>
      <c r="K32">
        <v>2198300</v>
      </c>
      <c r="L32">
        <v>2181400</v>
      </c>
      <c r="M32">
        <v>2156900</v>
      </c>
      <c r="N32">
        <v>2144200</v>
      </c>
      <c r="O32">
        <v>2142500</v>
      </c>
      <c r="P32">
        <v>2142100</v>
      </c>
      <c r="Q32">
        <v>2133300</v>
      </c>
      <c r="R32">
        <v>2133400</v>
      </c>
      <c r="S32">
        <v>2124100</v>
      </c>
      <c r="T32">
        <v>2107700</v>
      </c>
      <c r="U32">
        <v>2096800</v>
      </c>
      <c r="V32">
        <v>2092300</v>
      </c>
      <c r="W32">
        <v>2093000</v>
      </c>
      <c r="X32">
        <v>2097100</v>
      </c>
      <c r="Y32">
        <v>2104100</v>
      </c>
      <c r="Z32">
        <v>2114200</v>
      </c>
      <c r="AA32">
        <v>2127400</v>
      </c>
      <c r="AB32">
        <v>2143900</v>
      </c>
      <c r="AC32">
        <v>2163400</v>
      </c>
      <c r="AD32">
        <v>2185500</v>
      </c>
    </row>
    <row r="33" spans="1:30" x14ac:dyDescent="0.2">
      <c r="A33">
        <v>1</v>
      </c>
      <c r="B33" t="s">
        <v>118</v>
      </c>
      <c r="C33" t="s">
        <v>115</v>
      </c>
      <c r="D33">
        <v>4</v>
      </c>
      <c r="E33">
        <v>2251600</v>
      </c>
      <c r="F33">
        <v>2263100</v>
      </c>
      <c r="G33">
        <v>2267600</v>
      </c>
      <c r="H33">
        <v>2265600</v>
      </c>
      <c r="I33">
        <v>2264100</v>
      </c>
      <c r="J33">
        <v>2254100</v>
      </c>
      <c r="K33">
        <v>2238000</v>
      </c>
      <c r="L33">
        <v>2228300</v>
      </c>
      <c r="M33">
        <v>2211200</v>
      </c>
      <c r="N33">
        <v>2206100</v>
      </c>
      <c r="O33">
        <v>2212100</v>
      </c>
      <c r="P33">
        <v>2233100</v>
      </c>
      <c r="Q33">
        <v>2254900</v>
      </c>
      <c r="R33">
        <v>2292100</v>
      </c>
      <c r="S33">
        <v>2324900</v>
      </c>
      <c r="T33">
        <v>2355100</v>
      </c>
      <c r="U33">
        <v>2381400</v>
      </c>
      <c r="V33">
        <v>2409000</v>
      </c>
      <c r="W33">
        <v>2439200</v>
      </c>
      <c r="X33">
        <v>2471300</v>
      </c>
      <c r="Y33">
        <v>2505600</v>
      </c>
      <c r="Z33">
        <v>2542500</v>
      </c>
      <c r="AA33">
        <v>2582400</v>
      </c>
      <c r="AB33">
        <v>2625500</v>
      </c>
      <c r="AC33">
        <v>2671900</v>
      </c>
      <c r="AD33">
        <v>2721100</v>
      </c>
    </row>
    <row r="34" spans="1:30" x14ac:dyDescent="0.2">
      <c r="A34">
        <v>1</v>
      </c>
      <c r="B34" t="s">
        <v>119</v>
      </c>
      <c r="C34" t="s">
        <v>108</v>
      </c>
      <c r="D34">
        <v>5</v>
      </c>
      <c r="E34">
        <v>2319400</v>
      </c>
      <c r="F34">
        <v>2327500</v>
      </c>
      <c r="G34">
        <v>2333400</v>
      </c>
      <c r="H34">
        <v>2338200</v>
      </c>
      <c r="I34">
        <v>2347300</v>
      </c>
      <c r="J34">
        <v>2359000</v>
      </c>
      <c r="K34">
        <v>2369200</v>
      </c>
      <c r="L34">
        <v>2371300</v>
      </c>
      <c r="M34">
        <v>2363500</v>
      </c>
      <c r="N34">
        <v>2351200</v>
      </c>
      <c r="O34">
        <v>2329800</v>
      </c>
      <c r="P34">
        <v>2299700</v>
      </c>
      <c r="Q34">
        <v>2275400</v>
      </c>
      <c r="R34">
        <v>2243500</v>
      </c>
      <c r="S34">
        <v>2223200</v>
      </c>
      <c r="T34">
        <v>2213700</v>
      </c>
      <c r="U34">
        <v>2192700</v>
      </c>
      <c r="V34">
        <v>2155100</v>
      </c>
      <c r="W34">
        <v>2120900</v>
      </c>
      <c r="X34">
        <v>2073000</v>
      </c>
      <c r="Y34">
        <v>2014100</v>
      </c>
      <c r="Z34">
        <v>1970400</v>
      </c>
      <c r="AA34">
        <v>1938200</v>
      </c>
      <c r="AB34">
        <v>1913700</v>
      </c>
      <c r="AC34">
        <v>1894300</v>
      </c>
      <c r="AD34">
        <v>1878800</v>
      </c>
    </row>
    <row r="35" spans="1:30" x14ac:dyDescent="0.2">
      <c r="A35">
        <v>1</v>
      </c>
      <c r="B35" t="s">
        <v>119</v>
      </c>
      <c r="C35" t="s">
        <v>109</v>
      </c>
      <c r="D35">
        <v>5</v>
      </c>
      <c r="E35">
        <v>2319400</v>
      </c>
      <c r="F35">
        <v>2339300</v>
      </c>
      <c r="G35">
        <v>2351800</v>
      </c>
      <c r="H35">
        <v>2362400</v>
      </c>
      <c r="I35">
        <v>2378700</v>
      </c>
      <c r="J35">
        <v>2398000</v>
      </c>
      <c r="K35">
        <v>2415000</v>
      </c>
      <c r="L35">
        <v>2424100</v>
      </c>
      <c r="M35">
        <v>2423500</v>
      </c>
      <c r="N35">
        <v>2418700</v>
      </c>
      <c r="O35">
        <v>2405100</v>
      </c>
      <c r="P35">
        <v>2383000</v>
      </c>
      <c r="Q35">
        <v>2367000</v>
      </c>
      <c r="R35">
        <v>2343300</v>
      </c>
      <c r="S35">
        <v>2331500</v>
      </c>
      <c r="T35">
        <v>2330500</v>
      </c>
      <c r="U35">
        <v>2330900</v>
      </c>
      <c r="V35">
        <v>2323000</v>
      </c>
      <c r="W35">
        <v>2324100</v>
      </c>
      <c r="X35">
        <v>2315800</v>
      </c>
      <c r="Y35">
        <v>2300400</v>
      </c>
      <c r="Z35">
        <v>2290600</v>
      </c>
      <c r="AA35">
        <v>2287200</v>
      </c>
      <c r="AB35">
        <v>2289100</v>
      </c>
      <c r="AC35">
        <v>2294300</v>
      </c>
      <c r="AD35">
        <v>2302600</v>
      </c>
    </row>
    <row r="36" spans="1:30" x14ac:dyDescent="0.2">
      <c r="A36">
        <v>1</v>
      </c>
      <c r="B36" t="s">
        <v>119</v>
      </c>
      <c r="C36" t="s">
        <v>110</v>
      </c>
      <c r="D36">
        <v>5</v>
      </c>
      <c r="E36">
        <v>2319400</v>
      </c>
      <c r="F36">
        <v>2339300</v>
      </c>
      <c r="G36">
        <v>2351800</v>
      </c>
      <c r="H36">
        <v>2362500</v>
      </c>
      <c r="I36">
        <v>2378800</v>
      </c>
      <c r="J36">
        <v>2398100</v>
      </c>
      <c r="K36">
        <v>2415100</v>
      </c>
      <c r="L36">
        <v>2424100</v>
      </c>
      <c r="M36">
        <v>2423600</v>
      </c>
      <c r="N36">
        <v>2418800</v>
      </c>
      <c r="O36">
        <v>2405200</v>
      </c>
      <c r="P36">
        <v>2383100</v>
      </c>
      <c r="Q36">
        <v>2367000</v>
      </c>
      <c r="R36">
        <v>2343400</v>
      </c>
      <c r="S36">
        <v>2331500</v>
      </c>
      <c r="T36">
        <v>2330600</v>
      </c>
      <c r="U36">
        <v>2331000</v>
      </c>
      <c r="V36">
        <v>2323000</v>
      </c>
      <c r="W36">
        <v>2324000</v>
      </c>
      <c r="X36">
        <v>2315700</v>
      </c>
      <c r="Y36">
        <v>2300200</v>
      </c>
      <c r="Z36">
        <v>2290300</v>
      </c>
      <c r="AA36">
        <v>2286800</v>
      </c>
      <c r="AB36">
        <v>2288600</v>
      </c>
      <c r="AC36">
        <v>2294000</v>
      </c>
      <c r="AD36">
        <v>2302400</v>
      </c>
    </row>
    <row r="37" spans="1:30" x14ac:dyDescent="0.2">
      <c r="A37">
        <v>1</v>
      </c>
      <c r="B37" t="s">
        <v>119</v>
      </c>
      <c r="C37" t="s">
        <v>111</v>
      </c>
      <c r="D37">
        <v>5</v>
      </c>
      <c r="E37">
        <v>2319400</v>
      </c>
      <c r="F37">
        <v>2339300</v>
      </c>
      <c r="G37">
        <v>2351800</v>
      </c>
      <c r="H37">
        <v>2362500</v>
      </c>
      <c r="I37">
        <v>2378800</v>
      </c>
      <c r="J37">
        <v>2398100</v>
      </c>
      <c r="K37">
        <v>2415100</v>
      </c>
      <c r="L37">
        <v>2424200</v>
      </c>
      <c r="M37">
        <v>2423700</v>
      </c>
      <c r="N37">
        <v>2418900</v>
      </c>
      <c r="O37">
        <v>2405300</v>
      </c>
      <c r="P37">
        <v>2383300</v>
      </c>
      <c r="Q37">
        <v>2367200</v>
      </c>
      <c r="R37">
        <v>2343600</v>
      </c>
      <c r="S37">
        <v>2331800</v>
      </c>
      <c r="T37">
        <v>2330800</v>
      </c>
      <c r="U37">
        <v>2331300</v>
      </c>
      <c r="V37">
        <v>2323300</v>
      </c>
      <c r="W37">
        <v>2324300</v>
      </c>
      <c r="X37">
        <v>2315800</v>
      </c>
      <c r="Y37">
        <v>2300200</v>
      </c>
      <c r="Z37">
        <v>2290200</v>
      </c>
      <c r="AA37">
        <v>2286700</v>
      </c>
      <c r="AB37">
        <v>2288400</v>
      </c>
      <c r="AC37">
        <v>2293600</v>
      </c>
      <c r="AD37">
        <v>2302000</v>
      </c>
    </row>
    <row r="38" spans="1:30" x14ac:dyDescent="0.2">
      <c r="A38">
        <v>1</v>
      </c>
      <c r="B38" t="s">
        <v>119</v>
      </c>
      <c r="C38" t="s">
        <v>112</v>
      </c>
      <c r="D38">
        <v>5</v>
      </c>
      <c r="E38">
        <v>2319400</v>
      </c>
      <c r="F38">
        <v>2339300</v>
      </c>
      <c r="G38">
        <v>2351800</v>
      </c>
      <c r="H38">
        <v>2362500</v>
      </c>
      <c r="I38">
        <v>2378800</v>
      </c>
      <c r="J38">
        <v>2398100</v>
      </c>
      <c r="K38">
        <v>2415100</v>
      </c>
      <c r="L38">
        <v>2424200</v>
      </c>
      <c r="M38">
        <v>2423700</v>
      </c>
      <c r="N38">
        <v>2418900</v>
      </c>
      <c r="O38">
        <v>2405300</v>
      </c>
      <c r="P38">
        <v>2383200</v>
      </c>
      <c r="Q38">
        <v>2367200</v>
      </c>
      <c r="R38">
        <v>2343600</v>
      </c>
      <c r="S38">
        <v>2331700</v>
      </c>
      <c r="T38">
        <v>2330800</v>
      </c>
      <c r="U38">
        <v>2331200</v>
      </c>
      <c r="V38">
        <v>2323200</v>
      </c>
      <c r="W38">
        <v>2324200</v>
      </c>
      <c r="X38">
        <v>2315800</v>
      </c>
      <c r="Y38">
        <v>2300200</v>
      </c>
      <c r="Z38">
        <v>2290300</v>
      </c>
      <c r="AA38">
        <v>2286800</v>
      </c>
      <c r="AB38">
        <v>2288600</v>
      </c>
      <c r="AC38">
        <v>2293800</v>
      </c>
      <c r="AD38">
        <v>2302200</v>
      </c>
    </row>
    <row r="39" spans="1:30" x14ac:dyDescent="0.2">
      <c r="A39">
        <v>1</v>
      </c>
      <c r="B39" t="s">
        <v>119</v>
      </c>
      <c r="C39" t="s">
        <v>113</v>
      </c>
      <c r="D39">
        <v>5</v>
      </c>
      <c r="E39">
        <v>2319400</v>
      </c>
      <c r="F39">
        <v>2339300</v>
      </c>
      <c r="G39">
        <v>2351800</v>
      </c>
      <c r="H39">
        <v>2362500</v>
      </c>
      <c r="I39">
        <v>2378800</v>
      </c>
      <c r="J39">
        <v>2398200</v>
      </c>
      <c r="K39">
        <v>2415200</v>
      </c>
      <c r="L39">
        <v>2424300</v>
      </c>
      <c r="M39">
        <v>2423800</v>
      </c>
      <c r="N39">
        <v>2419000</v>
      </c>
      <c r="O39">
        <v>2405400</v>
      </c>
      <c r="P39">
        <v>2383300</v>
      </c>
      <c r="Q39">
        <v>2367300</v>
      </c>
      <c r="R39">
        <v>2343700</v>
      </c>
      <c r="S39">
        <v>2331800</v>
      </c>
      <c r="T39">
        <v>2330900</v>
      </c>
      <c r="U39">
        <v>2331200</v>
      </c>
      <c r="V39">
        <v>2323100</v>
      </c>
      <c r="W39">
        <v>2323900</v>
      </c>
      <c r="X39">
        <v>2315200</v>
      </c>
      <c r="Y39">
        <v>2299200</v>
      </c>
      <c r="Z39">
        <v>2288800</v>
      </c>
      <c r="AA39">
        <v>2284800</v>
      </c>
      <c r="AB39">
        <v>2286200</v>
      </c>
      <c r="AC39">
        <v>2291000</v>
      </c>
      <c r="AD39">
        <v>2299000</v>
      </c>
    </row>
    <row r="40" spans="1:30" x14ac:dyDescent="0.2">
      <c r="A40">
        <v>1</v>
      </c>
      <c r="B40" t="s">
        <v>119</v>
      </c>
      <c r="C40" t="s">
        <v>114</v>
      </c>
      <c r="D40">
        <v>5</v>
      </c>
      <c r="E40">
        <v>2319400</v>
      </c>
      <c r="F40">
        <v>2339300</v>
      </c>
      <c r="G40">
        <v>2351800</v>
      </c>
      <c r="H40">
        <v>2362400</v>
      </c>
      <c r="I40">
        <v>2378700</v>
      </c>
      <c r="J40">
        <v>2398000</v>
      </c>
      <c r="K40">
        <v>2415000</v>
      </c>
      <c r="L40">
        <v>2424000</v>
      </c>
      <c r="M40">
        <v>2423500</v>
      </c>
      <c r="N40">
        <v>2418600</v>
      </c>
      <c r="O40">
        <v>2405000</v>
      </c>
      <c r="P40">
        <v>2382900</v>
      </c>
      <c r="Q40">
        <v>2366800</v>
      </c>
      <c r="R40">
        <v>2343200</v>
      </c>
      <c r="S40">
        <v>2331300</v>
      </c>
      <c r="T40">
        <v>2330300</v>
      </c>
      <c r="U40">
        <v>2330700</v>
      </c>
      <c r="V40">
        <v>2322700</v>
      </c>
      <c r="W40">
        <v>2323800</v>
      </c>
      <c r="X40">
        <v>2315500</v>
      </c>
      <c r="Y40">
        <v>2300200</v>
      </c>
      <c r="Z40">
        <v>2290400</v>
      </c>
      <c r="AA40">
        <v>2287200</v>
      </c>
      <c r="AB40">
        <v>2289200</v>
      </c>
      <c r="AC40">
        <v>2294700</v>
      </c>
      <c r="AD40">
        <v>2303200</v>
      </c>
    </row>
    <row r="41" spans="1:30" x14ac:dyDescent="0.2">
      <c r="A41">
        <v>1</v>
      </c>
      <c r="B41" t="s">
        <v>119</v>
      </c>
      <c r="C41" t="s">
        <v>115</v>
      </c>
      <c r="D41">
        <v>5</v>
      </c>
      <c r="E41">
        <v>2319400</v>
      </c>
      <c r="F41">
        <v>2353500</v>
      </c>
      <c r="G41">
        <v>2374100</v>
      </c>
      <c r="H41">
        <v>2391800</v>
      </c>
      <c r="I41">
        <v>2416800</v>
      </c>
      <c r="J41">
        <v>2445100</v>
      </c>
      <c r="K41">
        <v>2470000</v>
      </c>
      <c r="L41">
        <v>2487400</v>
      </c>
      <c r="M41">
        <v>2495400</v>
      </c>
      <c r="N41">
        <v>2499500</v>
      </c>
      <c r="O41">
        <v>2495100</v>
      </c>
      <c r="P41">
        <v>2482600</v>
      </c>
      <c r="Q41">
        <v>2476300</v>
      </c>
      <c r="R41">
        <v>2462700</v>
      </c>
      <c r="S41">
        <v>2461000</v>
      </c>
      <c r="T41">
        <v>2470400</v>
      </c>
      <c r="U41">
        <v>2494800</v>
      </c>
      <c r="V41">
        <v>2520000</v>
      </c>
      <c r="W41">
        <v>2560700</v>
      </c>
      <c r="X41">
        <v>2597200</v>
      </c>
      <c r="Y41">
        <v>2631200</v>
      </c>
      <c r="Z41">
        <v>2661500</v>
      </c>
      <c r="AA41">
        <v>2693100</v>
      </c>
      <c r="AB41">
        <v>2727600</v>
      </c>
      <c r="AC41">
        <v>2764300</v>
      </c>
      <c r="AD41">
        <v>2803300</v>
      </c>
    </row>
    <row r="42" spans="1:30" x14ac:dyDescent="0.2">
      <c r="A42">
        <v>1</v>
      </c>
      <c r="B42" t="s">
        <v>120</v>
      </c>
      <c r="C42" t="s">
        <v>108</v>
      </c>
      <c r="D42">
        <v>6</v>
      </c>
      <c r="E42">
        <v>2703800</v>
      </c>
      <c r="F42">
        <v>2633400</v>
      </c>
      <c r="G42">
        <v>2594300</v>
      </c>
      <c r="H42">
        <v>2602200</v>
      </c>
      <c r="I42">
        <v>2645700</v>
      </c>
      <c r="J42">
        <v>2690600</v>
      </c>
      <c r="K42">
        <v>2712400</v>
      </c>
      <c r="L42">
        <v>2726900</v>
      </c>
      <c r="M42">
        <v>2731800</v>
      </c>
      <c r="N42">
        <v>2731700</v>
      </c>
      <c r="O42">
        <v>2734200</v>
      </c>
      <c r="P42">
        <v>2740400</v>
      </c>
      <c r="Q42">
        <v>2738600</v>
      </c>
      <c r="R42">
        <v>2727100</v>
      </c>
      <c r="S42">
        <v>2711100</v>
      </c>
      <c r="T42">
        <v>2686300</v>
      </c>
      <c r="U42">
        <v>2653000</v>
      </c>
      <c r="V42">
        <v>2625800</v>
      </c>
      <c r="W42">
        <v>2591100</v>
      </c>
      <c r="X42">
        <v>2568200</v>
      </c>
      <c r="Y42">
        <v>2556400</v>
      </c>
      <c r="Z42">
        <v>2533200</v>
      </c>
      <c r="AA42">
        <v>2493900</v>
      </c>
      <c r="AB42">
        <v>2458100</v>
      </c>
      <c r="AC42">
        <v>2409000</v>
      </c>
      <c r="AD42">
        <v>2349500</v>
      </c>
    </row>
    <row r="43" spans="1:30" x14ac:dyDescent="0.2">
      <c r="A43">
        <v>1</v>
      </c>
      <c r="B43" t="s">
        <v>120</v>
      </c>
      <c r="C43" t="s">
        <v>109</v>
      </c>
      <c r="D43">
        <v>6</v>
      </c>
      <c r="E43">
        <v>2703800</v>
      </c>
      <c r="F43">
        <v>2676400</v>
      </c>
      <c r="G43">
        <v>2656800</v>
      </c>
      <c r="H43">
        <v>2679400</v>
      </c>
      <c r="I43">
        <v>2740700</v>
      </c>
      <c r="J43">
        <v>2802500</v>
      </c>
      <c r="K43">
        <v>2837600</v>
      </c>
      <c r="L43">
        <v>2864600</v>
      </c>
      <c r="M43">
        <v>2881700</v>
      </c>
      <c r="N43">
        <v>2893500</v>
      </c>
      <c r="O43">
        <v>2907800</v>
      </c>
      <c r="P43">
        <v>2925800</v>
      </c>
      <c r="Q43">
        <v>2935800</v>
      </c>
      <c r="R43">
        <v>2936200</v>
      </c>
      <c r="S43">
        <v>2932200</v>
      </c>
      <c r="T43">
        <v>2919600</v>
      </c>
      <c r="U43">
        <v>2898700</v>
      </c>
      <c r="V43">
        <v>2883900</v>
      </c>
      <c r="W43">
        <v>2861700</v>
      </c>
      <c r="X43">
        <v>2851500</v>
      </c>
      <c r="Y43">
        <v>2852300</v>
      </c>
      <c r="Z43">
        <v>2854900</v>
      </c>
      <c r="AA43">
        <v>2849500</v>
      </c>
      <c r="AB43">
        <v>2853300</v>
      </c>
      <c r="AC43">
        <v>2848400</v>
      </c>
      <c r="AD43">
        <v>2836900</v>
      </c>
    </row>
    <row r="44" spans="1:30" x14ac:dyDescent="0.2">
      <c r="A44">
        <v>1</v>
      </c>
      <c r="B44" t="s">
        <v>120</v>
      </c>
      <c r="C44" t="s">
        <v>110</v>
      </c>
      <c r="D44">
        <v>6</v>
      </c>
      <c r="E44">
        <v>2703800</v>
      </c>
      <c r="F44">
        <v>2676400</v>
      </c>
      <c r="G44">
        <v>2656900</v>
      </c>
      <c r="H44">
        <v>2679500</v>
      </c>
      <c r="I44">
        <v>2740800</v>
      </c>
      <c r="J44">
        <v>2802700</v>
      </c>
      <c r="K44">
        <v>2837800</v>
      </c>
      <c r="L44">
        <v>2864900</v>
      </c>
      <c r="M44">
        <v>2882000</v>
      </c>
      <c r="N44">
        <v>2893700</v>
      </c>
      <c r="O44">
        <v>2908100</v>
      </c>
      <c r="P44">
        <v>2926000</v>
      </c>
      <c r="Q44">
        <v>2936000</v>
      </c>
      <c r="R44">
        <v>2936400</v>
      </c>
      <c r="S44">
        <v>2932400</v>
      </c>
      <c r="T44">
        <v>2919800</v>
      </c>
      <c r="U44">
        <v>2898900</v>
      </c>
      <c r="V44">
        <v>2884100</v>
      </c>
      <c r="W44">
        <v>2861900</v>
      </c>
      <c r="X44">
        <v>2851600</v>
      </c>
      <c r="Y44">
        <v>2852500</v>
      </c>
      <c r="Z44">
        <v>2855000</v>
      </c>
      <c r="AA44">
        <v>2849500</v>
      </c>
      <c r="AB44">
        <v>2853300</v>
      </c>
      <c r="AC44">
        <v>2848200</v>
      </c>
      <c r="AD44">
        <v>2836700</v>
      </c>
    </row>
    <row r="45" spans="1:30" x14ac:dyDescent="0.2">
      <c r="A45">
        <v>1</v>
      </c>
      <c r="B45" t="s">
        <v>120</v>
      </c>
      <c r="C45" t="s">
        <v>111</v>
      </c>
      <c r="D45">
        <v>6</v>
      </c>
      <c r="E45">
        <v>2703800</v>
      </c>
      <c r="F45">
        <v>2676400</v>
      </c>
      <c r="G45">
        <v>2656900</v>
      </c>
      <c r="H45">
        <v>2679500</v>
      </c>
      <c r="I45">
        <v>2740900</v>
      </c>
      <c r="J45">
        <v>2802800</v>
      </c>
      <c r="K45">
        <v>2838000</v>
      </c>
      <c r="L45">
        <v>2865000</v>
      </c>
      <c r="M45">
        <v>2882200</v>
      </c>
      <c r="N45">
        <v>2893900</v>
      </c>
      <c r="O45">
        <v>2908300</v>
      </c>
      <c r="P45">
        <v>2926300</v>
      </c>
      <c r="Q45">
        <v>2936300</v>
      </c>
      <c r="R45">
        <v>2936700</v>
      </c>
      <c r="S45">
        <v>2932800</v>
      </c>
      <c r="T45">
        <v>2920200</v>
      </c>
      <c r="U45">
        <v>2899300</v>
      </c>
      <c r="V45">
        <v>2884500</v>
      </c>
      <c r="W45">
        <v>2862300</v>
      </c>
      <c r="X45">
        <v>2852100</v>
      </c>
      <c r="Y45">
        <v>2853000</v>
      </c>
      <c r="Z45">
        <v>2855600</v>
      </c>
      <c r="AA45">
        <v>2850100</v>
      </c>
      <c r="AB45">
        <v>2853900</v>
      </c>
      <c r="AC45">
        <v>2848800</v>
      </c>
      <c r="AD45">
        <v>2837100</v>
      </c>
    </row>
    <row r="46" spans="1:30" x14ac:dyDescent="0.2">
      <c r="A46">
        <v>1</v>
      </c>
      <c r="B46" t="s">
        <v>120</v>
      </c>
      <c r="C46" t="s">
        <v>112</v>
      </c>
      <c r="D46">
        <v>6</v>
      </c>
      <c r="E46">
        <v>2703800</v>
      </c>
      <c r="F46">
        <v>2676400</v>
      </c>
      <c r="G46">
        <v>2656900</v>
      </c>
      <c r="H46">
        <v>2679600</v>
      </c>
      <c r="I46">
        <v>2740900</v>
      </c>
      <c r="J46">
        <v>2802800</v>
      </c>
      <c r="K46">
        <v>2838000</v>
      </c>
      <c r="L46">
        <v>2865100</v>
      </c>
      <c r="M46">
        <v>2882300</v>
      </c>
      <c r="N46">
        <v>2894100</v>
      </c>
      <c r="O46">
        <v>2908400</v>
      </c>
      <c r="P46">
        <v>2926400</v>
      </c>
      <c r="Q46">
        <v>2936500</v>
      </c>
      <c r="R46">
        <v>2936900</v>
      </c>
      <c r="S46">
        <v>2933000</v>
      </c>
      <c r="T46">
        <v>2920400</v>
      </c>
      <c r="U46">
        <v>2899500</v>
      </c>
      <c r="V46">
        <v>2884700</v>
      </c>
      <c r="W46">
        <v>2862600</v>
      </c>
      <c r="X46">
        <v>2852300</v>
      </c>
      <c r="Y46">
        <v>2853300</v>
      </c>
      <c r="Z46">
        <v>2855800</v>
      </c>
      <c r="AA46">
        <v>2850300</v>
      </c>
      <c r="AB46">
        <v>2854100</v>
      </c>
      <c r="AC46">
        <v>2849000</v>
      </c>
      <c r="AD46">
        <v>2837400</v>
      </c>
    </row>
    <row r="47" spans="1:30" x14ac:dyDescent="0.2">
      <c r="A47">
        <v>1</v>
      </c>
      <c r="B47" t="s">
        <v>120</v>
      </c>
      <c r="C47" t="s">
        <v>113</v>
      </c>
      <c r="D47">
        <v>6</v>
      </c>
      <c r="E47">
        <v>2703800</v>
      </c>
      <c r="F47">
        <v>2676400</v>
      </c>
      <c r="G47">
        <v>2656900</v>
      </c>
      <c r="H47">
        <v>2679600</v>
      </c>
      <c r="I47">
        <v>2741000</v>
      </c>
      <c r="J47">
        <v>2803000</v>
      </c>
      <c r="K47">
        <v>2838200</v>
      </c>
      <c r="L47">
        <v>2865300</v>
      </c>
      <c r="M47">
        <v>2882500</v>
      </c>
      <c r="N47">
        <v>2894300</v>
      </c>
      <c r="O47">
        <v>2908700</v>
      </c>
      <c r="P47">
        <v>2926700</v>
      </c>
      <c r="Q47">
        <v>2936800</v>
      </c>
      <c r="R47">
        <v>2937200</v>
      </c>
      <c r="S47">
        <v>2933300</v>
      </c>
      <c r="T47">
        <v>2920700</v>
      </c>
      <c r="U47">
        <v>2899800</v>
      </c>
      <c r="V47">
        <v>2885100</v>
      </c>
      <c r="W47">
        <v>2862900</v>
      </c>
      <c r="X47">
        <v>2852700</v>
      </c>
      <c r="Y47">
        <v>2853600</v>
      </c>
      <c r="Z47">
        <v>2856100</v>
      </c>
      <c r="AA47">
        <v>2850500</v>
      </c>
      <c r="AB47">
        <v>2854100</v>
      </c>
      <c r="AC47">
        <v>2848700</v>
      </c>
      <c r="AD47">
        <v>2836700</v>
      </c>
    </row>
    <row r="48" spans="1:30" x14ac:dyDescent="0.2">
      <c r="A48">
        <v>1</v>
      </c>
      <c r="B48" t="s">
        <v>120</v>
      </c>
      <c r="C48" t="s">
        <v>114</v>
      </c>
      <c r="D48">
        <v>6</v>
      </c>
      <c r="E48">
        <v>2703800</v>
      </c>
      <c r="F48">
        <v>2676400</v>
      </c>
      <c r="G48">
        <v>2656800</v>
      </c>
      <c r="H48">
        <v>2679400</v>
      </c>
      <c r="I48">
        <v>2740600</v>
      </c>
      <c r="J48">
        <v>2802400</v>
      </c>
      <c r="K48">
        <v>2837500</v>
      </c>
      <c r="L48">
        <v>2864500</v>
      </c>
      <c r="M48">
        <v>2881500</v>
      </c>
      <c r="N48">
        <v>2893200</v>
      </c>
      <c r="O48">
        <v>2907400</v>
      </c>
      <c r="P48">
        <v>2925300</v>
      </c>
      <c r="Q48">
        <v>2935200</v>
      </c>
      <c r="R48">
        <v>2935500</v>
      </c>
      <c r="S48">
        <v>2931500</v>
      </c>
      <c r="T48">
        <v>2918800</v>
      </c>
      <c r="U48">
        <v>2897800</v>
      </c>
      <c r="V48">
        <v>2882900</v>
      </c>
      <c r="W48">
        <v>2860600</v>
      </c>
      <c r="X48">
        <v>2850300</v>
      </c>
      <c r="Y48">
        <v>2851000</v>
      </c>
      <c r="Z48">
        <v>2853500</v>
      </c>
      <c r="AA48">
        <v>2848000</v>
      </c>
      <c r="AB48">
        <v>2851700</v>
      </c>
      <c r="AC48">
        <v>2846700</v>
      </c>
      <c r="AD48">
        <v>2835200</v>
      </c>
    </row>
    <row r="49" spans="1:30" x14ac:dyDescent="0.2">
      <c r="A49">
        <v>1</v>
      </c>
      <c r="B49" t="s">
        <v>120</v>
      </c>
      <c r="C49" t="s">
        <v>115</v>
      </c>
      <c r="D49">
        <v>6</v>
      </c>
      <c r="E49">
        <v>2703800</v>
      </c>
      <c r="F49">
        <v>2728600</v>
      </c>
      <c r="G49">
        <v>2733300</v>
      </c>
      <c r="H49">
        <v>2774100</v>
      </c>
      <c r="I49">
        <v>2857500</v>
      </c>
      <c r="J49">
        <v>2940400</v>
      </c>
      <c r="K49">
        <v>2992300</v>
      </c>
      <c r="L49">
        <v>3035400</v>
      </c>
      <c r="M49">
        <v>3068200</v>
      </c>
      <c r="N49">
        <v>3095400</v>
      </c>
      <c r="O49">
        <v>3125100</v>
      </c>
      <c r="P49">
        <v>3158700</v>
      </c>
      <c r="Q49">
        <v>3184400</v>
      </c>
      <c r="R49">
        <v>3200600</v>
      </c>
      <c r="S49">
        <v>3212900</v>
      </c>
      <c r="T49">
        <v>3216700</v>
      </c>
      <c r="U49">
        <v>3212500</v>
      </c>
      <c r="V49">
        <v>3214700</v>
      </c>
      <c r="W49">
        <v>3209800</v>
      </c>
      <c r="X49">
        <v>3217200</v>
      </c>
      <c r="Y49">
        <v>3236000</v>
      </c>
      <c r="Z49">
        <v>3270200</v>
      </c>
      <c r="AA49">
        <v>3305900</v>
      </c>
      <c r="AB49">
        <v>3357600</v>
      </c>
      <c r="AC49">
        <v>3405900</v>
      </c>
      <c r="AD49">
        <v>3452600</v>
      </c>
    </row>
    <row r="50" spans="1:30" x14ac:dyDescent="0.2">
      <c r="A50">
        <v>1</v>
      </c>
      <c r="B50" t="s">
        <v>121</v>
      </c>
      <c r="C50" t="s">
        <v>108</v>
      </c>
      <c r="D50">
        <v>7</v>
      </c>
      <c r="E50">
        <v>2995600</v>
      </c>
      <c r="F50">
        <v>2831400</v>
      </c>
      <c r="G50">
        <v>2710200</v>
      </c>
      <c r="H50">
        <v>2647700</v>
      </c>
      <c r="I50">
        <v>2639500</v>
      </c>
      <c r="J50">
        <v>2637000</v>
      </c>
      <c r="K50">
        <v>2655800</v>
      </c>
      <c r="L50">
        <v>2685900</v>
      </c>
      <c r="M50">
        <v>2721200</v>
      </c>
      <c r="N50">
        <v>2752200</v>
      </c>
      <c r="O50">
        <v>2784200</v>
      </c>
      <c r="P50">
        <v>2806600</v>
      </c>
      <c r="Q50">
        <v>2821500</v>
      </c>
      <c r="R50">
        <v>2827000</v>
      </c>
      <c r="S50">
        <v>2827400</v>
      </c>
      <c r="T50">
        <v>2830400</v>
      </c>
      <c r="U50">
        <v>2837200</v>
      </c>
      <c r="V50">
        <v>2836100</v>
      </c>
      <c r="W50">
        <v>2825500</v>
      </c>
      <c r="X50">
        <v>2810700</v>
      </c>
      <c r="Y50">
        <v>2787300</v>
      </c>
      <c r="Z50">
        <v>2755700</v>
      </c>
      <c r="AA50">
        <v>2730200</v>
      </c>
      <c r="AB50">
        <v>2697400</v>
      </c>
      <c r="AC50">
        <v>2676200</v>
      </c>
      <c r="AD50">
        <v>2666100</v>
      </c>
    </row>
    <row r="51" spans="1:30" x14ac:dyDescent="0.2">
      <c r="A51">
        <v>1</v>
      </c>
      <c r="B51" t="s">
        <v>121</v>
      </c>
      <c r="C51" t="s">
        <v>109</v>
      </c>
      <c r="D51">
        <v>7</v>
      </c>
      <c r="E51">
        <v>2995600</v>
      </c>
      <c r="F51">
        <v>2873800</v>
      </c>
      <c r="G51">
        <v>2773800</v>
      </c>
      <c r="H51">
        <v>2728400</v>
      </c>
      <c r="I51">
        <v>2739600</v>
      </c>
      <c r="J51">
        <v>2755000</v>
      </c>
      <c r="K51">
        <v>2789800</v>
      </c>
      <c r="L51">
        <v>2834800</v>
      </c>
      <c r="M51">
        <v>2883900</v>
      </c>
      <c r="N51">
        <v>2928000</v>
      </c>
      <c r="O51">
        <v>2972500</v>
      </c>
      <c r="P51">
        <v>3007200</v>
      </c>
      <c r="Q51">
        <v>3034200</v>
      </c>
      <c r="R51">
        <v>3051600</v>
      </c>
      <c r="S51">
        <v>3064100</v>
      </c>
      <c r="T51">
        <v>3079400</v>
      </c>
      <c r="U51">
        <v>3098600</v>
      </c>
      <c r="V51">
        <v>3110100</v>
      </c>
      <c r="W51">
        <v>3112500</v>
      </c>
      <c r="X51">
        <v>3110900</v>
      </c>
      <c r="Y51">
        <v>3101000</v>
      </c>
      <c r="Z51">
        <v>3083200</v>
      </c>
      <c r="AA51">
        <v>3071700</v>
      </c>
      <c r="AB51">
        <v>3053200</v>
      </c>
      <c r="AC51">
        <v>3046600</v>
      </c>
      <c r="AD51">
        <v>3051300</v>
      </c>
    </row>
    <row r="52" spans="1:30" x14ac:dyDescent="0.2">
      <c r="A52">
        <v>1</v>
      </c>
      <c r="B52" t="s">
        <v>121</v>
      </c>
      <c r="C52" t="s">
        <v>110</v>
      </c>
      <c r="D52">
        <v>7</v>
      </c>
      <c r="E52">
        <v>2995600</v>
      </c>
      <c r="F52">
        <v>2873800</v>
      </c>
      <c r="G52">
        <v>2773800</v>
      </c>
      <c r="H52">
        <v>2728500</v>
      </c>
      <c r="I52">
        <v>2739600</v>
      </c>
      <c r="J52">
        <v>2755000</v>
      </c>
      <c r="K52">
        <v>2789800</v>
      </c>
      <c r="L52">
        <v>2834700</v>
      </c>
      <c r="M52">
        <v>2883800</v>
      </c>
      <c r="N52">
        <v>2928000</v>
      </c>
      <c r="O52">
        <v>2972500</v>
      </c>
      <c r="P52">
        <v>3007200</v>
      </c>
      <c r="Q52">
        <v>3034200</v>
      </c>
      <c r="R52">
        <v>3051700</v>
      </c>
      <c r="S52">
        <v>3064200</v>
      </c>
      <c r="T52">
        <v>3079500</v>
      </c>
      <c r="U52">
        <v>3098700</v>
      </c>
      <c r="V52">
        <v>3110300</v>
      </c>
      <c r="W52">
        <v>3112600</v>
      </c>
      <c r="X52">
        <v>3111000</v>
      </c>
      <c r="Y52">
        <v>3101200</v>
      </c>
      <c r="Z52">
        <v>3083400</v>
      </c>
      <c r="AA52">
        <v>3071900</v>
      </c>
      <c r="AB52">
        <v>3053400</v>
      </c>
      <c r="AC52">
        <v>3046900</v>
      </c>
      <c r="AD52">
        <v>3051600</v>
      </c>
    </row>
    <row r="53" spans="1:30" x14ac:dyDescent="0.2">
      <c r="A53">
        <v>1</v>
      </c>
      <c r="B53" t="s">
        <v>121</v>
      </c>
      <c r="C53" t="s">
        <v>111</v>
      </c>
      <c r="D53">
        <v>7</v>
      </c>
      <c r="E53">
        <v>2995600</v>
      </c>
      <c r="F53">
        <v>2873800</v>
      </c>
      <c r="G53">
        <v>2773800</v>
      </c>
      <c r="H53">
        <v>2728500</v>
      </c>
      <c r="I53">
        <v>2739600</v>
      </c>
      <c r="J53">
        <v>2754900</v>
      </c>
      <c r="K53">
        <v>2789700</v>
      </c>
      <c r="L53">
        <v>2834700</v>
      </c>
      <c r="M53">
        <v>2883800</v>
      </c>
      <c r="N53">
        <v>2927900</v>
      </c>
      <c r="O53">
        <v>2972400</v>
      </c>
      <c r="P53">
        <v>3007100</v>
      </c>
      <c r="Q53">
        <v>3034100</v>
      </c>
      <c r="R53">
        <v>3051600</v>
      </c>
      <c r="S53">
        <v>3064000</v>
      </c>
      <c r="T53">
        <v>3079300</v>
      </c>
      <c r="U53">
        <v>3098500</v>
      </c>
      <c r="V53">
        <v>3110100</v>
      </c>
      <c r="W53">
        <v>3112400</v>
      </c>
      <c r="X53">
        <v>3110800</v>
      </c>
      <c r="Y53">
        <v>3100900</v>
      </c>
      <c r="Z53">
        <v>3083100</v>
      </c>
      <c r="AA53">
        <v>3071700</v>
      </c>
      <c r="AB53">
        <v>3053100</v>
      </c>
      <c r="AC53">
        <v>3046600</v>
      </c>
      <c r="AD53">
        <v>3051300</v>
      </c>
    </row>
    <row r="54" spans="1:30" x14ac:dyDescent="0.2">
      <c r="A54">
        <v>1</v>
      </c>
      <c r="B54" t="s">
        <v>121</v>
      </c>
      <c r="C54" t="s">
        <v>112</v>
      </c>
      <c r="D54">
        <v>7</v>
      </c>
      <c r="E54">
        <v>2995600</v>
      </c>
      <c r="F54">
        <v>2873800</v>
      </c>
      <c r="G54">
        <v>2773800</v>
      </c>
      <c r="H54">
        <v>2728500</v>
      </c>
      <c r="I54">
        <v>2739600</v>
      </c>
      <c r="J54">
        <v>2755000</v>
      </c>
      <c r="K54">
        <v>2789800</v>
      </c>
      <c r="L54">
        <v>2834800</v>
      </c>
      <c r="M54">
        <v>2883900</v>
      </c>
      <c r="N54">
        <v>2928000</v>
      </c>
      <c r="O54">
        <v>2972600</v>
      </c>
      <c r="P54">
        <v>3007300</v>
      </c>
      <c r="Q54">
        <v>3034300</v>
      </c>
      <c r="R54">
        <v>3051800</v>
      </c>
      <c r="S54">
        <v>3064200</v>
      </c>
      <c r="T54">
        <v>3079500</v>
      </c>
      <c r="U54">
        <v>3098700</v>
      </c>
      <c r="V54">
        <v>3110300</v>
      </c>
      <c r="W54">
        <v>3112700</v>
      </c>
      <c r="X54">
        <v>3111000</v>
      </c>
      <c r="Y54">
        <v>3101200</v>
      </c>
      <c r="Z54">
        <v>3083400</v>
      </c>
      <c r="AA54">
        <v>3071900</v>
      </c>
      <c r="AB54">
        <v>3053400</v>
      </c>
      <c r="AC54">
        <v>3046900</v>
      </c>
      <c r="AD54">
        <v>3051600</v>
      </c>
    </row>
    <row r="55" spans="1:30" x14ac:dyDescent="0.2">
      <c r="A55">
        <v>1</v>
      </c>
      <c r="B55" t="s">
        <v>121</v>
      </c>
      <c r="C55" t="s">
        <v>113</v>
      </c>
      <c r="D55">
        <v>7</v>
      </c>
      <c r="E55">
        <v>2995600</v>
      </c>
      <c r="F55">
        <v>2873800</v>
      </c>
      <c r="G55">
        <v>2773800</v>
      </c>
      <c r="H55">
        <v>2728500</v>
      </c>
      <c r="I55">
        <v>2739600</v>
      </c>
      <c r="J55">
        <v>2755000</v>
      </c>
      <c r="K55">
        <v>2789800</v>
      </c>
      <c r="L55">
        <v>2834700</v>
      </c>
      <c r="M55">
        <v>2883800</v>
      </c>
      <c r="N55">
        <v>2928000</v>
      </c>
      <c r="O55">
        <v>2972500</v>
      </c>
      <c r="P55">
        <v>3007200</v>
      </c>
      <c r="Q55">
        <v>3034100</v>
      </c>
      <c r="R55">
        <v>3051600</v>
      </c>
      <c r="S55">
        <v>3064100</v>
      </c>
      <c r="T55">
        <v>3079400</v>
      </c>
      <c r="U55">
        <v>3098500</v>
      </c>
      <c r="V55">
        <v>3110100</v>
      </c>
      <c r="W55">
        <v>3112400</v>
      </c>
      <c r="X55">
        <v>3110700</v>
      </c>
      <c r="Y55">
        <v>3100800</v>
      </c>
      <c r="Z55">
        <v>3083000</v>
      </c>
      <c r="AA55">
        <v>3071500</v>
      </c>
      <c r="AB55">
        <v>3052900</v>
      </c>
      <c r="AC55">
        <v>3046400</v>
      </c>
      <c r="AD55">
        <v>3051000</v>
      </c>
    </row>
    <row r="56" spans="1:30" x14ac:dyDescent="0.2">
      <c r="A56">
        <v>1</v>
      </c>
      <c r="B56" t="s">
        <v>121</v>
      </c>
      <c r="C56" t="s">
        <v>114</v>
      </c>
      <c r="D56">
        <v>7</v>
      </c>
      <c r="E56">
        <v>2995600</v>
      </c>
      <c r="F56">
        <v>2873800</v>
      </c>
      <c r="G56">
        <v>2773800</v>
      </c>
      <c r="H56">
        <v>2728400</v>
      </c>
      <c r="I56">
        <v>2739600</v>
      </c>
      <c r="J56">
        <v>2754900</v>
      </c>
      <c r="K56">
        <v>2789800</v>
      </c>
      <c r="L56">
        <v>2834800</v>
      </c>
      <c r="M56">
        <v>2883900</v>
      </c>
      <c r="N56">
        <v>2928000</v>
      </c>
      <c r="O56">
        <v>2972500</v>
      </c>
      <c r="P56">
        <v>3007200</v>
      </c>
      <c r="Q56">
        <v>3034200</v>
      </c>
      <c r="R56">
        <v>3051600</v>
      </c>
      <c r="S56">
        <v>3064100</v>
      </c>
      <c r="T56">
        <v>3079400</v>
      </c>
      <c r="U56">
        <v>3098600</v>
      </c>
      <c r="V56">
        <v>3110100</v>
      </c>
      <c r="W56">
        <v>3112500</v>
      </c>
      <c r="X56">
        <v>3110900</v>
      </c>
      <c r="Y56">
        <v>3101000</v>
      </c>
      <c r="Z56">
        <v>3083100</v>
      </c>
      <c r="AA56">
        <v>3071700</v>
      </c>
      <c r="AB56">
        <v>3053100</v>
      </c>
      <c r="AC56">
        <v>3046600</v>
      </c>
      <c r="AD56">
        <v>3051300</v>
      </c>
    </row>
    <row r="57" spans="1:30" x14ac:dyDescent="0.2">
      <c r="A57">
        <v>1</v>
      </c>
      <c r="B57" t="s">
        <v>121</v>
      </c>
      <c r="C57" t="s">
        <v>115</v>
      </c>
      <c r="D57">
        <v>7</v>
      </c>
      <c r="E57">
        <v>2995600</v>
      </c>
      <c r="F57">
        <v>2924600</v>
      </c>
      <c r="G57">
        <v>2850900</v>
      </c>
      <c r="H57">
        <v>2826500</v>
      </c>
      <c r="I57">
        <v>2860700</v>
      </c>
      <c r="J57">
        <v>2897300</v>
      </c>
      <c r="K57">
        <v>2951200</v>
      </c>
      <c r="L57">
        <v>3014100</v>
      </c>
      <c r="M57">
        <v>3080200</v>
      </c>
      <c r="N57">
        <v>3140600</v>
      </c>
      <c r="O57">
        <v>3201100</v>
      </c>
      <c r="P57">
        <v>3251600</v>
      </c>
      <c r="Q57">
        <v>3294400</v>
      </c>
      <c r="R57">
        <v>3327700</v>
      </c>
      <c r="S57">
        <v>3356300</v>
      </c>
      <c r="T57">
        <v>3388000</v>
      </c>
      <c r="U57">
        <v>3424100</v>
      </c>
      <c r="V57">
        <v>3453000</v>
      </c>
      <c r="W57">
        <v>3473100</v>
      </c>
      <c r="X57">
        <v>3489800</v>
      </c>
      <c r="Y57">
        <v>3498700</v>
      </c>
      <c r="Z57">
        <v>3500200</v>
      </c>
      <c r="AA57">
        <v>3508700</v>
      </c>
      <c r="AB57">
        <v>3510600</v>
      </c>
      <c r="AC57">
        <v>3525200</v>
      </c>
      <c r="AD57">
        <v>3551600</v>
      </c>
    </row>
    <row r="58" spans="1:30" x14ac:dyDescent="0.2">
      <c r="A58">
        <v>1</v>
      </c>
      <c r="B58" t="s">
        <v>122</v>
      </c>
      <c r="C58" t="s">
        <v>108</v>
      </c>
      <c r="D58">
        <v>8</v>
      </c>
      <c r="E58">
        <v>3175700</v>
      </c>
      <c r="F58">
        <v>3101300</v>
      </c>
      <c r="G58">
        <v>3040400</v>
      </c>
      <c r="H58">
        <v>2992900</v>
      </c>
      <c r="I58">
        <v>2950000</v>
      </c>
      <c r="J58">
        <v>2896800</v>
      </c>
      <c r="K58">
        <v>2831700</v>
      </c>
      <c r="L58">
        <v>2781100</v>
      </c>
      <c r="M58">
        <v>2749500</v>
      </c>
      <c r="N58">
        <v>2740500</v>
      </c>
      <c r="O58">
        <v>2736400</v>
      </c>
      <c r="P58">
        <v>2755800</v>
      </c>
      <c r="Q58">
        <v>2786100</v>
      </c>
      <c r="R58">
        <v>2821500</v>
      </c>
      <c r="S58">
        <v>2852800</v>
      </c>
      <c r="T58">
        <v>2885000</v>
      </c>
      <c r="U58">
        <v>2908000</v>
      </c>
      <c r="V58">
        <v>2923600</v>
      </c>
      <c r="W58">
        <v>2930100</v>
      </c>
      <c r="X58">
        <v>2931700</v>
      </c>
      <c r="Y58">
        <v>2935900</v>
      </c>
      <c r="Z58">
        <v>2943800</v>
      </c>
      <c r="AA58">
        <v>2944000</v>
      </c>
      <c r="AB58">
        <v>2934900</v>
      </c>
      <c r="AC58">
        <v>2921700</v>
      </c>
      <c r="AD58">
        <v>2900200</v>
      </c>
    </row>
    <row r="59" spans="1:30" x14ac:dyDescent="0.2">
      <c r="A59">
        <v>1</v>
      </c>
      <c r="B59" t="s">
        <v>122</v>
      </c>
      <c r="C59" t="s">
        <v>109</v>
      </c>
      <c r="D59">
        <v>8</v>
      </c>
      <c r="E59">
        <v>3175700</v>
      </c>
      <c r="F59">
        <v>3130500</v>
      </c>
      <c r="G59">
        <v>3085800</v>
      </c>
      <c r="H59">
        <v>3053200</v>
      </c>
      <c r="I59">
        <v>3027500</v>
      </c>
      <c r="J59">
        <v>2991700</v>
      </c>
      <c r="K59">
        <v>2944800</v>
      </c>
      <c r="L59">
        <v>2912200</v>
      </c>
      <c r="M59">
        <v>2898500</v>
      </c>
      <c r="N59">
        <v>2906800</v>
      </c>
      <c r="O59">
        <v>2919200</v>
      </c>
      <c r="P59">
        <v>2954500</v>
      </c>
      <c r="Q59">
        <v>2999900</v>
      </c>
      <c r="R59">
        <v>3049700</v>
      </c>
      <c r="S59">
        <v>3095000</v>
      </c>
      <c r="T59">
        <v>3140800</v>
      </c>
      <c r="U59">
        <v>3177200</v>
      </c>
      <c r="V59">
        <v>3206300</v>
      </c>
      <c r="W59">
        <v>3226200</v>
      </c>
      <c r="X59">
        <v>3241400</v>
      </c>
      <c r="Y59">
        <v>3259600</v>
      </c>
      <c r="Z59">
        <v>3281700</v>
      </c>
      <c r="AA59">
        <v>3296500</v>
      </c>
      <c r="AB59">
        <v>3302400</v>
      </c>
      <c r="AC59">
        <v>3304500</v>
      </c>
      <c r="AD59">
        <v>3298500</v>
      </c>
    </row>
    <row r="60" spans="1:30" x14ac:dyDescent="0.2">
      <c r="A60">
        <v>1</v>
      </c>
      <c r="B60" t="s">
        <v>122</v>
      </c>
      <c r="C60" t="s">
        <v>110</v>
      </c>
      <c r="D60">
        <v>8</v>
      </c>
      <c r="E60">
        <v>3175700</v>
      </c>
      <c r="F60">
        <v>3130500</v>
      </c>
      <c r="G60">
        <v>3085800</v>
      </c>
      <c r="H60">
        <v>3053200</v>
      </c>
      <c r="I60">
        <v>3027400</v>
      </c>
      <c r="J60">
        <v>2991700</v>
      </c>
      <c r="K60">
        <v>2944700</v>
      </c>
      <c r="L60">
        <v>2912100</v>
      </c>
      <c r="M60">
        <v>2898300</v>
      </c>
      <c r="N60">
        <v>2906600</v>
      </c>
      <c r="O60">
        <v>2918900</v>
      </c>
      <c r="P60">
        <v>2954100</v>
      </c>
      <c r="Q60">
        <v>2999500</v>
      </c>
      <c r="R60">
        <v>3049400</v>
      </c>
      <c r="S60">
        <v>3094700</v>
      </c>
      <c r="T60">
        <v>3140600</v>
      </c>
      <c r="U60">
        <v>3177000</v>
      </c>
      <c r="V60">
        <v>3206200</v>
      </c>
      <c r="W60">
        <v>3226200</v>
      </c>
      <c r="X60">
        <v>3241400</v>
      </c>
      <c r="Y60">
        <v>3259700</v>
      </c>
      <c r="Z60">
        <v>3281800</v>
      </c>
      <c r="AA60">
        <v>3296700</v>
      </c>
      <c r="AB60">
        <v>3302600</v>
      </c>
      <c r="AC60">
        <v>3304700</v>
      </c>
      <c r="AD60">
        <v>3298800</v>
      </c>
    </row>
    <row r="61" spans="1:30" x14ac:dyDescent="0.2">
      <c r="A61">
        <v>1</v>
      </c>
      <c r="B61" t="s">
        <v>122</v>
      </c>
      <c r="C61" t="s">
        <v>111</v>
      </c>
      <c r="D61">
        <v>8</v>
      </c>
      <c r="E61">
        <v>3175700</v>
      </c>
      <c r="F61">
        <v>3130500</v>
      </c>
      <c r="G61">
        <v>3085800</v>
      </c>
      <c r="H61">
        <v>3053200</v>
      </c>
      <c r="I61">
        <v>3027400</v>
      </c>
      <c r="J61">
        <v>2991600</v>
      </c>
      <c r="K61">
        <v>2944600</v>
      </c>
      <c r="L61">
        <v>2912000</v>
      </c>
      <c r="M61">
        <v>2898200</v>
      </c>
      <c r="N61">
        <v>2906400</v>
      </c>
      <c r="O61">
        <v>2918700</v>
      </c>
      <c r="P61">
        <v>2953900</v>
      </c>
      <c r="Q61">
        <v>2999300</v>
      </c>
      <c r="R61">
        <v>3049100</v>
      </c>
      <c r="S61">
        <v>3094400</v>
      </c>
      <c r="T61">
        <v>3140300</v>
      </c>
      <c r="U61">
        <v>3176700</v>
      </c>
      <c r="V61">
        <v>3205800</v>
      </c>
      <c r="W61">
        <v>3225800</v>
      </c>
      <c r="X61">
        <v>3241000</v>
      </c>
      <c r="Y61">
        <v>3259200</v>
      </c>
      <c r="Z61">
        <v>3281400</v>
      </c>
      <c r="AA61">
        <v>3296200</v>
      </c>
      <c r="AB61">
        <v>3302100</v>
      </c>
      <c r="AC61">
        <v>3304200</v>
      </c>
      <c r="AD61">
        <v>3298300</v>
      </c>
    </row>
    <row r="62" spans="1:30" x14ac:dyDescent="0.2">
      <c r="A62">
        <v>1</v>
      </c>
      <c r="B62" t="s">
        <v>122</v>
      </c>
      <c r="C62" t="s">
        <v>112</v>
      </c>
      <c r="D62">
        <v>8</v>
      </c>
      <c r="E62">
        <v>3175700</v>
      </c>
      <c r="F62">
        <v>3130500</v>
      </c>
      <c r="G62">
        <v>3085800</v>
      </c>
      <c r="H62">
        <v>3053100</v>
      </c>
      <c r="I62">
        <v>3027400</v>
      </c>
      <c r="J62">
        <v>2991600</v>
      </c>
      <c r="K62">
        <v>2944600</v>
      </c>
      <c r="L62">
        <v>2912000</v>
      </c>
      <c r="M62">
        <v>2898200</v>
      </c>
      <c r="N62">
        <v>2906400</v>
      </c>
      <c r="O62">
        <v>2918700</v>
      </c>
      <c r="P62">
        <v>2953900</v>
      </c>
      <c r="Q62">
        <v>2999300</v>
      </c>
      <c r="R62">
        <v>3049100</v>
      </c>
      <c r="S62">
        <v>3094400</v>
      </c>
      <c r="T62">
        <v>3140300</v>
      </c>
      <c r="U62">
        <v>3176700</v>
      </c>
      <c r="V62">
        <v>3205800</v>
      </c>
      <c r="W62">
        <v>3225700</v>
      </c>
      <c r="X62">
        <v>3241000</v>
      </c>
      <c r="Y62">
        <v>3259200</v>
      </c>
      <c r="Z62">
        <v>3281300</v>
      </c>
      <c r="AA62">
        <v>3296100</v>
      </c>
      <c r="AB62">
        <v>3301900</v>
      </c>
      <c r="AC62">
        <v>3304000</v>
      </c>
      <c r="AD62">
        <v>3298100</v>
      </c>
    </row>
    <row r="63" spans="1:30" x14ac:dyDescent="0.2">
      <c r="A63">
        <v>1</v>
      </c>
      <c r="B63" t="s">
        <v>122</v>
      </c>
      <c r="C63" t="s">
        <v>113</v>
      </c>
      <c r="D63">
        <v>8</v>
      </c>
      <c r="E63">
        <v>3175700</v>
      </c>
      <c r="F63">
        <v>3130500</v>
      </c>
      <c r="G63">
        <v>3085700</v>
      </c>
      <c r="H63">
        <v>3053100</v>
      </c>
      <c r="I63">
        <v>3027300</v>
      </c>
      <c r="J63">
        <v>2991400</v>
      </c>
      <c r="K63">
        <v>2944400</v>
      </c>
      <c r="L63">
        <v>2911700</v>
      </c>
      <c r="M63">
        <v>2897900</v>
      </c>
      <c r="N63">
        <v>2906100</v>
      </c>
      <c r="O63">
        <v>2918300</v>
      </c>
      <c r="P63">
        <v>2953500</v>
      </c>
      <c r="Q63">
        <v>2998800</v>
      </c>
      <c r="R63">
        <v>3048500</v>
      </c>
      <c r="S63">
        <v>3093700</v>
      </c>
      <c r="T63">
        <v>3139500</v>
      </c>
      <c r="U63">
        <v>3175900</v>
      </c>
      <c r="V63">
        <v>3204900</v>
      </c>
      <c r="W63">
        <v>3224800</v>
      </c>
      <c r="X63">
        <v>3239900</v>
      </c>
      <c r="Y63">
        <v>3258000</v>
      </c>
      <c r="Z63">
        <v>3280100</v>
      </c>
      <c r="AA63">
        <v>3294800</v>
      </c>
      <c r="AB63">
        <v>3300600</v>
      </c>
      <c r="AC63">
        <v>3302500</v>
      </c>
      <c r="AD63">
        <v>3296500</v>
      </c>
    </row>
    <row r="64" spans="1:30" x14ac:dyDescent="0.2">
      <c r="A64">
        <v>1</v>
      </c>
      <c r="B64" t="s">
        <v>122</v>
      </c>
      <c r="C64" t="s">
        <v>114</v>
      </c>
      <c r="D64">
        <v>8</v>
      </c>
      <c r="E64">
        <v>3175700</v>
      </c>
      <c r="F64">
        <v>3130500</v>
      </c>
      <c r="G64">
        <v>3085800</v>
      </c>
      <c r="H64">
        <v>3053200</v>
      </c>
      <c r="I64">
        <v>3027500</v>
      </c>
      <c r="J64">
        <v>2991700</v>
      </c>
      <c r="K64">
        <v>2944800</v>
      </c>
      <c r="L64">
        <v>2912300</v>
      </c>
      <c r="M64">
        <v>2898600</v>
      </c>
      <c r="N64">
        <v>2906900</v>
      </c>
      <c r="O64">
        <v>2919400</v>
      </c>
      <c r="P64">
        <v>2954800</v>
      </c>
      <c r="Q64">
        <v>3000300</v>
      </c>
      <c r="R64">
        <v>3050200</v>
      </c>
      <c r="S64">
        <v>3095600</v>
      </c>
      <c r="T64">
        <v>3141500</v>
      </c>
      <c r="U64">
        <v>3178100</v>
      </c>
      <c r="V64">
        <v>3207300</v>
      </c>
      <c r="W64">
        <v>3227300</v>
      </c>
      <c r="X64">
        <v>3242600</v>
      </c>
      <c r="Y64">
        <v>3260900</v>
      </c>
      <c r="Z64">
        <v>3283200</v>
      </c>
      <c r="AA64">
        <v>3298100</v>
      </c>
      <c r="AB64">
        <v>3304100</v>
      </c>
      <c r="AC64">
        <v>3306300</v>
      </c>
      <c r="AD64">
        <v>3300400</v>
      </c>
    </row>
    <row r="65" spans="1:30" x14ac:dyDescent="0.2">
      <c r="A65">
        <v>1</v>
      </c>
      <c r="B65" t="s">
        <v>122</v>
      </c>
      <c r="C65" t="s">
        <v>115</v>
      </c>
      <c r="D65">
        <v>8</v>
      </c>
      <c r="E65">
        <v>3175700</v>
      </c>
      <c r="F65">
        <v>3165300</v>
      </c>
      <c r="G65">
        <v>3140600</v>
      </c>
      <c r="H65">
        <v>3125900</v>
      </c>
      <c r="I65">
        <v>3120200</v>
      </c>
      <c r="J65">
        <v>3104300</v>
      </c>
      <c r="K65">
        <v>3078100</v>
      </c>
      <c r="L65">
        <v>3066200</v>
      </c>
      <c r="M65">
        <v>3072800</v>
      </c>
      <c r="N65">
        <v>3101100</v>
      </c>
      <c r="O65">
        <v>3132900</v>
      </c>
      <c r="P65">
        <v>3186900</v>
      </c>
      <c r="Q65">
        <v>3250600</v>
      </c>
      <c r="R65">
        <v>3318200</v>
      </c>
      <c r="S65">
        <v>3380900</v>
      </c>
      <c r="T65">
        <v>3444100</v>
      </c>
      <c r="U65">
        <v>3498000</v>
      </c>
      <c r="V65">
        <v>3544800</v>
      </c>
      <c r="W65">
        <v>3582700</v>
      </c>
      <c r="X65">
        <v>3616300</v>
      </c>
      <c r="Y65">
        <v>3653500</v>
      </c>
      <c r="Z65">
        <v>3695200</v>
      </c>
      <c r="AA65">
        <v>3730300</v>
      </c>
      <c r="AB65">
        <v>3757000</v>
      </c>
      <c r="AC65">
        <v>3780700</v>
      </c>
      <c r="AD65">
        <v>3797000</v>
      </c>
    </row>
    <row r="66" spans="1:30" x14ac:dyDescent="0.2">
      <c r="A66">
        <v>1</v>
      </c>
      <c r="B66" t="s">
        <v>123</v>
      </c>
      <c r="C66" t="s">
        <v>108</v>
      </c>
      <c r="D66">
        <v>9</v>
      </c>
      <c r="E66">
        <v>3032500</v>
      </c>
      <c r="F66">
        <v>3033900</v>
      </c>
      <c r="G66">
        <v>3048300</v>
      </c>
      <c r="H66">
        <v>3076700</v>
      </c>
      <c r="I66">
        <v>3098500</v>
      </c>
      <c r="J66">
        <v>3100400</v>
      </c>
      <c r="K66">
        <v>3097900</v>
      </c>
      <c r="L66">
        <v>3086300</v>
      </c>
      <c r="M66">
        <v>3062500</v>
      </c>
      <c r="N66">
        <v>3024700</v>
      </c>
      <c r="O66">
        <v>2976500</v>
      </c>
      <c r="P66">
        <v>2913200</v>
      </c>
      <c r="Q66">
        <v>2864000</v>
      </c>
      <c r="R66">
        <v>2833300</v>
      </c>
      <c r="S66">
        <v>2824700</v>
      </c>
      <c r="T66">
        <v>2820900</v>
      </c>
      <c r="U66">
        <v>2840100</v>
      </c>
      <c r="V66">
        <v>2870100</v>
      </c>
      <c r="W66">
        <v>2905100</v>
      </c>
      <c r="X66">
        <v>2936300</v>
      </c>
      <c r="Y66">
        <v>2968400</v>
      </c>
      <c r="Z66">
        <v>2991400</v>
      </c>
      <c r="AA66">
        <v>3007400</v>
      </c>
      <c r="AB66">
        <v>3014400</v>
      </c>
      <c r="AC66">
        <v>3016700</v>
      </c>
      <c r="AD66">
        <v>3021600</v>
      </c>
    </row>
    <row r="67" spans="1:30" x14ac:dyDescent="0.2">
      <c r="A67">
        <v>1</v>
      </c>
      <c r="B67" t="s">
        <v>123</v>
      </c>
      <c r="C67" t="s">
        <v>109</v>
      </c>
      <c r="D67">
        <v>9</v>
      </c>
      <c r="E67">
        <v>3032500</v>
      </c>
      <c r="F67">
        <v>3055200</v>
      </c>
      <c r="G67">
        <v>3081200</v>
      </c>
      <c r="H67">
        <v>3120100</v>
      </c>
      <c r="I67">
        <v>3154200</v>
      </c>
      <c r="J67">
        <v>3169000</v>
      </c>
      <c r="K67">
        <v>3181100</v>
      </c>
      <c r="L67">
        <v>3185200</v>
      </c>
      <c r="M67">
        <v>3178000</v>
      </c>
      <c r="N67">
        <v>3157800</v>
      </c>
      <c r="O67">
        <v>3127900</v>
      </c>
      <c r="P67">
        <v>3083100</v>
      </c>
      <c r="Q67">
        <v>3052600</v>
      </c>
      <c r="R67">
        <v>3040500</v>
      </c>
      <c r="S67">
        <v>3050300</v>
      </c>
      <c r="T67">
        <v>3064100</v>
      </c>
      <c r="U67">
        <v>3100500</v>
      </c>
      <c r="V67">
        <v>3147000</v>
      </c>
      <c r="W67">
        <v>3198000</v>
      </c>
      <c r="X67">
        <v>3244600</v>
      </c>
      <c r="Y67">
        <v>3292000</v>
      </c>
      <c r="Z67">
        <v>3330200</v>
      </c>
      <c r="AA67">
        <v>3361300</v>
      </c>
      <c r="AB67">
        <v>3383500</v>
      </c>
      <c r="AC67">
        <v>3401200</v>
      </c>
      <c r="AD67">
        <v>3421900</v>
      </c>
    </row>
    <row r="68" spans="1:30" x14ac:dyDescent="0.2">
      <c r="A68">
        <v>1</v>
      </c>
      <c r="B68" t="s">
        <v>123</v>
      </c>
      <c r="C68" t="s">
        <v>110</v>
      </c>
      <c r="D68">
        <v>9</v>
      </c>
      <c r="E68">
        <v>3032500</v>
      </c>
      <c r="F68">
        <v>3055200</v>
      </c>
      <c r="G68">
        <v>3081200</v>
      </c>
      <c r="H68">
        <v>3120000</v>
      </c>
      <c r="I68">
        <v>3154100</v>
      </c>
      <c r="J68">
        <v>3168900</v>
      </c>
      <c r="K68">
        <v>3181000</v>
      </c>
      <c r="L68">
        <v>3185100</v>
      </c>
      <c r="M68">
        <v>3177900</v>
      </c>
      <c r="N68">
        <v>3157800</v>
      </c>
      <c r="O68">
        <v>3127800</v>
      </c>
      <c r="P68">
        <v>3083100</v>
      </c>
      <c r="Q68">
        <v>3052500</v>
      </c>
      <c r="R68">
        <v>3040500</v>
      </c>
      <c r="S68">
        <v>3050100</v>
      </c>
      <c r="T68">
        <v>3063900</v>
      </c>
      <c r="U68">
        <v>3100200</v>
      </c>
      <c r="V68">
        <v>3146700</v>
      </c>
      <c r="W68">
        <v>3197700</v>
      </c>
      <c r="X68">
        <v>3244400</v>
      </c>
      <c r="Y68">
        <v>3291800</v>
      </c>
      <c r="Z68">
        <v>3330100</v>
      </c>
      <c r="AA68">
        <v>3361300</v>
      </c>
      <c r="AB68">
        <v>3383700</v>
      </c>
      <c r="AC68">
        <v>3401500</v>
      </c>
      <c r="AD68">
        <v>3422200</v>
      </c>
    </row>
    <row r="69" spans="1:30" x14ac:dyDescent="0.2">
      <c r="A69">
        <v>1</v>
      </c>
      <c r="B69" t="s">
        <v>123</v>
      </c>
      <c r="C69" t="s">
        <v>111</v>
      </c>
      <c r="D69">
        <v>9</v>
      </c>
      <c r="E69">
        <v>3032500</v>
      </c>
      <c r="F69">
        <v>3055200</v>
      </c>
      <c r="G69">
        <v>3081200</v>
      </c>
      <c r="H69">
        <v>3120000</v>
      </c>
      <c r="I69">
        <v>3154100</v>
      </c>
      <c r="J69">
        <v>3168800</v>
      </c>
      <c r="K69">
        <v>3180900</v>
      </c>
      <c r="L69">
        <v>3185000</v>
      </c>
      <c r="M69">
        <v>3177800</v>
      </c>
      <c r="N69">
        <v>3157600</v>
      </c>
      <c r="O69">
        <v>3127700</v>
      </c>
      <c r="P69">
        <v>3082900</v>
      </c>
      <c r="Q69">
        <v>3052300</v>
      </c>
      <c r="R69">
        <v>3040200</v>
      </c>
      <c r="S69">
        <v>3049800</v>
      </c>
      <c r="T69">
        <v>3063500</v>
      </c>
      <c r="U69">
        <v>3099700</v>
      </c>
      <c r="V69">
        <v>3146200</v>
      </c>
      <c r="W69">
        <v>3197200</v>
      </c>
      <c r="X69">
        <v>3243800</v>
      </c>
      <c r="Y69">
        <v>3291300</v>
      </c>
      <c r="Z69">
        <v>3329500</v>
      </c>
      <c r="AA69">
        <v>3360700</v>
      </c>
      <c r="AB69">
        <v>3383000</v>
      </c>
      <c r="AC69">
        <v>3400800</v>
      </c>
      <c r="AD69">
        <v>3421500</v>
      </c>
    </row>
    <row r="70" spans="1:30" x14ac:dyDescent="0.2">
      <c r="A70">
        <v>1</v>
      </c>
      <c r="B70" t="s">
        <v>123</v>
      </c>
      <c r="C70" t="s">
        <v>112</v>
      </c>
      <c r="D70">
        <v>9</v>
      </c>
      <c r="E70">
        <v>3032500</v>
      </c>
      <c r="F70">
        <v>3055200</v>
      </c>
      <c r="G70">
        <v>3081200</v>
      </c>
      <c r="H70">
        <v>3120000</v>
      </c>
      <c r="I70">
        <v>3154000</v>
      </c>
      <c r="J70">
        <v>3168800</v>
      </c>
      <c r="K70">
        <v>3180900</v>
      </c>
      <c r="L70">
        <v>3184900</v>
      </c>
      <c r="M70">
        <v>3177700</v>
      </c>
      <c r="N70">
        <v>3157500</v>
      </c>
      <c r="O70">
        <v>3127600</v>
      </c>
      <c r="P70">
        <v>3082800</v>
      </c>
      <c r="Q70">
        <v>3052200</v>
      </c>
      <c r="R70">
        <v>3040100</v>
      </c>
      <c r="S70">
        <v>3049700</v>
      </c>
      <c r="T70">
        <v>3063400</v>
      </c>
      <c r="U70">
        <v>3099700</v>
      </c>
      <c r="V70">
        <v>3146200</v>
      </c>
      <c r="W70">
        <v>3197200</v>
      </c>
      <c r="X70">
        <v>3243800</v>
      </c>
      <c r="Y70">
        <v>3291200</v>
      </c>
      <c r="Z70">
        <v>3329500</v>
      </c>
      <c r="AA70">
        <v>3360700</v>
      </c>
      <c r="AB70">
        <v>3382900</v>
      </c>
      <c r="AC70">
        <v>3400700</v>
      </c>
      <c r="AD70">
        <v>3421400</v>
      </c>
    </row>
    <row r="71" spans="1:30" x14ac:dyDescent="0.2">
      <c r="A71">
        <v>1</v>
      </c>
      <c r="B71" t="s">
        <v>123</v>
      </c>
      <c r="C71" t="s">
        <v>113</v>
      </c>
      <c r="D71">
        <v>9</v>
      </c>
      <c r="E71">
        <v>3032500</v>
      </c>
      <c r="F71">
        <v>3055200</v>
      </c>
      <c r="G71">
        <v>3081100</v>
      </c>
      <c r="H71">
        <v>3119900</v>
      </c>
      <c r="I71">
        <v>3153900</v>
      </c>
      <c r="J71">
        <v>3168600</v>
      </c>
      <c r="K71">
        <v>3180700</v>
      </c>
      <c r="L71">
        <v>3184600</v>
      </c>
      <c r="M71">
        <v>3177400</v>
      </c>
      <c r="N71">
        <v>3157100</v>
      </c>
      <c r="O71">
        <v>3127100</v>
      </c>
      <c r="P71">
        <v>3082200</v>
      </c>
      <c r="Q71">
        <v>3051500</v>
      </c>
      <c r="R71">
        <v>3039400</v>
      </c>
      <c r="S71">
        <v>3048900</v>
      </c>
      <c r="T71">
        <v>3062500</v>
      </c>
      <c r="U71">
        <v>3098700</v>
      </c>
      <c r="V71">
        <v>3145100</v>
      </c>
      <c r="W71">
        <v>3196000</v>
      </c>
      <c r="X71">
        <v>3242600</v>
      </c>
      <c r="Y71">
        <v>3289900</v>
      </c>
      <c r="Z71">
        <v>3328000</v>
      </c>
      <c r="AA71">
        <v>3359100</v>
      </c>
      <c r="AB71">
        <v>3381300</v>
      </c>
      <c r="AC71">
        <v>3398900</v>
      </c>
      <c r="AD71">
        <v>3419500</v>
      </c>
    </row>
    <row r="72" spans="1:30" x14ac:dyDescent="0.2">
      <c r="A72">
        <v>1</v>
      </c>
      <c r="B72" t="s">
        <v>123</v>
      </c>
      <c r="C72" t="s">
        <v>114</v>
      </c>
      <c r="D72">
        <v>9</v>
      </c>
      <c r="E72">
        <v>3032500</v>
      </c>
      <c r="F72">
        <v>3055200</v>
      </c>
      <c r="G72">
        <v>3081200</v>
      </c>
      <c r="H72">
        <v>3120100</v>
      </c>
      <c r="I72">
        <v>3154200</v>
      </c>
      <c r="J72">
        <v>3169000</v>
      </c>
      <c r="K72">
        <v>3181100</v>
      </c>
      <c r="L72">
        <v>3185300</v>
      </c>
      <c r="M72">
        <v>3178100</v>
      </c>
      <c r="N72">
        <v>3158000</v>
      </c>
      <c r="O72">
        <v>3128100</v>
      </c>
      <c r="P72">
        <v>3083400</v>
      </c>
      <c r="Q72">
        <v>3052900</v>
      </c>
      <c r="R72">
        <v>3041000</v>
      </c>
      <c r="S72">
        <v>3050800</v>
      </c>
      <c r="T72">
        <v>3064700</v>
      </c>
      <c r="U72">
        <v>3101200</v>
      </c>
      <c r="V72">
        <v>3147900</v>
      </c>
      <c r="W72">
        <v>3199000</v>
      </c>
      <c r="X72">
        <v>3245800</v>
      </c>
      <c r="Y72">
        <v>3293400</v>
      </c>
      <c r="Z72">
        <v>3331700</v>
      </c>
      <c r="AA72">
        <v>3363000</v>
      </c>
      <c r="AB72">
        <v>3385500</v>
      </c>
      <c r="AC72">
        <v>3403300</v>
      </c>
      <c r="AD72">
        <v>3424200</v>
      </c>
    </row>
    <row r="73" spans="1:30" x14ac:dyDescent="0.2">
      <c r="A73">
        <v>1</v>
      </c>
      <c r="B73" t="s">
        <v>123</v>
      </c>
      <c r="C73" t="s">
        <v>115</v>
      </c>
      <c r="D73">
        <v>9</v>
      </c>
      <c r="E73">
        <v>3032500</v>
      </c>
      <c r="F73">
        <v>3080700</v>
      </c>
      <c r="G73">
        <v>3121000</v>
      </c>
      <c r="H73">
        <v>3172600</v>
      </c>
      <c r="I73">
        <v>3221200</v>
      </c>
      <c r="J73">
        <v>3250900</v>
      </c>
      <c r="K73">
        <v>3279900</v>
      </c>
      <c r="L73">
        <v>3302000</v>
      </c>
      <c r="M73">
        <v>3314100</v>
      </c>
      <c r="N73">
        <v>3314100</v>
      </c>
      <c r="O73">
        <v>3305100</v>
      </c>
      <c r="P73">
        <v>3281700</v>
      </c>
      <c r="Q73">
        <v>3272700</v>
      </c>
      <c r="R73">
        <v>3282300</v>
      </c>
      <c r="S73">
        <v>3313500</v>
      </c>
      <c r="T73">
        <v>3348400</v>
      </c>
      <c r="U73">
        <v>3405600</v>
      </c>
      <c r="V73">
        <v>3472500</v>
      </c>
      <c r="W73">
        <v>3543700</v>
      </c>
      <c r="X73">
        <v>3610200</v>
      </c>
      <c r="Y73">
        <v>3677600</v>
      </c>
      <c r="Z73">
        <v>3736000</v>
      </c>
      <c r="AA73">
        <v>3787600</v>
      </c>
      <c r="AB73">
        <v>3830800</v>
      </c>
      <c r="AC73">
        <v>3869900</v>
      </c>
      <c r="AD73">
        <v>3912800</v>
      </c>
    </row>
    <row r="74" spans="1:30" x14ac:dyDescent="0.2">
      <c r="A74">
        <v>1</v>
      </c>
      <c r="B74" t="s">
        <v>124</v>
      </c>
      <c r="C74" t="s">
        <v>108</v>
      </c>
      <c r="D74">
        <v>10</v>
      </c>
      <c r="E74">
        <v>2859600</v>
      </c>
      <c r="F74">
        <v>2847300</v>
      </c>
      <c r="G74">
        <v>2843400</v>
      </c>
      <c r="H74">
        <v>2851600</v>
      </c>
      <c r="I74">
        <v>2884200</v>
      </c>
      <c r="J74">
        <v>2933600</v>
      </c>
      <c r="K74">
        <v>2989900</v>
      </c>
      <c r="L74">
        <v>3041900</v>
      </c>
      <c r="M74">
        <v>3088600</v>
      </c>
      <c r="N74">
        <v>3114900</v>
      </c>
      <c r="O74">
        <v>3121300</v>
      </c>
      <c r="P74">
        <v>3119100</v>
      </c>
      <c r="Q74">
        <v>3108000</v>
      </c>
      <c r="R74">
        <v>3084900</v>
      </c>
      <c r="S74">
        <v>3048400</v>
      </c>
      <c r="T74">
        <v>3001700</v>
      </c>
      <c r="U74">
        <v>2940200</v>
      </c>
      <c r="V74">
        <v>2892400</v>
      </c>
      <c r="W74">
        <v>2862800</v>
      </c>
      <c r="X74">
        <v>2854800</v>
      </c>
      <c r="Y74">
        <v>2851500</v>
      </c>
      <c r="Z74">
        <v>2870900</v>
      </c>
      <c r="AA74">
        <v>2900800</v>
      </c>
      <c r="AB74">
        <v>2935700</v>
      </c>
      <c r="AC74">
        <v>2966800</v>
      </c>
      <c r="AD74">
        <v>2998900</v>
      </c>
    </row>
    <row r="75" spans="1:30" x14ac:dyDescent="0.2">
      <c r="A75">
        <v>1</v>
      </c>
      <c r="B75" t="s">
        <v>124</v>
      </c>
      <c r="C75" t="s">
        <v>109</v>
      </c>
      <c r="D75">
        <v>10</v>
      </c>
      <c r="E75">
        <v>2859600</v>
      </c>
      <c r="F75">
        <v>2862700</v>
      </c>
      <c r="G75">
        <v>2866800</v>
      </c>
      <c r="H75">
        <v>2882100</v>
      </c>
      <c r="I75">
        <v>2923200</v>
      </c>
      <c r="J75">
        <v>2981500</v>
      </c>
      <c r="K75">
        <v>3048000</v>
      </c>
      <c r="L75">
        <v>3111100</v>
      </c>
      <c r="M75">
        <v>3169800</v>
      </c>
      <c r="N75">
        <v>3208900</v>
      </c>
      <c r="O75">
        <v>3229000</v>
      </c>
      <c r="P75">
        <v>3241700</v>
      </c>
      <c r="Q75">
        <v>3246600</v>
      </c>
      <c r="R75">
        <v>3240600</v>
      </c>
      <c r="S75">
        <v>3221900</v>
      </c>
      <c r="T75">
        <v>3193800</v>
      </c>
      <c r="U75">
        <v>3151300</v>
      </c>
      <c r="V75">
        <v>3122700</v>
      </c>
      <c r="W75">
        <v>3112300</v>
      </c>
      <c r="X75">
        <v>3123400</v>
      </c>
      <c r="Y75">
        <v>3138500</v>
      </c>
      <c r="Z75">
        <v>3175900</v>
      </c>
      <c r="AA75">
        <v>3223400</v>
      </c>
      <c r="AB75">
        <v>3275300</v>
      </c>
      <c r="AC75">
        <v>3323100</v>
      </c>
      <c r="AD75">
        <v>3371600</v>
      </c>
    </row>
    <row r="76" spans="1:30" x14ac:dyDescent="0.2">
      <c r="A76">
        <v>1</v>
      </c>
      <c r="B76" t="s">
        <v>124</v>
      </c>
      <c r="C76" t="s">
        <v>110</v>
      </c>
      <c r="D76">
        <v>10</v>
      </c>
      <c r="E76">
        <v>2859600</v>
      </c>
      <c r="F76">
        <v>2862700</v>
      </c>
      <c r="G76">
        <v>2866800</v>
      </c>
      <c r="H76">
        <v>2882100</v>
      </c>
      <c r="I76">
        <v>2923100</v>
      </c>
      <c r="J76">
        <v>2981400</v>
      </c>
      <c r="K76">
        <v>3047900</v>
      </c>
      <c r="L76">
        <v>3111000</v>
      </c>
      <c r="M76">
        <v>3169700</v>
      </c>
      <c r="N76">
        <v>3208800</v>
      </c>
      <c r="O76">
        <v>3229000</v>
      </c>
      <c r="P76">
        <v>3241600</v>
      </c>
      <c r="Q76">
        <v>3246500</v>
      </c>
      <c r="R76">
        <v>3240600</v>
      </c>
      <c r="S76">
        <v>3222000</v>
      </c>
      <c r="T76">
        <v>3193900</v>
      </c>
      <c r="U76">
        <v>3151400</v>
      </c>
      <c r="V76">
        <v>3122800</v>
      </c>
      <c r="W76">
        <v>3112400</v>
      </c>
      <c r="X76">
        <v>3123300</v>
      </c>
      <c r="Y76">
        <v>3138300</v>
      </c>
      <c r="Z76">
        <v>3175700</v>
      </c>
      <c r="AA76">
        <v>3223100</v>
      </c>
      <c r="AB76">
        <v>3275000</v>
      </c>
      <c r="AC76">
        <v>3322900</v>
      </c>
      <c r="AD76">
        <v>3371500</v>
      </c>
    </row>
    <row r="77" spans="1:30" x14ac:dyDescent="0.2">
      <c r="A77">
        <v>1</v>
      </c>
      <c r="B77" t="s">
        <v>124</v>
      </c>
      <c r="C77" t="s">
        <v>111</v>
      </c>
      <c r="D77">
        <v>10</v>
      </c>
      <c r="E77">
        <v>2859600</v>
      </c>
      <c r="F77">
        <v>2862700</v>
      </c>
      <c r="G77">
        <v>2866800</v>
      </c>
      <c r="H77">
        <v>2882100</v>
      </c>
      <c r="I77">
        <v>2923100</v>
      </c>
      <c r="J77">
        <v>2981400</v>
      </c>
      <c r="K77">
        <v>3047900</v>
      </c>
      <c r="L77">
        <v>3111000</v>
      </c>
      <c r="M77">
        <v>3169600</v>
      </c>
      <c r="N77">
        <v>3208700</v>
      </c>
      <c r="O77">
        <v>3228900</v>
      </c>
      <c r="P77">
        <v>3241500</v>
      </c>
      <c r="Q77">
        <v>3246400</v>
      </c>
      <c r="R77">
        <v>3240400</v>
      </c>
      <c r="S77">
        <v>3221800</v>
      </c>
      <c r="T77">
        <v>3193700</v>
      </c>
      <c r="U77">
        <v>3151100</v>
      </c>
      <c r="V77">
        <v>3122500</v>
      </c>
      <c r="W77">
        <v>3112000</v>
      </c>
      <c r="X77">
        <v>3122900</v>
      </c>
      <c r="Y77">
        <v>3137900</v>
      </c>
      <c r="Z77">
        <v>3175200</v>
      </c>
      <c r="AA77">
        <v>3222600</v>
      </c>
      <c r="AB77">
        <v>3274500</v>
      </c>
      <c r="AC77">
        <v>3322300</v>
      </c>
      <c r="AD77">
        <v>3370900</v>
      </c>
    </row>
    <row r="78" spans="1:30" x14ac:dyDescent="0.2">
      <c r="A78">
        <v>1</v>
      </c>
      <c r="B78" t="s">
        <v>124</v>
      </c>
      <c r="C78" t="s">
        <v>112</v>
      </c>
      <c r="D78">
        <v>10</v>
      </c>
      <c r="E78">
        <v>2859600</v>
      </c>
      <c r="F78">
        <v>2862700</v>
      </c>
      <c r="G78">
        <v>2866800</v>
      </c>
      <c r="H78">
        <v>2882000</v>
      </c>
      <c r="I78">
        <v>2923100</v>
      </c>
      <c r="J78">
        <v>2981300</v>
      </c>
      <c r="K78">
        <v>3047900</v>
      </c>
      <c r="L78">
        <v>3110900</v>
      </c>
      <c r="M78">
        <v>3169600</v>
      </c>
      <c r="N78">
        <v>3208700</v>
      </c>
      <c r="O78">
        <v>3228800</v>
      </c>
      <c r="P78">
        <v>3241400</v>
      </c>
      <c r="Q78">
        <v>3246300</v>
      </c>
      <c r="R78">
        <v>3240300</v>
      </c>
      <c r="S78">
        <v>3221700</v>
      </c>
      <c r="T78">
        <v>3193600</v>
      </c>
      <c r="U78">
        <v>3151000</v>
      </c>
      <c r="V78">
        <v>3122400</v>
      </c>
      <c r="W78">
        <v>3111900</v>
      </c>
      <c r="X78">
        <v>3122800</v>
      </c>
      <c r="Y78">
        <v>3137900</v>
      </c>
      <c r="Z78">
        <v>3175200</v>
      </c>
      <c r="AA78">
        <v>3222500</v>
      </c>
      <c r="AB78">
        <v>3274500</v>
      </c>
      <c r="AC78">
        <v>3322300</v>
      </c>
      <c r="AD78">
        <v>3370900</v>
      </c>
    </row>
    <row r="79" spans="1:30" x14ac:dyDescent="0.2">
      <c r="A79">
        <v>1</v>
      </c>
      <c r="B79" t="s">
        <v>124</v>
      </c>
      <c r="C79" t="s">
        <v>113</v>
      </c>
      <c r="D79">
        <v>10</v>
      </c>
      <c r="E79">
        <v>2859600</v>
      </c>
      <c r="F79">
        <v>2862700</v>
      </c>
      <c r="G79">
        <v>2866700</v>
      </c>
      <c r="H79">
        <v>2882000</v>
      </c>
      <c r="I79">
        <v>2923100</v>
      </c>
      <c r="J79">
        <v>2981300</v>
      </c>
      <c r="K79">
        <v>3047800</v>
      </c>
      <c r="L79">
        <v>3110800</v>
      </c>
      <c r="M79">
        <v>3169400</v>
      </c>
      <c r="N79">
        <v>3208500</v>
      </c>
      <c r="O79">
        <v>3228500</v>
      </c>
      <c r="P79">
        <v>3241100</v>
      </c>
      <c r="Q79">
        <v>3245900</v>
      </c>
      <c r="R79">
        <v>3239800</v>
      </c>
      <c r="S79">
        <v>3221100</v>
      </c>
      <c r="T79">
        <v>3192900</v>
      </c>
      <c r="U79">
        <v>3150200</v>
      </c>
      <c r="V79">
        <v>3121500</v>
      </c>
      <c r="W79">
        <v>3111000</v>
      </c>
      <c r="X79">
        <v>3121800</v>
      </c>
      <c r="Y79">
        <v>3136800</v>
      </c>
      <c r="Z79">
        <v>3174000</v>
      </c>
      <c r="AA79">
        <v>3221300</v>
      </c>
      <c r="AB79">
        <v>3273100</v>
      </c>
      <c r="AC79">
        <v>3320800</v>
      </c>
      <c r="AD79">
        <v>3369300</v>
      </c>
    </row>
    <row r="80" spans="1:30" x14ac:dyDescent="0.2">
      <c r="A80">
        <v>1</v>
      </c>
      <c r="B80" t="s">
        <v>124</v>
      </c>
      <c r="C80" t="s">
        <v>114</v>
      </c>
      <c r="D80">
        <v>10</v>
      </c>
      <c r="E80">
        <v>2859600</v>
      </c>
      <c r="F80">
        <v>2862700</v>
      </c>
      <c r="G80">
        <v>2866800</v>
      </c>
      <c r="H80">
        <v>2882100</v>
      </c>
      <c r="I80">
        <v>2923200</v>
      </c>
      <c r="J80">
        <v>2981500</v>
      </c>
      <c r="K80">
        <v>3048100</v>
      </c>
      <c r="L80">
        <v>3111200</v>
      </c>
      <c r="M80">
        <v>3169900</v>
      </c>
      <c r="N80">
        <v>3209000</v>
      </c>
      <c r="O80">
        <v>3229200</v>
      </c>
      <c r="P80">
        <v>3241900</v>
      </c>
      <c r="Q80">
        <v>3246800</v>
      </c>
      <c r="R80">
        <v>3240900</v>
      </c>
      <c r="S80">
        <v>3222300</v>
      </c>
      <c r="T80">
        <v>3194200</v>
      </c>
      <c r="U80">
        <v>3151700</v>
      </c>
      <c r="V80">
        <v>3123200</v>
      </c>
      <c r="W80">
        <v>3112900</v>
      </c>
      <c r="X80">
        <v>3124000</v>
      </c>
      <c r="Y80">
        <v>3139300</v>
      </c>
      <c r="Z80">
        <v>3176800</v>
      </c>
      <c r="AA80">
        <v>3224400</v>
      </c>
      <c r="AB80">
        <v>3276600</v>
      </c>
      <c r="AC80">
        <v>3324500</v>
      </c>
      <c r="AD80">
        <v>3373200</v>
      </c>
    </row>
    <row r="81" spans="1:30" x14ac:dyDescent="0.2">
      <c r="A81">
        <v>1</v>
      </c>
      <c r="B81" t="s">
        <v>124</v>
      </c>
      <c r="C81" t="s">
        <v>115</v>
      </c>
      <c r="D81">
        <v>10</v>
      </c>
      <c r="E81">
        <v>2859600</v>
      </c>
      <c r="F81">
        <v>2881100</v>
      </c>
      <c r="G81">
        <v>2895200</v>
      </c>
      <c r="H81">
        <v>2919200</v>
      </c>
      <c r="I81">
        <v>2970300</v>
      </c>
      <c r="J81">
        <v>3038900</v>
      </c>
      <c r="K81">
        <v>3117600</v>
      </c>
      <c r="L81">
        <v>3193600</v>
      </c>
      <c r="M81">
        <v>3266300</v>
      </c>
      <c r="N81">
        <v>3320400</v>
      </c>
      <c r="O81">
        <v>3356600</v>
      </c>
      <c r="P81">
        <v>3386500</v>
      </c>
      <c r="Q81">
        <v>3410100</v>
      </c>
      <c r="R81">
        <v>3423900</v>
      </c>
      <c r="S81">
        <v>3426200</v>
      </c>
      <c r="T81">
        <v>3419800</v>
      </c>
      <c r="U81">
        <v>3399300</v>
      </c>
      <c r="V81">
        <v>3393300</v>
      </c>
      <c r="W81">
        <v>3405700</v>
      </c>
      <c r="X81">
        <v>3439600</v>
      </c>
      <c r="Y81">
        <v>3477200</v>
      </c>
      <c r="Z81">
        <v>3537000</v>
      </c>
      <c r="AA81">
        <v>3606700</v>
      </c>
      <c r="AB81">
        <v>3680700</v>
      </c>
      <c r="AC81">
        <v>3750300</v>
      </c>
      <c r="AD81">
        <v>3820900</v>
      </c>
    </row>
    <row r="82" spans="1:30" x14ac:dyDescent="0.2">
      <c r="A82">
        <v>1</v>
      </c>
      <c r="B82" t="s">
        <v>125</v>
      </c>
      <c r="C82" t="s">
        <v>108</v>
      </c>
      <c r="D82">
        <v>11</v>
      </c>
      <c r="E82">
        <v>2593400</v>
      </c>
      <c r="F82">
        <v>2610300</v>
      </c>
      <c r="G82">
        <v>2635900</v>
      </c>
      <c r="H82">
        <v>2673700</v>
      </c>
      <c r="I82">
        <v>2713200</v>
      </c>
      <c r="J82">
        <v>2747500</v>
      </c>
      <c r="K82">
        <v>2777700</v>
      </c>
      <c r="L82">
        <v>2803300</v>
      </c>
      <c r="M82">
        <v>2826800</v>
      </c>
      <c r="N82">
        <v>2863700</v>
      </c>
      <c r="O82">
        <v>2916700</v>
      </c>
      <c r="P82">
        <v>2972400</v>
      </c>
      <c r="Q82">
        <v>3024000</v>
      </c>
      <c r="R82">
        <v>3070300</v>
      </c>
      <c r="S82">
        <v>3096700</v>
      </c>
      <c r="T82">
        <v>3103400</v>
      </c>
      <c r="U82">
        <v>3101800</v>
      </c>
      <c r="V82">
        <v>3091500</v>
      </c>
      <c r="W82">
        <v>3069500</v>
      </c>
      <c r="X82">
        <v>3034300</v>
      </c>
      <c r="Y82">
        <v>2989200</v>
      </c>
      <c r="Z82">
        <v>2929500</v>
      </c>
      <c r="AA82">
        <v>2883300</v>
      </c>
      <c r="AB82">
        <v>2854900</v>
      </c>
      <c r="AC82">
        <v>2847700</v>
      </c>
      <c r="AD82">
        <v>2845000</v>
      </c>
    </row>
    <row r="83" spans="1:30" x14ac:dyDescent="0.2">
      <c r="A83">
        <v>1</v>
      </c>
      <c r="B83" t="s">
        <v>125</v>
      </c>
      <c r="C83" t="s">
        <v>109</v>
      </c>
      <c r="D83">
        <v>11</v>
      </c>
      <c r="E83">
        <v>2593400</v>
      </c>
      <c r="F83">
        <v>2620200</v>
      </c>
      <c r="G83">
        <v>2651000</v>
      </c>
      <c r="H83">
        <v>2693400</v>
      </c>
      <c r="I83">
        <v>2738300</v>
      </c>
      <c r="J83">
        <v>2778200</v>
      </c>
      <c r="K83">
        <v>2815100</v>
      </c>
      <c r="L83">
        <v>2848000</v>
      </c>
      <c r="M83">
        <v>2879300</v>
      </c>
      <c r="N83">
        <v>2924900</v>
      </c>
      <c r="O83">
        <v>2987300</v>
      </c>
      <c r="P83">
        <v>3053300</v>
      </c>
      <c r="Q83">
        <v>3116000</v>
      </c>
      <c r="R83">
        <v>3174500</v>
      </c>
      <c r="S83">
        <v>3213800</v>
      </c>
      <c r="T83">
        <v>3234500</v>
      </c>
      <c r="U83">
        <v>3247800</v>
      </c>
      <c r="V83">
        <v>3253600</v>
      </c>
      <c r="W83">
        <v>3248800</v>
      </c>
      <c r="X83">
        <v>3231600</v>
      </c>
      <c r="Y83">
        <v>3205200</v>
      </c>
      <c r="Z83">
        <v>3164600</v>
      </c>
      <c r="AA83">
        <v>3137700</v>
      </c>
      <c r="AB83">
        <v>3128800</v>
      </c>
      <c r="AC83">
        <v>3140900</v>
      </c>
      <c r="AD83">
        <v>3157200</v>
      </c>
    </row>
    <row r="84" spans="1:30" x14ac:dyDescent="0.2">
      <c r="A84">
        <v>1</v>
      </c>
      <c r="B84" t="s">
        <v>125</v>
      </c>
      <c r="C84" t="s">
        <v>110</v>
      </c>
      <c r="D84">
        <v>11</v>
      </c>
      <c r="E84">
        <v>2593400</v>
      </c>
      <c r="F84">
        <v>2620200</v>
      </c>
      <c r="G84">
        <v>2651000</v>
      </c>
      <c r="H84">
        <v>2693300</v>
      </c>
      <c r="I84">
        <v>2738300</v>
      </c>
      <c r="J84">
        <v>2778200</v>
      </c>
      <c r="K84">
        <v>2815100</v>
      </c>
      <c r="L84">
        <v>2847900</v>
      </c>
      <c r="M84">
        <v>2879300</v>
      </c>
      <c r="N84">
        <v>2924800</v>
      </c>
      <c r="O84">
        <v>2987300</v>
      </c>
      <c r="P84">
        <v>3053300</v>
      </c>
      <c r="Q84">
        <v>3116000</v>
      </c>
      <c r="R84">
        <v>3174500</v>
      </c>
      <c r="S84">
        <v>3213800</v>
      </c>
      <c r="T84">
        <v>3234500</v>
      </c>
      <c r="U84">
        <v>3247800</v>
      </c>
      <c r="V84">
        <v>3253700</v>
      </c>
      <c r="W84">
        <v>3248900</v>
      </c>
      <c r="X84">
        <v>3231800</v>
      </c>
      <c r="Y84">
        <v>3205400</v>
      </c>
      <c r="Z84">
        <v>3164800</v>
      </c>
      <c r="AA84">
        <v>3137900</v>
      </c>
      <c r="AB84">
        <v>3128900</v>
      </c>
      <c r="AC84">
        <v>3140900</v>
      </c>
      <c r="AD84">
        <v>3157100</v>
      </c>
    </row>
    <row r="85" spans="1:30" x14ac:dyDescent="0.2">
      <c r="A85">
        <v>1</v>
      </c>
      <c r="B85" t="s">
        <v>125</v>
      </c>
      <c r="C85" t="s">
        <v>111</v>
      </c>
      <c r="D85">
        <v>11</v>
      </c>
      <c r="E85">
        <v>2593400</v>
      </c>
      <c r="F85">
        <v>2620200</v>
      </c>
      <c r="G85">
        <v>2651000</v>
      </c>
      <c r="H85">
        <v>2693300</v>
      </c>
      <c r="I85">
        <v>2738300</v>
      </c>
      <c r="J85">
        <v>2778200</v>
      </c>
      <c r="K85">
        <v>2815100</v>
      </c>
      <c r="L85">
        <v>2847900</v>
      </c>
      <c r="M85">
        <v>2879300</v>
      </c>
      <c r="N85">
        <v>2924800</v>
      </c>
      <c r="O85">
        <v>2987200</v>
      </c>
      <c r="P85">
        <v>3053200</v>
      </c>
      <c r="Q85">
        <v>3115900</v>
      </c>
      <c r="R85">
        <v>3174400</v>
      </c>
      <c r="S85">
        <v>3213700</v>
      </c>
      <c r="T85">
        <v>3234400</v>
      </c>
      <c r="U85">
        <v>3247800</v>
      </c>
      <c r="V85">
        <v>3253600</v>
      </c>
      <c r="W85">
        <v>3248800</v>
      </c>
      <c r="X85">
        <v>3231600</v>
      </c>
      <c r="Y85">
        <v>3205200</v>
      </c>
      <c r="Z85">
        <v>3164500</v>
      </c>
      <c r="AA85">
        <v>3137600</v>
      </c>
      <c r="AB85">
        <v>3128600</v>
      </c>
      <c r="AC85">
        <v>3140600</v>
      </c>
      <c r="AD85">
        <v>3156600</v>
      </c>
    </row>
    <row r="86" spans="1:30" x14ac:dyDescent="0.2">
      <c r="A86">
        <v>1</v>
      </c>
      <c r="B86" t="s">
        <v>125</v>
      </c>
      <c r="C86" t="s">
        <v>112</v>
      </c>
      <c r="D86">
        <v>11</v>
      </c>
      <c r="E86">
        <v>2593400</v>
      </c>
      <c r="F86">
        <v>2620200</v>
      </c>
      <c r="G86">
        <v>2651000</v>
      </c>
      <c r="H86">
        <v>2693300</v>
      </c>
      <c r="I86">
        <v>2738300</v>
      </c>
      <c r="J86">
        <v>2778200</v>
      </c>
      <c r="K86">
        <v>2815100</v>
      </c>
      <c r="L86">
        <v>2847900</v>
      </c>
      <c r="M86">
        <v>2879200</v>
      </c>
      <c r="N86">
        <v>2924700</v>
      </c>
      <c r="O86">
        <v>2987200</v>
      </c>
      <c r="P86">
        <v>3053200</v>
      </c>
      <c r="Q86">
        <v>3115900</v>
      </c>
      <c r="R86">
        <v>3174300</v>
      </c>
      <c r="S86">
        <v>3213600</v>
      </c>
      <c r="T86">
        <v>3234300</v>
      </c>
      <c r="U86">
        <v>3247600</v>
      </c>
      <c r="V86">
        <v>3253500</v>
      </c>
      <c r="W86">
        <v>3248700</v>
      </c>
      <c r="X86">
        <v>3231500</v>
      </c>
      <c r="Y86">
        <v>3205100</v>
      </c>
      <c r="Z86">
        <v>3164400</v>
      </c>
      <c r="AA86">
        <v>3137500</v>
      </c>
      <c r="AB86">
        <v>3128500</v>
      </c>
      <c r="AC86">
        <v>3140500</v>
      </c>
      <c r="AD86">
        <v>3156600</v>
      </c>
    </row>
    <row r="87" spans="1:30" x14ac:dyDescent="0.2">
      <c r="A87">
        <v>1</v>
      </c>
      <c r="B87" t="s">
        <v>125</v>
      </c>
      <c r="C87" t="s">
        <v>113</v>
      </c>
      <c r="D87">
        <v>11</v>
      </c>
      <c r="E87">
        <v>2593400</v>
      </c>
      <c r="F87">
        <v>2620200</v>
      </c>
      <c r="G87">
        <v>2651000</v>
      </c>
      <c r="H87">
        <v>2693300</v>
      </c>
      <c r="I87">
        <v>2738300</v>
      </c>
      <c r="J87">
        <v>2778200</v>
      </c>
      <c r="K87">
        <v>2815000</v>
      </c>
      <c r="L87">
        <v>2847800</v>
      </c>
      <c r="M87">
        <v>2879200</v>
      </c>
      <c r="N87">
        <v>2924700</v>
      </c>
      <c r="O87">
        <v>2987100</v>
      </c>
      <c r="P87">
        <v>3053100</v>
      </c>
      <c r="Q87">
        <v>3115700</v>
      </c>
      <c r="R87">
        <v>3174100</v>
      </c>
      <c r="S87">
        <v>3213400</v>
      </c>
      <c r="T87">
        <v>3234000</v>
      </c>
      <c r="U87">
        <v>3247300</v>
      </c>
      <c r="V87">
        <v>3253000</v>
      </c>
      <c r="W87">
        <v>3248100</v>
      </c>
      <c r="X87">
        <v>3230900</v>
      </c>
      <c r="Y87">
        <v>3204300</v>
      </c>
      <c r="Z87">
        <v>3163600</v>
      </c>
      <c r="AA87">
        <v>3136600</v>
      </c>
      <c r="AB87">
        <v>3127500</v>
      </c>
      <c r="AC87">
        <v>3139500</v>
      </c>
      <c r="AD87">
        <v>3155500</v>
      </c>
    </row>
    <row r="88" spans="1:30" x14ac:dyDescent="0.2">
      <c r="A88">
        <v>1</v>
      </c>
      <c r="B88" t="s">
        <v>125</v>
      </c>
      <c r="C88" t="s">
        <v>114</v>
      </c>
      <c r="D88">
        <v>11</v>
      </c>
      <c r="E88">
        <v>2593400</v>
      </c>
      <c r="F88">
        <v>2620200</v>
      </c>
      <c r="G88">
        <v>2651000</v>
      </c>
      <c r="H88">
        <v>2693400</v>
      </c>
      <c r="I88">
        <v>2738300</v>
      </c>
      <c r="J88">
        <v>2778300</v>
      </c>
      <c r="K88">
        <v>2815200</v>
      </c>
      <c r="L88">
        <v>2848000</v>
      </c>
      <c r="M88">
        <v>2879400</v>
      </c>
      <c r="N88">
        <v>2924900</v>
      </c>
      <c r="O88">
        <v>2987400</v>
      </c>
      <c r="P88">
        <v>3053400</v>
      </c>
      <c r="Q88">
        <v>3116100</v>
      </c>
      <c r="R88">
        <v>3174600</v>
      </c>
      <c r="S88">
        <v>3213900</v>
      </c>
      <c r="T88">
        <v>3234600</v>
      </c>
      <c r="U88">
        <v>3248000</v>
      </c>
      <c r="V88">
        <v>3253900</v>
      </c>
      <c r="W88">
        <v>3249100</v>
      </c>
      <c r="X88">
        <v>3232000</v>
      </c>
      <c r="Y88">
        <v>3205600</v>
      </c>
      <c r="Z88">
        <v>3165000</v>
      </c>
      <c r="AA88">
        <v>3138100</v>
      </c>
      <c r="AB88">
        <v>3129300</v>
      </c>
      <c r="AC88">
        <v>3141500</v>
      </c>
      <c r="AD88">
        <v>3157800</v>
      </c>
    </row>
    <row r="89" spans="1:30" x14ac:dyDescent="0.2">
      <c r="A89">
        <v>1</v>
      </c>
      <c r="B89" t="s">
        <v>125</v>
      </c>
      <c r="C89" t="s">
        <v>115</v>
      </c>
      <c r="D89">
        <v>11</v>
      </c>
      <c r="E89">
        <v>2593400</v>
      </c>
      <c r="F89">
        <v>2632000</v>
      </c>
      <c r="G89">
        <v>2669200</v>
      </c>
      <c r="H89">
        <v>2717100</v>
      </c>
      <c r="I89">
        <v>2768500</v>
      </c>
      <c r="J89">
        <v>2815100</v>
      </c>
      <c r="K89">
        <v>2859900</v>
      </c>
      <c r="L89">
        <v>2901200</v>
      </c>
      <c r="M89">
        <v>2941800</v>
      </c>
      <c r="N89">
        <v>2997400</v>
      </c>
      <c r="O89">
        <v>3071100</v>
      </c>
      <c r="P89">
        <v>3149200</v>
      </c>
      <c r="Q89">
        <v>3225100</v>
      </c>
      <c r="R89">
        <v>3297800</v>
      </c>
      <c r="S89">
        <v>3352400</v>
      </c>
      <c r="T89">
        <v>3389400</v>
      </c>
      <c r="U89">
        <v>3420500</v>
      </c>
      <c r="V89">
        <v>3445300</v>
      </c>
      <c r="W89">
        <v>3460700</v>
      </c>
      <c r="X89">
        <v>3464800</v>
      </c>
      <c r="Y89">
        <v>3460500</v>
      </c>
      <c r="Z89">
        <v>3442400</v>
      </c>
      <c r="AA89">
        <v>3438600</v>
      </c>
      <c r="AB89">
        <v>3453100</v>
      </c>
      <c r="AC89">
        <v>3488900</v>
      </c>
      <c r="AD89">
        <v>3528500</v>
      </c>
    </row>
    <row r="90" spans="1:30" x14ac:dyDescent="0.2">
      <c r="A90">
        <v>1</v>
      </c>
      <c r="B90" t="s">
        <v>126</v>
      </c>
      <c r="C90" t="s">
        <v>108</v>
      </c>
      <c r="D90">
        <v>12</v>
      </c>
      <c r="E90">
        <v>2447300</v>
      </c>
      <c r="F90">
        <v>2420200</v>
      </c>
      <c r="G90">
        <v>2419100</v>
      </c>
      <c r="H90">
        <v>2435000</v>
      </c>
      <c r="I90">
        <v>2464700</v>
      </c>
      <c r="J90">
        <v>2497600</v>
      </c>
      <c r="K90">
        <v>2541800</v>
      </c>
      <c r="L90">
        <v>2586300</v>
      </c>
      <c r="M90">
        <v>2633800</v>
      </c>
      <c r="N90">
        <v>2676200</v>
      </c>
      <c r="O90">
        <v>2713100</v>
      </c>
      <c r="P90">
        <v>2743300</v>
      </c>
      <c r="Q90">
        <v>2769100</v>
      </c>
      <c r="R90">
        <v>2792700</v>
      </c>
      <c r="S90">
        <v>2829600</v>
      </c>
      <c r="T90">
        <v>2882400</v>
      </c>
      <c r="U90">
        <v>2937800</v>
      </c>
      <c r="V90">
        <v>2989200</v>
      </c>
      <c r="W90">
        <v>3035500</v>
      </c>
      <c r="X90">
        <v>3062100</v>
      </c>
      <c r="Y90">
        <v>3069500</v>
      </c>
      <c r="Z90">
        <v>3068700</v>
      </c>
      <c r="AA90">
        <v>3059300</v>
      </c>
      <c r="AB90">
        <v>3038500</v>
      </c>
      <c r="AC90">
        <v>3004600</v>
      </c>
      <c r="AD90">
        <v>2960900</v>
      </c>
    </row>
    <row r="91" spans="1:30" x14ac:dyDescent="0.2">
      <c r="A91">
        <v>1</v>
      </c>
      <c r="B91" t="s">
        <v>126</v>
      </c>
      <c r="C91" t="s">
        <v>109</v>
      </c>
      <c r="D91">
        <v>12</v>
      </c>
      <c r="E91">
        <v>2447300</v>
      </c>
      <c r="F91">
        <v>2426300</v>
      </c>
      <c r="G91">
        <v>2428400</v>
      </c>
      <c r="H91">
        <v>2447300</v>
      </c>
      <c r="I91">
        <v>2480400</v>
      </c>
      <c r="J91">
        <v>2516900</v>
      </c>
      <c r="K91">
        <v>2565300</v>
      </c>
      <c r="L91">
        <v>2614400</v>
      </c>
      <c r="M91">
        <v>2666900</v>
      </c>
      <c r="N91">
        <v>2714700</v>
      </c>
      <c r="O91">
        <v>2757700</v>
      </c>
      <c r="P91">
        <v>2794500</v>
      </c>
      <c r="Q91">
        <v>2827400</v>
      </c>
      <c r="R91">
        <v>2858900</v>
      </c>
      <c r="S91">
        <v>2904400</v>
      </c>
      <c r="T91">
        <v>2966700</v>
      </c>
      <c r="U91">
        <v>3032600</v>
      </c>
      <c r="V91">
        <v>3095200</v>
      </c>
      <c r="W91">
        <v>3153700</v>
      </c>
      <c r="X91">
        <v>3193400</v>
      </c>
      <c r="Y91">
        <v>3214800</v>
      </c>
      <c r="Z91">
        <v>3228900</v>
      </c>
      <c r="AA91">
        <v>3235700</v>
      </c>
      <c r="AB91">
        <v>3232000</v>
      </c>
      <c r="AC91">
        <v>3216100</v>
      </c>
      <c r="AD91">
        <v>3191200</v>
      </c>
    </row>
    <row r="92" spans="1:30" x14ac:dyDescent="0.2">
      <c r="A92">
        <v>1</v>
      </c>
      <c r="B92" t="s">
        <v>126</v>
      </c>
      <c r="C92" t="s">
        <v>110</v>
      </c>
      <c r="D92">
        <v>12</v>
      </c>
      <c r="E92">
        <v>2447300</v>
      </c>
      <c r="F92">
        <v>2426300</v>
      </c>
      <c r="G92">
        <v>2428400</v>
      </c>
      <c r="H92">
        <v>2447300</v>
      </c>
      <c r="I92">
        <v>2480400</v>
      </c>
      <c r="J92">
        <v>2516900</v>
      </c>
      <c r="K92">
        <v>2565300</v>
      </c>
      <c r="L92">
        <v>2614300</v>
      </c>
      <c r="M92">
        <v>2666900</v>
      </c>
      <c r="N92">
        <v>2714700</v>
      </c>
      <c r="O92">
        <v>2757700</v>
      </c>
      <c r="P92">
        <v>2794500</v>
      </c>
      <c r="Q92">
        <v>2827400</v>
      </c>
      <c r="R92">
        <v>2858900</v>
      </c>
      <c r="S92">
        <v>2904400</v>
      </c>
      <c r="T92">
        <v>2966700</v>
      </c>
      <c r="U92">
        <v>3032600</v>
      </c>
      <c r="V92">
        <v>3095200</v>
      </c>
      <c r="W92">
        <v>3153800</v>
      </c>
      <c r="X92">
        <v>3193500</v>
      </c>
      <c r="Y92">
        <v>3214800</v>
      </c>
      <c r="Z92">
        <v>3229000</v>
      </c>
      <c r="AA92">
        <v>3235800</v>
      </c>
      <c r="AB92">
        <v>3232200</v>
      </c>
      <c r="AC92">
        <v>3216400</v>
      </c>
      <c r="AD92">
        <v>3191400</v>
      </c>
    </row>
    <row r="93" spans="1:30" x14ac:dyDescent="0.2">
      <c r="A93">
        <v>1</v>
      </c>
      <c r="B93" t="s">
        <v>126</v>
      </c>
      <c r="C93" t="s">
        <v>111</v>
      </c>
      <c r="D93">
        <v>12</v>
      </c>
      <c r="E93">
        <v>2447300</v>
      </c>
      <c r="F93">
        <v>2426300</v>
      </c>
      <c r="G93">
        <v>2428400</v>
      </c>
      <c r="H93">
        <v>2447300</v>
      </c>
      <c r="I93">
        <v>2480400</v>
      </c>
      <c r="J93">
        <v>2516900</v>
      </c>
      <c r="K93">
        <v>2565300</v>
      </c>
      <c r="L93">
        <v>2614300</v>
      </c>
      <c r="M93">
        <v>2666900</v>
      </c>
      <c r="N93">
        <v>2714700</v>
      </c>
      <c r="O93">
        <v>2757600</v>
      </c>
      <c r="P93">
        <v>2794400</v>
      </c>
      <c r="Q93">
        <v>2827400</v>
      </c>
      <c r="R93">
        <v>2858900</v>
      </c>
      <c r="S93">
        <v>2904400</v>
      </c>
      <c r="T93">
        <v>2966700</v>
      </c>
      <c r="U93">
        <v>3032500</v>
      </c>
      <c r="V93">
        <v>3095100</v>
      </c>
      <c r="W93">
        <v>3153700</v>
      </c>
      <c r="X93">
        <v>3193400</v>
      </c>
      <c r="Y93">
        <v>3214700</v>
      </c>
      <c r="Z93">
        <v>3228900</v>
      </c>
      <c r="AA93">
        <v>3235700</v>
      </c>
      <c r="AB93">
        <v>3232000</v>
      </c>
      <c r="AC93">
        <v>3216200</v>
      </c>
      <c r="AD93">
        <v>3191200</v>
      </c>
    </row>
    <row r="94" spans="1:30" x14ac:dyDescent="0.2">
      <c r="A94">
        <v>1</v>
      </c>
      <c r="B94" t="s">
        <v>126</v>
      </c>
      <c r="C94" t="s">
        <v>112</v>
      </c>
      <c r="D94">
        <v>12</v>
      </c>
      <c r="E94">
        <v>2447300</v>
      </c>
      <c r="F94">
        <v>2426300</v>
      </c>
      <c r="G94">
        <v>2428400</v>
      </c>
      <c r="H94">
        <v>2447300</v>
      </c>
      <c r="I94">
        <v>2480400</v>
      </c>
      <c r="J94">
        <v>2516900</v>
      </c>
      <c r="K94">
        <v>2565300</v>
      </c>
      <c r="L94">
        <v>2614300</v>
      </c>
      <c r="M94">
        <v>2666900</v>
      </c>
      <c r="N94">
        <v>2714700</v>
      </c>
      <c r="O94">
        <v>2757600</v>
      </c>
      <c r="P94">
        <v>2794400</v>
      </c>
      <c r="Q94">
        <v>2827300</v>
      </c>
      <c r="R94">
        <v>2858800</v>
      </c>
      <c r="S94">
        <v>2904400</v>
      </c>
      <c r="T94">
        <v>2966700</v>
      </c>
      <c r="U94">
        <v>3032500</v>
      </c>
      <c r="V94">
        <v>3095100</v>
      </c>
      <c r="W94">
        <v>3153700</v>
      </c>
      <c r="X94">
        <v>3193300</v>
      </c>
      <c r="Y94">
        <v>3214700</v>
      </c>
      <c r="Z94">
        <v>3228900</v>
      </c>
      <c r="AA94">
        <v>3235600</v>
      </c>
      <c r="AB94">
        <v>3231900</v>
      </c>
      <c r="AC94">
        <v>3216100</v>
      </c>
      <c r="AD94">
        <v>3191100</v>
      </c>
    </row>
    <row r="95" spans="1:30" x14ac:dyDescent="0.2">
      <c r="A95">
        <v>1</v>
      </c>
      <c r="B95" t="s">
        <v>126</v>
      </c>
      <c r="C95" t="s">
        <v>113</v>
      </c>
      <c r="D95">
        <v>12</v>
      </c>
      <c r="E95">
        <v>2447300</v>
      </c>
      <c r="F95">
        <v>2426300</v>
      </c>
      <c r="G95">
        <v>2428400</v>
      </c>
      <c r="H95">
        <v>2447300</v>
      </c>
      <c r="I95">
        <v>2480400</v>
      </c>
      <c r="J95">
        <v>2516800</v>
      </c>
      <c r="K95">
        <v>2565200</v>
      </c>
      <c r="L95">
        <v>2614300</v>
      </c>
      <c r="M95">
        <v>2666800</v>
      </c>
      <c r="N95">
        <v>2714700</v>
      </c>
      <c r="O95">
        <v>2757600</v>
      </c>
      <c r="P95">
        <v>2794400</v>
      </c>
      <c r="Q95">
        <v>2827300</v>
      </c>
      <c r="R95">
        <v>2858800</v>
      </c>
      <c r="S95">
        <v>2904300</v>
      </c>
      <c r="T95">
        <v>2966600</v>
      </c>
      <c r="U95">
        <v>3032400</v>
      </c>
      <c r="V95">
        <v>3095000</v>
      </c>
      <c r="W95">
        <v>3153500</v>
      </c>
      <c r="X95">
        <v>3193100</v>
      </c>
      <c r="Y95">
        <v>3214400</v>
      </c>
      <c r="Z95">
        <v>3228500</v>
      </c>
      <c r="AA95">
        <v>3235100</v>
      </c>
      <c r="AB95">
        <v>3231400</v>
      </c>
      <c r="AC95">
        <v>3215400</v>
      </c>
      <c r="AD95">
        <v>3190400</v>
      </c>
    </row>
    <row r="96" spans="1:30" x14ac:dyDescent="0.2">
      <c r="A96">
        <v>1</v>
      </c>
      <c r="B96" t="s">
        <v>126</v>
      </c>
      <c r="C96" t="s">
        <v>114</v>
      </c>
      <c r="D96">
        <v>12</v>
      </c>
      <c r="E96">
        <v>2447300</v>
      </c>
      <c r="F96">
        <v>2426300</v>
      </c>
      <c r="G96">
        <v>2428400</v>
      </c>
      <c r="H96">
        <v>2447300</v>
      </c>
      <c r="I96">
        <v>2480400</v>
      </c>
      <c r="J96">
        <v>2516900</v>
      </c>
      <c r="K96">
        <v>2565300</v>
      </c>
      <c r="L96">
        <v>2614400</v>
      </c>
      <c r="M96">
        <v>2666900</v>
      </c>
      <c r="N96">
        <v>2714800</v>
      </c>
      <c r="O96">
        <v>2757700</v>
      </c>
      <c r="P96">
        <v>2794500</v>
      </c>
      <c r="Q96">
        <v>2827400</v>
      </c>
      <c r="R96">
        <v>2858900</v>
      </c>
      <c r="S96">
        <v>2904500</v>
      </c>
      <c r="T96">
        <v>2966800</v>
      </c>
      <c r="U96">
        <v>3032600</v>
      </c>
      <c r="V96">
        <v>3095300</v>
      </c>
      <c r="W96">
        <v>3153800</v>
      </c>
      <c r="X96">
        <v>3193500</v>
      </c>
      <c r="Y96">
        <v>3214900</v>
      </c>
      <c r="Z96">
        <v>3229100</v>
      </c>
      <c r="AA96">
        <v>3235900</v>
      </c>
      <c r="AB96">
        <v>3232200</v>
      </c>
      <c r="AC96">
        <v>3216300</v>
      </c>
      <c r="AD96">
        <v>3191400</v>
      </c>
    </row>
    <row r="97" spans="1:30" x14ac:dyDescent="0.2">
      <c r="A97">
        <v>1</v>
      </c>
      <c r="B97" t="s">
        <v>126</v>
      </c>
      <c r="C97" t="s">
        <v>115</v>
      </c>
      <c r="D97">
        <v>12</v>
      </c>
      <c r="E97">
        <v>2447300</v>
      </c>
      <c r="F97">
        <v>2433400</v>
      </c>
      <c r="G97">
        <v>2439500</v>
      </c>
      <c r="H97">
        <v>2461900</v>
      </c>
      <c r="I97">
        <v>2499000</v>
      </c>
      <c r="J97">
        <v>2539600</v>
      </c>
      <c r="K97">
        <v>2592900</v>
      </c>
      <c r="L97">
        <v>2647400</v>
      </c>
      <c r="M97">
        <v>2705800</v>
      </c>
      <c r="N97">
        <v>2760100</v>
      </c>
      <c r="O97">
        <v>2810100</v>
      </c>
      <c r="P97">
        <v>2854600</v>
      </c>
      <c r="Q97">
        <v>2896000</v>
      </c>
      <c r="R97">
        <v>2936800</v>
      </c>
      <c r="S97">
        <v>2992500</v>
      </c>
      <c r="T97">
        <v>3066200</v>
      </c>
      <c r="U97">
        <v>3144400</v>
      </c>
      <c r="V97">
        <v>3220400</v>
      </c>
      <c r="W97">
        <v>3293500</v>
      </c>
      <c r="X97">
        <v>3348700</v>
      </c>
      <c r="Y97">
        <v>3386700</v>
      </c>
      <c r="Z97">
        <v>3418700</v>
      </c>
      <c r="AA97">
        <v>3444700</v>
      </c>
      <c r="AB97">
        <v>3461400</v>
      </c>
      <c r="AC97">
        <v>3467000</v>
      </c>
      <c r="AD97">
        <v>3464300</v>
      </c>
    </row>
    <row r="98" spans="1:30" x14ac:dyDescent="0.2">
      <c r="A98">
        <v>1</v>
      </c>
      <c r="B98" t="s">
        <v>127</v>
      </c>
      <c r="C98" t="s">
        <v>108</v>
      </c>
      <c r="D98">
        <v>13</v>
      </c>
      <c r="E98">
        <v>2446400</v>
      </c>
      <c r="F98">
        <v>2421900</v>
      </c>
      <c r="G98">
        <v>2406800</v>
      </c>
      <c r="H98">
        <v>2391300</v>
      </c>
      <c r="I98">
        <v>2375700</v>
      </c>
      <c r="J98">
        <v>2366700</v>
      </c>
      <c r="K98">
        <v>2356300</v>
      </c>
      <c r="L98">
        <v>2366700</v>
      </c>
      <c r="M98">
        <v>2388700</v>
      </c>
      <c r="N98">
        <v>2420300</v>
      </c>
      <c r="O98">
        <v>2455000</v>
      </c>
      <c r="P98">
        <v>2499000</v>
      </c>
      <c r="Q98">
        <v>2543300</v>
      </c>
      <c r="R98">
        <v>2590500</v>
      </c>
      <c r="S98">
        <v>2632600</v>
      </c>
      <c r="T98">
        <v>2669500</v>
      </c>
      <c r="U98">
        <v>2699900</v>
      </c>
      <c r="V98">
        <v>2725900</v>
      </c>
      <c r="W98">
        <v>2749900</v>
      </c>
      <c r="X98">
        <v>2786900</v>
      </c>
      <c r="Y98">
        <v>2839600</v>
      </c>
      <c r="Z98">
        <v>2894900</v>
      </c>
      <c r="AA98">
        <v>2946200</v>
      </c>
      <c r="AB98">
        <v>2992500</v>
      </c>
      <c r="AC98">
        <v>3019500</v>
      </c>
      <c r="AD98">
        <v>3027600</v>
      </c>
    </row>
    <row r="99" spans="1:30" x14ac:dyDescent="0.2">
      <c r="A99">
        <v>1</v>
      </c>
      <c r="B99" t="s">
        <v>127</v>
      </c>
      <c r="C99" t="s">
        <v>109</v>
      </c>
      <c r="D99">
        <v>13</v>
      </c>
      <c r="E99">
        <v>2446400</v>
      </c>
      <c r="F99">
        <v>2425900</v>
      </c>
      <c r="G99">
        <v>2413300</v>
      </c>
      <c r="H99">
        <v>2400000</v>
      </c>
      <c r="I99">
        <v>2386900</v>
      </c>
      <c r="J99">
        <v>2380400</v>
      </c>
      <c r="K99">
        <v>2372900</v>
      </c>
      <c r="L99">
        <v>2386200</v>
      </c>
      <c r="M99">
        <v>2411600</v>
      </c>
      <c r="N99">
        <v>2446700</v>
      </c>
      <c r="O99">
        <v>2485300</v>
      </c>
      <c r="P99">
        <v>2533500</v>
      </c>
      <c r="Q99">
        <v>2582500</v>
      </c>
      <c r="R99">
        <v>2634800</v>
      </c>
      <c r="S99">
        <v>2682600</v>
      </c>
      <c r="T99">
        <v>2725600</v>
      </c>
      <c r="U99">
        <v>2762600</v>
      </c>
      <c r="V99">
        <v>2795900</v>
      </c>
      <c r="W99">
        <v>2827800</v>
      </c>
      <c r="X99">
        <v>2873500</v>
      </c>
      <c r="Y99">
        <v>2935800</v>
      </c>
      <c r="Z99">
        <v>3001700</v>
      </c>
      <c r="AA99">
        <v>3064400</v>
      </c>
      <c r="AB99">
        <v>3123000</v>
      </c>
      <c r="AC99">
        <v>3163100</v>
      </c>
      <c r="AD99">
        <v>3185100</v>
      </c>
    </row>
    <row r="100" spans="1:30" x14ac:dyDescent="0.2">
      <c r="A100">
        <v>1</v>
      </c>
      <c r="B100" t="s">
        <v>127</v>
      </c>
      <c r="C100" t="s">
        <v>110</v>
      </c>
      <c r="D100">
        <v>13</v>
      </c>
      <c r="E100">
        <v>2446400</v>
      </c>
      <c r="F100">
        <v>2425900</v>
      </c>
      <c r="G100">
        <v>2413300</v>
      </c>
      <c r="H100">
        <v>2400000</v>
      </c>
      <c r="I100">
        <v>2386900</v>
      </c>
      <c r="J100">
        <v>2380400</v>
      </c>
      <c r="K100">
        <v>2372900</v>
      </c>
      <c r="L100">
        <v>2386200</v>
      </c>
      <c r="M100">
        <v>2411600</v>
      </c>
      <c r="N100">
        <v>2446700</v>
      </c>
      <c r="O100">
        <v>2485300</v>
      </c>
      <c r="P100">
        <v>2533500</v>
      </c>
      <c r="Q100">
        <v>2582500</v>
      </c>
      <c r="R100">
        <v>2634800</v>
      </c>
      <c r="S100">
        <v>2682600</v>
      </c>
      <c r="T100">
        <v>2725600</v>
      </c>
      <c r="U100">
        <v>2762700</v>
      </c>
      <c r="V100">
        <v>2795900</v>
      </c>
      <c r="W100">
        <v>2827800</v>
      </c>
      <c r="X100">
        <v>2873600</v>
      </c>
      <c r="Y100">
        <v>2935900</v>
      </c>
      <c r="Z100">
        <v>3001700</v>
      </c>
      <c r="AA100">
        <v>3064400</v>
      </c>
      <c r="AB100">
        <v>3123100</v>
      </c>
      <c r="AC100">
        <v>3163200</v>
      </c>
      <c r="AD100">
        <v>3185300</v>
      </c>
    </row>
    <row r="101" spans="1:30" x14ac:dyDescent="0.2">
      <c r="A101">
        <v>1</v>
      </c>
      <c r="B101" t="s">
        <v>127</v>
      </c>
      <c r="C101" t="s">
        <v>111</v>
      </c>
      <c r="D101">
        <v>13</v>
      </c>
      <c r="E101">
        <v>2446400</v>
      </c>
      <c r="F101">
        <v>2425900</v>
      </c>
      <c r="G101">
        <v>2413300</v>
      </c>
      <c r="H101">
        <v>2400000</v>
      </c>
      <c r="I101">
        <v>2386900</v>
      </c>
      <c r="J101">
        <v>2380400</v>
      </c>
      <c r="K101">
        <v>2372900</v>
      </c>
      <c r="L101">
        <v>2386200</v>
      </c>
      <c r="M101">
        <v>2411500</v>
      </c>
      <c r="N101">
        <v>2446700</v>
      </c>
      <c r="O101">
        <v>2485200</v>
      </c>
      <c r="P101">
        <v>2533500</v>
      </c>
      <c r="Q101">
        <v>2582400</v>
      </c>
      <c r="R101">
        <v>2634800</v>
      </c>
      <c r="S101">
        <v>2682600</v>
      </c>
      <c r="T101">
        <v>2725600</v>
      </c>
      <c r="U101">
        <v>2762600</v>
      </c>
      <c r="V101">
        <v>2795800</v>
      </c>
      <c r="W101">
        <v>2827700</v>
      </c>
      <c r="X101">
        <v>2873500</v>
      </c>
      <c r="Y101">
        <v>2935800</v>
      </c>
      <c r="Z101">
        <v>3001600</v>
      </c>
      <c r="AA101">
        <v>3064300</v>
      </c>
      <c r="AB101">
        <v>3122900</v>
      </c>
      <c r="AC101">
        <v>3163000</v>
      </c>
      <c r="AD101">
        <v>3185100</v>
      </c>
    </row>
    <row r="102" spans="1:30" x14ac:dyDescent="0.2">
      <c r="A102">
        <v>1</v>
      </c>
      <c r="B102" t="s">
        <v>127</v>
      </c>
      <c r="C102" t="s">
        <v>112</v>
      </c>
      <c r="D102">
        <v>13</v>
      </c>
      <c r="E102">
        <v>2446400</v>
      </c>
      <c r="F102">
        <v>2425900</v>
      </c>
      <c r="G102">
        <v>2413300</v>
      </c>
      <c r="H102">
        <v>2400000</v>
      </c>
      <c r="I102">
        <v>2386900</v>
      </c>
      <c r="J102">
        <v>2380400</v>
      </c>
      <c r="K102">
        <v>2372900</v>
      </c>
      <c r="L102">
        <v>2386200</v>
      </c>
      <c r="M102">
        <v>2411500</v>
      </c>
      <c r="N102">
        <v>2446700</v>
      </c>
      <c r="O102">
        <v>2485200</v>
      </c>
      <c r="P102">
        <v>2533500</v>
      </c>
      <c r="Q102">
        <v>2582500</v>
      </c>
      <c r="R102">
        <v>2634800</v>
      </c>
      <c r="S102">
        <v>2682600</v>
      </c>
      <c r="T102">
        <v>2725600</v>
      </c>
      <c r="U102">
        <v>2762600</v>
      </c>
      <c r="V102">
        <v>2795800</v>
      </c>
      <c r="W102">
        <v>2827700</v>
      </c>
      <c r="X102">
        <v>2873500</v>
      </c>
      <c r="Y102">
        <v>2935800</v>
      </c>
      <c r="Z102">
        <v>3001600</v>
      </c>
      <c r="AA102">
        <v>3064300</v>
      </c>
      <c r="AB102">
        <v>3122900</v>
      </c>
      <c r="AC102">
        <v>3163000</v>
      </c>
      <c r="AD102">
        <v>3185100</v>
      </c>
    </row>
    <row r="103" spans="1:30" x14ac:dyDescent="0.2">
      <c r="A103">
        <v>1</v>
      </c>
      <c r="B103" t="s">
        <v>127</v>
      </c>
      <c r="C103" t="s">
        <v>113</v>
      </c>
      <c r="D103">
        <v>13</v>
      </c>
      <c r="E103">
        <v>2446400</v>
      </c>
      <c r="F103">
        <v>2425900</v>
      </c>
      <c r="G103">
        <v>2413300</v>
      </c>
      <c r="H103">
        <v>2400000</v>
      </c>
      <c r="I103">
        <v>2386900</v>
      </c>
      <c r="J103">
        <v>2380400</v>
      </c>
      <c r="K103">
        <v>2372800</v>
      </c>
      <c r="L103">
        <v>2386200</v>
      </c>
      <c r="M103">
        <v>2411500</v>
      </c>
      <c r="N103">
        <v>2446700</v>
      </c>
      <c r="O103">
        <v>2485200</v>
      </c>
      <c r="P103">
        <v>2533500</v>
      </c>
      <c r="Q103">
        <v>2582400</v>
      </c>
      <c r="R103">
        <v>2634700</v>
      </c>
      <c r="S103">
        <v>2682500</v>
      </c>
      <c r="T103">
        <v>2725500</v>
      </c>
      <c r="U103">
        <v>2762500</v>
      </c>
      <c r="V103">
        <v>2795700</v>
      </c>
      <c r="W103">
        <v>2827600</v>
      </c>
      <c r="X103">
        <v>2873300</v>
      </c>
      <c r="Y103">
        <v>2935600</v>
      </c>
      <c r="Z103">
        <v>3001400</v>
      </c>
      <c r="AA103">
        <v>3064100</v>
      </c>
      <c r="AB103">
        <v>3122700</v>
      </c>
      <c r="AC103">
        <v>3162700</v>
      </c>
      <c r="AD103">
        <v>3184700</v>
      </c>
    </row>
    <row r="104" spans="1:30" x14ac:dyDescent="0.2">
      <c r="A104">
        <v>1</v>
      </c>
      <c r="B104" t="s">
        <v>127</v>
      </c>
      <c r="C104" t="s">
        <v>114</v>
      </c>
      <c r="D104">
        <v>13</v>
      </c>
      <c r="E104">
        <v>2446400</v>
      </c>
      <c r="F104">
        <v>2425900</v>
      </c>
      <c r="G104">
        <v>2413300</v>
      </c>
      <c r="H104">
        <v>2400000</v>
      </c>
      <c r="I104">
        <v>2386900</v>
      </c>
      <c r="J104">
        <v>2380400</v>
      </c>
      <c r="K104">
        <v>2372900</v>
      </c>
      <c r="L104">
        <v>2386200</v>
      </c>
      <c r="M104">
        <v>2411600</v>
      </c>
      <c r="N104">
        <v>2446700</v>
      </c>
      <c r="O104">
        <v>2485300</v>
      </c>
      <c r="P104">
        <v>2533600</v>
      </c>
      <c r="Q104">
        <v>2582500</v>
      </c>
      <c r="R104">
        <v>2634900</v>
      </c>
      <c r="S104">
        <v>2682600</v>
      </c>
      <c r="T104">
        <v>2725600</v>
      </c>
      <c r="U104">
        <v>2762700</v>
      </c>
      <c r="V104">
        <v>2795900</v>
      </c>
      <c r="W104">
        <v>2827800</v>
      </c>
      <c r="X104">
        <v>2873600</v>
      </c>
      <c r="Y104">
        <v>2935900</v>
      </c>
      <c r="Z104">
        <v>3001800</v>
      </c>
      <c r="AA104">
        <v>3064500</v>
      </c>
      <c r="AB104">
        <v>3123100</v>
      </c>
      <c r="AC104">
        <v>3163200</v>
      </c>
      <c r="AD104">
        <v>3185300</v>
      </c>
    </row>
    <row r="105" spans="1:30" x14ac:dyDescent="0.2">
      <c r="A105">
        <v>1</v>
      </c>
      <c r="B105" t="s">
        <v>127</v>
      </c>
      <c r="C105" t="s">
        <v>115</v>
      </c>
      <c r="D105">
        <v>13</v>
      </c>
      <c r="E105">
        <v>2446400</v>
      </c>
      <c r="F105">
        <v>2430400</v>
      </c>
      <c r="G105">
        <v>2420700</v>
      </c>
      <c r="H105">
        <v>2410000</v>
      </c>
      <c r="I105">
        <v>2399700</v>
      </c>
      <c r="J105">
        <v>2396000</v>
      </c>
      <c r="K105">
        <v>2391700</v>
      </c>
      <c r="L105">
        <v>2408500</v>
      </c>
      <c r="M105">
        <v>2437600</v>
      </c>
      <c r="N105">
        <v>2476900</v>
      </c>
      <c r="O105">
        <v>2519900</v>
      </c>
      <c r="P105">
        <v>2573200</v>
      </c>
      <c r="Q105">
        <v>2627600</v>
      </c>
      <c r="R105">
        <v>2686000</v>
      </c>
      <c r="S105">
        <v>2740400</v>
      </c>
      <c r="T105">
        <v>2790600</v>
      </c>
      <c r="U105">
        <v>2835600</v>
      </c>
      <c r="V105">
        <v>2877400</v>
      </c>
      <c r="W105">
        <v>2918700</v>
      </c>
      <c r="X105">
        <v>2974900</v>
      </c>
      <c r="Y105">
        <v>3048800</v>
      </c>
      <c r="Z105">
        <v>3127300</v>
      </c>
      <c r="AA105">
        <v>3203600</v>
      </c>
      <c r="AB105">
        <v>3277000</v>
      </c>
      <c r="AC105">
        <v>3332800</v>
      </c>
      <c r="AD105">
        <v>3371700</v>
      </c>
    </row>
    <row r="106" spans="1:30" x14ac:dyDescent="0.2">
      <c r="A106">
        <v>1</v>
      </c>
      <c r="B106" t="s">
        <v>128</v>
      </c>
      <c r="C106" t="s">
        <v>108</v>
      </c>
      <c r="D106">
        <v>14</v>
      </c>
      <c r="E106">
        <v>2708200</v>
      </c>
      <c r="F106">
        <v>2653200</v>
      </c>
      <c r="G106">
        <v>2580900</v>
      </c>
      <c r="H106">
        <v>2496200</v>
      </c>
      <c r="I106">
        <v>2423700</v>
      </c>
      <c r="J106">
        <v>2371500</v>
      </c>
      <c r="K106">
        <v>2356600</v>
      </c>
      <c r="L106">
        <v>2348600</v>
      </c>
      <c r="M106">
        <v>2337400</v>
      </c>
      <c r="N106">
        <v>2324400</v>
      </c>
      <c r="O106">
        <v>2317700</v>
      </c>
      <c r="P106">
        <v>2308700</v>
      </c>
      <c r="Q106">
        <v>2319800</v>
      </c>
      <c r="R106">
        <v>2342300</v>
      </c>
      <c r="S106">
        <v>2374000</v>
      </c>
      <c r="T106">
        <v>2408800</v>
      </c>
      <c r="U106">
        <v>2452700</v>
      </c>
      <c r="V106">
        <v>2496800</v>
      </c>
      <c r="W106">
        <v>2543800</v>
      </c>
      <c r="X106">
        <v>2585900</v>
      </c>
      <c r="Y106">
        <v>2622900</v>
      </c>
      <c r="Z106">
        <v>2653600</v>
      </c>
      <c r="AA106">
        <v>2680100</v>
      </c>
      <c r="AB106">
        <v>2704600</v>
      </c>
      <c r="AC106">
        <v>2741800</v>
      </c>
      <c r="AD106">
        <v>2794400</v>
      </c>
    </row>
    <row r="107" spans="1:30" x14ac:dyDescent="0.2">
      <c r="A107">
        <v>1</v>
      </c>
      <c r="B107" t="s">
        <v>128</v>
      </c>
      <c r="C107" t="s">
        <v>109</v>
      </c>
      <c r="D107">
        <v>14</v>
      </c>
      <c r="E107">
        <v>2708200</v>
      </c>
      <c r="F107">
        <v>2656800</v>
      </c>
      <c r="G107">
        <v>2587000</v>
      </c>
      <c r="H107">
        <v>2504600</v>
      </c>
      <c r="I107">
        <v>2434600</v>
      </c>
      <c r="J107">
        <v>2384600</v>
      </c>
      <c r="K107">
        <v>2372400</v>
      </c>
      <c r="L107">
        <v>2367000</v>
      </c>
      <c r="M107">
        <v>2358600</v>
      </c>
      <c r="N107">
        <v>2348300</v>
      </c>
      <c r="O107">
        <v>2344500</v>
      </c>
      <c r="P107">
        <v>2338500</v>
      </c>
      <c r="Q107">
        <v>2352800</v>
      </c>
      <c r="R107">
        <v>2378800</v>
      </c>
      <c r="S107">
        <v>2414300</v>
      </c>
      <c r="T107">
        <v>2453200</v>
      </c>
      <c r="U107">
        <v>2501700</v>
      </c>
      <c r="V107">
        <v>2550700</v>
      </c>
      <c r="W107">
        <v>2603100</v>
      </c>
      <c r="X107">
        <v>2651100</v>
      </c>
      <c r="Y107">
        <v>2694400</v>
      </c>
      <c r="Z107">
        <v>2731900</v>
      </c>
      <c r="AA107">
        <v>2765700</v>
      </c>
      <c r="AB107">
        <v>2798200</v>
      </c>
      <c r="AC107">
        <v>2844300</v>
      </c>
      <c r="AD107">
        <v>2906800</v>
      </c>
    </row>
    <row r="108" spans="1:30" x14ac:dyDescent="0.2">
      <c r="A108">
        <v>1</v>
      </c>
      <c r="B108" t="s">
        <v>128</v>
      </c>
      <c r="C108" t="s">
        <v>110</v>
      </c>
      <c r="D108">
        <v>14</v>
      </c>
      <c r="E108">
        <v>2708200</v>
      </c>
      <c r="F108">
        <v>2656800</v>
      </c>
      <c r="G108">
        <v>2587000</v>
      </c>
      <c r="H108">
        <v>2504600</v>
      </c>
      <c r="I108">
        <v>2434600</v>
      </c>
      <c r="J108">
        <v>2384600</v>
      </c>
      <c r="K108">
        <v>2372400</v>
      </c>
      <c r="L108">
        <v>2367000</v>
      </c>
      <c r="M108">
        <v>2358600</v>
      </c>
      <c r="N108">
        <v>2348300</v>
      </c>
      <c r="O108">
        <v>2344500</v>
      </c>
      <c r="P108">
        <v>2338500</v>
      </c>
      <c r="Q108">
        <v>2352800</v>
      </c>
      <c r="R108">
        <v>2378800</v>
      </c>
      <c r="S108">
        <v>2414300</v>
      </c>
      <c r="T108">
        <v>2453200</v>
      </c>
      <c r="U108">
        <v>2501700</v>
      </c>
      <c r="V108">
        <v>2550700</v>
      </c>
      <c r="W108">
        <v>2603100</v>
      </c>
      <c r="X108">
        <v>2651100</v>
      </c>
      <c r="Y108">
        <v>2694400</v>
      </c>
      <c r="Z108">
        <v>2731900</v>
      </c>
      <c r="AA108">
        <v>2765700</v>
      </c>
      <c r="AB108">
        <v>2798200</v>
      </c>
      <c r="AC108">
        <v>2844400</v>
      </c>
      <c r="AD108">
        <v>2906800</v>
      </c>
    </row>
    <row r="109" spans="1:30" x14ac:dyDescent="0.2">
      <c r="A109">
        <v>1</v>
      </c>
      <c r="B109" t="s">
        <v>128</v>
      </c>
      <c r="C109" t="s">
        <v>111</v>
      </c>
      <c r="D109">
        <v>14</v>
      </c>
      <c r="E109">
        <v>2708200</v>
      </c>
      <c r="F109">
        <v>2656800</v>
      </c>
      <c r="G109">
        <v>2587000</v>
      </c>
      <c r="H109">
        <v>2504600</v>
      </c>
      <c r="I109">
        <v>2434600</v>
      </c>
      <c r="J109">
        <v>2384600</v>
      </c>
      <c r="K109">
        <v>2372400</v>
      </c>
      <c r="L109">
        <v>2367000</v>
      </c>
      <c r="M109">
        <v>2358600</v>
      </c>
      <c r="N109">
        <v>2348300</v>
      </c>
      <c r="O109">
        <v>2344500</v>
      </c>
      <c r="P109">
        <v>2338500</v>
      </c>
      <c r="Q109">
        <v>2352800</v>
      </c>
      <c r="R109">
        <v>2378700</v>
      </c>
      <c r="S109">
        <v>2414300</v>
      </c>
      <c r="T109">
        <v>2453200</v>
      </c>
      <c r="U109">
        <v>2501600</v>
      </c>
      <c r="V109">
        <v>2550700</v>
      </c>
      <c r="W109">
        <v>2603100</v>
      </c>
      <c r="X109">
        <v>2651000</v>
      </c>
      <c r="Y109">
        <v>2694300</v>
      </c>
      <c r="Z109">
        <v>2731800</v>
      </c>
      <c r="AA109">
        <v>2765600</v>
      </c>
      <c r="AB109">
        <v>2798100</v>
      </c>
      <c r="AC109">
        <v>2844200</v>
      </c>
      <c r="AD109">
        <v>2906700</v>
      </c>
    </row>
    <row r="110" spans="1:30" x14ac:dyDescent="0.2">
      <c r="A110">
        <v>1</v>
      </c>
      <c r="B110" t="s">
        <v>128</v>
      </c>
      <c r="C110" t="s">
        <v>112</v>
      </c>
      <c r="D110">
        <v>14</v>
      </c>
      <c r="E110">
        <v>2708200</v>
      </c>
      <c r="F110">
        <v>2656800</v>
      </c>
      <c r="G110">
        <v>2587000</v>
      </c>
      <c r="H110">
        <v>2504600</v>
      </c>
      <c r="I110">
        <v>2434600</v>
      </c>
      <c r="J110">
        <v>2384600</v>
      </c>
      <c r="K110">
        <v>2372400</v>
      </c>
      <c r="L110">
        <v>2367000</v>
      </c>
      <c r="M110">
        <v>2358600</v>
      </c>
      <c r="N110">
        <v>2348300</v>
      </c>
      <c r="O110">
        <v>2344500</v>
      </c>
      <c r="P110">
        <v>2338500</v>
      </c>
      <c r="Q110">
        <v>2352800</v>
      </c>
      <c r="R110">
        <v>2378700</v>
      </c>
      <c r="S110">
        <v>2414300</v>
      </c>
      <c r="T110">
        <v>2453200</v>
      </c>
      <c r="U110">
        <v>2501600</v>
      </c>
      <c r="V110">
        <v>2550700</v>
      </c>
      <c r="W110">
        <v>2603100</v>
      </c>
      <c r="X110">
        <v>2651000</v>
      </c>
      <c r="Y110">
        <v>2694300</v>
      </c>
      <c r="Z110">
        <v>2731800</v>
      </c>
      <c r="AA110">
        <v>2765600</v>
      </c>
      <c r="AB110">
        <v>2798100</v>
      </c>
      <c r="AC110">
        <v>2844200</v>
      </c>
      <c r="AD110">
        <v>2906700</v>
      </c>
    </row>
    <row r="111" spans="1:30" x14ac:dyDescent="0.2">
      <c r="A111">
        <v>1</v>
      </c>
      <c r="B111" t="s">
        <v>128</v>
      </c>
      <c r="C111" t="s">
        <v>113</v>
      </c>
      <c r="D111">
        <v>14</v>
      </c>
      <c r="E111">
        <v>2708200</v>
      </c>
      <c r="F111">
        <v>2656800</v>
      </c>
      <c r="G111">
        <v>2587000</v>
      </c>
      <c r="H111">
        <v>2504600</v>
      </c>
      <c r="I111">
        <v>2434600</v>
      </c>
      <c r="J111">
        <v>2384600</v>
      </c>
      <c r="K111">
        <v>2372400</v>
      </c>
      <c r="L111">
        <v>2367000</v>
      </c>
      <c r="M111">
        <v>2358500</v>
      </c>
      <c r="N111">
        <v>2348300</v>
      </c>
      <c r="O111">
        <v>2344500</v>
      </c>
      <c r="P111">
        <v>2338400</v>
      </c>
      <c r="Q111">
        <v>2352700</v>
      </c>
      <c r="R111">
        <v>2378700</v>
      </c>
      <c r="S111">
        <v>2414200</v>
      </c>
      <c r="T111">
        <v>2453100</v>
      </c>
      <c r="U111">
        <v>2501500</v>
      </c>
      <c r="V111">
        <v>2550600</v>
      </c>
      <c r="W111">
        <v>2603000</v>
      </c>
      <c r="X111">
        <v>2650900</v>
      </c>
      <c r="Y111">
        <v>2694200</v>
      </c>
      <c r="Z111">
        <v>2731700</v>
      </c>
      <c r="AA111">
        <v>2765400</v>
      </c>
      <c r="AB111">
        <v>2797900</v>
      </c>
      <c r="AC111">
        <v>2844000</v>
      </c>
      <c r="AD111">
        <v>2906500</v>
      </c>
    </row>
    <row r="112" spans="1:30" x14ac:dyDescent="0.2">
      <c r="A112">
        <v>1</v>
      </c>
      <c r="B112" t="s">
        <v>128</v>
      </c>
      <c r="C112" t="s">
        <v>114</v>
      </c>
      <c r="D112">
        <v>14</v>
      </c>
      <c r="E112">
        <v>2708200</v>
      </c>
      <c r="F112">
        <v>2656800</v>
      </c>
      <c r="G112">
        <v>2587000</v>
      </c>
      <c r="H112">
        <v>2504600</v>
      </c>
      <c r="I112">
        <v>2434600</v>
      </c>
      <c r="J112">
        <v>2384600</v>
      </c>
      <c r="K112">
        <v>2372400</v>
      </c>
      <c r="L112">
        <v>2367000</v>
      </c>
      <c r="M112">
        <v>2358600</v>
      </c>
      <c r="N112">
        <v>2348300</v>
      </c>
      <c r="O112">
        <v>2344500</v>
      </c>
      <c r="P112">
        <v>2338500</v>
      </c>
      <c r="Q112">
        <v>2352800</v>
      </c>
      <c r="R112">
        <v>2378800</v>
      </c>
      <c r="S112">
        <v>2414300</v>
      </c>
      <c r="T112">
        <v>2453300</v>
      </c>
      <c r="U112">
        <v>2501700</v>
      </c>
      <c r="V112">
        <v>2550800</v>
      </c>
      <c r="W112">
        <v>2603200</v>
      </c>
      <c r="X112">
        <v>2651100</v>
      </c>
      <c r="Y112">
        <v>2694500</v>
      </c>
      <c r="Z112">
        <v>2732000</v>
      </c>
      <c r="AA112">
        <v>2765800</v>
      </c>
      <c r="AB112">
        <v>2798300</v>
      </c>
      <c r="AC112">
        <v>2844400</v>
      </c>
      <c r="AD112">
        <v>2906900</v>
      </c>
    </row>
    <row r="113" spans="1:30" x14ac:dyDescent="0.2">
      <c r="A113">
        <v>1</v>
      </c>
      <c r="B113" t="s">
        <v>128</v>
      </c>
      <c r="C113" t="s">
        <v>115</v>
      </c>
      <c r="D113">
        <v>14</v>
      </c>
      <c r="E113">
        <v>2708200</v>
      </c>
      <c r="F113">
        <v>2660600</v>
      </c>
      <c r="G113">
        <v>2593600</v>
      </c>
      <c r="H113">
        <v>2513800</v>
      </c>
      <c r="I113">
        <v>2446300</v>
      </c>
      <c r="J113">
        <v>2398900</v>
      </c>
      <c r="K113">
        <v>2389500</v>
      </c>
      <c r="L113">
        <v>2387000</v>
      </c>
      <c r="M113">
        <v>2381600</v>
      </c>
      <c r="N113">
        <v>2374500</v>
      </c>
      <c r="O113">
        <v>2373900</v>
      </c>
      <c r="P113">
        <v>2371300</v>
      </c>
      <c r="Q113">
        <v>2389300</v>
      </c>
      <c r="R113">
        <v>2419400</v>
      </c>
      <c r="S113">
        <v>2459400</v>
      </c>
      <c r="T113">
        <v>2503100</v>
      </c>
      <c r="U113">
        <v>2556900</v>
      </c>
      <c r="V113">
        <v>2611800</v>
      </c>
      <c r="W113">
        <v>2670600</v>
      </c>
      <c r="X113">
        <v>2725600</v>
      </c>
      <c r="Y113">
        <v>2776500</v>
      </c>
      <c r="Z113">
        <v>2822200</v>
      </c>
      <c r="AA113">
        <v>2864900</v>
      </c>
      <c r="AB113">
        <v>2907100</v>
      </c>
      <c r="AC113">
        <v>2964000</v>
      </c>
      <c r="AD113">
        <v>3038400</v>
      </c>
    </row>
    <row r="114" spans="1:30" x14ac:dyDescent="0.2">
      <c r="A114">
        <v>1</v>
      </c>
      <c r="B114" t="s">
        <v>129</v>
      </c>
      <c r="C114" t="s">
        <v>108</v>
      </c>
      <c r="D114">
        <v>15</v>
      </c>
      <c r="E114">
        <v>2494300</v>
      </c>
      <c r="F114">
        <v>2537600</v>
      </c>
      <c r="G114">
        <v>2562100</v>
      </c>
      <c r="H114">
        <v>2588300</v>
      </c>
      <c r="I114">
        <v>2605100</v>
      </c>
      <c r="J114">
        <v>2596600</v>
      </c>
      <c r="K114">
        <v>2549900</v>
      </c>
      <c r="L114">
        <v>2485400</v>
      </c>
      <c r="M114">
        <v>2407700</v>
      </c>
      <c r="N114">
        <v>2340900</v>
      </c>
      <c r="O114">
        <v>2293500</v>
      </c>
      <c r="P114">
        <v>2281000</v>
      </c>
      <c r="Q114">
        <v>2274600</v>
      </c>
      <c r="R114">
        <v>2265200</v>
      </c>
      <c r="S114">
        <v>2254100</v>
      </c>
      <c r="T114">
        <v>2249200</v>
      </c>
      <c r="U114">
        <v>2242200</v>
      </c>
      <c r="V114">
        <v>2254400</v>
      </c>
      <c r="W114">
        <v>2277400</v>
      </c>
      <c r="X114">
        <v>2309400</v>
      </c>
      <c r="Y114">
        <v>2344600</v>
      </c>
      <c r="Z114">
        <v>2388400</v>
      </c>
      <c r="AA114">
        <v>2432500</v>
      </c>
      <c r="AB114">
        <v>2479300</v>
      </c>
      <c r="AC114">
        <v>2521400</v>
      </c>
      <c r="AD114">
        <v>2558700</v>
      </c>
    </row>
    <row r="115" spans="1:30" x14ac:dyDescent="0.2">
      <c r="A115">
        <v>1</v>
      </c>
      <c r="B115" t="s">
        <v>129</v>
      </c>
      <c r="C115" t="s">
        <v>109</v>
      </c>
      <c r="D115">
        <v>15</v>
      </c>
      <c r="E115">
        <v>2494300</v>
      </c>
      <c r="F115">
        <v>2541200</v>
      </c>
      <c r="G115">
        <v>2568800</v>
      </c>
      <c r="H115">
        <v>2598100</v>
      </c>
      <c r="I115">
        <v>2618100</v>
      </c>
      <c r="J115">
        <v>2612600</v>
      </c>
      <c r="K115">
        <v>2568900</v>
      </c>
      <c r="L115">
        <v>2507200</v>
      </c>
      <c r="M115">
        <v>2432100</v>
      </c>
      <c r="N115">
        <v>2367800</v>
      </c>
      <c r="O115">
        <v>2322900</v>
      </c>
      <c r="P115">
        <v>2313200</v>
      </c>
      <c r="Q115">
        <v>2309700</v>
      </c>
      <c r="R115">
        <v>2303200</v>
      </c>
      <c r="S115">
        <v>2294900</v>
      </c>
      <c r="T115">
        <v>2293100</v>
      </c>
      <c r="U115">
        <v>2289100</v>
      </c>
      <c r="V115">
        <v>2304700</v>
      </c>
      <c r="W115">
        <v>2331500</v>
      </c>
      <c r="X115">
        <v>2367600</v>
      </c>
      <c r="Y115">
        <v>2407100</v>
      </c>
      <c r="Z115">
        <v>2455800</v>
      </c>
      <c r="AA115">
        <v>2505000</v>
      </c>
      <c r="AB115">
        <v>2557500</v>
      </c>
      <c r="AC115">
        <v>2605700</v>
      </c>
      <c r="AD115">
        <v>2649400</v>
      </c>
    </row>
    <row r="116" spans="1:30" x14ac:dyDescent="0.2">
      <c r="A116">
        <v>1</v>
      </c>
      <c r="B116" t="s">
        <v>129</v>
      </c>
      <c r="C116" t="s">
        <v>110</v>
      </c>
      <c r="D116">
        <v>15</v>
      </c>
      <c r="E116">
        <v>2494300</v>
      </c>
      <c r="F116">
        <v>2541200</v>
      </c>
      <c r="G116">
        <v>2568800</v>
      </c>
      <c r="H116">
        <v>2598100</v>
      </c>
      <c r="I116">
        <v>2618100</v>
      </c>
      <c r="J116">
        <v>2612600</v>
      </c>
      <c r="K116">
        <v>2568900</v>
      </c>
      <c r="L116">
        <v>2507200</v>
      </c>
      <c r="M116">
        <v>2432100</v>
      </c>
      <c r="N116">
        <v>2367800</v>
      </c>
      <c r="O116">
        <v>2322900</v>
      </c>
      <c r="P116">
        <v>2313200</v>
      </c>
      <c r="Q116">
        <v>2309700</v>
      </c>
      <c r="R116">
        <v>2303200</v>
      </c>
      <c r="S116">
        <v>2295000</v>
      </c>
      <c r="T116">
        <v>2293100</v>
      </c>
      <c r="U116">
        <v>2289200</v>
      </c>
      <c r="V116">
        <v>2304800</v>
      </c>
      <c r="W116">
        <v>2331600</v>
      </c>
      <c r="X116">
        <v>2367700</v>
      </c>
      <c r="Y116">
        <v>2407200</v>
      </c>
      <c r="Z116">
        <v>2455800</v>
      </c>
      <c r="AA116">
        <v>2505100</v>
      </c>
      <c r="AB116">
        <v>2557600</v>
      </c>
      <c r="AC116">
        <v>2605800</v>
      </c>
      <c r="AD116">
        <v>2649500</v>
      </c>
    </row>
    <row r="117" spans="1:30" x14ac:dyDescent="0.2">
      <c r="A117">
        <v>1</v>
      </c>
      <c r="B117" t="s">
        <v>129</v>
      </c>
      <c r="C117" t="s">
        <v>111</v>
      </c>
      <c r="D117">
        <v>15</v>
      </c>
      <c r="E117">
        <v>2494300</v>
      </c>
      <c r="F117">
        <v>2541200</v>
      </c>
      <c r="G117">
        <v>2568800</v>
      </c>
      <c r="H117">
        <v>2598100</v>
      </c>
      <c r="I117">
        <v>2618100</v>
      </c>
      <c r="J117">
        <v>2612600</v>
      </c>
      <c r="K117">
        <v>2568900</v>
      </c>
      <c r="L117">
        <v>2507200</v>
      </c>
      <c r="M117">
        <v>2432100</v>
      </c>
      <c r="N117">
        <v>2367800</v>
      </c>
      <c r="O117">
        <v>2322900</v>
      </c>
      <c r="P117">
        <v>2313200</v>
      </c>
      <c r="Q117">
        <v>2309700</v>
      </c>
      <c r="R117">
        <v>2303200</v>
      </c>
      <c r="S117">
        <v>2294900</v>
      </c>
      <c r="T117">
        <v>2293100</v>
      </c>
      <c r="U117">
        <v>2289100</v>
      </c>
      <c r="V117">
        <v>2304700</v>
      </c>
      <c r="W117">
        <v>2331500</v>
      </c>
      <c r="X117">
        <v>2367600</v>
      </c>
      <c r="Y117">
        <v>2407100</v>
      </c>
      <c r="Z117">
        <v>2455700</v>
      </c>
      <c r="AA117">
        <v>2505000</v>
      </c>
      <c r="AB117">
        <v>2557500</v>
      </c>
      <c r="AC117">
        <v>2605700</v>
      </c>
      <c r="AD117">
        <v>2649400</v>
      </c>
    </row>
    <row r="118" spans="1:30" x14ac:dyDescent="0.2">
      <c r="A118">
        <v>1</v>
      </c>
      <c r="B118" t="s">
        <v>129</v>
      </c>
      <c r="C118" t="s">
        <v>112</v>
      </c>
      <c r="D118">
        <v>15</v>
      </c>
      <c r="E118">
        <v>2494300</v>
      </c>
      <c r="F118">
        <v>2541200</v>
      </c>
      <c r="G118">
        <v>2568800</v>
      </c>
      <c r="H118">
        <v>2598100</v>
      </c>
      <c r="I118">
        <v>2618100</v>
      </c>
      <c r="J118">
        <v>2612600</v>
      </c>
      <c r="K118">
        <v>2568900</v>
      </c>
      <c r="L118">
        <v>2507200</v>
      </c>
      <c r="M118">
        <v>2432100</v>
      </c>
      <c r="N118">
        <v>2367800</v>
      </c>
      <c r="O118">
        <v>2322900</v>
      </c>
      <c r="P118">
        <v>2313200</v>
      </c>
      <c r="Q118">
        <v>2309700</v>
      </c>
      <c r="R118">
        <v>2303200</v>
      </c>
      <c r="S118">
        <v>2294900</v>
      </c>
      <c r="T118">
        <v>2293100</v>
      </c>
      <c r="U118">
        <v>2289100</v>
      </c>
      <c r="V118">
        <v>2304700</v>
      </c>
      <c r="W118">
        <v>2331500</v>
      </c>
      <c r="X118">
        <v>2367600</v>
      </c>
      <c r="Y118">
        <v>2407100</v>
      </c>
      <c r="Z118">
        <v>2455800</v>
      </c>
      <c r="AA118">
        <v>2505000</v>
      </c>
      <c r="AB118">
        <v>2557500</v>
      </c>
      <c r="AC118">
        <v>2605700</v>
      </c>
      <c r="AD118">
        <v>2649400</v>
      </c>
    </row>
    <row r="119" spans="1:30" x14ac:dyDescent="0.2">
      <c r="A119">
        <v>1</v>
      </c>
      <c r="B119" t="s">
        <v>129</v>
      </c>
      <c r="C119" t="s">
        <v>113</v>
      </c>
      <c r="D119">
        <v>15</v>
      </c>
      <c r="E119">
        <v>2494300</v>
      </c>
      <c r="F119">
        <v>2541200</v>
      </c>
      <c r="G119">
        <v>2568800</v>
      </c>
      <c r="H119">
        <v>2598100</v>
      </c>
      <c r="I119">
        <v>2618100</v>
      </c>
      <c r="J119">
        <v>2612600</v>
      </c>
      <c r="K119">
        <v>2568900</v>
      </c>
      <c r="L119">
        <v>2507200</v>
      </c>
      <c r="M119">
        <v>2432100</v>
      </c>
      <c r="N119">
        <v>2367800</v>
      </c>
      <c r="O119">
        <v>2322900</v>
      </c>
      <c r="P119">
        <v>2313200</v>
      </c>
      <c r="Q119">
        <v>2309700</v>
      </c>
      <c r="R119">
        <v>2303100</v>
      </c>
      <c r="S119">
        <v>2294900</v>
      </c>
      <c r="T119">
        <v>2293000</v>
      </c>
      <c r="U119">
        <v>2289100</v>
      </c>
      <c r="V119">
        <v>2304600</v>
      </c>
      <c r="W119">
        <v>2331400</v>
      </c>
      <c r="X119">
        <v>2367500</v>
      </c>
      <c r="Y119">
        <v>2407000</v>
      </c>
      <c r="Z119">
        <v>2455600</v>
      </c>
      <c r="AA119">
        <v>2504900</v>
      </c>
      <c r="AB119">
        <v>2557300</v>
      </c>
      <c r="AC119">
        <v>2605500</v>
      </c>
      <c r="AD119">
        <v>2649200</v>
      </c>
    </row>
    <row r="120" spans="1:30" x14ac:dyDescent="0.2">
      <c r="A120">
        <v>1</v>
      </c>
      <c r="B120" t="s">
        <v>129</v>
      </c>
      <c r="C120" t="s">
        <v>114</v>
      </c>
      <c r="D120">
        <v>15</v>
      </c>
      <c r="E120">
        <v>2494300</v>
      </c>
      <c r="F120">
        <v>2541200</v>
      </c>
      <c r="G120">
        <v>2568800</v>
      </c>
      <c r="H120">
        <v>2598100</v>
      </c>
      <c r="I120">
        <v>2618100</v>
      </c>
      <c r="J120">
        <v>2612600</v>
      </c>
      <c r="K120">
        <v>2568900</v>
      </c>
      <c r="L120">
        <v>2507200</v>
      </c>
      <c r="M120">
        <v>2432100</v>
      </c>
      <c r="N120">
        <v>2367800</v>
      </c>
      <c r="O120">
        <v>2322900</v>
      </c>
      <c r="P120">
        <v>2313100</v>
      </c>
      <c r="Q120">
        <v>2309600</v>
      </c>
      <c r="R120">
        <v>2303100</v>
      </c>
      <c r="S120">
        <v>2294900</v>
      </c>
      <c r="T120">
        <v>2293100</v>
      </c>
      <c r="U120">
        <v>2289100</v>
      </c>
      <c r="V120">
        <v>2304700</v>
      </c>
      <c r="W120">
        <v>2331500</v>
      </c>
      <c r="X120">
        <v>2367600</v>
      </c>
      <c r="Y120">
        <v>2407100</v>
      </c>
      <c r="Z120">
        <v>2455800</v>
      </c>
      <c r="AA120">
        <v>2505000</v>
      </c>
      <c r="AB120">
        <v>2557500</v>
      </c>
      <c r="AC120">
        <v>2605700</v>
      </c>
      <c r="AD120">
        <v>2649500</v>
      </c>
    </row>
    <row r="121" spans="1:30" x14ac:dyDescent="0.2">
      <c r="A121">
        <v>1</v>
      </c>
      <c r="B121" t="s">
        <v>129</v>
      </c>
      <c r="C121" t="s">
        <v>115</v>
      </c>
      <c r="D121">
        <v>15</v>
      </c>
      <c r="E121">
        <v>2494300</v>
      </c>
      <c r="F121">
        <v>2544800</v>
      </c>
      <c r="G121">
        <v>2575700</v>
      </c>
      <c r="H121">
        <v>2608100</v>
      </c>
      <c r="I121">
        <v>2631300</v>
      </c>
      <c r="J121">
        <v>2628900</v>
      </c>
      <c r="K121">
        <v>2588400</v>
      </c>
      <c r="L121">
        <v>2529600</v>
      </c>
      <c r="M121">
        <v>2457300</v>
      </c>
      <c r="N121">
        <v>2395700</v>
      </c>
      <c r="O121">
        <v>2353600</v>
      </c>
      <c r="P121">
        <v>2347000</v>
      </c>
      <c r="Q121">
        <v>2346700</v>
      </c>
      <c r="R121">
        <v>2343500</v>
      </c>
      <c r="S121">
        <v>2338600</v>
      </c>
      <c r="T121">
        <v>2340300</v>
      </c>
      <c r="U121">
        <v>2339900</v>
      </c>
      <c r="V121">
        <v>2359500</v>
      </c>
      <c r="W121">
        <v>2390800</v>
      </c>
      <c r="X121">
        <v>2431700</v>
      </c>
      <c r="Y121">
        <v>2476400</v>
      </c>
      <c r="Z121">
        <v>2530900</v>
      </c>
      <c r="AA121">
        <v>2586400</v>
      </c>
      <c r="AB121">
        <v>2645800</v>
      </c>
      <c r="AC121">
        <v>2701400</v>
      </c>
      <c r="AD121">
        <v>2753100</v>
      </c>
    </row>
    <row r="122" spans="1:30" x14ac:dyDescent="0.2">
      <c r="A122">
        <v>1</v>
      </c>
      <c r="B122" t="s">
        <v>131</v>
      </c>
      <c r="C122" t="s">
        <v>108</v>
      </c>
      <c r="D122">
        <v>16</v>
      </c>
      <c r="E122">
        <v>2044500</v>
      </c>
      <c r="F122">
        <v>2107300</v>
      </c>
      <c r="G122">
        <v>2175800</v>
      </c>
      <c r="H122">
        <v>2239700</v>
      </c>
      <c r="I122">
        <v>2289500</v>
      </c>
      <c r="J122">
        <v>2333500</v>
      </c>
      <c r="K122">
        <v>2378400</v>
      </c>
      <c r="L122">
        <v>2405200</v>
      </c>
      <c r="M122">
        <v>2432900</v>
      </c>
      <c r="N122">
        <v>2451500</v>
      </c>
      <c r="O122">
        <v>2446300</v>
      </c>
      <c r="P122">
        <v>2404600</v>
      </c>
      <c r="Q122">
        <v>2346100</v>
      </c>
      <c r="R122">
        <v>2275600</v>
      </c>
      <c r="S122">
        <v>2215700</v>
      </c>
      <c r="T122">
        <v>2174000</v>
      </c>
      <c r="U122">
        <v>2164800</v>
      </c>
      <c r="V122">
        <v>2160800</v>
      </c>
      <c r="W122">
        <v>2153800</v>
      </c>
      <c r="X122">
        <v>2145300</v>
      </c>
      <c r="Y122">
        <v>2143000</v>
      </c>
      <c r="Z122">
        <v>2138700</v>
      </c>
      <c r="AA122">
        <v>2152300</v>
      </c>
      <c r="AB122">
        <v>2176100</v>
      </c>
      <c r="AC122">
        <v>2208500</v>
      </c>
      <c r="AD122">
        <v>2243900</v>
      </c>
    </row>
    <row r="123" spans="1:30" x14ac:dyDescent="0.2">
      <c r="A123">
        <v>1</v>
      </c>
      <c r="B123" t="s">
        <v>131</v>
      </c>
      <c r="C123" t="s">
        <v>109</v>
      </c>
      <c r="D123">
        <v>16</v>
      </c>
      <c r="E123">
        <v>2044500</v>
      </c>
      <c r="F123">
        <v>2110900</v>
      </c>
      <c r="G123">
        <v>2182900</v>
      </c>
      <c r="H123">
        <v>2250700</v>
      </c>
      <c r="I123">
        <v>2304400</v>
      </c>
      <c r="J123">
        <v>2352300</v>
      </c>
      <c r="K123">
        <v>2401400</v>
      </c>
      <c r="L123">
        <v>2432100</v>
      </c>
      <c r="M123">
        <v>2463800</v>
      </c>
      <c r="N123">
        <v>2486200</v>
      </c>
      <c r="O123">
        <v>2484500</v>
      </c>
      <c r="P123">
        <v>2446000</v>
      </c>
      <c r="Q123">
        <v>2390100</v>
      </c>
      <c r="R123">
        <v>2321900</v>
      </c>
      <c r="S123">
        <v>2264100</v>
      </c>
      <c r="T123">
        <v>2224600</v>
      </c>
      <c r="U123">
        <v>2218200</v>
      </c>
      <c r="V123">
        <v>2217200</v>
      </c>
      <c r="W123">
        <v>2213100</v>
      </c>
      <c r="X123">
        <v>2207500</v>
      </c>
      <c r="Y123">
        <v>2208200</v>
      </c>
      <c r="Z123">
        <v>2206900</v>
      </c>
      <c r="AA123">
        <v>2224100</v>
      </c>
      <c r="AB123">
        <v>2251800</v>
      </c>
      <c r="AC123">
        <v>2288500</v>
      </c>
      <c r="AD123">
        <v>2328500</v>
      </c>
    </row>
    <row r="124" spans="1:30" x14ac:dyDescent="0.2">
      <c r="A124">
        <v>1</v>
      </c>
      <c r="B124" t="s">
        <v>131</v>
      </c>
      <c r="C124" t="s">
        <v>110</v>
      </c>
      <c r="D124">
        <v>16</v>
      </c>
      <c r="E124">
        <v>2044500</v>
      </c>
      <c r="F124">
        <v>2110900</v>
      </c>
      <c r="G124">
        <v>2182900</v>
      </c>
      <c r="H124">
        <v>2250700</v>
      </c>
      <c r="I124">
        <v>2304400</v>
      </c>
      <c r="J124">
        <v>2352300</v>
      </c>
      <c r="K124">
        <v>2401400</v>
      </c>
      <c r="L124">
        <v>2432200</v>
      </c>
      <c r="M124">
        <v>2463900</v>
      </c>
      <c r="N124">
        <v>2486300</v>
      </c>
      <c r="O124">
        <v>2484600</v>
      </c>
      <c r="P124">
        <v>2446100</v>
      </c>
      <c r="Q124">
        <v>2390200</v>
      </c>
      <c r="R124">
        <v>2322000</v>
      </c>
      <c r="S124">
        <v>2264200</v>
      </c>
      <c r="T124">
        <v>2224700</v>
      </c>
      <c r="U124">
        <v>2218300</v>
      </c>
      <c r="V124">
        <v>2217300</v>
      </c>
      <c r="W124">
        <v>2213300</v>
      </c>
      <c r="X124">
        <v>2207700</v>
      </c>
      <c r="Y124">
        <v>2208300</v>
      </c>
      <c r="Z124">
        <v>2207000</v>
      </c>
      <c r="AA124">
        <v>2224200</v>
      </c>
      <c r="AB124">
        <v>2251900</v>
      </c>
      <c r="AC124">
        <v>2288600</v>
      </c>
      <c r="AD124">
        <v>2328700</v>
      </c>
    </row>
    <row r="125" spans="1:30" x14ac:dyDescent="0.2">
      <c r="A125">
        <v>1</v>
      </c>
      <c r="B125" t="s">
        <v>131</v>
      </c>
      <c r="C125" t="s">
        <v>111</v>
      </c>
      <c r="D125">
        <v>16</v>
      </c>
      <c r="E125">
        <v>2044500</v>
      </c>
      <c r="F125">
        <v>2110900</v>
      </c>
      <c r="G125">
        <v>2182900</v>
      </c>
      <c r="H125">
        <v>2250700</v>
      </c>
      <c r="I125">
        <v>2304400</v>
      </c>
      <c r="J125">
        <v>2352300</v>
      </c>
      <c r="K125">
        <v>2401400</v>
      </c>
      <c r="L125">
        <v>2432200</v>
      </c>
      <c r="M125">
        <v>2463900</v>
      </c>
      <c r="N125">
        <v>2486300</v>
      </c>
      <c r="O125">
        <v>2484600</v>
      </c>
      <c r="P125">
        <v>2446000</v>
      </c>
      <c r="Q125">
        <v>2390100</v>
      </c>
      <c r="R125">
        <v>2321900</v>
      </c>
      <c r="S125">
        <v>2264100</v>
      </c>
      <c r="T125">
        <v>2224700</v>
      </c>
      <c r="U125">
        <v>2218300</v>
      </c>
      <c r="V125">
        <v>2217200</v>
      </c>
      <c r="W125">
        <v>2213200</v>
      </c>
      <c r="X125">
        <v>2207600</v>
      </c>
      <c r="Y125">
        <v>2208200</v>
      </c>
      <c r="Z125">
        <v>2206900</v>
      </c>
      <c r="AA125">
        <v>2224100</v>
      </c>
      <c r="AB125">
        <v>2251800</v>
      </c>
      <c r="AC125">
        <v>2288500</v>
      </c>
      <c r="AD125">
        <v>2328500</v>
      </c>
    </row>
    <row r="126" spans="1:30" x14ac:dyDescent="0.2">
      <c r="A126">
        <v>1</v>
      </c>
      <c r="B126" t="s">
        <v>131</v>
      </c>
      <c r="C126" t="s">
        <v>112</v>
      </c>
      <c r="D126">
        <v>16</v>
      </c>
      <c r="E126">
        <v>2044500</v>
      </c>
      <c r="F126">
        <v>2110900</v>
      </c>
      <c r="G126">
        <v>2182900</v>
      </c>
      <c r="H126">
        <v>2250700</v>
      </c>
      <c r="I126">
        <v>2304400</v>
      </c>
      <c r="J126">
        <v>2352300</v>
      </c>
      <c r="K126">
        <v>2401400</v>
      </c>
      <c r="L126">
        <v>2432200</v>
      </c>
      <c r="M126">
        <v>2463900</v>
      </c>
      <c r="N126">
        <v>2486300</v>
      </c>
      <c r="O126">
        <v>2484600</v>
      </c>
      <c r="P126">
        <v>2446000</v>
      </c>
      <c r="Q126">
        <v>2390200</v>
      </c>
      <c r="R126">
        <v>2322000</v>
      </c>
      <c r="S126">
        <v>2264200</v>
      </c>
      <c r="T126">
        <v>2224700</v>
      </c>
      <c r="U126">
        <v>2218300</v>
      </c>
      <c r="V126">
        <v>2217300</v>
      </c>
      <c r="W126">
        <v>2213200</v>
      </c>
      <c r="X126">
        <v>2207600</v>
      </c>
      <c r="Y126">
        <v>2208300</v>
      </c>
      <c r="Z126">
        <v>2207000</v>
      </c>
      <c r="AA126">
        <v>2224100</v>
      </c>
      <c r="AB126">
        <v>2251900</v>
      </c>
      <c r="AC126">
        <v>2288500</v>
      </c>
      <c r="AD126">
        <v>2328600</v>
      </c>
    </row>
    <row r="127" spans="1:30" x14ac:dyDescent="0.2">
      <c r="A127">
        <v>1</v>
      </c>
      <c r="B127" t="s">
        <v>131</v>
      </c>
      <c r="C127" t="s">
        <v>113</v>
      </c>
      <c r="D127">
        <v>16</v>
      </c>
      <c r="E127">
        <v>2044500</v>
      </c>
      <c r="F127">
        <v>2110900</v>
      </c>
      <c r="G127">
        <v>2182900</v>
      </c>
      <c r="H127">
        <v>2250700</v>
      </c>
      <c r="I127">
        <v>2304400</v>
      </c>
      <c r="J127">
        <v>2352300</v>
      </c>
      <c r="K127">
        <v>2401400</v>
      </c>
      <c r="L127">
        <v>2432200</v>
      </c>
      <c r="M127">
        <v>2463900</v>
      </c>
      <c r="N127">
        <v>2486200</v>
      </c>
      <c r="O127">
        <v>2484600</v>
      </c>
      <c r="P127">
        <v>2446000</v>
      </c>
      <c r="Q127">
        <v>2390100</v>
      </c>
      <c r="R127">
        <v>2321900</v>
      </c>
      <c r="S127">
        <v>2264100</v>
      </c>
      <c r="T127">
        <v>2224700</v>
      </c>
      <c r="U127">
        <v>2218200</v>
      </c>
      <c r="V127">
        <v>2217200</v>
      </c>
      <c r="W127">
        <v>2213200</v>
      </c>
      <c r="X127">
        <v>2207500</v>
      </c>
      <c r="Y127">
        <v>2208200</v>
      </c>
      <c r="Z127">
        <v>2206900</v>
      </c>
      <c r="AA127">
        <v>2224000</v>
      </c>
      <c r="AB127">
        <v>2251700</v>
      </c>
      <c r="AC127">
        <v>2288400</v>
      </c>
      <c r="AD127">
        <v>2328400</v>
      </c>
    </row>
    <row r="128" spans="1:30" x14ac:dyDescent="0.2">
      <c r="A128">
        <v>1</v>
      </c>
      <c r="B128" t="s">
        <v>131</v>
      </c>
      <c r="C128" t="s">
        <v>114</v>
      </c>
      <c r="D128">
        <v>16</v>
      </c>
      <c r="E128">
        <v>2044500</v>
      </c>
      <c r="F128">
        <v>2110900</v>
      </c>
      <c r="G128">
        <v>2182900</v>
      </c>
      <c r="H128">
        <v>2250700</v>
      </c>
      <c r="I128">
        <v>2304400</v>
      </c>
      <c r="J128">
        <v>2352300</v>
      </c>
      <c r="K128">
        <v>2401400</v>
      </c>
      <c r="L128">
        <v>2432100</v>
      </c>
      <c r="M128">
        <v>2463800</v>
      </c>
      <c r="N128">
        <v>2486200</v>
      </c>
      <c r="O128">
        <v>2484500</v>
      </c>
      <c r="P128">
        <v>2445900</v>
      </c>
      <c r="Q128">
        <v>2390000</v>
      </c>
      <c r="R128">
        <v>2321800</v>
      </c>
      <c r="S128">
        <v>2264000</v>
      </c>
      <c r="T128">
        <v>2224500</v>
      </c>
      <c r="U128">
        <v>2218100</v>
      </c>
      <c r="V128">
        <v>2217100</v>
      </c>
      <c r="W128">
        <v>2213100</v>
      </c>
      <c r="X128">
        <v>2207500</v>
      </c>
      <c r="Y128">
        <v>2208100</v>
      </c>
      <c r="Z128">
        <v>2206800</v>
      </c>
      <c r="AA128">
        <v>2224000</v>
      </c>
      <c r="AB128">
        <v>2251700</v>
      </c>
      <c r="AC128">
        <v>2288400</v>
      </c>
      <c r="AD128">
        <v>2328400</v>
      </c>
    </row>
    <row r="129" spans="1:30" x14ac:dyDescent="0.2">
      <c r="A129">
        <v>1</v>
      </c>
      <c r="B129" t="s">
        <v>131</v>
      </c>
      <c r="C129" t="s">
        <v>115</v>
      </c>
      <c r="D129">
        <v>16</v>
      </c>
      <c r="E129">
        <v>2044500</v>
      </c>
      <c r="F129">
        <v>2114400</v>
      </c>
      <c r="G129">
        <v>2190000</v>
      </c>
      <c r="H129">
        <v>2261600</v>
      </c>
      <c r="I129">
        <v>2319100</v>
      </c>
      <c r="J129">
        <v>2371000</v>
      </c>
      <c r="K129">
        <v>2424200</v>
      </c>
      <c r="L129">
        <v>2459100</v>
      </c>
      <c r="M129">
        <v>2494900</v>
      </c>
      <c r="N129">
        <v>2521200</v>
      </c>
      <c r="O129">
        <v>2523300</v>
      </c>
      <c r="P129">
        <v>2487900</v>
      </c>
      <c r="Q129">
        <v>2434900</v>
      </c>
      <c r="R129">
        <v>2369300</v>
      </c>
      <c r="S129">
        <v>2314000</v>
      </c>
      <c r="T129">
        <v>2277200</v>
      </c>
      <c r="U129">
        <v>2274000</v>
      </c>
      <c r="V129">
        <v>2276400</v>
      </c>
      <c r="W129">
        <v>2275800</v>
      </c>
      <c r="X129">
        <v>2273700</v>
      </c>
      <c r="Y129">
        <v>2278100</v>
      </c>
      <c r="Z129">
        <v>2280500</v>
      </c>
      <c r="AA129">
        <v>2301900</v>
      </c>
      <c r="AB129">
        <v>2334400</v>
      </c>
      <c r="AC129">
        <v>2376300</v>
      </c>
      <c r="AD129">
        <v>2421900</v>
      </c>
    </row>
    <row r="130" spans="1:30" x14ac:dyDescent="0.2">
      <c r="A130">
        <v>1</v>
      </c>
      <c r="B130" t="s">
        <v>130</v>
      </c>
      <c r="C130" t="s">
        <v>108</v>
      </c>
      <c r="D130">
        <v>17</v>
      </c>
      <c r="E130">
        <v>1609500</v>
      </c>
      <c r="F130">
        <v>1664400</v>
      </c>
      <c r="G130">
        <v>1683600</v>
      </c>
      <c r="H130">
        <v>1716200</v>
      </c>
      <c r="I130">
        <v>1766400</v>
      </c>
      <c r="J130">
        <v>1826800</v>
      </c>
      <c r="K130">
        <v>1886400</v>
      </c>
      <c r="L130">
        <v>1950800</v>
      </c>
      <c r="M130">
        <v>2011000</v>
      </c>
      <c r="N130">
        <v>2058500</v>
      </c>
      <c r="O130">
        <v>2101300</v>
      </c>
      <c r="P130">
        <v>2144700</v>
      </c>
      <c r="Q130">
        <v>2171700</v>
      </c>
      <c r="R130">
        <v>2200000</v>
      </c>
      <c r="S130">
        <v>2219900</v>
      </c>
      <c r="T130">
        <v>2218300</v>
      </c>
      <c r="U130">
        <v>2183500</v>
      </c>
      <c r="V130">
        <v>2133100</v>
      </c>
      <c r="W130">
        <v>2072600</v>
      </c>
      <c r="X130">
        <v>2022000</v>
      </c>
      <c r="Y130">
        <v>1988200</v>
      </c>
      <c r="Z130">
        <v>1983500</v>
      </c>
      <c r="AA130">
        <v>1982600</v>
      </c>
      <c r="AB130">
        <v>1978800</v>
      </c>
      <c r="AC130">
        <v>1973700</v>
      </c>
      <c r="AD130">
        <v>1974500</v>
      </c>
    </row>
    <row r="131" spans="1:30" x14ac:dyDescent="0.2">
      <c r="A131">
        <v>1</v>
      </c>
      <c r="B131" t="s">
        <v>130</v>
      </c>
      <c r="C131" t="s">
        <v>109</v>
      </c>
      <c r="D131">
        <v>17</v>
      </c>
      <c r="E131">
        <v>1609500</v>
      </c>
      <c r="F131">
        <v>1668100</v>
      </c>
      <c r="G131">
        <v>1691100</v>
      </c>
      <c r="H131">
        <v>1727600</v>
      </c>
      <c r="I131">
        <v>1782000</v>
      </c>
      <c r="J131">
        <v>1846900</v>
      </c>
      <c r="K131">
        <v>1911200</v>
      </c>
      <c r="L131">
        <v>1980400</v>
      </c>
      <c r="M131">
        <v>2045600</v>
      </c>
      <c r="N131">
        <v>2097900</v>
      </c>
      <c r="O131">
        <v>2145500</v>
      </c>
      <c r="P131">
        <v>2193600</v>
      </c>
      <c r="Q131">
        <v>2225200</v>
      </c>
      <c r="R131">
        <v>2257800</v>
      </c>
      <c r="S131">
        <v>2281800</v>
      </c>
      <c r="T131">
        <v>2283700</v>
      </c>
      <c r="U131">
        <v>2251600</v>
      </c>
      <c r="V131">
        <v>2203300</v>
      </c>
      <c r="W131">
        <v>2144200</v>
      </c>
      <c r="X131">
        <v>2095100</v>
      </c>
      <c r="Y131">
        <v>2062900</v>
      </c>
      <c r="Z131">
        <v>2060700</v>
      </c>
      <c r="AA131">
        <v>2062700</v>
      </c>
      <c r="AB131">
        <v>2061600</v>
      </c>
      <c r="AC131">
        <v>2059300</v>
      </c>
      <c r="AD131">
        <v>2063000</v>
      </c>
    </row>
    <row r="132" spans="1:30" x14ac:dyDescent="0.2">
      <c r="A132">
        <v>1</v>
      </c>
      <c r="B132" t="s">
        <v>130</v>
      </c>
      <c r="C132" t="s">
        <v>110</v>
      </c>
      <c r="D132">
        <v>17</v>
      </c>
      <c r="E132">
        <v>1609500</v>
      </c>
      <c r="F132">
        <v>1668100</v>
      </c>
      <c r="G132">
        <v>1691100</v>
      </c>
      <c r="H132">
        <v>1727600</v>
      </c>
      <c r="I132">
        <v>1782000</v>
      </c>
      <c r="J132">
        <v>1847000</v>
      </c>
      <c r="K132">
        <v>1911200</v>
      </c>
      <c r="L132">
        <v>1980500</v>
      </c>
      <c r="M132">
        <v>2045600</v>
      </c>
      <c r="N132">
        <v>2098000</v>
      </c>
      <c r="O132">
        <v>2145600</v>
      </c>
      <c r="P132">
        <v>2193800</v>
      </c>
      <c r="Q132">
        <v>2225300</v>
      </c>
      <c r="R132">
        <v>2258000</v>
      </c>
      <c r="S132">
        <v>2282000</v>
      </c>
      <c r="T132">
        <v>2283900</v>
      </c>
      <c r="U132">
        <v>2251800</v>
      </c>
      <c r="V132">
        <v>2203500</v>
      </c>
      <c r="W132">
        <v>2144400</v>
      </c>
      <c r="X132">
        <v>2095300</v>
      </c>
      <c r="Y132">
        <v>2063200</v>
      </c>
      <c r="Z132">
        <v>2061000</v>
      </c>
      <c r="AA132">
        <v>2062900</v>
      </c>
      <c r="AB132">
        <v>2061900</v>
      </c>
      <c r="AC132">
        <v>2059500</v>
      </c>
      <c r="AD132">
        <v>2063200</v>
      </c>
    </row>
    <row r="133" spans="1:30" x14ac:dyDescent="0.2">
      <c r="A133">
        <v>1</v>
      </c>
      <c r="B133" t="s">
        <v>130</v>
      </c>
      <c r="C133" t="s">
        <v>111</v>
      </c>
      <c r="D133">
        <v>17</v>
      </c>
      <c r="E133">
        <v>1609500</v>
      </c>
      <c r="F133">
        <v>1668100</v>
      </c>
      <c r="G133">
        <v>1691100</v>
      </c>
      <c r="H133">
        <v>1727600</v>
      </c>
      <c r="I133">
        <v>1782000</v>
      </c>
      <c r="J133">
        <v>1847000</v>
      </c>
      <c r="K133">
        <v>1911200</v>
      </c>
      <c r="L133">
        <v>1980500</v>
      </c>
      <c r="M133">
        <v>2045600</v>
      </c>
      <c r="N133">
        <v>2098000</v>
      </c>
      <c r="O133">
        <v>2145600</v>
      </c>
      <c r="P133">
        <v>2193800</v>
      </c>
      <c r="Q133">
        <v>2225300</v>
      </c>
      <c r="R133">
        <v>2258000</v>
      </c>
      <c r="S133">
        <v>2281900</v>
      </c>
      <c r="T133">
        <v>2283900</v>
      </c>
      <c r="U133">
        <v>2251700</v>
      </c>
      <c r="V133">
        <v>2203400</v>
      </c>
      <c r="W133">
        <v>2144300</v>
      </c>
      <c r="X133">
        <v>2095200</v>
      </c>
      <c r="Y133">
        <v>2063100</v>
      </c>
      <c r="Z133">
        <v>2060900</v>
      </c>
      <c r="AA133">
        <v>2062800</v>
      </c>
      <c r="AB133">
        <v>2061700</v>
      </c>
      <c r="AC133">
        <v>2059400</v>
      </c>
      <c r="AD133">
        <v>2063100</v>
      </c>
    </row>
    <row r="134" spans="1:30" x14ac:dyDescent="0.2">
      <c r="A134">
        <v>1</v>
      </c>
      <c r="B134" t="s">
        <v>130</v>
      </c>
      <c r="C134" t="s">
        <v>112</v>
      </c>
      <c r="D134">
        <v>17</v>
      </c>
      <c r="E134">
        <v>1609500</v>
      </c>
      <c r="F134">
        <v>1668100</v>
      </c>
      <c r="G134">
        <v>1691100</v>
      </c>
      <c r="H134">
        <v>1727600</v>
      </c>
      <c r="I134">
        <v>1782000</v>
      </c>
      <c r="J134">
        <v>1847000</v>
      </c>
      <c r="K134">
        <v>1911200</v>
      </c>
      <c r="L134">
        <v>1980500</v>
      </c>
      <c r="M134">
        <v>2045600</v>
      </c>
      <c r="N134">
        <v>2098000</v>
      </c>
      <c r="O134">
        <v>2145600</v>
      </c>
      <c r="P134">
        <v>2193800</v>
      </c>
      <c r="Q134">
        <v>2225300</v>
      </c>
      <c r="R134">
        <v>2258000</v>
      </c>
      <c r="S134">
        <v>2281900</v>
      </c>
      <c r="T134">
        <v>2283900</v>
      </c>
      <c r="U134">
        <v>2251800</v>
      </c>
      <c r="V134">
        <v>2203500</v>
      </c>
      <c r="W134">
        <v>2144400</v>
      </c>
      <c r="X134">
        <v>2095300</v>
      </c>
      <c r="Y134">
        <v>2063100</v>
      </c>
      <c r="Z134">
        <v>2060900</v>
      </c>
      <c r="AA134">
        <v>2062900</v>
      </c>
      <c r="AB134">
        <v>2061800</v>
      </c>
      <c r="AC134">
        <v>2059400</v>
      </c>
      <c r="AD134">
        <v>2063200</v>
      </c>
    </row>
    <row r="135" spans="1:30" x14ac:dyDescent="0.2">
      <c r="A135">
        <v>1</v>
      </c>
      <c r="B135" t="s">
        <v>130</v>
      </c>
      <c r="C135" t="s">
        <v>113</v>
      </c>
      <c r="D135">
        <v>17</v>
      </c>
      <c r="E135">
        <v>1609500</v>
      </c>
      <c r="F135">
        <v>1668100</v>
      </c>
      <c r="G135">
        <v>1691100</v>
      </c>
      <c r="H135">
        <v>1727600</v>
      </c>
      <c r="I135">
        <v>1782000</v>
      </c>
      <c r="J135">
        <v>1847000</v>
      </c>
      <c r="K135">
        <v>1911200</v>
      </c>
      <c r="L135">
        <v>1980500</v>
      </c>
      <c r="M135">
        <v>2045600</v>
      </c>
      <c r="N135">
        <v>2098000</v>
      </c>
      <c r="O135">
        <v>2145500</v>
      </c>
      <c r="P135">
        <v>2193700</v>
      </c>
      <c r="Q135">
        <v>2225300</v>
      </c>
      <c r="R135">
        <v>2257900</v>
      </c>
      <c r="S135">
        <v>2281900</v>
      </c>
      <c r="T135">
        <v>2283800</v>
      </c>
      <c r="U135">
        <v>2251700</v>
      </c>
      <c r="V135">
        <v>2203400</v>
      </c>
      <c r="W135">
        <v>2144300</v>
      </c>
      <c r="X135">
        <v>2095200</v>
      </c>
      <c r="Y135">
        <v>2063000</v>
      </c>
      <c r="Z135">
        <v>2060800</v>
      </c>
      <c r="AA135">
        <v>2062700</v>
      </c>
      <c r="AB135">
        <v>2061700</v>
      </c>
      <c r="AC135">
        <v>2059300</v>
      </c>
      <c r="AD135">
        <v>2063000</v>
      </c>
    </row>
    <row r="136" spans="1:30" x14ac:dyDescent="0.2">
      <c r="A136">
        <v>1</v>
      </c>
      <c r="B136" t="s">
        <v>130</v>
      </c>
      <c r="C136" t="s">
        <v>114</v>
      </c>
      <c r="D136">
        <v>17</v>
      </c>
      <c r="E136">
        <v>1609500</v>
      </c>
      <c r="F136">
        <v>1668100</v>
      </c>
      <c r="G136">
        <v>1691100</v>
      </c>
      <c r="H136">
        <v>1727600</v>
      </c>
      <c r="I136">
        <v>1782000</v>
      </c>
      <c r="J136">
        <v>1846900</v>
      </c>
      <c r="K136">
        <v>1911200</v>
      </c>
      <c r="L136">
        <v>1980400</v>
      </c>
      <c r="M136">
        <v>2045500</v>
      </c>
      <c r="N136">
        <v>2097900</v>
      </c>
      <c r="O136">
        <v>2145400</v>
      </c>
      <c r="P136">
        <v>2193600</v>
      </c>
      <c r="Q136">
        <v>2225100</v>
      </c>
      <c r="R136">
        <v>2257700</v>
      </c>
      <c r="S136">
        <v>2281700</v>
      </c>
      <c r="T136">
        <v>2283600</v>
      </c>
      <c r="U136">
        <v>2251400</v>
      </c>
      <c r="V136">
        <v>2203100</v>
      </c>
      <c r="W136">
        <v>2144000</v>
      </c>
      <c r="X136">
        <v>2094900</v>
      </c>
      <c r="Y136">
        <v>2062700</v>
      </c>
      <c r="Z136">
        <v>2060500</v>
      </c>
      <c r="AA136">
        <v>2062400</v>
      </c>
      <c r="AB136">
        <v>2061400</v>
      </c>
      <c r="AC136">
        <v>2059000</v>
      </c>
      <c r="AD136">
        <v>2062800</v>
      </c>
    </row>
    <row r="137" spans="1:30" x14ac:dyDescent="0.2">
      <c r="A137">
        <v>1</v>
      </c>
      <c r="B137" t="s">
        <v>130</v>
      </c>
      <c r="C137" t="s">
        <v>115</v>
      </c>
      <c r="D137">
        <v>17</v>
      </c>
      <c r="E137">
        <v>1609500</v>
      </c>
      <c r="F137">
        <v>1671700</v>
      </c>
      <c r="G137">
        <v>1698300</v>
      </c>
      <c r="H137">
        <v>1738700</v>
      </c>
      <c r="I137">
        <v>1797300</v>
      </c>
      <c r="J137">
        <v>1866700</v>
      </c>
      <c r="K137">
        <v>1935600</v>
      </c>
      <c r="L137">
        <v>2009700</v>
      </c>
      <c r="M137">
        <v>2079900</v>
      </c>
      <c r="N137">
        <v>2137200</v>
      </c>
      <c r="O137">
        <v>2189600</v>
      </c>
      <c r="P137">
        <v>2242700</v>
      </c>
      <c r="Q137">
        <v>2278800</v>
      </c>
      <c r="R137">
        <v>2316000</v>
      </c>
      <c r="S137">
        <v>2344300</v>
      </c>
      <c r="T137">
        <v>2350100</v>
      </c>
      <c r="U137">
        <v>2320900</v>
      </c>
      <c r="V137">
        <v>2275100</v>
      </c>
      <c r="W137">
        <v>2217900</v>
      </c>
      <c r="X137">
        <v>2170700</v>
      </c>
      <c r="Y137">
        <v>2140800</v>
      </c>
      <c r="Z137">
        <v>2141700</v>
      </c>
      <c r="AA137">
        <v>2147100</v>
      </c>
      <c r="AB137">
        <v>2149500</v>
      </c>
      <c r="AC137">
        <v>2150600</v>
      </c>
      <c r="AD137">
        <v>2157900</v>
      </c>
    </row>
    <row r="138" spans="1:30" x14ac:dyDescent="0.2">
      <c r="A138">
        <v>1</v>
      </c>
      <c r="B138" t="s">
        <v>132</v>
      </c>
      <c r="C138" t="s">
        <v>108</v>
      </c>
      <c r="D138">
        <v>18</v>
      </c>
      <c r="E138">
        <v>1008300</v>
      </c>
      <c r="F138">
        <v>1055400</v>
      </c>
      <c r="G138">
        <v>1137700</v>
      </c>
      <c r="H138">
        <v>1206900</v>
      </c>
      <c r="I138">
        <v>1265800</v>
      </c>
      <c r="J138">
        <v>1322800</v>
      </c>
      <c r="K138">
        <v>1369700</v>
      </c>
      <c r="L138">
        <v>1389100</v>
      </c>
      <c r="M138">
        <v>1419700</v>
      </c>
      <c r="N138">
        <v>1465000</v>
      </c>
      <c r="O138">
        <v>1519000</v>
      </c>
      <c r="P138">
        <v>1571900</v>
      </c>
      <c r="Q138">
        <v>1628700</v>
      </c>
      <c r="R138">
        <v>1682200</v>
      </c>
      <c r="S138">
        <v>1725300</v>
      </c>
      <c r="T138">
        <v>1765200</v>
      </c>
      <c r="U138">
        <v>1805400</v>
      </c>
      <c r="V138">
        <v>1831800</v>
      </c>
      <c r="W138">
        <v>1859800</v>
      </c>
      <c r="X138">
        <v>1880400</v>
      </c>
      <c r="Y138">
        <v>1882800</v>
      </c>
      <c r="Z138">
        <v>1856600</v>
      </c>
      <c r="AA138">
        <v>1816700</v>
      </c>
      <c r="AB138">
        <v>1769200</v>
      </c>
      <c r="AC138">
        <v>1730900</v>
      </c>
      <c r="AD138">
        <v>1707200</v>
      </c>
    </row>
    <row r="139" spans="1:30" x14ac:dyDescent="0.2">
      <c r="A139">
        <v>1</v>
      </c>
      <c r="B139" t="s">
        <v>132</v>
      </c>
      <c r="C139" t="s">
        <v>109</v>
      </c>
      <c r="D139">
        <v>18</v>
      </c>
      <c r="E139">
        <v>1008300</v>
      </c>
      <c r="F139">
        <v>1058600</v>
      </c>
      <c r="G139">
        <v>1144500</v>
      </c>
      <c r="H139">
        <v>1217800</v>
      </c>
      <c r="I139">
        <v>1281200</v>
      </c>
      <c r="J139">
        <v>1342900</v>
      </c>
      <c r="K139">
        <v>1394600</v>
      </c>
      <c r="L139">
        <v>1418400</v>
      </c>
      <c r="M139">
        <v>1453700</v>
      </c>
      <c r="N139">
        <v>1504000</v>
      </c>
      <c r="O139">
        <v>1563200</v>
      </c>
      <c r="P139">
        <v>1621500</v>
      </c>
      <c r="Q139">
        <v>1684000</v>
      </c>
      <c r="R139">
        <v>1743100</v>
      </c>
      <c r="S139">
        <v>1791600</v>
      </c>
      <c r="T139">
        <v>1836500</v>
      </c>
      <c r="U139">
        <v>1881800</v>
      </c>
      <c r="V139">
        <v>1912800</v>
      </c>
      <c r="W139">
        <v>1945300</v>
      </c>
      <c r="X139">
        <v>1969900</v>
      </c>
      <c r="Y139">
        <v>1975600</v>
      </c>
      <c r="Z139">
        <v>1951300</v>
      </c>
      <c r="AA139">
        <v>1912600</v>
      </c>
      <c r="AB139">
        <v>1865600</v>
      </c>
      <c r="AC139">
        <v>1827900</v>
      </c>
      <c r="AD139">
        <v>1805200</v>
      </c>
    </row>
    <row r="140" spans="1:30" x14ac:dyDescent="0.2">
      <c r="A140">
        <v>1</v>
      </c>
      <c r="B140" t="s">
        <v>132</v>
      </c>
      <c r="C140" t="s">
        <v>110</v>
      </c>
      <c r="D140">
        <v>18</v>
      </c>
      <c r="E140">
        <v>1008300</v>
      </c>
      <c r="F140">
        <v>1058600</v>
      </c>
      <c r="G140">
        <v>1144500</v>
      </c>
      <c r="H140">
        <v>1217800</v>
      </c>
      <c r="I140">
        <v>1281200</v>
      </c>
      <c r="J140">
        <v>1342900</v>
      </c>
      <c r="K140">
        <v>1394700</v>
      </c>
      <c r="L140">
        <v>1418500</v>
      </c>
      <c r="M140">
        <v>1453800</v>
      </c>
      <c r="N140">
        <v>1504000</v>
      </c>
      <c r="O140">
        <v>1563300</v>
      </c>
      <c r="P140">
        <v>1621700</v>
      </c>
      <c r="Q140">
        <v>1684200</v>
      </c>
      <c r="R140">
        <v>1743300</v>
      </c>
      <c r="S140">
        <v>1791800</v>
      </c>
      <c r="T140">
        <v>1836700</v>
      </c>
      <c r="U140">
        <v>1882100</v>
      </c>
      <c r="V140">
        <v>1913100</v>
      </c>
      <c r="W140">
        <v>1945600</v>
      </c>
      <c r="X140">
        <v>1970300</v>
      </c>
      <c r="Y140">
        <v>1975900</v>
      </c>
      <c r="Z140">
        <v>1951600</v>
      </c>
      <c r="AA140">
        <v>1913000</v>
      </c>
      <c r="AB140">
        <v>1866000</v>
      </c>
      <c r="AC140">
        <v>1828200</v>
      </c>
      <c r="AD140">
        <v>1805600</v>
      </c>
    </row>
    <row r="141" spans="1:30" x14ac:dyDescent="0.2">
      <c r="A141">
        <v>1</v>
      </c>
      <c r="B141" t="s">
        <v>132</v>
      </c>
      <c r="C141" t="s">
        <v>111</v>
      </c>
      <c r="D141">
        <v>18</v>
      </c>
      <c r="E141">
        <v>1008300</v>
      </c>
      <c r="F141">
        <v>1058600</v>
      </c>
      <c r="G141">
        <v>1144500</v>
      </c>
      <c r="H141">
        <v>1217800</v>
      </c>
      <c r="I141">
        <v>1281200</v>
      </c>
      <c r="J141">
        <v>1342900</v>
      </c>
      <c r="K141">
        <v>1394700</v>
      </c>
      <c r="L141">
        <v>1418500</v>
      </c>
      <c r="M141">
        <v>1453700</v>
      </c>
      <c r="N141">
        <v>1504000</v>
      </c>
      <c r="O141">
        <v>1563300</v>
      </c>
      <c r="P141">
        <v>1621600</v>
      </c>
      <c r="Q141">
        <v>1684100</v>
      </c>
      <c r="R141">
        <v>1743300</v>
      </c>
      <c r="S141">
        <v>1791700</v>
      </c>
      <c r="T141">
        <v>1836700</v>
      </c>
      <c r="U141">
        <v>1882000</v>
      </c>
      <c r="V141">
        <v>1913100</v>
      </c>
      <c r="W141">
        <v>1945500</v>
      </c>
      <c r="X141">
        <v>1970200</v>
      </c>
      <c r="Y141">
        <v>1975800</v>
      </c>
      <c r="Z141">
        <v>1951500</v>
      </c>
      <c r="AA141">
        <v>1912900</v>
      </c>
      <c r="AB141">
        <v>1865800</v>
      </c>
      <c r="AC141">
        <v>1828100</v>
      </c>
      <c r="AD141">
        <v>1805500</v>
      </c>
    </row>
    <row r="142" spans="1:30" x14ac:dyDescent="0.2">
      <c r="A142">
        <v>1</v>
      </c>
      <c r="B142" t="s">
        <v>132</v>
      </c>
      <c r="C142" t="s">
        <v>112</v>
      </c>
      <c r="D142">
        <v>18</v>
      </c>
      <c r="E142">
        <v>1008300</v>
      </c>
      <c r="F142">
        <v>1058600</v>
      </c>
      <c r="G142">
        <v>1144500</v>
      </c>
      <c r="H142">
        <v>1217800</v>
      </c>
      <c r="I142">
        <v>1281300</v>
      </c>
      <c r="J142">
        <v>1342900</v>
      </c>
      <c r="K142">
        <v>1394700</v>
      </c>
      <c r="L142">
        <v>1418500</v>
      </c>
      <c r="M142">
        <v>1453800</v>
      </c>
      <c r="N142">
        <v>1504100</v>
      </c>
      <c r="O142">
        <v>1563400</v>
      </c>
      <c r="P142">
        <v>1621700</v>
      </c>
      <c r="Q142">
        <v>1684200</v>
      </c>
      <c r="R142">
        <v>1743300</v>
      </c>
      <c r="S142">
        <v>1791800</v>
      </c>
      <c r="T142">
        <v>1836700</v>
      </c>
      <c r="U142">
        <v>1882100</v>
      </c>
      <c r="V142">
        <v>1913100</v>
      </c>
      <c r="W142">
        <v>1945600</v>
      </c>
      <c r="X142">
        <v>1970300</v>
      </c>
      <c r="Y142">
        <v>1976000</v>
      </c>
      <c r="Z142">
        <v>1951600</v>
      </c>
      <c r="AA142">
        <v>1913000</v>
      </c>
      <c r="AB142">
        <v>1866000</v>
      </c>
      <c r="AC142">
        <v>1828200</v>
      </c>
      <c r="AD142">
        <v>1805600</v>
      </c>
    </row>
    <row r="143" spans="1:30" x14ac:dyDescent="0.2">
      <c r="A143">
        <v>1</v>
      </c>
      <c r="B143" t="s">
        <v>132</v>
      </c>
      <c r="C143" t="s">
        <v>113</v>
      </c>
      <c r="D143">
        <v>18</v>
      </c>
      <c r="E143">
        <v>1008300</v>
      </c>
      <c r="F143">
        <v>1058600</v>
      </c>
      <c r="G143">
        <v>1144500</v>
      </c>
      <c r="H143">
        <v>1217800</v>
      </c>
      <c r="I143">
        <v>1281200</v>
      </c>
      <c r="J143">
        <v>1342900</v>
      </c>
      <c r="K143">
        <v>1394700</v>
      </c>
      <c r="L143">
        <v>1418500</v>
      </c>
      <c r="M143">
        <v>1453700</v>
      </c>
      <c r="N143">
        <v>1504000</v>
      </c>
      <c r="O143">
        <v>1563300</v>
      </c>
      <c r="P143">
        <v>1621600</v>
      </c>
      <c r="Q143">
        <v>1684100</v>
      </c>
      <c r="R143">
        <v>1743200</v>
      </c>
      <c r="S143">
        <v>1791700</v>
      </c>
      <c r="T143">
        <v>1836600</v>
      </c>
      <c r="U143">
        <v>1881900</v>
      </c>
      <c r="V143">
        <v>1913000</v>
      </c>
      <c r="W143">
        <v>1945400</v>
      </c>
      <c r="X143">
        <v>1970100</v>
      </c>
      <c r="Y143">
        <v>1975700</v>
      </c>
      <c r="Z143">
        <v>1951400</v>
      </c>
      <c r="AA143">
        <v>1912800</v>
      </c>
      <c r="AB143">
        <v>1865800</v>
      </c>
      <c r="AC143">
        <v>1828000</v>
      </c>
      <c r="AD143">
        <v>1805400</v>
      </c>
    </row>
    <row r="144" spans="1:30" x14ac:dyDescent="0.2">
      <c r="A144">
        <v>1</v>
      </c>
      <c r="B144" t="s">
        <v>132</v>
      </c>
      <c r="C144" t="s">
        <v>114</v>
      </c>
      <c r="D144">
        <v>18</v>
      </c>
      <c r="E144">
        <v>1008300</v>
      </c>
      <c r="F144">
        <v>1058600</v>
      </c>
      <c r="G144">
        <v>1144500</v>
      </c>
      <c r="H144">
        <v>1217800</v>
      </c>
      <c r="I144">
        <v>1281200</v>
      </c>
      <c r="J144">
        <v>1342900</v>
      </c>
      <c r="K144">
        <v>1394600</v>
      </c>
      <c r="L144">
        <v>1418400</v>
      </c>
      <c r="M144">
        <v>1453700</v>
      </c>
      <c r="N144">
        <v>1503900</v>
      </c>
      <c r="O144">
        <v>1563200</v>
      </c>
      <c r="P144">
        <v>1621500</v>
      </c>
      <c r="Q144">
        <v>1684000</v>
      </c>
      <c r="R144">
        <v>1743000</v>
      </c>
      <c r="S144">
        <v>1791500</v>
      </c>
      <c r="T144">
        <v>1836300</v>
      </c>
      <c r="U144">
        <v>1881600</v>
      </c>
      <c r="V144">
        <v>1912600</v>
      </c>
      <c r="W144">
        <v>1945100</v>
      </c>
      <c r="X144">
        <v>1969700</v>
      </c>
      <c r="Y144">
        <v>1975300</v>
      </c>
      <c r="Z144">
        <v>1950900</v>
      </c>
      <c r="AA144">
        <v>1912300</v>
      </c>
      <c r="AB144">
        <v>1865200</v>
      </c>
      <c r="AC144">
        <v>1827500</v>
      </c>
      <c r="AD144">
        <v>1804800</v>
      </c>
    </row>
    <row r="145" spans="1:30" x14ac:dyDescent="0.2">
      <c r="A145">
        <v>1</v>
      </c>
      <c r="B145" t="s">
        <v>132</v>
      </c>
      <c r="C145" t="s">
        <v>115</v>
      </c>
      <c r="D145">
        <v>18</v>
      </c>
      <c r="E145">
        <v>1008300</v>
      </c>
      <c r="F145">
        <v>1061600</v>
      </c>
      <c r="G145">
        <v>1151100</v>
      </c>
      <c r="H145">
        <v>1228500</v>
      </c>
      <c r="I145">
        <v>1296300</v>
      </c>
      <c r="J145">
        <v>1362800</v>
      </c>
      <c r="K145">
        <v>1419400</v>
      </c>
      <c r="L145">
        <v>1447700</v>
      </c>
      <c r="M145">
        <v>1487700</v>
      </c>
      <c r="N145">
        <v>1543000</v>
      </c>
      <c r="O145">
        <v>1607800</v>
      </c>
      <c r="P145">
        <v>1671600</v>
      </c>
      <c r="Q145">
        <v>1739900</v>
      </c>
      <c r="R145">
        <v>1804900</v>
      </c>
      <c r="S145">
        <v>1858900</v>
      </c>
      <c r="T145">
        <v>1909200</v>
      </c>
      <c r="U145">
        <v>1960000</v>
      </c>
      <c r="V145">
        <v>1995900</v>
      </c>
      <c r="W145">
        <v>2033200</v>
      </c>
      <c r="X145">
        <v>2062400</v>
      </c>
      <c r="Y145">
        <v>2071800</v>
      </c>
      <c r="Z145">
        <v>2049900</v>
      </c>
      <c r="AA145">
        <v>2013000</v>
      </c>
      <c r="AB145">
        <v>1967000</v>
      </c>
      <c r="AC145">
        <v>1930300</v>
      </c>
      <c r="AD145">
        <v>1909200</v>
      </c>
    </row>
    <row r="146" spans="1:30" x14ac:dyDescent="0.2">
      <c r="A146">
        <v>1</v>
      </c>
      <c r="B146" t="s">
        <v>1602</v>
      </c>
      <c r="C146" t="s">
        <v>108</v>
      </c>
      <c r="D146">
        <v>19</v>
      </c>
      <c r="E146">
        <v>951800</v>
      </c>
      <c r="F146">
        <v>982600</v>
      </c>
      <c r="G146">
        <v>1014500</v>
      </c>
      <c r="H146">
        <v>1053600</v>
      </c>
      <c r="I146">
        <v>1095800</v>
      </c>
      <c r="J146">
        <v>1138800</v>
      </c>
      <c r="K146">
        <v>1190400</v>
      </c>
      <c r="L146">
        <v>1269300</v>
      </c>
      <c r="M146">
        <v>1342100</v>
      </c>
      <c r="N146">
        <v>1408300</v>
      </c>
      <c r="O146">
        <v>1472400</v>
      </c>
      <c r="P146">
        <v>1534600</v>
      </c>
      <c r="Q146">
        <v>1595600</v>
      </c>
      <c r="R146">
        <v>1660000</v>
      </c>
      <c r="S146">
        <v>1730000</v>
      </c>
      <c r="T146">
        <v>1804900</v>
      </c>
      <c r="U146">
        <v>1876600</v>
      </c>
      <c r="V146">
        <v>1950300</v>
      </c>
      <c r="W146">
        <v>2024100</v>
      </c>
      <c r="X146">
        <v>2094000</v>
      </c>
      <c r="Y146">
        <v>2165300</v>
      </c>
      <c r="Z146">
        <v>2234700</v>
      </c>
      <c r="AA146">
        <v>2295100</v>
      </c>
      <c r="AB146">
        <v>2357200</v>
      </c>
      <c r="AC146">
        <v>2411000</v>
      </c>
      <c r="AD146">
        <v>2452000</v>
      </c>
    </row>
    <row r="147" spans="1:30" x14ac:dyDescent="0.2">
      <c r="A147">
        <v>1</v>
      </c>
      <c r="B147" t="s">
        <v>1602</v>
      </c>
      <c r="C147" t="s">
        <v>109</v>
      </c>
      <c r="D147">
        <v>19</v>
      </c>
      <c r="E147">
        <v>951800</v>
      </c>
      <c r="F147">
        <v>986500</v>
      </c>
      <c r="G147">
        <v>1022900</v>
      </c>
      <c r="H147">
        <v>1067100</v>
      </c>
      <c r="I147">
        <v>1114700</v>
      </c>
      <c r="J147">
        <v>1163600</v>
      </c>
      <c r="K147">
        <v>1221800</v>
      </c>
      <c r="L147">
        <v>1308300</v>
      </c>
      <c r="M147">
        <v>1389400</v>
      </c>
      <c r="N147">
        <v>1463800</v>
      </c>
      <c r="O147">
        <v>1536900</v>
      </c>
      <c r="P147">
        <v>1608100</v>
      </c>
      <c r="Q147">
        <v>1678500</v>
      </c>
      <c r="R147">
        <v>1753000</v>
      </c>
      <c r="S147">
        <v>1833200</v>
      </c>
      <c r="T147">
        <v>1918800</v>
      </c>
      <c r="U147">
        <v>2001400</v>
      </c>
      <c r="V147">
        <v>2086500</v>
      </c>
      <c r="W147">
        <v>2171600</v>
      </c>
      <c r="X147">
        <v>2252800</v>
      </c>
      <c r="Y147">
        <v>2335500</v>
      </c>
      <c r="Z147">
        <v>2416200</v>
      </c>
      <c r="AA147">
        <v>2487400</v>
      </c>
      <c r="AB147">
        <v>2560400</v>
      </c>
      <c r="AC147">
        <v>2624700</v>
      </c>
      <c r="AD147">
        <v>2675200</v>
      </c>
    </row>
    <row r="148" spans="1:30" x14ac:dyDescent="0.2">
      <c r="A148">
        <v>1</v>
      </c>
      <c r="B148" t="s">
        <v>1602</v>
      </c>
      <c r="C148" t="s">
        <v>110</v>
      </c>
      <c r="D148">
        <v>19</v>
      </c>
      <c r="E148">
        <v>951800</v>
      </c>
      <c r="F148">
        <v>986500</v>
      </c>
      <c r="G148">
        <v>1022900</v>
      </c>
      <c r="H148">
        <v>1067100</v>
      </c>
      <c r="I148">
        <v>1114700</v>
      </c>
      <c r="J148">
        <v>1163600</v>
      </c>
      <c r="K148">
        <v>1221800</v>
      </c>
      <c r="L148">
        <v>1308400</v>
      </c>
      <c r="M148">
        <v>1389500</v>
      </c>
      <c r="N148">
        <v>1463900</v>
      </c>
      <c r="O148">
        <v>1537100</v>
      </c>
      <c r="P148">
        <v>1608300</v>
      </c>
      <c r="Q148">
        <v>1678700</v>
      </c>
      <c r="R148">
        <v>1753200</v>
      </c>
      <c r="S148">
        <v>1833500</v>
      </c>
      <c r="T148">
        <v>1919100</v>
      </c>
      <c r="U148">
        <v>2001900</v>
      </c>
      <c r="V148">
        <v>2086900</v>
      </c>
      <c r="W148">
        <v>2172000</v>
      </c>
      <c r="X148">
        <v>2253400</v>
      </c>
      <c r="Y148">
        <v>2336100</v>
      </c>
      <c r="Z148">
        <v>2417000</v>
      </c>
      <c r="AA148">
        <v>2488300</v>
      </c>
      <c r="AB148">
        <v>2561400</v>
      </c>
      <c r="AC148">
        <v>2625600</v>
      </c>
      <c r="AD148">
        <v>2676200</v>
      </c>
    </row>
    <row r="149" spans="1:30" x14ac:dyDescent="0.2">
      <c r="A149">
        <v>1</v>
      </c>
      <c r="B149" t="s">
        <v>1602</v>
      </c>
      <c r="C149" t="s">
        <v>111</v>
      </c>
      <c r="D149">
        <v>19</v>
      </c>
      <c r="E149">
        <v>951800</v>
      </c>
      <c r="F149">
        <v>986500</v>
      </c>
      <c r="G149">
        <v>1022900</v>
      </c>
      <c r="H149">
        <v>1067100</v>
      </c>
      <c r="I149">
        <v>1114700</v>
      </c>
      <c r="J149">
        <v>1163600</v>
      </c>
      <c r="K149">
        <v>1221800</v>
      </c>
      <c r="L149">
        <v>1308400</v>
      </c>
      <c r="M149">
        <v>1389500</v>
      </c>
      <c r="N149">
        <v>1464000</v>
      </c>
      <c r="O149">
        <v>1537100</v>
      </c>
      <c r="P149">
        <v>1608300</v>
      </c>
      <c r="Q149">
        <v>1678700</v>
      </c>
      <c r="R149">
        <v>1753200</v>
      </c>
      <c r="S149">
        <v>1833400</v>
      </c>
      <c r="T149">
        <v>1919000</v>
      </c>
      <c r="U149">
        <v>2001800</v>
      </c>
      <c r="V149">
        <v>2086800</v>
      </c>
      <c r="W149">
        <v>2172000</v>
      </c>
      <c r="X149">
        <v>2253400</v>
      </c>
      <c r="Y149">
        <v>2336100</v>
      </c>
      <c r="Z149">
        <v>2416700</v>
      </c>
      <c r="AA149">
        <v>2488100</v>
      </c>
      <c r="AB149">
        <v>2561300</v>
      </c>
      <c r="AC149">
        <v>2625500</v>
      </c>
      <c r="AD149">
        <v>2676100</v>
      </c>
    </row>
    <row r="150" spans="1:30" x14ac:dyDescent="0.2">
      <c r="A150">
        <v>1</v>
      </c>
      <c r="B150" t="s">
        <v>1602</v>
      </c>
      <c r="C150" t="s">
        <v>112</v>
      </c>
      <c r="D150">
        <v>19</v>
      </c>
      <c r="E150">
        <v>951800</v>
      </c>
      <c r="F150">
        <v>986500</v>
      </c>
      <c r="G150">
        <v>1022900</v>
      </c>
      <c r="H150">
        <v>1067100</v>
      </c>
      <c r="I150">
        <v>1114700</v>
      </c>
      <c r="J150">
        <v>1163600</v>
      </c>
      <c r="K150">
        <v>1221800</v>
      </c>
      <c r="L150">
        <v>1308400</v>
      </c>
      <c r="M150">
        <v>1389500</v>
      </c>
      <c r="N150">
        <v>1464000</v>
      </c>
      <c r="O150">
        <v>1537100</v>
      </c>
      <c r="P150">
        <v>1608400</v>
      </c>
      <c r="Q150">
        <v>1678900</v>
      </c>
      <c r="R150">
        <v>1753300</v>
      </c>
      <c r="S150">
        <v>1833700</v>
      </c>
      <c r="T150">
        <v>1919300</v>
      </c>
      <c r="U150">
        <v>2002000</v>
      </c>
      <c r="V150">
        <v>2087100</v>
      </c>
      <c r="W150">
        <v>2172300</v>
      </c>
      <c r="X150">
        <v>2253600</v>
      </c>
      <c r="Y150">
        <v>2336300</v>
      </c>
      <c r="Z150">
        <v>2417200</v>
      </c>
      <c r="AA150">
        <v>2488500</v>
      </c>
      <c r="AB150">
        <v>2561600</v>
      </c>
      <c r="AC150">
        <v>2625900</v>
      </c>
      <c r="AD150">
        <v>2676400</v>
      </c>
    </row>
    <row r="151" spans="1:30" x14ac:dyDescent="0.2">
      <c r="A151">
        <v>1</v>
      </c>
      <c r="B151" t="s">
        <v>1602</v>
      </c>
      <c r="C151" t="s">
        <v>113</v>
      </c>
      <c r="D151">
        <v>19</v>
      </c>
      <c r="E151">
        <v>951800</v>
      </c>
      <c r="F151">
        <v>986500</v>
      </c>
      <c r="G151">
        <v>1022900</v>
      </c>
      <c r="H151">
        <v>1067100</v>
      </c>
      <c r="I151">
        <v>1114700</v>
      </c>
      <c r="J151">
        <v>1163600</v>
      </c>
      <c r="K151">
        <v>1221800</v>
      </c>
      <c r="L151">
        <v>1308400</v>
      </c>
      <c r="M151">
        <v>1389400</v>
      </c>
      <c r="N151">
        <v>1464000</v>
      </c>
      <c r="O151">
        <v>1537100</v>
      </c>
      <c r="P151">
        <v>1608300</v>
      </c>
      <c r="Q151">
        <v>1678800</v>
      </c>
      <c r="R151">
        <v>1753200</v>
      </c>
      <c r="S151">
        <v>1833400</v>
      </c>
      <c r="T151">
        <v>1919000</v>
      </c>
      <c r="U151">
        <v>2001800</v>
      </c>
      <c r="V151">
        <v>2086800</v>
      </c>
      <c r="W151">
        <v>2171900</v>
      </c>
      <c r="X151">
        <v>2253200</v>
      </c>
      <c r="Y151">
        <v>2335900</v>
      </c>
      <c r="Z151">
        <v>2416700</v>
      </c>
      <c r="AA151">
        <v>2487900</v>
      </c>
      <c r="AB151">
        <v>2561000</v>
      </c>
      <c r="AC151">
        <v>2625200</v>
      </c>
      <c r="AD151">
        <v>2675600</v>
      </c>
    </row>
    <row r="152" spans="1:30" x14ac:dyDescent="0.2">
      <c r="A152">
        <v>1</v>
      </c>
      <c r="B152" t="s">
        <v>1602</v>
      </c>
      <c r="C152" t="s">
        <v>114</v>
      </c>
      <c r="D152">
        <v>19</v>
      </c>
      <c r="E152">
        <v>951800</v>
      </c>
      <c r="F152">
        <v>986500</v>
      </c>
      <c r="G152">
        <v>1022900</v>
      </c>
      <c r="H152">
        <v>1067100</v>
      </c>
      <c r="I152">
        <v>1114700</v>
      </c>
      <c r="J152">
        <v>1163500</v>
      </c>
      <c r="K152">
        <v>1221800</v>
      </c>
      <c r="L152">
        <v>1308300</v>
      </c>
      <c r="M152">
        <v>1389300</v>
      </c>
      <c r="N152">
        <v>1463800</v>
      </c>
      <c r="O152">
        <v>1536900</v>
      </c>
      <c r="P152">
        <v>1608100</v>
      </c>
      <c r="Q152">
        <v>1678500</v>
      </c>
      <c r="R152">
        <v>1752900</v>
      </c>
      <c r="S152">
        <v>1833100</v>
      </c>
      <c r="T152">
        <v>1918700</v>
      </c>
      <c r="U152">
        <v>2001300</v>
      </c>
      <c r="V152">
        <v>2086100</v>
      </c>
      <c r="W152">
        <v>2171300</v>
      </c>
      <c r="X152">
        <v>2252500</v>
      </c>
      <c r="Y152">
        <v>2335000</v>
      </c>
      <c r="Z152">
        <v>2415800</v>
      </c>
      <c r="AA152">
        <v>2486900</v>
      </c>
      <c r="AB152">
        <v>2559800</v>
      </c>
      <c r="AC152">
        <v>2623900</v>
      </c>
      <c r="AD152">
        <v>2674300</v>
      </c>
    </row>
    <row r="153" spans="1:30" x14ac:dyDescent="0.2">
      <c r="A153">
        <v>1</v>
      </c>
      <c r="B153" t="s">
        <v>1602</v>
      </c>
      <c r="C153" t="s">
        <v>115</v>
      </c>
      <c r="D153">
        <v>19</v>
      </c>
      <c r="E153">
        <v>951800</v>
      </c>
      <c r="F153">
        <v>990400</v>
      </c>
      <c r="G153">
        <v>1031100</v>
      </c>
      <c r="H153">
        <v>1080600</v>
      </c>
      <c r="I153">
        <v>1133800</v>
      </c>
      <c r="J153">
        <v>1189300</v>
      </c>
      <c r="K153">
        <v>1254500</v>
      </c>
      <c r="L153">
        <v>1349100</v>
      </c>
      <c r="M153">
        <v>1438900</v>
      </c>
      <c r="N153">
        <v>1522600</v>
      </c>
      <c r="O153">
        <v>1605300</v>
      </c>
      <c r="P153">
        <v>1686500</v>
      </c>
      <c r="Q153">
        <v>1767300</v>
      </c>
      <c r="R153">
        <v>1852600</v>
      </c>
      <c r="S153">
        <v>1944400</v>
      </c>
      <c r="T153">
        <v>2042300</v>
      </c>
      <c r="U153">
        <v>2137300</v>
      </c>
      <c r="V153">
        <v>2235000</v>
      </c>
      <c r="W153">
        <v>2333100</v>
      </c>
      <c r="X153">
        <v>2427600</v>
      </c>
      <c r="Y153">
        <v>2523600</v>
      </c>
      <c r="Z153">
        <v>2617700</v>
      </c>
      <c r="AA153">
        <v>2701900</v>
      </c>
      <c r="AB153">
        <v>2787900</v>
      </c>
      <c r="AC153">
        <v>2864600</v>
      </c>
      <c r="AD153">
        <v>2926700</v>
      </c>
    </row>
  </sheetData>
  <printOptions gridLines="1"/>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
  <sheetViews>
    <sheetView workbookViewId="0"/>
  </sheetViews>
  <sheetFormatPr defaultRowHeight="14.25" x14ac:dyDescent="0.2"/>
  <sheetData>
    <row r="1" spans="1:8" x14ac:dyDescent="0.2">
      <c r="A1" t="s">
        <v>1639</v>
      </c>
      <c r="B1" t="s">
        <v>549</v>
      </c>
      <c r="C1" t="s">
        <v>559</v>
      </c>
      <c r="D1" t="s">
        <v>560</v>
      </c>
      <c r="E1" t="s">
        <v>561</v>
      </c>
      <c r="F1" t="s">
        <v>562</v>
      </c>
      <c r="G1" t="s">
        <v>563</v>
      </c>
      <c r="H1" t="s">
        <v>557</v>
      </c>
    </row>
  </sheetData>
  <printOptions gridLines="1"/>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
  <sheetViews>
    <sheetView workbookViewId="0"/>
  </sheetViews>
  <sheetFormatPr defaultRowHeight="14.25" x14ac:dyDescent="0.2"/>
  <sheetData>
    <row r="1" spans="1:8" x14ac:dyDescent="0.2">
      <c r="A1" t="s">
        <v>1639</v>
      </c>
      <c r="B1" t="s">
        <v>549</v>
      </c>
      <c r="C1" t="s">
        <v>559</v>
      </c>
      <c r="D1" t="s">
        <v>560</v>
      </c>
      <c r="E1" t="s">
        <v>561</v>
      </c>
      <c r="F1" t="s">
        <v>562</v>
      </c>
      <c r="G1" t="s">
        <v>563</v>
      </c>
      <c r="H1" t="s">
        <v>557</v>
      </c>
    </row>
  </sheetData>
  <printOptions gridLines="1"/>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3"/>
  <sheetViews>
    <sheetView workbookViewId="0"/>
  </sheetViews>
  <sheetFormatPr defaultRowHeight="14.25" x14ac:dyDescent="0.2"/>
  <sheetData>
    <row r="1" spans="1:10" x14ac:dyDescent="0.2">
      <c r="A1" t="s">
        <v>1439</v>
      </c>
      <c r="B1" t="s">
        <v>549</v>
      </c>
      <c r="C1" t="s">
        <v>1440</v>
      </c>
      <c r="D1" t="s">
        <v>550</v>
      </c>
      <c r="E1" t="s">
        <v>559</v>
      </c>
      <c r="F1" t="s">
        <v>560</v>
      </c>
      <c r="G1" t="s">
        <v>561</v>
      </c>
      <c r="H1" t="s">
        <v>562</v>
      </c>
      <c r="I1" t="s">
        <v>563</v>
      </c>
      <c r="J1" t="s">
        <v>557</v>
      </c>
    </row>
    <row r="2" spans="1:10" x14ac:dyDescent="0.2">
      <c r="A2" t="s">
        <v>1936</v>
      </c>
      <c r="B2">
        <v>0</v>
      </c>
      <c r="C2">
        <v>0</v>
      </c>
      <c r="D2">
        <v>0</v>
      </c>
      <c r="E2">
        <v>0</v>
      </c>
      <c r="F2">
        <v>0</v>
      </c>
      <c r="G2">
        <v>0</v>
      </c>
      <c r="H2">
        <v>0</v>
      </c>
      <c r="I2">
        <v>0</v>
      </c>
      <c r="J2">
        <v>0</v>
      </c>
    </row>
    <row r="3" spans="1:10" x14ac:dyDescent="0.2">
      <c r="A3" t="s">
        <v>1937</v>
      </c>
      <c r="B3">
        <v>0</v>
      </c>
      <c r="C3" t="e">
        <v>#VALUE!</v>
      </c>
      <c r="D3">
        <v>0</v>
      </c>
      <c r="E3">
        <v>0</v>
      </c>
      <c r="F3">
        <v>0</v>
      </c>
      <c r="G3">
        <v>0</v>
      </c>
      <c r="H3">
        <v>0</v>
      </c>
      <c r="I3">
        <v>0</v>
      </c>
      <c r="J3">
        <v>0</v>
      </c>
    </row>
  </sheetData>
  <printOptions gridLines="1"/>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60"/>
  <sheetViews>
    <sheetView workbookViewId="0"/>
  </sheetViews>
  <sheetFormatPr defaultRowHeight="14.25" x14ac:dyDescent="0.2"/>
  <sheetData>
    <row r="1" spans="1:4" x14ac:dyDescent="0.2">
      <c r="A1" t="s">
        <v>1407</v>
      </c>
      <c r="B1" t="s">
        <v>1443</v>
      </c>
      <c r="C1" t="s">
        <v>1444</v>
      </c>
      <c r="D1" t="s">
        <v>1445</v>
      </c>
    </row>
    <row r="2" spans="1:4" x14ac:dyDescent="0.2">
      <c r="A2">
        <v>1</v>
      </c>
      <c r="B2">
        <v>243</v>
      </c>
      <c r="C2">
        <v>84000</v>
      </c>
      <c r="D2" t="s">
        <v>1670</v>
      </c>
    </row>
    <row r="3" spans="1:4" x14ac:dyDescent="0.2">
      <c r="A3">
        <v>1</v>
      </c>
      <c r="B3">
        <v>252</v>
      </c>
      <c r="C3">
        <v>106300</v>
      </c>
      <c r="D3" t="s">
        <v>1671</v>
      </c>
    </row>
    <row r="4" spans="1:4" x14ac:dyDescent="0.2">
      <c r="A4">
        <v>1</v>
      </c>
      <c r="B4">
        <v>383</v>
      </c>
      <c r="C4">
        <v>36620955</v>
      </c>
      <c r="D4" t="s">
        <v>1644</v>
      </c>
    </row>
    <row r="5" spans="1:4" x14ac:dyDescent="0.2">
      <c r="A5">
        <v>1</v>
      </c>
      <c r="B5">
        <v>387</v>
      </c>
      <c r="C5">
        <v>689725</v>
      </c>
      <c r="D5" t="s">
        <v>1645</v>
      </c>
    </row>
    <row r="6" spans="1:4" x14ac:dyDescent="0.2">
      <c r="A6">
        <v>1</v>
      </c>
      <c r="B6">
        <v>1402</v>
      </c>
      <c r="C6">
        <v>36328480</v>
      </c>
      <c r="D6" t="s">
        <v>1640</v>
      </c>
    </row>
    <row r="7" spans="1:4" x14ac:dyDescent="0.2">
      <c r="A7">
        <v>1</v>
      </c>
      <c r="B7">
        <v>1403</v>
      </c>
      <c r="C7">
        <v>1807250</v>
      </c>
      <c r="D7" t="s">
        <v>351</v>
      </c>
    </row>
    <row r="8" spans="1:4" x14ac:dyDescent="0.2">
      <c r="A8">
        <v>1</v>
      </c>
      <c r="B8">
        <v>1410</v>
      </c>
      <c r="C8">
        <v>34521230</v>
      </c>
      <c r="D8" t="s">
        <v>1641</v>
      </c>
    </row>
    <row r="9" spans="1:4" x14ac:dyDescent="0.2">
      <c r="A9">
        <v>1</v>
      </c>
      <c r="B9">
        <v>1494</v>
      </c>
      <c r="C9">
        <v>1070</v>
      </c>
      <c r="D9" t="s">
        <v>1672</v>
      </c>
    </row>
    <row r="10" spans="1:4" x14ac:dyDescent="0.2">
      <c r="A10">
        <v>1</v>
      </c>
      <c r="B10">
        <v>1522</v>
      </c>
      <c r="C10">
        <v>36328475</v>
      </c>
      <c r="D10" t="s">
        <v>1648</v>
      </c>
    </row>
    <row r="11" spans="1:4" x14ac:dyDescent="0.2">
      <c r="A11">
        <v>1</v>
      </c>
      <c r="B11">
        <v>1523</v>
      </c>
      <c r="C11">
        <v>33143225</v>
      </c>
      <c r="D11" t="s">
        <v>1649</v>
      </c>
    </row>
    <row r="12" spans="1:4" x14ac:dyDescent="0.2">
      <c r="A12">
        <v>1</v>
      </c>
      <c r="B12">
        <v>1524</v>
      </c>
      <c r="C12">
        <v>6784875</v>
      </c>
      <c r="D12" t="s">
        <v>1650</v>
      </c>
    </row>
    <row r="13" spans="1:4" x14ac:dyDescent="0.2">
      <c r="A13">
        <v>1</v>
      </c>
      <c r="B13">
        <v>1525</v>
      </c>
      <c r="C13">
        <v>26358355</v>
      </c>
      <c r="D13" t="s">
        <v>1651</v>
      </c>
    </row>
    <row r="14" spans="1:4" x14ac:dyDescent="0.2">
      <c r="A14">
        <v>1</v>
      </c>
      <c r="B14">
        <v>1526</v>
      </c>
      <c r="C14">
        <v>3185250</v>
      </c>
      <c r="D14" t="s">
        <v>1652</v>
      </c>
    </row>
    <row r="15" spans="1:4" x14ac:dyDescent="0.2">
      <c r="A15">
        <v>1</v>
      </c>
      <c r="B15">
        <v>1527</v>
      </c>
      <c r="C15">
        <v>36328475</v>
      </c>
      <c r="D15" t="s">
        <v>1653</v>
      </c>
    </row>
    <row r="16" spans="1:4" x14ac:dyDescent="0.2">
      <c r="A16">
        <v>1</v>
      </c>
      <c r="B16">
        <v>1528</v>
      </c>
      <c r="C16">
        <v>27042120</v>
      </c>
      <c r="D16" t="s">
        <v>896</v>
      </c>
    </row>
    <row r="17" spans="1:4" x14ac:dyDescent="0.2">
      <c r="A17">
        <v>1</v>
      </c>
      <c r="B17">
        <v>1529</v>
      </c>
      <c r="C17">
        <v>8361505</v>
      </c>
      <c r="D17" t="s">
        <v>205</v>
      </c>
    </row>
    <row r="18" spans="1:4" x14ac:dyDescent="0.2">
      <c r="A18">
        <v>1</v>
      </c>
      <c r="B18">
        <v>1530</v>
      </c>
      <c r="C18">
        <v>1540610</v>
      </c>
      <c r="D18" t="s">
        <v>1654</v>
      </c>
    </row>
    <row r="19" spans="1:4" x14ac:dyDescent="0.2">
      <c r="A19">
        <v>1</v>
      </c>
      <c r="B19">
        <v>1531</v>
      </c>
      <c r="C19">
        <v>924320</v>
      </c>
      <c r="D19" t="s">
        <v>1655</v>
      </c>
    </row>
    <row r="20" spans="1:4" x14ac:dyDescent="0.2">
      <c r="A20">
        <v>1</v>
      </c>
      <c r="B20">
        <v>1532</v>
      </c>
      <c r="C20">
        <v>1511475</v>
      </c>
      <c r="D20" t="s">
        <v>333</v>
      </c>
    </row>
    <row r="21" spans="1:4" x14ac:dyDescent="0.2">
      <c r="A21">
        <v>1</v>
      </c>
      <c r="B21">
        <v>1533</v>
      </c>
      <c r="C21">
        <v>1930525</v>
      </c>
      <c r="D21" t="s">
        <v>1656</v>
      </c>
    </row>
    <row r="22" spans="1:4" x14ac:dyDescent="0.2">
      <c r="A22">
        <v>1</v>
      </c>
      <c r="B22">
        <v>1534</v>
      </c>
      <c r="C22">
        <v>2454570</v>
      </c>
      <c r="D22" t="s">
        <v>1657</v>
      </c>
    </row>
    <row r="23" spans="1:4" x14ac:dyDescent="0.2">
      <c r="A23">
        <v>1</v>
      </c>
      <c r="B23">
        <v>1535</v>
      </c>
      <c r="C23">
        <v>1126330</v>
      </c>
      <c r="D23" t="s">
        <v>334</v>
      </c>
    </row>
    <row r="24" spans="1:4" x14ac:dyDescent="0.2">
      <c r="A24">
        <v>1</v>
      </c>
      <c r="B24">
        <v>1536</v>
      </c>
      <c r="C24">
        <v>1328240</v>
      </c>
      <c r="D24" t="s">
        <v>335</v>
      </c>
    </row>
    <row r="25" spans="1:4" x14ac:dyDescent="0.2">
      <c r="A25">
        <v>1</v>
      </c>
      <c r="B25">
        <v>1537</v>
      </c>
      <c r="C25">
        <v>924850</v>
      </c>
      <c r="D25" t="s">
        <v>194</v>
      </c>
    </row>
    <row r="26" spans="1:4" x14ac:dyDescent="0.2">
      <c r="A26">
        <v>1</v>
      </c>
      <c r="B26">
        <v>1665</v>
      </c>
      <c r="C26">
        <v>36328480</v>
      </c>
      <c r="D26" t="s">
        <v>1658</v>
      </c>
    </row>
    <row r="27" spans="1:4" x14ac:dyDescent="0.2">
      <c r="A27">
        <v>1</v>
      </c>
      <c r="B27">
        <v>1666</v>
      </c>
      <c r="C27">
        <v>9606595</v>
      </c>
      <c r="D27" t="s">
        <v>1659</v>
      </c>
    </row>
    <row r="28" spans="1:4" x14ac:dyDescent="0.2">
      <c r="A28">
        <v>1</v>
      </c>
      <c r="B28">
        <v>1667</v>
      </c>
      <c r="C28">
        <v>6393310</v>
      </c>
      <c r="D28" t="s">
        <v>1660</v>
      </c>
    </row>
    <row r="29" spans="1:4" x14ac:dyDescent="0.2">
      <c r="A29">
        <v>1</v>
      </c>
      <c r="B29">
        <v>1668</v>
      </c>
      <c r="C29">
        <v>20328565</v>
      </c>
      <c r="D29" t="s">
        <v>1661</v>
      </c>
    </row>
    <row r="30" spans="1:4" x14ac:dyDescent="0.2">
      <c r="A30">
        <v>1</v>
      </c>
      <c r="B30">
        <v>1669</v>
      </c>
      <c r="C30">
        <v>6820895</v>
      </c>
      <c r="D30" t="s">
        <v>1662</v>
      </c>
    </row>
    <row r="31" spans="1:4" x14ac:dyDescent="0.2">
      <c r="A31">
        <v>1</v>
      </c>
      <c r="B31">
        <v>1670</v>
      </c>
      <c r="C31">
        <v>3673705</v>
      </c>
      <c r="D31" t="s">
        <v>1663</v>
      </c>
    </row>
    <row r="32" spans="1:4" x14ac:dyDescent="0.2">
      <c r="A32">
        <v>1</v>
      </c>
      <c r="B32">
        <v>1671</v>
      </c>
      <c r="C32">
        <v>1556675</v>
      </c>
      <c r="D32" t="s">
        <v>1664</v>
      </c>
    </row>
    <row r="33" spans="1:4" x14ac:dyDescent="0.2">
      <c r="A33">
        <v>1</v>
      </c>
      <c r="B33">
        <v>1672</v>
      </c>
      <c r="C33">
        <v>2117030</v>
      </c>
      <c r="D33" t="s">
        <v>1665</v>
      </c>
    </row>
    <row r="34" spans="1:4" x14ac:dyDescent="0.2">
      <c r="A34">
        <v>1</v>
      </c>
      <c r="B34">
        <v>1673</v>
      </c>
      <c r="C34">
        <v>2016010</v>
      </c>
      <c r="D34" t="s">
        <v>1666</v>
      </c>
    </row>
    <row r="35" spans="1:4" x14ac:dyDescent="0.2">
      <c r="A35">
        <v>1</v>
      </c>
      <c r="B35">
        <v>1674</v>
      </c>
      <c r="C35">
        <v>1039275</v>
      </c>
      <c r="D35" t="s">
        <v>1667</v>
      </c>
    </row>
    <row r="36" spans="1:4" x14ac:dyDescent="0.2">
      <c r="A36">
        <v>1</v>
      </c>
      <c r="B36">
        <v>1675</v>
      </c>
      <c r="C36">
        <v>91900</v>
      </c>
      <c r="D36" t="s">
        <v>1668</v>
      </c>
    </row>
    <row r="37" spans="1:4" x14ac:dyDescent="0.2">
      <c r="A37">
        <v>1</v>
      </c>
      <c r="B37">
        <v>1683</v>
      </c>
      <c r="C37">
        <v>36328480</v>
      </c>
      <c r="D37" t="s">
        <v>1669</v>
      </c>
    </row>
    <row r="38" spans="1:4" x14ac:dyDescent="0.2">
      <c r="A38">
        <v>1</v>
      </c>
      <c r="B38">
        <v>1684</v>
      </c>
      <c r="C38">
        <v>9639205</v>
      </c>
      <c r="D38" t="s">
        <v>352</v>
      </c>
    </row>
    <row r="39" spans="1:4" x14ac:dyDescent="0.2">
      <c r="A39">
        <v>1</v>
      </c>
      <c r="B39">
        <v>1974</v>
      </c>
      <c r="C39">
        <v>35986480</v>
      </c>
      <c r="D39" t="s">
        <v>1646</v>
      </c>
    </row>
    <row r="40" spans="1:4" x14ac:dyDescent="0.2">
      <c r="A40">
        <v>1</v>
      </c>
      <c r="B40">
        <v>1975</v>
      </c>
      <c r="C40">
        <v>31600930</v>
      </c>
      <c r="D40" t="s">
        <v>161</v>
      </c>
    </row>
    <row r="41" spans="1:4" x14ac:dyDescent="0.2">
      <c r="A41">
        <v>1</v>
      </c>
      <c r="B41">
        <v>1976</v>
      </c>
      <c r="C41">
        <v>4385555</v>
      </c>
      <c r="D41" t="s">
        <v>162</v>
      </c>
    </row>
    <row r="42" spans="1:4" x14ac:dyDescent="0.2">
      <c r="A42">
        <v>1</v>
      </c>
      <c r="B42">
        <v>1977</v>
      </c>
      <c r="C42">
        <v>2572400</v>
      </c>
      <c r="D42" t="s">
        <v>163</v>
      </c>
    </row>
    <row r="43" spans="1:4" x14ac:dyDescent="0.2">
      <c r="A43">
        <v>1</v>
      </c>
      <c r="B43">
        <v>1978</v>
      </c>
      <c r="C43">
        <v>1813155</v>
      </c>
      <c r="D43" t="s">
        <v>164</v>
      </c>
    </row>
    <row r="44" spans="1:4" x14ac:dyDescent="0.2">
      <c r="A44">
        <v>1</v>
      </c>
      <c r="B44">
        <v>1979</v>
      </c>
      <c r="C44">
        <v>1519200</v>
      </c>
      <c r="D44" t="s">
        <v>165</v>
      </c>
    </row>
    <row r="45" spans="1:4" x14ac:dyDescent="0.2">
      <c r="A45">
        <v>1</v>
      </c>
      <c r="B45">
        <v>1980</v>
      </c>
      <c r="C45">
        <v>1250235</v>
      </c>
      <c r="D45" t="s">
        <v>166</v>
      </c>
    </row>
    <row r="46" spans="1:4" x14ac:dyDescent="0.2">
      <c r="A46">
        <v>1</v>
      </c>
      <c r="B46">
        <v>1981</v>
      </c>
      <c r="C46">
        <v>268965</v>
      </c>
      <c r="D46" t="s">
        <v>167</v>
      </c>
    </row>
    <row r="47" spans="1:4" x14ac:dyDescent="0.2">
      <c r="A47">
        <v>1</v>
      </c>
      <c r="B47">
        <v>1982</v>
      </c>
      <c r="C47">
        <v>293955</v>
      </c>
      <c r="D47" t="s">
        <v>168</v>
      </c>
    </row>
    <row r="48" spans="1:4" x14ac:dyDescent="0.2">
      <c r="A48">
        <v>1</v>
      </c>
      <c r="B48">
        <v>1983</v>
      </c>
      <c r="C48">
        <v>34504330</v>
      </c>
      <c r="D48" t="s">
        <v>1647</v>
      </c>
    </row>
    <row r="49" spans="1:4" x14ac:dyDescent="0.2">
      <c r="A49">
        <v>1</v>
      </c>
      <c r="B49">
        <v>1984</v>
      </c>
      <c r="C49">
        <v>21061090</v>
      </c>
      <c r="D49" t="s">
        <v>161</v>
      </c>
    </row>
    <row r="50" spans="1:4" x14ac:dyDescent="0.2">
      <c r="A50">
        <v>1</v>
      </c>
      <c r="B50">
        <v>1985</v>
      </c>
      <c r="C50">
        <v>13443240</v>
      </c>
      <c r="D50" t="s">
        <v>162</v>
      </c>
    </row>
    <row r="51" spans="1:4" x14ac:dyDescent="0.2">
      <c r="A51">
        <v>1</v>
      </c>
      <c r="B51">
        <v>1986</v>
      </c>
      <c r="C51">
        <v>5773890</v>
      </c>
      <c r="D51" t="s">
        <v>163</v>
      </c>
    </row>
    <row r="52" spans="1:4" x14ac:dyDescent="0.2">
      <c r="A52">
        <v>1</v>
      </c>
      <c r="B52">
        <v>1987</v>
      </c>
      <c r="C52">
        <v>7669355</v>
      </c>
      <c r="D52" t="s">
        <v>164</v>
      </c>
    </row>
    <row r="53" spans="1:4" x14ac:dyDescent="0.2">
      <c r="A53">
        <v>1</v>
      </c>
      <c r="B53">
        <v>1988</v>
      </c>
      <c r="C53">
        <v>5976960</v>
      </c>
      <c r="D53" t="s">
        <v>165</v>
      </c>
    </row>
    <row r="54" spans="1:4" x14ac:dyDescent="0.2">
      <c r="A54">
        <v>1</v>
      </c>
      <c r="B54">
        <v>1989</v>
      </c>
      <c r="C54">
        <v>5055615</v>
      </c>
      <c r="D54" t="s">
        <v>166</v>
      </c>
    </row>
    <row r="55" spans="1:4" x14ac:dyDescent="0.2">
      <c r="A55">
        <v>1</v>
      </c>
      <c r="B55">
        <v>1990</v>
      </c>
      <c r="C55">
        <v>921345</v>
      </c>
      <c r="D55" t="s">
        <v>167</v>
      </c>
    </row>
    <row r="56" spans="1:4" x14ac:dyDescent="0.2">
      <c r="A56">
        <v>1</v>
      </c>
      <c r="B56">
        <v>1991</v>
      </c>
      <c r="C56">
        <v>1692390</v>
      </c>
      <c r="D56" t="s">
        <v>168</v>
      </c>
    </row>
    <row r="57" spans="1:4" x14ac:dyDescent="0.2">
      <c r="A57">
        <v>1</v>
      </c>
      <c r="B57">
        <v>2014</v>
      </c>
      <c r="C57">
        <v>19568260</v>
      </c>
      <c r="D57" t="s">
        <v>1642</v>
      </c>
    </row>
    <row r="58" spans="1:4" x14ac:dyDescent="0.2">
      <c r="A58">
        <v>1</v>
      </c>
      <c r="B58">
        <v>2015</v>
      </c>
      <c r="C58">
        <v>1931855</v>
      </c>
      <c r="D58" t="s">
        <v>157</v>
      </c>
    </row>
    <row r="59" spans="1:4" x14ac:dyDescent="0.2">
      <c r="A59">
        <v>1</v>
      </c>
      <c r="B59">
        <v>2016</v>
      </c>
      <c r="C59">
        <v>4501365</v>
      </c>
      <c r="D59" t="s">
        <v>1643</v>
      </c>
    </row>
    <row r="60" spans="1:4" x14ac:dyDescent="0.2">
      <c r="A60">
        <v>1</v>
      </c>
      <c r="B60">
        <v>2017</v>
      </c>
      <c r="C60">
        <v>13135045</v>
      </c>
      <c r="D60" t="s">
        <v>158</v>
      </c>
    </row>
  </sheetData>
  <printOptions gridLines="1"/>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sheetViews>
  <sheetFormatPr defaultRowHeight="14.25" x14ac:dyDescent="0.2"/>
  <sheetData>
    <row r="1" spans="1:5" x14ac:dyDescent="0.2">
      <c r="A1" t="s">
        <v>1407</v>
      </c>
      <c r="B1" t="s">
        <v>147</v>
      </c>
      <c r="C1" t="s">
        <v>1443</v>
      </c>
      <c r="D1" t="s">
        <v>1444</v>
      </c>
      <c r="E1" t="s">
        <v>1445</v>
      </c>
    </row>
    <row r="2" spans="1:5" x14ac:dyDescent="0.2">
      <c r="A2">
        <v>1</v>
      </c>
      <c r="B2">
        <v>2016</v>
      </c>
      <c r="C2">
        <v>1658</v>
      </c>
      <c r="D2">
        <v>14072080</v>
      </c>
      <c r="E2" t="s">
        <v>1673</v>
      </c>
    </row>
    <row r="3" spans="1:5" x14ac:dyDescent="0.2">
      <c r="A3">
        <v>1</v>
      </c>
      <c r="B3">
        <v>2016</v>
      </c>
      <c r="C3">
        <v>1659</v>
      </c>
      <c r="D3">
        <v>437230</v>
      </c>
      <c r="E3" t="s">
        <v>294</v>
      </c>
    </row>
    <row r="4" spans="1:5" x14ac:dyDescent="0.2">
      <c r="A4">
        <v>1</v>
      </c>
      <c r="B4">
        <v>2016</v>
      </c>
      <c r="C4">
        <v>1660</v>
      </c>
      <c r="D4">
        <v>1991685</v>
      </c>
      <c r="E4" t="s">
        <v>295</v>
      </c>
    </row>
    <row r="5" spans="1:5" x14ac:dyDescent="0.2">
      <c r="A5">
        <v>1</v>
      </c>
      <c r="B5">
        <v>2016</v>
      </c>
      <c r="C5">
        <v>1661</v>
      </c>
      <c r="D5">
        <v>2414920</v>
      </c>
      <c r="E5" t="s">
        <v>296</v>
      </c>
    </row>
    <row r="6" spans="1:5" x14ac:dyDescent="0.2">
      <c r="A6">
        <v>1</v>
      </c>
      <c r="B6">
        <v>2016</v>
      </c>
      <c r="C6">
        <v>1662</v>
      </c>
      <c r="D6">
        <v>2862870</v>
      </c>
      <c r="E6" t="s">
        <v>297</v>
      </c>
    </row>
    <row r="7" spans="1:5" x14ac:dyDescent="0.2">
      <c r="A7">
        <v>1</v>
      </c>
      <c r="B7">
        <v>2016</v>
      </c>
      <c r="C7">
        <v>1663</v>
      </c>
      <c r="D7">
        <v>2859315</v>
      </c>
      <c r="E7" t="s">
        <v>298</v>
      </c>
    </row>
    <row r="8" spans="1:5" x14ac:dyDescent="0.2">
      <c r="A8">
        <v>1</v>
      </c>
      <c r="B8">
        <v>2016</v>
      </c>
      <c r="C8">
        <v>1664</v>
      </c>
      <c r="D8">
        <v>2034220</v>
      </c>
      <c r="E8" t="s">
        <v>299</v>
      </c>
    </row>
    <row r="9" spans="1:5" x14ac:dyDescent="0.2">
      <c r="A9">
        <v>1</v>
      </c>
      <c r="B9">
        <v>2016</v>
      </c>
      <c r="C9">
        <v>1665</v>
      </c>
      <c r="D9">
        <v>1084700</v>
      </c>
      <c r="E9" t="s">
        <v>300</v>
      </c>
    </row>
    <row r="10" spans="1:5" x14ac:dyDescent="0.2">
      <c r="A10">
        <v>1</v>
      </c>
      <c r="B10">
        <v>2016</v>
      </c>
      <c r="C10">
        <v>1666</v>
      </c>
      <c r="D10">
        <v>387135</v>
      </c>
      <c r="E10" t="s">
        <v>293</v>
      </c>
    </row>
    <row r="11" spans="1:5" x14ac:dyDescent="0.2">
      <c r="A11">
        <v>1</v>
      </c>
      <c r="B11">
        <v>2021</v>
      </c>
      <c r="C11">
        <v>1456</v>
      </c>
      <c r="D11">
        <v>14978940</v>
      </c>
      <c r="E11" t="s">
        <v>1673</v>
      </c>
    </row>
    <row r="12" spans="1:5" x14ac:dyDescent="0.2">
      <c r="A12">
        <v>1</v>
      </c>
      <c r="B12">
        <v>2021</v>
      </c>
      <c r="C12">
        <v>1457</v>
      </c>
      <c r="D12">
        <v>424695</v>
      </c>
      <c r="E12" t="s">
        <v>294</v>
      </c>
    </row>
    <row r="13" spans="1:5" x14ac:dyDescent="0.2">
      <c r="A13">
        <v>1</v>
      </c>
      <c r="B13">
        <v>2021</v>
      </c>
      <c r="C13">
        <v>1458</v>
      </c>
      <c r="D13">
        <v>2077895</v>
      </c>
      <c r="E13" t="s">
        <v>295</v>
      </c>
    </row>
    <row r="14" spans="1:5" x14ac:dyDescent="0.2">
      <c r="A14">
        <v>1</v>
      </c>
      <c r="B14">
        <v>2021</v>
      </c>
      <c r="C14">
        <v>1459</v>
      </c>
      <c r="D14">
        <v>2600000</v>
      </c>
      <c r="E14" t="s">
        <v>296</v>
      </c>
    </row>
    <row r="15" spans="1:5" x14ac:dyDescent="0.2">
      <c r="A15">
        <v>1</v>
      </c>
      <c r="B15">
        <v>2021</v>
      </c>
      <c r="C15">
        <v>1460</v>
      </c>
      <c r="D15">
        <v>2646945</v>
      </c>
      <c r="E15" t="s">
        <v>297</v>
      </c>
    </row>
    <row r="16" spans="1:5" x14ac:dyDescent="0.2">
      <c r="A16">
        <v>1</v>
      </c>
      <c r="B16">
        <v>2021</v>
      </c>
      <c r="C16">
        <v>1461</v>
      </c>
      <c r="D16">
        <v>3046560</v>
      </c>
      <c r="E16" t="s">
        <v>298</v>
      </c>
    </row>
    <row r="17" spans="1:5" x14ac:dyDescent="0.2">
      <c r="A17">
        <v>1</v>
      </c>
      <c r="B17">
        <v>2021</v>
      </c>
      <c r="C17">
        <v>1462</v>
      </c>
      <c r="D17">
        <v>2432140</v>
      </c>
      <c r="E17" t="s">
        <v>299</v>
      </c>
    </row>
    <row r="18" spans="1:5" x14ac:dyDescent="0.2">
      <c r="A18">
        <v>1</v>
      </c>
      <c r="B18">
        <v>2021</v>
      </c>
      <c r="C18">
        <v>1463</v>
      </c>
      <c r="D18">
        <v>1292805</v>
      </c>
      <c r="E18" t="s">
        <v>300</v>
      </c>
    </row>
    <row r="19" spans="1:5" x14ac:dyDescent="0.2">
      <c r="A19">
        <v>1</v>
      </c>
      <c r="B19">
        <v>2021</v>
      </c>
      <c r="C19">
        <v>1464</v>
      </c>
      <c r="D19">
        <v>457900</v>
      </c>
      <c r="E19" t="s">
        <v>293</v>
      </c>
    </row>
  </sheetData>
  <printOptions gridLines="1"/>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
  <sheetViews>
    <sheetView workbookViewId="0"/>
  </sheetViews>
  <sheetFormatPr defaultRowHeight="14.25" x14ac:dyDescent="0.2"/>
  <sheetData>
    <row r="1" spans="1:4" x14ac:dyDescent="0.2">
      <c r="A1" t="s">
        <v>1674</v>
      </c>
      <c r="B1" t="s">
        <v>1481</v>
      </c>
      <c r="C1" t="s">
        <v>1675</v>
      </c>
      <c r="D1" t="s">
        <v>20</v>
      </c>
    </row>
  </sheetData>
  <printOptions gridLines="1"/>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Q1"/>
  <sheetViews>
    <sheetView workbookViewId="0"/>
  </sheetViews>
  <sheetFormatPr defaultRowHeight="14.25" x14ac:dyDescent="0.2"/>
  <sheetData>
    <row r="1" spans="1:17" x14ac:dyDescent="0.2">
      <c r="A1" t="s">
        <v>1676</v>
      </c>
      <c r="B1" t="s">
        <v>1677</v>
      </c>
      <c r="C1" t="s">
        <v>51</v>
      </c>
      <c r="D1" t="s">
        <v>496</v>
      </c>
      <c r="E1" t="s">
        <v>610</v>
      </c>
      <c r="F1" t="s">
        <v>611</v>
      </c>
      <c r="G1" t="s">
        <v>612</v>
      </c>
      <c r="H1" t="s">
        <v>613</v>
      </c>
      <c r="I1" t="s">
        <v>1678</v>
      </c>
      <c r="J1" t="s">
        <v>1679</v>
      </c>
      <c r="K1" t="s">
        <v>1680</v>
      </c>
      <c r="L1" t="s">
        <v>1681</v>
      </c>
      <c r="M1" t="s">
        <v>1682</v>
      </c>
      <c r="N1" t="s">
        <v>1683</v>
      </c>
      <c r="O1" t="s">
        <v>1684</v>
      </c>
      <c r="P1" t="s">
        <v>1685</v>
      </c>
      <c r="Q1" t="s">
        <v>1686</v>
      </c>
    </row>
  </sheetData>
  <printOptions gridLines="1"/>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1"/>
  <sheetViews>
    <sheetView workbookViewId="0"/>
  </sheetViews>
  <sheetFormatPr defaultRowHeight="14.25" x14ac:dyDescent="0.2"/>
  <sheetData>
    <row r="1" spans="1:3" x14ac:dyDescent="0.2">
      <c r="A1" t="s">
        <v>1405</v>
      </c>
      <c r="B1" t="s">
        <v>1481</v>
      </c>
      <c r="C1" t="s">
        <v>1687</v>
      </c>
    </row>
  </sheetData>
  <printOptions gridLines="1"/>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
  <sheetViews>
    <sheetView workbookViewId="0"/>
  </sheetViews>
  <sheetFormatPr defaultRowHeight="14.25" x14ac:dyDescent="0.2"/>
  <sheetData>
    <row r="1" spans="1:13" x14ac:dyDescent="0.2">
      <c r="A1" t="s">
        <v>1481</v>
      </c>
      <c r="B1" t="s">
        <v>1688</v>
      </c>
      <c r="C1" t="s">
        <v>1363</v>
      </c>
      <c r="D1" t="s">
        <v>1526</v>
      </c>
      <c r="E1" t="s">
        <v>1527</v>
      </c>
      <c r="F1" t="s">
        <v>1528</v>
      </c>
      <c r="G1" t="s">
        <v>1529</v>
      </c>
      <c r="H1" t="s">
        <v>1530</v>
      </c>
      <c r="I1" t="s">
        <v>1531</v>
      </c>
      <c r="J1" t="s">
        <v>1532</v>
      </c>
      <c r="K1" t="s">
        <v>1533</v>
      </c>
      <c r="L1" t="s">
        <v>1534</v>
      </c>
      <c r="M1" t="s">
        <v>1535</v>
      </c>
    </row>
  </sheetData>
  <printOptions gridLines="1"/>
  <pageMargins left="0.7" right="0.7" top="0.75" bottom="0.75" header="0.3" footer="0.3"/>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1"/>
  <sheetViews>
    <sheetView workbookViewId="0"/>
  </sheetViews>
  <sheetFormatPr defaultRowHeight="14.25" x14ac:dyDescent="0.2"/>
  <sheetData>
    <row r="1" spans="1:10" x14ac:dyDescent="0.2">
      <c r="A1" t="s">
        <v>1676</v>
      </c>
      <c r="B1" t="s">
        <v>1689</v>
      </c>
      <c r="C1" t="s">
        <v>663</v>
      </c>
      <c r="D1" t="s">
        <v>664</v>
      </c>
      <c r="E1" t="s">
        <v>665</v>
      </c>
      <c r="F1" t="s">
        <v>666</v>
      </c>
      <c r="G1" t="s">
        <v>667</v>
      </c>
      <c r="H1" t="s">
        <v>668</v>
      </c>
      <c r="I1" t="s">
        <v>669</v>
      </c>
      <c r="J1" t="s">
        <v>670</v>
      </c>
    </row>
  </sheetData>
  <printOptions gridLines="1"/>
  <pageMargins left="0.7" right="0.7" top="0.75" bottom="0.75" header="0.3" footer="0.3"/>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
  <sheetViews>
    <sheetView workbookViewId="0"/>
  </sheetViews>
  <sheetFormatPr defaultRowHeight="14.25" x14ac:dyDescent="0.2"/>
  <sheetData>
    <row r="1" spans="1:5" x14ac:dyDescent="0.2">
      <c r="A1" t="s">
        <v>1676</v>
      </c>
      <c r="B1" t="s">
        <v>1689</v>
      </c>
      <c r="C1" t="s">
        <v>1690</v>
      </c>
      <c r="D1" t="s">
        <v>1691</v>
      </c>
      <c r="E1" t="s">
        <v>1692</v>
      </c>
    </row>
  </sheetData>
  <printOptions gridLines="1"/>
  <pageMargins left="0.7" right="0.7" top="0.75" bottom="0.75" header="0.3" footer="0.3"/>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
  <sheetViews>
    <sheetView workbookViewId="0"/>
  </sheetViews>
  <sheetFormatPr defaultRowHeight="14.25" x14ac:dyDescent="0.2"/>
  <sheetData>
    <row r="1" spans="1:5" x14ac:dyDescent="0.2">
      <c r="A1" t="s">
        <v>1676</v>
      </c>
      <c r="B1" t="s">
        <v>1689</v>
      </c>
      <c r="C1" t="s">
        <v>1693</v>
      </c>
      <c r="D1" t="s">
        <v>1694</v>
      </c>
      <c r="E1" t="s">
        <v>1692</v>
      </c>
    </row>
  </sheetData>
  <printOptions gridLines="1"/>
  <pageMargins left="0.7" right="0.7" top="0.75" bottom="0.75" header="0.3" footer="0.3"/>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1"/>
  <sheetViews>
    <sheetView workbookViewId="0"/>
  </sheetViews>
  <sheetFormatPr defaultRowHeight="14.25" x14ac:dyDescent="0.2"/>
  <sheetData>
    <row r="1" spans="1:8" x14ac:dyDescent="0.2">
      <c r="A1" t="s">
        <v>1695</v>
      </c>
      <c r="B1" t="s">
        <v>1689</v>
      </c>
      <c r="C1" t="s">
        <v>1696</v>
      </c>
      <c r="D1" t="s">
        <v>1697</v>
      </c>
      <c r="E1" t="s">
        <v>671</v>
      </c>
      <c r="F1" t="s">
        <v>672</v>
      </c>
      <c r="G1" t="s">
        <v>673</v>
      </c>
      <c r="H1" t="s">
        <v>674</v>
      </c>
    </row>
  </sheetData>
  <printOptions gridLines="1"/>
  <pageMargins left="0.7" right="0.7" top="0.75" bottom="0.75" header="0.3" footer="0.3"/>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7"/>
  <sheetViews>
    <sheetView workbookViewId="0"/>
  </sheetViews>
  <sheetFormatPr defaultRowHeight="14.25" x14ac:dyDescent="0.2"/>
  <sheetData>
    <row r="1" spans="1:9" x14ac:dyDescent="0.2">
      <c r="A1" t="s">
        <v>1405</v>
      </c>
      <c r="B1" t="s">
        <v>1481</v>
      </c>
      <c r="C1" t="s">
        <v>1698</v>
      </c>
      <c r="D1" t="s">
        <v>1528</v>
      </c>
      <c r="E1" t="s">
        <v>1529</v>
      </c>
      <c r="F1" t="s">
        <v>1530</v>
      </c>
      <c r="G1" t="s">
        <v>1531</v>
      </c>
      <c r="H1" t="s">
        <v>1532</v>
      </c>
      <c r="I1" t="s">
        <v>1533</v>
      </c>
    </row>
    <row r="2" spans="1:9" x14ac:dyDescent="0.2">
      <c r="A2" t="s">
        <v>735</v>
      </c>
      <c r="B2">
        <v>1</v>
      </c>
      <c r="C2" t="s">
        <v>77</v>
      </c>
      <c r="D2">
        <v>139604</v>
      </c>
      <c r="E2">
        <v>140795</v>
      </c>
      <c r="F2">
        <v>156886</v>
      </c>
      <c r="G2">
        <v>181903</v>
      </c>
      <c r="H2">
        <v>167280</v>
      </c>
      <c r="I2">
        <v>176837</v>
      </c>
    </row>
    <row r="3" spans="1:9" x14ac:dyDescent="0.2">
      <c r="A3" t="s">
        <v>735</v>
      </c>
      <c r="B3">
        <v>1</v>
      </c>
      <c r="C3" t="s">
        <v>1360</v>
      </c>
      <c r="D3">
        <v>1444</v>
      </c>
      <c r="E3">
        <v>1386</v>
      </c>
      <c r="F3">
        <v>1489</v>
      </c>
      <c r="G3">
        <v>1962</v>
      </c>
      <c r="H3">
        <v>1971</v>
      </c>
      <c r="I3">
        <v>1615</v>
      </c>
    </row>
    <row r="4" spans="1:9" x14ac:dyDescent="0.2">
      <c r="A4" t="s">
        <v>735</v>
      </c>
      <c r="B4">
        <v>1</v>
      </c>
      <c r="C4" t="s">
        <v>330</v>
      </c>
      <c r="D4">
        <v>8655</v>
      </c>
      <c r="E4">
        <v>7995</v>
      </c>
      <c r="F4">
        <v>9530</v>
      </c>
      <c r="G4">
        <v>10187</v>
      </c>
      <c r="H4">
        <v>7751</v>
      </c>
      <c r="I4">
        <v>5751</v>
      </c>
    </row>
    <row r="5" spans="1:9" x14ac:dyDescent="0.2">
      <c r="A5" t="s">
        <v>735</v>
      </c>
      <c r="B5">
        <v>1</v>
      </c>
      <c r="C5" t="s">
        <v>331</v>
      </c>
      <c r="D5">
        <v>1283</v>
      </c>
      <c r="E5">
        <v>1295</v>
      </c>
      <c r="F5">
        <v>1345</v>
      </c>
      <c r="G5">
        <v>1532</v>
      </c>
      <c r="H5">
        <v>1250</v>
      </c>
      <c r="I5">
        <v>1212</v>
      </c>
    </row>
    <row r="6" spans="1:9" x14ac:dyDescent="0.2">
      <c r="A6" t="s">
        <v>735</v>
      </c>
      <c r="B6">
        <v>1</v>
      </c>
      <c r="C6" t="s">
        <v>332</v>
      </c>
      <c r="D6">
        <v>25847</v>
      </c>
      <c r="E6">
        <v>27291</v>
      </c>
      <c r="F6">
        <v>24162</v>
      </c>
      <c r="G6">
        <v>32123</v>
      </c>
      <c r="H6">
        <v>30270</v>
      </c>
      <c r="I6">
        <v>27375</v>
      </c>
    </row>
    <row r="7" spans="1:9" x14ac:dyDescent="0.2">
      <c r="A7" t="s">
        <v>735</v>
      </c>
      <c r="B7">
        <v>1</v>
      </c>
      <c r="C7" t="s">
        <v>76</v>
      </c>
      <c r="D7">
        <v>58621</v>
      </c>
      <c r="E7">
        <v>54269</v>
      </c>
      <c r="F7">
        <v>59805</v>
      </c>
      <c r="G7">
        <v>76523</v>
      </c>
      <c r="H7">
        <v>68139</v>
      </c>
      <c r="I7">
        <v>48603</v>
      </c>
    </row>
  </sheetData>
  <printOptions gridLines="1"/>
  <pageMargins left="0.7" right="0.7" top="0.75" bottom="0.75" header="0.3" footer="0.3"/>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
  <sheetViews>
    <sheetView workbookViewId="0"/>
  </sheetViews>
  <sheetFormatPr defaultRowHeight="14.25" x14ac:dyDescent="0.2"/>
  <sheetData>
    <row r="1" spans="1:5" x14ac:dyDescent="0.2">
      <c r="A1" t="s">
        <v>1639</v>
      </c>
      <c r="B1" t="s">
        <v>1405</v>
      </c>
      <c r="C1" t="s">
        <v>1481</v>
      </c>
      <c r="D1" t="s">
        <v>1699</v>
      </c>
      <c r="E1" t="s">
        <v>20</v>
      </c>
    </row>
  </sheetData>
  <printOptions gridLines="1"/>
  <pageMargins left="0.7" right="0.7" top="0.75" bottom="0.75" header="0.3" footer="0.3"/>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31"/>
  <sheetViews>
    <sheetView workbookViewId="0"/>
  </sheetViews>
  <sheetFormatPr defaultRowHeight="14.25" x14ac:dyDescent="0.2"/>
  <sheetData>
    <row r="1" spans="1:9" x14ac:dyDescent="0.2">
      <c r="A1" t="s">
        <v>1639</v>
      </c>
      <c r="B1" t="s">
        <v>1405</v>
      </c>
      <c r="C1" t="s">
        <v>1481</v>
      </c>
      <c r="D1" t="s">
        <v>493</v>
      </c>
      <c r="E1" t="s">
        <v>1700</v>
      </c>
      <c r="F1" t="s">
        <v>1701</v>
      </c>
      <c r="G1" t="s">
        <v>1702</v>
      </c>
      <c r="H1" t="s">
        <v>1703</v>
      </c>
      <c r="I1" t="s">
        <v>1704</v>
      </c>
    </row>
    <row r="2" spans="1:9" x14ac:dyDescent="0.2">
      <c r="A2">
        <v>2021</v>
      </c>
      <c r="B2" t="s">
        <v>735</v>
      </c>
      <c r="C2">
        <v>1</v>
      </c>
      <c r="D2" t="s">
        <v>6</v>
      </c>
      <c r="E2" t="s">
        <v>6</v>
      </c>
      <c r="F2">
        <v>14978940</v>
      </c>
      <c r="G2">
        <v>14072075</v>
      </c>
      <c r="H2">
        <v>84000</v>
      </c>
      <c r="I2">
        <v>76000</v>
      </c>
    </row>
    <row r="3" spans="1:9" x14ac:dyDescent="0.2">
      <c r="A3">
        <v>2021</v>
      </c>
      <c r="B3" t="s">
        <v>735</v>
      </c>
      <c r="C3">
        <v>1</v>
      </c>
      <c r="D3" t="s">
        <v>6</v>
      </c>
      <c r="E3" t="s">
        <v>302</v>
      </c>
      <c r="F3">
        <v>3837400</v>
      </c>
      <c r="G3">
        <v>3627180</v>
      </c>
      <c r="H3">
        <v>91000</v>
      </c>
      <c r="I3">
        <v>86000</v>
      </c>
    </row>
    <row r="4" spans="1:9" x14ac:dyDescent="0.2">
      <c r="A4">
        <v>2021</v>
      </c>
      <c r="B4" t="s">
        <v>735</v>
      </c>
      <c r="C4">
        <v>1</v>
      </c>
      <c r="D4" t="s">
        <v>6</v>
      </c>
      <c r="E4" t="s">
        <v>301</v>
      </c>
      <c r="F4">
        <v>3789795</v>
      </c>
      <c r="G4">
        <v>3728380</v>
      </c>
      <c r="H4">
        <v>134000</v>
      </c>
      <c r="I4">
        <v>122000</v>
      </c>
    </row>
    <row r="5" spans="1:9" x14ac:dyDescent="0.2">
      <c r="A5">
        <v>2021</v>
      </c>
      <c r="B5" t="s">
        <v>735</v>
      </c>
      <c r="C5">
        <v>1</v>
      </c>
      <c r="D5" t="s">
        <v>6</v>
      </c>
      <c r="E5" t="s">
        <v>92</v>
      </c>
      <c r="F5">
        <v>1305500</v>
      </c>
      <c r="G5">
        <v>1250190</v>
      </c>
      <c r="H5">
        <v>68000</v>
      </c>
      <c r="I5">
        <v>56400</v>
      </c>
    </row>
    <row r="6" spans="1:9" x14ac:dyDescent="0.2">
      <c r="A6">
        <v>2021</v>
      </c>
      <c r="B6" t="s">
        <v>735</v>
      </c>
      <c r="C6">
        <v>1</v>
      </c>
      <c r="D6" t="s">
        <v>6</v>
      </c>
      <c r="E6" t="s">
        <v>93</v>
      </c>
      <c r="F6">
        <v>5059850</v>
      </c>
      <c r="G6">
        <v>4552135</v>
      </c>
      <c r="H6">
        <v>45200</v>
      </c>
      <c r="I6">
        <v>41200</v>
      </c>
    </row>
    <row r="7" spans="1:9" x14ac:dyDescent="0.2">
      <c r="A7">
        <v>2021</v>
      </c>
      <c r="B7" t="s">
        <v>735</v>
      </c>
      <c r="C7">
        <v>1</v>
      </c>
      <c r="D7" t="s">
        <v>83</v>
      </c>
      <c r="E7" t="s">
        <v>6</v>
      </c>
      <c r="F7">
        <v>4396015</v>
      </c>
      <c r="G7">
        <v>3969790</v>
      </c>
      <c r="H7">
        <v>41600</v>
      </c>
      <c r="I7">
        <v>38000</v>
      </c>
    </row>
    <row r="8" spans="1:9" x14ac:dyDescent="0.2">
      <c r="A8">
        <v>2021</v>
      </c>
      <c r="B8" t="s">
        <v>735</v>
      </c>
      <c r="C8">
        <v>1</v>
      </c>
      <c r="D8" t="s">
        <v>83</v>
      </c>
      <c r="E8" t="s">
        <v>302</v>
      </c>
      <c r="F8">
        <v>0</v>
      </c>
      <c r="G8">
        <v>0</v>
      </c>
      <c r="H8">
        <v>0</v>
      </c>
      <c r="I8">
        <v>0</v>
      </c>
    </row>
    <row r="9" spans="1:9" x14ac:dyDescent="0.2">
      <c r="A9">
        <v>2021</v>
      </c>
      <c r="B9" t="s">
        <v>735</v>
      </c>
      <c r="C9">
        <v>1</v>
      </c>
      <c r="D9" t="s">
        <v>83</v>
      </c>
      <c r="E9" t="s">
        <v>301</v>
      </c>
      <c r="F9">
        <v>0</v>
      </c>
      <c r="G9">
        <v>0</v>
      </c>
      <c r="H9">
        <v>0</v>
      </c>
      <c r="I9">
        <v>0</v>
      </c>
    </row>
    <row r="10" spans="1:9" x14ac:dyDescent="0.2">
      <c r="A10">
        <v>2021</v>
      </c>
      <c r="B10" t="s">
        <v>735</v>
      </c>
      <c r="C10">
        <v>1</v>
      </c>
      <c r="D10" t="s">
        <v>83</v>
      </c>
      <c r="E10" t="s">
        <v>92</v>
      </c>
      <c r="F10">
        <v>0</v>
      </c>
      <c r="G10">
        <v>0</v>
      </c>
      <c r="H10">
        <v>0</v>
      </c>
      <c r="I10">
        <v>0</v>
      </c>
    </row>
    <row r="11" spans="1:9" x14ac:dyDescent="0.2">
      <c r="A11">
        <v>2021</v>
      </c>
      <c r="B11" t="s">
        <v>735</v>
      </c>
      <c r="C11">
        <v>1</v>
      </c>
      <c r="D11" t="s">
        <v>83</v>
      </c>
      <c r="E11" t="s">
        <v>93</v>
      </c>
      <c r="F11">
        <v>4396015</v>
      </c>
      <c r="G11">
        <v>3969790</v>
      </c>
      <c r="H11">
        <v>41600</v>
      </c>
      <c r="I11">
        <v>38000</v>
      </c>
    </row>
    <row r="12" spans="1:9" x14ac:dyDescent="0.2">
      <c r="A12">
        <v>2021</v>
      </c>
      <c r="B12" t="s">
        <v>735</v>
      </c>
      <c r="C12">
        <v>1</v>
      </c>
      <c r="D12" t="s">
        <v>308</v>
      </c>
      <c r="E12" t="s">
        <v>6</v>
      </c>
      <c r="F12">
        <v>5124800</v>
      </c>
      <c r="G12">
        <v>4834605</v>
      </c>
      <c r="H12">
        <v>85000</v>
      </c>
      <c r="I12">
        <v>78500</v>
      </c>
    </row>
    <row r="13" spans="1:9" x14ac:dyDescent="0.2">
      <c r="A13">
        <v>2021</v>
      </c>
      <c r="B13" t="s">
        <v>735</v>
      </c>
      <c r="C13">
        <v>1</v>
      </c>
      <c r="D13" t="s">
        <v>308</v>
      </c>
      <c r="E13" t="s">
        <v>302</v>
      </c>
      <c r="F13">
        <v>3837400</v>
      </c>
      <c r="G13">
        <v>3627180</v>
      </c>
      <c r="H13">
        <v>91000</v>
      </c>
      <c r="I13">
        <v>86000</v>
      </c>
    </row>
    <row r="14" spans="1:9" x14ac:dyDescent="0.2">
      <c r="A14">
        <v>2021</v>
      </c>
      <c r="B14" t="s">
        <v>735</v>
      </c>
      <c r="C14">
        <v>1</v>
      </c>
      <c r="D14" t="s">
        <v>308</v>
      </c>
      <c r="E14" t="s">
        <v>301</v>
      </c>
      <c r="F14">
        <v>0</v>
      </c>
      <c r="G14">
        <v>0</v>
      </c>
      <c r="H14">
        <v>0</v>
      </c>
      <c r="I14">
        <v>0</v>
      </c>
    </row>
    <row r="15" spans="1:9" x14ac:dyDescent="0.2">
      <c r="A15">
        <v>2021</v>
      </c>
      <c r="B15" t="s">
        <v>735</v>
      </c>
      <c r="C15">
        <v>1</v>
      </c>
      <c r="D15" t="s">
        <v>308</v>
      </c>
      <c r="E15" t="s">
        <v>92</v>
      </c>
      <c r="F15">
        <v>774515</v>
      </c>
      <c r="G15">
        <v>744530</v>
      </c>
      <c r="H15">
        <v>64000</v>
      </c>
      <c r="I15">
        <v>55200</v>
      </c>
    </row>
    <row r="16" spans="1:9" x14ac:dyDescent="0.2">
      <c r="A16">
        <v>2021</v>
      </c>
      <c r="B16" t="s">
        <v>735</v>
      </c>
      <c r="C16">
        <v>1</v>
      </c>
      <c r="D16" t="s">
        <v>308</v>
      </c>
      <c r="E16" t="s">
        <v>93</v>
      </c>
      <c r="F16">
        <v>512885</v>
      </c>
      <c r="G16">
        <v>462885</v>
      </c>
      <c r="H16">
        <v>72500</v>
      </c>
      <c r="I16">
        <v>63200</v>
      </c>
    </row>
    <row r="17" spans="1:9" x14ac:dyDescent="0.2">
      <c r="A17">
        <v>2021</v>
      </c>
      <c r="B17" t="s">
        <v>735</v>
      </c>
      <c r="C17">
        <v>1</v>
      </c>
      <c r="D17" t="s">
        <v>309</v>
      </c>
      <c r="E17" t="s">
        <v>6</v>
      </c>
      <c r="F17">
        <v>2194825</v>
      </c>
      <c r="G17">
        <v>2140635</v>
      </c>
      <c r="H17">
        <v>111000</v>
      </c>
      <c r="I17">
        <v>100000</v>
      </c>
    </row>
    <row r="18" spans="1:9" x14ac:dyDescent="0.2">
      <c r="A18">
        <v>2021</v>
      </c>
      <c r="B18" t="s">
        <v>735</v>
      </c>
      <c r="C18">
        <v>1</v>
      </c>
      <c r="D18" t="s">
        <v>309</v>
      </c>
      <c r="E18" t="s">
        <v>302</v>
      </c>
      <c r="F18">
        <v>0</v>
      </c>
      <c r="G18">
        <v>0</v>
      </c>
      <c r="H18">
        <v>0</v>
      </c>
      <c r="I18">
        <v>0</v>
      </c>
    </row>
    <row r="19" spans="1:9" x14ac:dyDescent="0.2">
      <c r="A19">
        <v>2021</v>
      </c>
      <c r="B19" t="s">
        <v>735</v>
      </c>
      <c r="C19">
        <v>1</v>
      </c>
      <c r="D19" t="s">
        <v>309</v>
      </c>
      <c r="E19" t="s">
        <v>301</v>
      </c>
      <c r="F19">
        <v>1466900</v>
      </c>
      <c r="G19">
        <v>1456315</v>
      </c>
      <c r="H19">
        <v>123000</v>
      </c>
      <c r="I19">
        <v>113000</v>
      </c>
    </row>
    <row r="20" spans="1:9" x14ac:dyDescent="0.2">
      <c r="A20">
        <v>2021</v>
      </c>
      <c r="B20" t="s">
        <v>735</v>
      </c>
      <c r="C20">
        <v>1</v>
      </c>
      <c r="D20" t="s">
        <v>309</v>
      </c>
      <c r="E20" t="s">
        <v>92</v>
      </c>
      <c r="F20">
        <v>380520</v>
      </c>
      <c r="G20">
        <v>367225</v>
      </c>
      <c r="H20">
        <v>73500</v>
      </c>
      <c r="I20">
        <v>60400</v>
      </c>
    </row>
    <row r="21" spans="1:9" x14ac:dyDescent="0.2">
      <c r="A21">
        <v>2021</v>
      </c>
      <c r="B21" t="s">
        <v>735</v>
      </c>
      <c r="C21">
        <v>1</v>
      </c>
      <c r="D21" t="s">
        <v>309</v>
      </c>
      <c r="E21" t="s">
        <v>93</v>
      </c>
      <c r="F21">
        <v>97290</v>
      </c>
      <c r="G21">
        <v>84020</v>
      </c>
      <c r="H21">
        <v>93000</v>
      </c>
      <c r="I21">
        <v>78500</v>
      </c>
    </row>
    <row r="22" spans="1:9" x14ac:dyDescent="0.2">
      <c r="A22">
        <v>2021</v>
      </c>
      <c r="B22" t="s">
        <v>735</v>
      </c>
      <c r="C22">
        <v>1</v>
      </c>
      <c r="D22" t="s">
        <v>310</v>
      </c>
      <c r="E22" t="s">
        <v>6</v>
      </c>
      <c r="F22">
        <v>2002455</v>
      </c>
      <c r="G22">
        <v>1946280</v>
      </c>
      <c r="H22">
        <v>138000</v>
      </c>
      <c r="I22">
        <v>125000</v>
      </c>
    </row>
    <row r="23" spans="1:9" x14ac:dyDescent="0.2">
      <c r="A23">
        <v>2021</v>
      </c>
      <c r="B23" t="s">
        <v>735</v>
      </c>
      <c r="C23">
        <v>1</v>
      </c>
      <c r="D23" t="s">
        <v>310</v>
      </c>
      <c r="E23" t="s">
        <v>302</v>
      </c>
      <c r="F23">
        <v>0</v>
      </c>
      <c r="G23">
        <v>0</v>
      </c>
      <c r="H23">
        <v>0</v>
      </c>
      <c r="I23">
        <v>0</v>
      </c>
    </row>
    <row r="24" spans="1:9" x14ac:dyDescent="0.2">
      <c r="A24">
        <v>2021</v>
      </c>
      <c r="B24" t="s">
        <v>735</v>
      </c>
      <c r="C24">
        <v>1</v>
      </c>
      <c r="D24" t="s">
        <v>310</v>
      </c>
      <c r="E24" t="s">
        <v>301</v>
      </c>
      <c r="F24">
        <v>1610625</v>
      </c>
      <c r="G24">
        <v>1589270</v>
      </c>
      <c r="H24">
        <v>144000</v>
      </c>
      <c r="I24">
        <v>131000</v>
      </c>
    </row>
    <row r="25" spans="1:9" x14ac:dyDescent="0.2">
      <c r="A25">
        <v>2021</v>
      </c>
      <c r="B25" t="s">
        <v>735</v>
      </c>
      <c r="C25">
        <v>1</v>
      </c>
      <c r="D25" t="s">
        <v>310</v>
      </c>
      <c r="E25" t="s">
        <v>92</v>
      </c>
      <c r="F25">
        <v>109690</v>
      </c>
      <c r="G25">
        <v>102480</v>
      </c>
      <c r="H25">
        <v>73000</v>
      </c>
      <c r="I25">
        <v>56400</v>
      </c>
    </row>
    <row r="26" spans="1:9" x14ac:dyDescent="0.2">
      <c r="A26">
        <v>2021</v>
      </c>
      <c r="B26" t="s">
        <v>735</v>
      </c>
      <c r="C26">
        <v>1</v>
      </c>
      <c r="D26" t="s">
        <v>310</v>
      </c>
      <c r="E26" t="s">
        <v>93</v>
      </c>
      <c r="F26">
        <v>32165</v>
      </c>
      <c r="G26">
        <v>23505</v>
      </c>
      <c r="H26">
        <v>108000</v>
      </c>
      <c r="I26">
        <v>92000</v>
      </c>
    </row>
    <row r="27" spans="1:9" x14ac:dyDescent="0.2">
      <c r="A27">
        <v>2021</v>
      </c>
      <c r="B27" t="s">
        <v>735</v>
      </c>
      <c r="C27">
        <v>1</v>
      </c>
      <c r="D27" t="s">
        <v>509</v>
      </c>
      <c r="E27" t="s">
        <v>6</v>
      </c>
      <c r="F27">
        <v>1260850</v>
      </c>
      <c r="G27">
        <v>1180770</v>
      </c>
      <c r="H27">
        <v>144000</v>
      </c>
      <c r="I27">
        <v>124000</v>
      </c>
    </row>
    <row r="28" spans="1:9" x14ac:dyDescent="0.2">
      <c r="A28">
        <v>2021</v>
      </c>
      <c r="B28" t="s">
        <v>735</v>
      </c>
      <c r="C28">
        <v>1</v>
      </c>
      <c r="D28" t="s">
        <v>509</v>
      </c>
      <c r="E28" t="s">
        <v>302</v>
      </c>
      <c r="F28">
        <v>0</v>
      </c>
      <c r="G28">
        <v>0</v>
      </c>
      <c r="H28">
        <v>0</v>
      </c>
      <c r="I28">
        <v>0</v>
      </c>
    </row>
    <row r="29" spans="1:9" x14ac:dyDescent="0.2">
      <c r="A29">
        <v>2021</v>
      </c>
      <c r="B29" t="s">
        <v>735</v>
      </c>
      <c r="C29">
        <v>1</v>
      </c>
      <c r="D29" t="s">
        <v>509</v>
      </c>
      <c r="E29" t="s">
        <v>301</v>
      </c>
      <c r="F29">
        <v>712265</v>
      </c>
      <c r="G29">
        <v>682790</v>
      </c>
      <c r="H29">
        <v>135000</v>
      </c>
      <c r="I29">
        <v>120000</v>
      </c>
    </row>
    <row r="30" spans="1:9" x14ac:dyDescent="0.2">
      <c r="A30">
        <v>2021</v>
      </c>
      <c r="B30" t="s">
        <v>735</v>
      </c>
      <c r="C30">
        <v>1</v>
      </c>
      <c r="D30" t="s">
        <v>509</v>
      </c>
      <c r="E30" t="s">
        <v>92</v>
      </c>
      <c r="F30">
        <v>40780</v>
      </c>
      <c r="G30">
        <v>35945</v>
      </c>
      <c r="H30">
        <v>73500</v>
      </c>
      <c r="I30">
        <v>53200</v>
      </c>
    </row>
    <row r="31" spans="1:9" x14ac:dyDescent="0.2">
      <c r="A31">
        <v>2021</v>
      </c>
      <c r="B31" t="s">
        <v>735</v>
      </c>
      <c r="C31">
        <v>1</v>
      </c>
      <c r="D31" t="s">
        <v>509</v>
      </c>
      <c r="E31" t="s">
        <v>93</v>
      </c>
      <c r="F31">
        <v>21490</v>
      </c>
      <c r="G31">
        <v>11930</v>
      </c>
      <c r="H31">
        <v>138000</v>
      </c>
      <c r="I31">
        <v>107000</v>
      </c>
    </row>
  </sheetData>
  <printOptions gridLines="1"/>
  <pageMargins left="0.7" right="0.7" top="0.75" bottom="0.75" header="0.3" footer="0.3"/>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13"/>
  <sheetViews>
    <sheetView workbookViewId="0"/>
  </sheetViews>
  <sheetFormatPr defaultRowHeight="14.25" x14ac:dyDescent="0.2"/>
  <sheetData>
    <row r="1" spans="1:6" x14ac:dyDescent="0.2">
      <c r="A1" t="s">
        <v>1407</v>
      </c>
      <c r="B1" t="s">
        <v>1705</v>
      </c>
      <c r="C1" t="s">
        <v>702</v>
      </c>
      <c r="D1" t="s">
        <v>703</v>
      </c>
      <c r="E1" t="s">
        <v>1706</v>
      </c>
      <c r="F1" t="s">
        <v>1443</v>
      </c>
    </row>
    <row r="2" spans="1:6" x14ac:dyDescent="0.2">
      <c r="A2">
        <v>1</v>
      </c>
      <c r="B2" t="s">
        <v>704</v>
      </c>
      <c r="C2">
        <v>29241810</v>
      </c>
      <c r="D2">
        <v>96.4</v>
      </c>
      <c r="E2">
        <v>41200</v>
      </c>
      <c r="F2">
        <v>1</v>
      </c>
    </row>
    <row r="3" spans="1:6" x14ac:dyDescent="0.2">
      <c r="A3">
        <v>1</v>
      </c>
      <c r="B3" t="s">
        <v>705</v>
      </c>
      <c r="C3">
        <v>26045500</v>
      </c>
      <c r="D3">
        <v>85.9</v>
      </c>
      <c r="E3">
        <v>35200</v>
      </c>
      <c r="F3">
        <v>2</v>
      </c>
    </row>
    <row r="4" spans="1:6" x14ac:dyDescent="0.2">
      <c r="A4">
        <v>1</v>
      </c>
      <c r="B4" t="s">
        <v>706</v>
      </c>
      <c r="C4">
        <v>21127610</v>
      </c>
      <c r="D4">
        <v>69.599999999999994</v>
      </c>
      <c r="E4">
        <v>37200</v>
      </c>
      <c r="F4">
        <v>3</v>
      </c>
    </row>
    <row r="5" spans="1:6" x14ac:dyDescent="0.2">
      <c r="A5">
        <v>1</v>
      </c>
      <c r="B5" t="s">
        <v>707</v>
      </c>
      <c r="C5">
        <v>19389945</v>
      </c>
      <c r="D5">
        <v>63.9</v>
      </c>
      <c r="E5">
        <v>40000</v>
      </c>
      <c r="F5">
        <v>4</v>
      </c>
    </row>
    <row r="6" spans="1:6" x14ac:dyDescent="0.2">
      <c r="A6">
        <v>1</v>
      </c>
      <c r="B6" t="s">
        <v>708</v>
      </c>
      <c r="C6">
        <v>3236185</v>
      </c>
      <c r="D6">
        <v>10.7</v>
      </c>
      <c r="E6">
        <v>4480</v>
      </c>
      <c r="F6">
        <v>5</v>
      </c>
    </row>
    <row r="7" spans="1:6" x14ac:dyDescent="0.2">
      <c r="A7">
        <v>1</v>
      </c>
      <c r="B7" t="s">
        <v>709</v>
      </c>
      <c r="C7">
        <v>9272280</v>
      </c>
      <c r="D7">
        <v>30.6</v>
      </c>
      <c r="E7">
        <v>624</v>
      </c>
      <c r="F7">
        <v>6</v>
      </c>
    </row>
    <row r="8" spans="1:6" x14ac:dyDescent="0.2">
      <c r="A8">
        <v>1</v>
      </c>
      <c r="B8" t="s">
        <v>710</v>
      </c>
      <c r="C8">
        <v>4831555</v>
      </c>
      <c r="D8">
        <v>15.9</v>
      </c>
      <c r="E8">
        <v>18200</v>
      </c>
      <c r="F8">
        <v>7</v>
      </c>
    </row>
    <row r="9" spans="1:6" x14ac:dyDescent="0.2">
      <c r="A9">
        <v>1</v>
      </c>
      <c r="B9" t="s">
        <v>711</v>
      </c>
      <c r="C9">
        <v>5949005</v>
      </c>
      <c r="D9">
        <v>19.600000000000001</v>
      </c>
      <c r="E9">
        <v>7650</v>
      </c>
      <c r="F9">
        <v>10</v>
      </c>
    </row>
    <row r="10" spans="1:6" x14ac:dyDescent="0.2">
      <c r="A10">
        <v>1</v>
      </c>
      <c r="B10" t="s">
        <v>712</v>
      </c>
      <c r="C10">
        <v>7522055</v>
      </c>
      <c r="D10">
        <v>24.8</v>
      </c>
      <c r="E10">
        <v>8100</v>
      </c>
      <c r="F10">
        <v>13</v>
      </c>
    </row>
    <row r="11" spans="1:6" x14ac:dyDescent="0.2">
      <c r="A11">
        <v>1</v>
      </c>
      <c r="B11" t="s">
        <v>713</v>
      </c>
      <c r="C11">
        <v>3185835</v>
      </c>
      <c r="D11">
        <v>10.5</v>
      </c>
      <c r="E11">
        <v>5720</v>
      </c>
      <c r="F11">
        <v>17</v>
      </c>
    </row>
    <row r="12" spans="1:6" x14ac:dyDescent="0.2">
      <c r="A12">
        <v>1</v>
      </c>
      <c r="B12" t="s">
        <v>714</v>
      </c>
      <c r="C12">
        <v>3884720</v>
      </c>
      <c r="D12">
        <v>12.8</v>
      </c>
      <c r="E12">
        <v>5840</v>
      </c>
      <c r="F12">
        <v>20</v>
      </c>
    </row>
    <row r="13" spans="1:6" x14ac:dyDescent="0.2">
      <c r="A13">
        <v>1</v>
      </c>
      <c r="B13" t="s">
        <v>715</v>
      </c>
      <c r="C13">
        <v>22776595</v>
      </c>
      <c r="D13">
        <v>75.099999999999994</v>
      </c>
      <c r="E13">
        <v>1960</v>
      </c>
      <c r="F13">
        <v>23</v>
      </c>
    </row>
  </sheetData>
  <printOptions gridLines="1"/>
  <pageMargins left="0.7" right="0.7" top="0.75" bottom="0.75" header="0.3" footer="0.3"/>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
  <sheetViews>
    <sheetView workbookViewId="0"/>
  </sheetViews>
  <sheetFormatPr defaultRowHeight="14.25" x14ac:dyDescent="0.2"/>
  <sheetData>
    <row r="1" spans="1:3" x14ac:dyDescent="0.2">
      <c r="A1" t="s">
        <v>1405</v>
      </c>
      <c r="B1" t="s">
        <v>1707</v>
      </c>
      <c r="C1" t="s">
        <v>1708</v>
      </c>
    </row>
  </sheetData>
  <printOptions gridLines="1"/>
  <pageMargins left="0.7" right="0.7" top="0.75" bottom="0.75" header="0.3" footer="0.3"/>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
  <sheetViews>
    <sheetView workbookViewId="0"/>
  </sheetViews>
  <sheetFormatPr defaultRowHeight="14.25" x14ac:dyDescent="0.2"/>
  <sheetData>
    <row r="1" spans="1:11" x14ac:dyDescent="0.2">
      <c r="A1" t="s">
        <v>1405</v>
      </c>
      <c r="B1" t="s">
        <v>1709</v>
      </c>
      <c r="C1" t="s">
        <v>1710</v>
      </c>
      <c r="D1" t="s">
        <v>496</v>
      </c>
      <c r="E1" t="s">
        <v>497</v>
      </c>
      <c r="F1" t="s">
        <v>498</v>
      </c>
      <c r="G1" t="s">
        <v>499</v>
      </c>
      <c r="H1" t="s">
        <v>500</v>
      </c>
      <c r="I1" t="s">
        <v>501</v>
      </c>
      <c r="J1" t="s">
        <v>502</v>
      </c>
      <c r="K1" t="s">
        <v>503</v>
      </c>
    </row>
  </sheetData>
  <printOptions gridLines="1"/>
  <pageMargins left="0.7" right="0.7" top="0.75" bottom="0.75" header="0.3" footer="0.3"/>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1"/>
  <sheetViews>
    <sheetView workbookViewId="0"/>
  </sheetViews>
  <sheetFormatPr defaultRowHeight="14.25" x14ac:dyDescent="0.2"/>
  <sheetData>
    <row r="1" spans="1:7" x14ac:dyDescent="0.2">
      <c r="A1" t="s">
        <v>1481</v>
      </c>
      <c r="B1" t="s">
        <v>1445</v>
      </c>
      <c r="C1" t="s">
        <v>1096</v>
      </c>
      <c r="D1" t="s">
        <v>1097</v>
      </c>
      <c r="E1" t="s">
        <v>1098</v>
      </c>
      <c r="F1" t="s">
        <v>1099</v>
      </c>
      <c r="G1" t="s">
        <v>1100</v>
      </c>
    </row>
  </sheetData>
  <printOptions gridLines="1"/>
  <pageMargins left="0.7" right="0.7" top="0.75" bottom="0.75" header="0.3" footer="0.3"/>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39"/>
  <sheetViews>
    <sheetView workbookViewId="0"/>
  </sheetViews>
  <sheetFormatPr defaultRowHeight="14.25" x14ac:dyDescent="0.2"/>
  <sheetData>
    <row r="1" spans="1:10" x14ac:dyDescent="0.2">
      <c r="A1" t="s">
        <v>1405</v>
      </c>
      <c r="B1" t="s">
        <v>1711</v>
      </c>
      <c r="C1" t="s">
        <v>1712</v>
      </c>
      <c r="D1" t="s">
        <v>496</v>
      </c>
      <c r="E1" t="s">
        <v>1096</v>
      </c>
      <c r="F1" t="s">
        <v>1097</v>
      </c>
      <c r="G1" t="s">
        <v>1098</v>
      </c>
      <c r="H1" t="s">
        <v>1099</v>
      </c>
      <c r="I1" t="s">
        <v>1100</v>
      </c>
      <c r="J1" t="s">
        <v>1713</v>
      </c>
    </row>
    <row r="2" spans="1:10" x14ac:dyDescent="0.2">
      <c r="A2">
        <v>1</v>
      </c>
      <c r="B2" t="e">
        <v>#N/A</v>
      </c>
      <c r="C2" t="e">
        <v>#N/A</v>
      </c>
      <c r="D2">
        <v>14919695</v>
      </c>
      <c r="E2">
        <v>4355860</v>
      </c>
      <c r="F2">
        <v>5113305</v>
      </c>
      <c r="G2">
        <v>2190195</v>
      </c>
      <c r="H2">
        <v>2000125</v>
      </c>
      <c r="I2">
        <v>1260210</v>
      </c>
      <c r="J2" t="e">
        <v>#N/A</v>
      </c>
    </row>
    <row r="3" spans="1:10" x14ac:dyDescent="0.2">
      <c r="A3">
        <v>1</v>
      </c>
      <c r="B3">
        <v>0</v>
      </c>
      <c r="C3">
        <v>25000</v>
      </c>
      <c r="D3">
        <v>1292835</v>
      </c>
      <c r="E3">
        <v>1077185</v>
      </c>
      <c r="F3">
        <v>149410</v>
      </c>
      <c r="G3">
        <v>39375</v>
      </c>
      <c r="H3">
        <v>18240</v>
      </c>
      <c r="I3">
        <v>8625</v>
      </c>
      <c r="J3" t="e">
        <v>#N/A</v>
      </c>
    </row>
    <row r="4" spans="1:10" x14ac:dyDescent="0.2">
      <c r="A4">
        <v>1</v>
      </c>
      <c r="B4">
        <v>0</v>
      </c>
      <c r="C4">
        <v>5000</v>
      </c>
      <c r="D4">
        <v>105765</v>
      </c>
      <c r="E4">
        <v>75135</v>
      </c>
      <c r="F4">
        <v>19835</v>
      </c>
      <c r="G4">
        <v>5950</v>
      </c>
      <c r="H4">
        <v>3095</v>
      </c>
      <c r="I4">
        <v>1750</v>
      </c>
      <c r="J4" t="e">
        <v>#N/A</v>
      </c>
    </row>
    <row r="5" spans="1:10" x14ac:dyDescent="0.2">
      <c r="A5">
        <v>1</v>
      </c>
      <c r="B5">
        <v>5000</v>
      </c>
      <c r="C5">
        <v>9999</v>
      </c>
      <c r="D5">
        <v>91855</v>
      </c>
      <c r="E5">
        <v>67400</v>
      </c>
      <c r="F5">
        <v>15985</v>
      </c>
      <c r="G5">
        <v>4875</v>
      </c>
      <c r="H5">
        <v>2410</v>
      </c>
      <c r="I5">
        <v>1190</v>
      </c>
      <c r="J5" t="e">
        <v>#N/A</v>
      </c>
    </row>
    <row r="6" spans="1:10" x14ac:dyDescent="0.2">
      <c r="A6">
        <v>1</v>
      </c>
      <c r="B6">
        <v>10000</v>
      </c>
      <c r="C6">
        <v>14999</v>
      </c>
      <c r="D6">
        <v>176500</v>
      </c>
      <c r="E6">
        <v>144280</v>
      </c>
      <c r="F6">
        <v>21700</v>
      </c>
      <c r="G6">
        <v>6440</v>
      </c>
      <c r="H6">
        <v>2875</v>
      </c>
      <c r="I6">
        <v>1200</v>
      </c>
      <c r="J6" t="e">
        <v>#N/A</v>
      </c>
    </row>
    <row r="7" spans="1:10" x14ac:dyDescent="0.2">
      <c r="A7">
        <v>1</v>
      </c>
      <c r="B7">
        <v>15000</v>
      </c>
      <c r="C7">
        <v>19999</v>
      </c>
      <c r="D7">
        <v>274430</v>
      </c>
      <c r="E7">
        <v>224830</v>
      </c>
      <c r="F7">
        <v>34255</v>
      </c>
      <c r="G7">
        <v>9295</v>
      </c>
      <c r="H7">
        <v>4185</v>
      </c>
      <c r="I7">
        <v>1865</v>
      </c>
      <c r="J7" t="e">
        <v>#N/A</v>
      </c>
    </row>
    <row r="8" spans="1:10" x14ac:dyDescent="0.2">
      <c r="A8">
        <v>1</v>
      </c>
      <c r="B8">
        <v>20000</v>
      </c>
      <c r="C8">
        <v>24999</v>
      </c>
      <c r="D8">
        <v>644275</v>
      </c>
      <c r="E8">
        <v>565535</v>
      </c>
      <c r="F8">
        <v>57635</v>
      </c>
      <c r="G8">
        <v>12815</v>
      </c>
      <c r="H8">
        <v>5670</v>
      </c>
      <c r="I8">
        <v>2625</v>
      </c>
      <c r="J8" t="e">
        <v>#N/A</v>
      </c>
    </row>
    <row r="9" spans="1:10" x14ac:dyDescent="0.2">
      <c r="A9">
        <v>1</v>
      </c>
      <c r="B9">
        <v>25000</v>
      </c>
      <c r="C9">
        <v>49999</v>
      </c>
      <c r="D9">
        <v>2683020</v>
      </c>
      <c r="E9">
        <v>1535700</v>
      </c>
      <c r="F9">
        <v>861770</v>
      </c>
      <c r="G9">
        <v>175925</v>
      </c>
      <c r="H9">
        <v>75555</v>
      </c>
      <c r="I9">
        <v>34075</v>
      </c>
      <c r="J9" t="e">
        <v>#N/A</v>
      </c>
    </row>
    <row r="10" spans="1:10" x14ac:dyDescent="0.2">
      <c r="A10">
        <v>1</v>
      </c>
      <c r="B10">
        <v>25000</v>
      </c>
      <c r="C10">
        <v>29999</v>
      </c>
      <c r="D10">
        <v>504150</v>
      </c>
      <c r="E10">
        <v>396930</v>
      </c>
      <c r="F10">
        <v>76310</v>
      </c>
      <c r="G10">
        <v>19905</v>
      </c>
      <c r="H10">
        <v>7405</v>
      </c>
      <c r="I10">
        <v>3600</v>
      </c>
      <c r="J10" t="e">
        <v>#N/A</v>
      </c>
    </row>
    <row r="11" spans="1:10" x14ac:dyDescent="0.2">
      <c r="A11">
        <v>1</v>
      </c>
      <c r="B11">
        <v>30000</v>
      </c>
      <c r="C11">
        <v>34999</v>
      </c>
      <c r="D11">
        <v>488375</v>
      </c>
      <c r="E11">
        <v>308065</v>
      </c>
      <c r="F11">
        <v>136900</v>
      </c>
      <c r="G11">
        <v>28520</v>
      </c>
      <c r="H11">
        <v>10460</v>
      </c>
      <c r="I11">
        <v>4435</v>
      </c>
      <c r="J11" t="e">
        <v>#N/A</v>
      </c>
    </row>
    <row r="12" spans="1:10" x14ac:dyDescent="0.2">
      <c r="A12">
        <v>1</v>
      </c>
      <c r="B12">
        <v>35000</v>
      </c>
      <c r="C12">
        <v>39999</v>
      </c>
      <c r="D12">
        <v>559995</v>
      </c>
      <c r="E12">
        <v>290945</v>
      </c>
      <c r="F12">
        <v>213350</v>
      </c>
      <c r="G12">
        <v>34795</v>
      </c>
      <c r="H12">
        <v>14770</v>
      </c>
      <c r="I12">
        <v>6135</v>
      </c>
      <c r="J12" t="e">
        <v>#N/A</v>
      </c>
    </row>
    <row r="13" spans="1:10" x14ac:dyDescent="0.2">
      <c r="A13">
        <v>1</v>
      </c>
      <c r="B13">
        <v>40000</v>
      </c>
      <c r="C13">
        <v>44999</v>
      </c>
      <c r="D13">
        <v>572430</v>
      </c>
      <c r="E13">
        <v>279690</v>
      </c>
      <c r="F13">
        <v>221790</v>
      </c>
      <c r="G13">
        <v>42635</v>
      </c>
      <c r="H13">
        <v>19755</v>
      </c>
      <c r="I13">
        <v>8550</v>
      </c>
      <c r="J13" t="e">
        <v>#N/A</v>
      </c>
    </row>
    <row r="14" spans="1:10" x14ac:dyDescent="0.2">
      <c r="A14">
        <v>1</v>
      </c>
      <c r="B14">
        <v>45000</v>
      </c>
      <c r="C14">
        <v>49999</v>
      </c>
      <c r="D14">
        <v>558070</v>
      </c>
      <c r="E14">
        <v>260070</v>
      </c>
      <c r="F14">
        <v>213410</v>
      </c>
      <c r="G14">
        <v>50075</v>
      </c>
      <c r="H14">
        <v>23155</v>
      </c>
      <c r="I14">
        <v>11360</v>
      </c>
      <c r="J14" t="e">
        <v>#N/A</v>
      </c>
    </row>
    <row r="15" spans="1:10" x14ac:dyDescent="0.2">
      <c r="A15">
        <v>1</v>
      </c>
      <c r="B15">
        <v>50000</v>
      </c>
      <c r="C15">
        <v>74999</v>
      </c>
      <c r="D15">
        <v>2637090</v>
      </c>
      <c r="E15">
        <v>893400</v>
      </c>
      <c r="F15">
        <v>1126195</v>
      </c>
      <c r="G15">
        <v>329485</v>
      </c>
      <c r="H15">
        <v>182010</v>
      </c>
      <c r="I15">
        <v>105995</v>
      </c>
      <c r="J15" t="e">
        <v>#N/A</v>
      </c>
    </row>
    <row r="16" spans="1:10" x14ac:dyDescent="0.2">
      <c r="A16">
        <v>1</v>
      </c>
      <c r="B16">
        <v>50000</v>
      </c>
      <c r="C16">
        <v>54999</v>
      </c>
      <c r="D16">
        <v>554300</v>
      </c>
      <c r="E16">
        <v>229795</v>
      </c>
      <c r="F16">
        <v>223590</v>
      </c>
      <c r="G16">
        <v>57465</v>
      </c>
      <c r="H16">
        <v>28145</v>
      </c>
      <c r="I16">
        <v>15300</v>
      </c>
      <c r="J16" t="e">
        <v>#N/A</v>
      </c>
    </row>
    <row r="17" spans="1:10" x14ac:dyDescent="0.2">
      <c r="A17">
        <v>1</v>
      </c>
      <c r="B17">
        <v>55000</v>
      </c>
      <c r="C17">
        <v>59999</v>
      </c>
      <c r="D17">
        <v>539850</v>
      </c>
      <c r="E17">
        <v>200580</v>
      </c>
      <c r="F17">
        <v>226750</v>
      </c>
      <c r="G17">
        <v>61845</v>
      </c>
      <c r="H17">
        <v>32525</v>
      </c>
      <c r="I17">
        <v>18150</v>
      </c>
      <c r="J17" t="e">
        <v>#N/A</v>
      </c>
    </row>
    <row r="18" spans="1:10" x14ac:dyDescent="0.2">
      <c r="A18">
        <v>1</v>
      </c>
      <c r="B18">
        <v>60000</v>
      </c>
      <c r="C18">
        <v>64999</v>
      </c>
      <c r="D18">
        <v>527035</v>
      </c>
      <c r="E18">
        <v>174575</v>
      </c>
      <c r="F18">
        <v>228035</v>
      </c>
      <c r="G18">
        <v>66650</v>
      </c>
      <c r="H18">
        <v>36405</v>
      </c>
      <c r="I18">
        <v>21370</v>
      </c>
      <c r="J18" t="e">
        <v>#N/A</v>
      </c>
    </row>
    <row r="19" spans="1:10" x14ac:dyDescent="0.2">
      <c r="A19">
        <v>1</v>
      </c>
      <c r="B19">
        <v>65000</v>
      </c>
      <c r="C19">
        <v>69999</v>
      </c>
      <c r="D19">
        <v>516650</v>
      </c>
      <c r="E19">
        <v>154075</v>
      </c>
      <c r="F19">
        <v>227720</v>
      </c>
      <c r="G19">
        <v>69880</v>
      </c>
      <c r="H19">
        <v>40660</v>
      </c>
      <c r="I19">
        <v>24305</v>
      </c>
      <c r="J19" t="e">
        <v>#N/A</v>
      </c>
    </row>
    <row r="20" spans="1:10" x14ac:dyDescent="0.2">
      <c r="A20">
        <v>1</v>
      </c>
      <c r="B20">
        <v>70000</v>
      </c>
      <c r="C20">
        <v>74999</v>
      </c>
      <c r="D20">
        <v>499255</v>
      </c>
      <c r="E20">
        <v>134375</v>
      </c>
      <c r="F20">
        <v>220100</v>
      </c>
      <c r="G20">
        <v>73640</v>
      </c>
      <c r="H20">
        <v>44275</v>
      </c>
      <c r="I20">
        <v>26865</v>
      </c>
      <c r="J20" t="e">
        <v>#N/A</v>
      </c>
    </row>
    <row r="21" spans="1:10" x14ac:dyDescent="0.2">
      <c r="A21">
        <v>1</v>
      </c>
      <c r="B21">
        <v>75000</v>
      </c>
      <c r="C21">
        <v>99999</v>
      </c>
      <c r="D21">
        <v>2254760</v>
      </c>
      <c r="E21">
        <v>445440</v>
      </c>
      <c r="F21">
        <v>990990</v>
      </c>
      <c r="G21">
        <v>387650</v>
      </c>
      <c r="H21">
        <v>267320</v>
      </c>
      <c r="I21">
        <v>163365</v>
      </c>
      <c r="J21" t="e">
        <v>#N/A</v>
      </c>
    </row>
    <row r="22" spans="1:10" x14ac:dyDescent="0.2">
      <c r="A22">
        <v>1</v>
      </c>
      <c r="B22">
        <v>75000</v>
      </c>
      <c r="C22">
        <v>79999</v>
      </c>
      <c r="D22">
        <v>485575</v>
      </c>
      <c r="E22">
        <v>117275</v>
      </c>
      <c r="F22">
        <v>216395</v>
      </c>
      <c r="G22">
        <v>75520</v>
      </c>
      <c r="H22">
        <v>47455</v>
      </c>
      <c r="I22">
        <v>28920</v>
      </c>
      <c r="J22" t="e">
        <v>#N/A</v>
      </c>
    </row>
    <row r="23" spans="1:10" x14ac:dyDescent="0.2">
      <c r="A23">
        <v>1</v>
      </c>
      <c r="B23">
        <v>80000</v>
      </c>
      <c r="C23">
        <v>84999</v>
      </c>
      <c r="D23">
        <v>469210</v>
      </c>
      <c r="E23">
        <v>100860</v>
      </c>
      <c r="F23">
        <v>207580</v>
      </c>
      <c r="G23">
        <v>77605</v>
      </c>
      <c r="H23">
        <v>51720</v>
      </c>
      <c r="I23">
        <v>31445</v>
      </c>
      <c r="J23" t="e">
        <v>#N/A</v>
      </c>
    </row>
    <row r="24" spans="1:10" x14ac:dyDescent="0.2">
      <c r="A24">
        <v>1</v>
      </c>
      <c r="B24">
        <v>85000</v>
      </c>
      <c r="C24">
        <v>89999</v>
      </c>
      <c r="D24">
        <v>452625</v>
      </c>
      <c r="E24">
        <v>87600</v>
      </c>
      <c r="F24">
        <v>199990</v>
      </c>
      <c r="G24">
        <v>78065</v>
      </c>
      <c r="H24">
        <v>53885</v>
      </c>
      <c r="I24">
        <v>33090</v>
      </c>
      <c r="J24" t="e">
        <v>#N/A</v>
      </c>
    </row>
    <row r="25" spans="1:10" x14ac:dyDescent="0.2">
      <c r="A25">
        <v>1</v>
      </c>
      <c r="B25">
        <v>90000</v>
      </c>
      <c r="C25">
        <v>94999</v>
      </c>
      <c r="D25">
        <v>430300</v>
      </c>
      <c r="E25">
        <v>74465</v>
      </c>
      <c r="F25">
        <v>188295</v>
      </c>
      <c r="G25">
        <v>77865</v>
      </c>
      <c r="H25">
        <v>55565</v>
      </c>
      <c r="I25">
        <v>34110</v>
      </c>
      <c r="J25" t="e">
        <v>#N/A</v>
      </c>
    </row>
    <row r="26" spans="1:10" x14ac:dyDescent="0.2">
      <c r="A26">
        <v>1</v>
      </c>
      <c r="B26">
        <v>95000</v>
      </c>
      <c r="C26">
        <v>99999</v>
      </c>
      <c r="D26">
        <v>417050</v>
      </c>
      <c r="E26">
        <v>65235</v>
      </c>
      <c r="F26">
        <v>178725</v>
      </c>
      <c r="G26">
        <v>78595</v>
      </c>
      <c r="H26">
        <v>58695</v>
      </c>
      <c r="I26">
        <v>35800</v>
      </c>
      <c r="J26" t="e">
        <v>#N/A</v>
      </c>
    </row>
    <row r="27" spans="1:10" x14ac:dyDescent="0.2">
      <c r="A27">
        <v>1</v>
      </c>
      <c r="B27">
        <v>100000</v>
      </c>
      <c r="C27">
        <v>124999</v>
      </c>
      <c r="D27">
        <v>1752810</v>
      </c>
      <c r="E27">
        <v>193735</v>
      </c>
      <c r="F27">
        <v>713255</v>
      </c>
      <c r="G27">
        <v>358925</v>
      </c>
      <c r="H27">
        <v>303160</v>
      </c>
      <c r="I27">
        <v>183735</v>
      </c>
      <c r="J27" t="e">
        <v>#N/A</v>
      </c>
    </row>
    <row r="28" spans="1:10" x14ac:dyDescent="0.2">
      <c r="A28">
        <v>1</v>
      </c>
      <c r="B28">
        <v>100000</v>
      </c>
      <c r="C28">
        <v>104999</v>
      </c>
      <c r="D28">
        <v>393665</v>
      </c>
      <c r="E28">
        <v>56265</v>
      </c>
      <c r="F28">
        <v>165765</v>
      </c>
      <c r="G28">
        <v>76005</v>
      </c>
      <c r="H28">
        <v>59730</v>
      </c>
      <c r="I28">
        <v>35895</v>
      </c>
      <c r="J28" t="e">
        <v>#N/A</v>
      </c>
    </row>
    <row r="29" spans="1:10" x14ac:dyDescent="0.2">
      <c r="A29">
        <v>1</v>
      </c>
      <c r="B29">
        <v>105000</v>
      </c>
      <c r="C29">
        <v>109999</v>
      </c>
      <c r="D29">
        <v>370190</v>
      </c>
      <c r="E29">
        <v>44000</v>
      </c>
      <c r="F29">
        <v>153440</v>
      </c>
      <c r="G29">
        <v>75330</v>
      </c>
      <c r="H29">
        <v>60625</v>
      </c>
      <c r="I29">
        <v>36790</v>
      </c>
      <c r="J29" t="e">
        <v>#N/A</v>
      </c>
    </row>
    <row r="30" spans="1:10" x14ac:dyDescent="0.2">
      <c r="A30">
        <v>1</v>
      </c>
      <c r="B30">
        <v>110000</v>
      </c>
      <c r="C30">
        <v>114999</v>
      </c>
      <c r="D30">
        <v>351115</v>
      </c>
      <c r="E30">
        <v>36745</v>
      </c>
      <c r="F30">
        <v>143465</v>
      </c>
      <c r="G30">
        <v>72375</v>
      </c>
      <c r="H30">
        <v>61185</v>
      </c>
      <c r="I30">
        <v>37340</v>
      </c>
      <c r="J30" t="e">
        <v>#N/A</v>
      </c>
    </row>
    <row r="31" spans="1:10" x14ac:dyDescent="0.2">
      <c r="A31">
        <v>1</v>
      </c>
      <c r="B31">
        <v>115000</v>
      </c>
      <c r="C31">
        <v>119999</v>
      </c>
      <c r="D31">
        <v>328950</v>
      </c>
      <c r="E31">
        <v>30740</v>
      </c>
      <c r="F31">
        <v>130650</v>
      </c>
      <c r="G31">
        <v>69230</v>
      </c>
      <c r="H31">
        <v>61255</v>
      </c>
      <c r="I31">
        <v>37075</v>
      </c>
      <c r="J31" t="e">
        <v>#N/A</v>
      </c>
    </row>
    <row r="32" spans="1:10" x14ac:dyDescent="0.2">
      <c r="A32">
        <v>1</v>
      </c>
      <c r="B32">
        <v>120000</v>
      </c>
      <c r="C32">
        <v>124999</v>
      </c>
      <c r="D32">
        <v>308900</v>
      </c>
      <c r="E32">
        <v>25985</v>
      </c>
      <c r="F32">
        <v>119935</v>
      </c>
      <c r="G32">
        <v>65980</v>
      </c>
      <c r="H32">
        <v>60370</v>
      </c>
      <c r="I32">
        <v>36630</v>
      </c>
      <c r="J32" t="e">
        <v>#N/A</v>
      </c>
    </row>
    <row r="33" spans="1:10" x14ac:dyDescent="0.2">
      <c r="A33">
        <v>1</v>
      </c>
      <c r="B33">
        <v>125000</v>
      </c>
      <c r="C33">
        <v>149999</v>
      </c>
      <c r="D33">
        <v>1280925</v>
      </c>
      <c r="E33">
        <v>83745</v>
      </c>
      <c r="F33">
        <v>455565</v>
      </c>
      <c r="G33">
        <v>282655</v>
      </c>
      <c r="H33">
        <v>284725</v>
      </c>
      <c r="I33">
        <v>174225</v>
      </c>
      <c r="J33" t="e">
        <v>#N/A</v>
      </c>
    </row>
    <row r="34" spans="1:10" x14ac:dyDescent="0.2">
      <c r="A34">
        <v>1</v>
      </c>
      <c r="B34">
        <v>125000</v>
      </c>
      <c r="C34">
        <v>129999</v>
      </c>
      <c r="D34">
        <v>288500</v>
      </c>
      <c r="E34">
        <v>22300</v>
      </c>
      <c r="F34">
        <v>108220</v>
      </c>
      <c r="G34">
        <v>61705</v>
      </c>
      <c r="H34">
        <v>60130</v>
      </c>
      <c r="I34">
        <v>36140</v>
      </c>
      <c r="J34" t="e">
        <v>#N/A</v>
      </c>
    </row>
    <row r="35" spans="1:10" x14ac:dyDescent="0.2">
      <c r="A35">
        <v>1</v>
      </c>
      <c r="B35">
        <v>130000</v>
      </c>
      <c r="C35">
        <v>134999</v>
      </c>
      <c r="D35">
        <v>272295</v>
      </c>
      <c r="E35">
        <v>18900</v>
      </c>
      <c r="F35">
        <v>99120</v>
      </c>
      <c r="G35">
        <v>60215</v>
      </c>
      <c r="H35">
        <v>58710</v>
      </c>
      <c r="I35">
        <v>35355</v>
      </c>
      <c r="J35" t="e">
        <v>#N/A</v>
      </c>
    </row>
    <row r="36" spans="1:10" x14ac:dyDescent="0.2">
      <c r="A36">
        <v>1</v>
      </c>
      <c r="B36">
        <v>135000</v>
      </c>
      <c r="C36">
        <v>139999</v>
      </c>
      <c r="D36">
        <v>255160</v>
      </c>
      <c r="E36">
        <v>16090</v>
      </c>
      <c r="F36">
        <v>91060</v>
      </c>
      <c r="G36">
        <v>56395</v>
      </c>
      <c r="H36">
        <v>56515</v>
      </c>
      <c r="I36">
        <v>35105</v>
      </c>
      <c r="J36" t="e">
        <v>#N/A</v>
      </c>
    </row>
    <row r="37" spans="1:10" x14ac:dyDescent="0.2">
      <c r="A37">
        <v>1</v>
      </c>
      <c r="B37">
        <v>140000</v>
      </c>
      <c r="C37">
        <v>144999</v>
      </c>
      <c r="D37">
        <v>240985</v>
      </c>
      <c r="E37">
        <v>14085</v>
      </c>
      <c r="F37">
        <v>82665</v>
      </c>
      <c r="G37">
        <v>54155</v>
      </c>
      <c r="H37">
        <v>55575</v>
      </c>
      <c r="I37">
        <v>34505</v>
      </c>
      <c r="J37" t="e">
        <v>#N/A</v>
      </c>
    </row>
    <row r="38" spans="1:10" x14ac:dyDescent="0.2">
      <c r="A38">
        <v>1</v>
      </c>
      <c r="B38">
        <v>145000</v>
      </c>
      <c r="C38">
        <v>149999</v>
      </c>
      <c r="D38">
        <v>223985</v>
      </c>
      <c r="E38">
        <v>12380</v>
      </c>
      <c r="F38">
        <v>74500</v>
      </c>
      <c r="G38">
        <v>50185</v>
      </c>
      <c r="H38">
        <v>53795</v>
      </c>
      <c r="I38">
        <v>33115</v>
      </c>
      <c r="J38" t="e">
        <v>#N/A</v>
      </c>
    </row>
    <row r="39" spans="1:10" x14ac:dyDescent="0.2">
      <c r="A39">
        <v>1</v>
      </c>
      <c r="B39">
        <v>150000</v>
      </c>
      <c r="C39" t="e">
        <v>#NUM!</v>
      </c>
      <c r="D39">
        <v>3018255</v>
      </c>
      <c r="E39">
        <v>126655</v>
      </c>
      <c r="F39">
        <v>816115</v>
      </c>
      <c r="G39">
        <v>616180</v>
      </c>
      <c r="H39">
        <v>869120</v>
      </c>
      <c r="I39">
        <v>590185</v>
      </c>
      <c r="J39" t="e">
        <v>#N/A</v>
      </c>
    </row>
  </sheetData>
  <printOptions gridLines="1"/>
  <pageMargins left="0.7" right="0.7" top="0.75" bottom="0.75" header="0.3" footer="0.3"/>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55"/>
  <sheetViews>
    <sheetView workbookViewId="0"/>
  </sheetViews>
  <sheetFormatPr defaultRowHeight="14.25" x14ac:dyDescent="0.2"/>
  <sheetData>
    <row r="1" spans="1:8" x14ac:dyDescent="0.2">
      <c r="A1" t="s">
        <v>1639</v>
      </c>
      <c r="B1" t="s">
        <v>1481</v>
      </c>
      <c r="C1" t="s">
        <v>1714</v>
      </c>
      <c r="D1" t="s">
        <v>1715</v>
      </c>
      <c r="E1" t="s">
        <v>1536</v>
      </c>
      <c r="F1" t="s">
        <v>496</v>
      </c>
      <c r="G1" t="s">
        <v>1716</v>
      </c>
      <c r="H1" t="s">
        <v>1717</v>
      </c>
    </row>
    <row r="2" spans="1:8" x14ac:dyDescent="0.2">
      <c r="A2">
        <v>2021</v>
      </c>
      <c r="B2">
        <v>1</v>
      </c>
      <c r="C2" t="s">
        <v>238</v>
      </c>
      <c r="D2">
        <v>2020</v>
      </c>
      <c r="E2" t="s">
        <v>6</v>
      </c>
      <c r="F2">
        <v>36328475</v>
      </c>
      <c r="G2">
        <v>35838140</v>
      </c>
      <c r="H2">
        <v>2895025</v>
      </c>
    </row>
    <row r="3" spans="1:8" x14ac:dyDescent="0.2">
      <c r="A3">
        <v>2021</v>
      </c>
      <c r="B3">
        <v>1</v>
      </c>
      <c r="C3" t="s">
        <v>238</v>
      </c>
      <c r="D3">
        <v>2020</v>
      </c>
      <c r="E3" t="s">
        <v>1718</v>
      </c>
      <c r="F3">
        <v>7201545</v>
      </c>
      <c r="G3">
        <v>7048535</v>
      </c>
      <c r="H3">
        <v>596455</v>
      </c>
    </row>
    <row r="4" spans="1:8" x14ac:dyDescent="0.2">
      <c r="A4">
        <v>2021</v>
      </c>
      <c r="B4">
        <v>1</v>
      </c>
      <c r="C4" t="s">
        <v>238</v>
      </c>
      <c r="D4">
        <v>2020</v>
      </c>
      <c r="E4" t="s">
        <v>651</v>
      </c>
      <c r="F4">
        <v>2226140</v>
      </c>
      <c r="G4">
        <v>2176920</v>
      </c>
      <c r="H4">
        <v>199130</v>
      </c>
    </row>
    <row r="5" spans="1:8" x14ac:dyDescent="0.2">
      <c r="A5">
        <v>2021</v>
      </c>
      <c r="B5">
        <v>1</v>
      </c>
      <c r="C5" t="s">
        <v>238</v>
      </c>
      <c r="D5">
        <v>2020</v>
      </c>
      <c r="E5" t="s">
        <v>652</v>
      </c>
      <c r="F5">
        <v>4975405</v>
      </c>
      <c r="G5">
        <v>4871610</v>
      </c>
      <c r="H5">
        <v>397330</v>
      </c>
    </row>
    <row r="6" spans="1:8" x14ac:dyDescent="0.2">
      <c r="A6">
        <v>2021</v>
      </c>
      <c r="B6">
        <v>1</v>
      </c>
      <c r="C6" t="s">
        <v>238</v>
      </c>
      <c r="D6">
        <v>2020</v>
      </c>
      <c r="E6" t="s">
        <v>355</v>
      </c>
      <c r="F6">
        <v>2972070</v>
      </c>
      <c r="G6">
        <v>2925490</v>
      </c>
      <c r="H6">
        <v>409760</v>
      </c>
    </row>
    <row r="7" spans="1:8" x14ac:dyDescent="0.2">
      <c r="A7">
        <v>2021</v>
      </c>
      <c r="B7">
        <v>1</v>
      </c>
      <c r="C7" t="s">
        <v>238</v>
      </c>
      <c r="D7">
        <v>2020</v>
      </c>
      <c r="E7" t="s">
        <v>356</v>
      </c>
      <c r="F7">
        <v>14405895</v>
      </c>
      <c r="G7">
        <v>14225850</v>
      </c>
      <c r="H7">
        <v>1125030</v>
      </c>
    </row>
    <row r="8" spans="1:8" x14ac:dyDescent="0.2">
      <c r="A8">
        <v>2021</v>
      </c>
      <c r="B8">
        <v>1</v>
      </c>
      <c r="C8" t="s">
        <v>238</v>
      </c>
      <c r="D8">
        <v>2020</v>
      </c>
      <c r="E8" t="s">
        <v>64</v>
      </c>
      <c r="F8">
        <v>5162370</v>
      </c>
      <c r="G8">
        <v>5106930</v>
      </c>
      <c r="H8">
        <v>459460</v>
      </c>
    </row>
    <row r="9" spans="1:8" x14ac:dyDescent="0.2">
      <c r="A9">
        <v>2021</v>
      </c>
      <c r="B9">
        <v>1</v>
      </c>
      <c r="C9" t="s">
        <v>238</v>
      </c>
      <c r="D9">
        <v>2020</v>
      </c>
      <c r="E9" t="s">
        <v>558</v>
      </c>
      <c r="F9">
        <v>6586600</v>
      </c>
      <c r="G9">
        <v>6531340</v>
      </c>
      <c r="H9">
        <v>304320</v>
      </c>
    </row>
    <row r="10" spans="1:8" x14ac:dyDescent="0.2">
      <c r="A10">
        <v>2021</v>
      </c>
      <c r="B10">
        <v>1</v>
      </c>
      <c r="C10" t="s">
        <v>238</v>
      </c>
      <c r="D10">
        <v>2015</v>
      </c>
      <c r="E10" t="s">
        <v>6</v>
      </c>
      <c r="F10">
        <v>34460065</v>
      </c>
      <c r="G10">
        <v>33968190</v>
      </c>
      <c r="H10">
        <v>4918680</v>
      </c>
    </row>
    <row r="11" spans="1:8" x14ac:dyDescent="0.2">
      <c r="A11">
        <v>2021</v>
      </c>
      <c r="B11">
        <v>1</v>
      </c>
      <c r="C11" t="s">
        <v>238</v>
      </c>
      <c r="D11">
        <v>2015</v>
      </c>
      <c r="E11" t="s">
        <v>1718</v>
      </c>
      <c r="F11">
        <v>7001530</v>
      </c>
      <c r="G11">
        <v>6839465</v>
      </c>
      <c r="H11">
        <v>1233110</v>
      </c>
    </row>
    <row r="12" spans="1:8" x14ac:dyDescent="0.2">
      <c r="A12">
        <v>2021</v>
      </c>
      <c r="B12">
        <v>1</v>
      </c>
      <c r="C12" t="s">
        <v>238</v>
      </c>
      <c r="D12">
        <v>2015</v>
      </c>
      <c r="E12" t="s">
        <v>651</v>
      </c>
      <c r="F12">
        <v>2284840</v>
      </c>
      <c r="G12">
        <v>2229275</v>
      </c>
      <c r="H12">
        <v>428385</v>
      </c>
    </row>
    <row r="13" spans="1:8" x14ac:dyDescent="0.2">
      <c r="A13">
        <v>2021</v>
      </c>
      <c r="B13">
        <v>1</v>
      </c>
      <c r="C13" t="s">
        <v>238</v>
      </c>
      <c r="D13">
        <v>2015</v>
      </c>
      <c r="E13" t="s">
        <v>652</v>
      </c>
      <c r="F13">
        <v>4716685</v>
      </c>
      <c r="G13">
        <v>4610190</v>
      </c>
      <c r="H13">
        <v>804725</v>
      </c>
    </row>
    <row r="14" spans="1:8" x14ac:dyDescent="0.2">
      <c r="A14">
        <v>2021</v>
      </c>
      <c r="B14">
        <v>1</v>
      </c>
      <c r="C14" t="s">
        <v>238</v>
      </c>
      <c r="D14">
        <v>2015</v>
      </c>
      <c r="E14" t="s">
        <v>355</v>
      </c>
      <c r="F14">
        <v>3047245</v>
      </c>
      <c r="G14">
        <v>2994520</v>
      </c>
      <c r="H14">
        <v>626735</v>
      </c>
    </row>
    <row r="15" spans="1:8" x14ac:dyDescent="0.2">
      <c r="A15">
        <v>2021</v>
      </c>
      <c r="B15">
        <v>1</v>
      </c>
      <c r="C15" t="s">
        <v>238</v>
      </c>
      <c r="D15">
        <v>2015</v>
      </c>
      <c r="E15" t="s">
        <v>356</v>
      </c>
      <c r="F15">
        <v>14076320</v>
      </c>
      <c r="G15">
        <v>13891720</v>
      </c>
      <c r="H15">
        <v>1983725</v>
      </c>
    </row>
    <row r="16" spans="1:8" x14ac:dyDescent="0.2">
      <c r="A16">
        <v>2021</v>
      </c>
      <c r="B16">
        <v>1</v>
      </c>
      <c r="C16" t="s">
        <v>238</v>
      </c>
      <c r="D16">
        <v>2015</v>
      </c>
      <c r="E16" t="s">
        <v>64</v>
      </c>
      <c r="F16">
        <v>4855060</v>
      </c>
      <c r="G16">
        <v>4805670</v>
      </c>
      <c r="H16">
        <v>633920</v>
      </c>
    </row>
    <row r="17" spans="1:8" x14ac:dyDescent="0.2">
      <c r="A17">
        <v>2021</v>
      </c>
      <c r="B17">
        <v>1</v>
      </c>
      <c r="C17" t="s">
        <v>238</v>
      </c>
      <c r="D17">
        <v>2015</v>
      </c>
      <c r="E17" t="s">
        <v>558</v>
      </c>
      <c r="F17">
        <v>5479910</v>
      </c>
      <c r="G17">
        <v>5436815</v>
      </c>
      <c r="H17">
        <v>441185</v>
      </c>
    </row>
    <row r="18" spans="1:8" x14ac:dyDescent="0.2">
      <c r="A18">
        <v>2021</v>
      </c>
      <c r="B18">
        <v>1</v>
      </c>
      <c r="C18" t="s">
        <v>675</v>
      </c>
      <c r="D18">
        <v>2020</v>
      </c>
      <c r="E18" t="s">
        <v>6</v>
      </c>
      <c r="F18">
        <v>30411580</v>
      </c>
      <c r="G18">
        <v>29973240</v>
      </c>
      <c r="H18">
        <v>1632045</v>
      </c>
    </row>
    <row r="19" spans="1:8" x14ac:dyDescent="0.2">
      <c r="A19">
        <v>2021</v>
      </c>
      <c r="B19">
        <v>1</v>
      </c>
      <c r="C19" t="s">
        <v>675</v>
      </c>
      <c r="D19">
        <v>2020</v>
      </c>
      <c r="E19" t="s">
        <v>1718</v>
      </c>
      <c r="F19">
        <v>7186945</v>
      </c>
      <c r="G19">
        <v>7034225</v>
      </c>
      <c r="H19">
        <v>582650</v>
      </c>
    </row>
    <row r="20" spans="1:8" x14ac:dyDescent="0.2">
      <c r="A20">
        <v>2021</v>
      </c>
      <c r="B20">
        <v>1</v>
      </c>
      <c r="C20" t="s">
        <v>675</v>
      </c>
      <c r="D20">
        <v>2020</v>
      </c>
      <c r="E20" t="s">
        <v>651</v>
      </c>
      <c r="F20">
        <v>2226140</v>
      </c>
      <c r="G20">
        <v>2176920</v>
      </c>
      <c r="H20">
        <v>199130</v>
      </c>
    </row>
    <row r="21" spans="1:8" x14ac:dyDescent="0.2">
      <c r="A21">
        <v>2021</v>
      </c>
      <c r="B21">
        <v>1</v>
      </c>
      <c r="C21" t="s">
        <v>675</v>
      </c>
      <c r="D21">
        <v>2020</v>
      </c>
      <c r="E21" t="s">
        <v>652</v>
      </c>
      <c r="F21">
        <v>4960805</v>
      </c>
      <c r="G21">
        <v>4857305</v>
      </c>
      <c r="H21">
        <v>383525</v>
      </c>
    </row>
    <row r="22" spans="1:8" x14ac:dyDescent="0.2">
      <c r="A22">
        <v>2021</v>
      </c>
      <c r="B22">
        <v>1</v>
      </c>
      <c r="C22" t="s">
        <v>675</v>
      </c>
      <c r="D22">
        <v>2020</v>
      </c>
      <c r="E22" t="s">
        <v>355</v>
      </c>
      <c r="F22">
        <v>2453225</v>
      </c>
      <c r="G22">
        <v>2409900</v>
      </c>
      <c r="H22">
        <v>134685</v>
      </c>
    </row>
    <row r="23" spans="1:8" x14ac:dyDescent="0.2">
      <c r="A23">
        <v>2021</v>
      </c>
      <c r="B23">
        <v>1</v>
      </c>
      <c r="C23" t="s">
        <v>675</v>
      </c>
      <c r="D23">
        <v>2020</v>
      </c>
      <c r="E23" t="s">
        <v>356</v>
      </c>
      <c r="F23">
        <v>11928805</v>
      </c>
      <c r="G23">
        <v>11771240</v>
      </c>
      <c r="H23">
        <v>618055</v>
      </c>
    </row>
    <row r="24" spans="1:8" x14ac:dyDescent="0.2">
      <c r="A24">
        <v>2021</v>
      </c>
      <c r="B24">
        <v>1</v>
      </c>
      <c r="C24" t="s">
        <v>675</v>
      </c>
      <c r="D24">
        <v>2020</v>
      </c>
      <c r="E24" t="s">
        <v>64</v>
      </c>
      <c r="F24">
        <v>4107995</v>
      </c>
      <c r="G24">
        <v>4064410</v>
      </c>
      <c r="H24">
        <v>176850</v>
      </c>
    </row>
    <row r="25" spans="1:8" x14ac:dyDescent="0.2">
      <c r="A25">
        <v>2021</v>
      </c>
      <c r="B25">
        <v>1</v>
      </c>
      <c r="C25" t="s">
        <v>675</v>
      </c>
      <c r="D25">
        <v>2020</v>
      </c>
      <c r="E25" t="s">
        <v>558</v>
      </c>
      <c r="F25">
        <v>4734615</v>
      </c>
      <c r="G25">
        <v>4693460</v>
      </c>
      <c r="H25">
        <v>119805</v>
      </c>
    </row>
    <row r="26" spans="1:8" x14ac:dyDescent="0.2">
      <c r="A26">
        <v>2021</v>
      </c>
      <c r="B26">
        <v>1</v>
      </c>
      <c r="C26" t="s">
        <v>675</v>
      </c>
      <c r="D26">
        <v>2015</v>
      </c>
      <c r="E26" t="s">
        <v>6</v>
      </c>
      <c r="F26">
        <v>29161010</v>
      </c>
      <c r="G26">
        <v>28715675</v>
      </c>
      <c r="H26">
        <v>3286075</v>
      </c>
    </row>
    <row r="27" spans="1:8" x14ac:dyDescent="0.2">
      <c r="A27">
        <v>2021</v>
      </c>
      <c r="B27">
        <v>1</v>
      </c>
      <c r="C27" t="s">
        <v>675</v>
      </c>
      <c r="D27">
        <v>2015</v>
      </c>
      <c r="E27" t="s">
        <v>1718</v>
      </c>
      <c r="F27">
        <v>6983560</v>
      </c>
      <c r="G27">
        <v>6821825</v>
      </c>
      <c r="H27">
        <v>1215630</v>
      </c>
    </row>
    <row r="28" spans="1:8" x14ac:dyDescent="0.2">
      <c r="A28">
        <v>2021</v>
      </c>
      <c r="B28">
        <v>1</v>
      </c>
      <c r="C28" t="s">
        <v>675</v>
      </c>
      <c r="D28">
        <v>2015</v>
      </c>
      <c r="E28" t="s">
        <v>651</v>
      </c>
      <c r="F28">
        <v>2284840</v>
      </c>
      <c r="G28">
        <v>2229275</v>
      </c>
      <c r="H28">
        <v>428385</v>
      </c>
    </row>
    <row r="29" spans="1:8" x14ac:dyDescent="0.2">
      <c r="A29">
        <v>2021</v>
      </c>
      <c r="B29">
        <v>1</v>
      </c>
      <c r="C29" t="s">
        <v>675</v>
      </c>
      <c r="D29">
        <v>2015</v>
      </c>
      <c r="E29" t="s">
        <v>652</v>
      </c>
      <c r="F29">
        <v>4698710</v>
      </c>
      <c r="G29">
        <v>4592555</v>
      </c>
      <c r="H29">
        <v>787245</v>
      </c>
    </row>
    <row r="30" spans="1:8" x14ac:dyDescent="0.2">
      <c r="A30">
        <v>2021</v>
      </c>
      <c r="B30">
        <v>1</v>
      </c>
      <c r="C30" t="s">
        <v>675</v>
      </c>
      <c r="D30">
        <v>2015</v>
      </c>
      <c r="E30" t="s">
        <v>355</v>
      </c>
      <c r="F30">
        <v>2573110</v>
      </c>
      <c r="G30">
        <v>2523735</v>
      </c>
      <c r="H30">
        <v>312495</v>
      </c>
    </row>
    <row r="31" spans="1:8" x14ac:dyDescent="0.2">
      <c r="A31">
        <v>2021</v>
      </c>
      <c r="B31">
        <v>1</v>
      </c>
      <c r="C31" t="s">
        <v>675</v>
      </c>
      <c r="D31">
        <v>2015</v>
      </c>
      <c r="E31" t="s">
        <v>356</v>
      </c>
      <c r="F31">
        <v>11754550</v>
      </c>
      <c r="G31">
        <v>11592010</v>
      </c>
      <c r="H31">
        <v>1287765</v>
      </c>
    </row>
    <row r="32" spans="1:8" x14ac:dyDescent="0.2">
      <c r="A32">
        <v>2021</v>
      </c>
      <c r="B32">
        <v>1</v>
      </c>
      <c r="C32" t="s">
        <v>675</v>
      </c>
      <c r="D32">
        <v>2015</v>
      </c>
      <c r="E32" t="s">
        <v>64</v>
      </c>
      <c r="F32">
        <v>3894160</v>
      </c>
      <c r="G32">
        <v>3854910</v>
      </c>
      <c r="H32">
        <v>299715</v>
      </c>
    </row>
    <row r="33" spans="1:8" x14ac:dyDescent="0.2">
      <c r="A33">
        <v>2021</v>
      </c>
      <c r="B33">
        <v>1</v>
      </c>
      <c r="C33" t="s">
        <v>675</v>
      </c>
      <c r="D33">
        <v>2015</v>
      </c>
      <c r="E33" t="s">
        <v>558</v>
      </c>
      <c r="F33">
        <v>3955630</v>
      </c>
      <c r="G33">
        <v>3923200</v>
      </c>
      <c r="H33">
        <v>170480</v>
      </c>
    </row>
    <row r="34" spans="1:8" x14ac:dyDescent="0.2">
      <c r="A34">
        <v>2021</v>
      </c>
      <c r="B34">
        <v>1</v>
      </c>
      <c r="C34" t="s">
        <v>676</v>
      </c>
      <c r="D34">
        <v>2020</v>
      </c>
      <c r="E34" t="s">
        <v>6</v>
      </c>
      <c r="F34">
        <v>25896530</v>
      </c>
      <c r="G34">
        <v>25589835</v>
      </c>
      <c r="H34">
        <v>1011510</v>
      </c>
    </row>
    <row r="35" spans="1:8" x14ac:dyDescent="0.2">
      <c r="A35">
        <v>2021</v>
      </c>
      <c r="B35">
        <v>1</v>
      </c>
      <c r="C35" t="s">
        <v>676</v>
      </c>
      <c r="D35">
        <v>2020</v>
      </c>
      <c r="E35" t="s">
        <v>1718</v>
      </c>
      <c r="F35">
        <v>5817135</v>
      </c>
      <c r="G35">
        <v>5717335</v>
      </c>
      <c r="H35">
        <v>297410</v>
      </c>
    </row>
    <row r="36" spans="1:8" x14ac:dyDescent="0.2">
      <c r="A36">
        <v>2021</v>
      </c>
      <c r="B36">
        <v>1</v>
      </c>
      <c r="C36" t="s">
        <v>676</v>
      </c>
      <c r="D36">
        <v>2020</v>
      </c>
      <c r="E36" t="s">
        <v>651</v>
      </c>
      <c r="F36">
        <v>1939880</v>
      </c>
      <c r="G36">
        <v>1905915</v>
      </c>
      <c r="H36">
        <v>117305</v>
      </c>
    </row>
    <row r="37" spans="1:8" x14ac:dyDescent="0.2">
      <c r="A37">
        <v>2021</v>
      </c>
      <c r="B37">
        <v>1</v>
      </c>
      <c r="C37" t="s">
        <v>676</v>
      </c>
      <c r="D37">
        <v>2020</v>
      </c>
      <c r="E37" t="s">
        <v>652</v>
      </c>
      <c r="F37">
        <v>3877255</v>
      </c>
      <c r="G37">
        <v>3811415</v>
      </c>
      <c r="H37">
        <v>180105</v>
      </c>
    </row>
    <row r="38" spans="1:8" x14ac:dyDescent="0.2">
      <c r="A38">
        <v>2021</v>
      </c>
      <c r="B38">
        <v>1</v>
      </c>
      <c r="C38" t="s">
        <v>676</v>
      </c>
      <c r="D38">
        <v>2020</v>
      </c>
      <c r="E38" t="s">
        <v>355</v>
      </c>
      <c r="F38">
        <v>1849455</v>
      </c>
      <c r="G38">
        <v>1821760</v>
      </c>
      <c r="H38">
        <v>64785</v>
      </c>
    </row>
    <row r="39" spans="1:8" x14ac:dyDescent="0.2">
      <c r="A39">
        <v>2021</v>
      </c>
      <c r="B39">
        <v>1</v>
      </c>
      <c r="C39" t="s">
        <v>676</v>
      </c>
      <c r="D39">
        <v>2020</v>
      </c>
      <c r="E39" t="s">
        <v>356</v>
      </c>
      <c r="F39">
        <v>10257510</v>
      </c>
      <c r="G39">
        <v>10143875</v>
      </c>
      <c r="H39">
        <v>412000</v>
      </c>
    </row>
    <row r="40" spans="1:8" x14ac:dyDescent="0.2">
      <c r="A40">
        <v>2021</v>
      </c>
      <c r="B40">
        <v>1</v>
      </c>
      <c r="C40" t="s">
        <v>676</v>
      </c>
      <c r="D40">
        <v>2020</v>
      </c>
      <c r="E40" t="s">
        <v>64</v>
      </c>
      <c r="F40">
        <v>3663875</v>
      </c>
      <c r="G40">
        <v>3630570</v>
      </c>
      <c r="H40">
        <v>138435</v>
      </c>
    </row>
    <row r="41" spans="1:8" x14ac:dyDescent="0.2">
      <c r="A41">
        <v>2021</v>
      </c>
      <c r="B41">
        <v>1</v>
      </c>
      <c r="C41" t="s">
        <v>676</v>
      </c>
      <c r="D41">
        <v>2020</v>
      </c>
      <c r="E41" t="s">
        <v>558</v>
      </c>
      <c r="F41">
        <v>4308555</v>
      </c>
      <c r="G41">
        <v>4276305</v>
      </c>
      <c r="H41">
        <v>98875</v>
      </c>
    </row>
    <row r="42" spans="1:8" x14ac:dyDescent="0.2">
      <c r="A42">
        <v>2021</v>
      </c>
      <c r="B42">
        <v>1</v>
      </c>
      <c r="C42" t="s">
        <v>676</v>
      </c>
      <c r="D42">
        <v>2015</v>
      </c>
      <c r="E42" t="s">
        <v>6</v>
      </c>
      <c r="F42">
        <v>24919265</v>
      </c>
      <c r="G42">
        <v>24592755</v>
      </c>
      <c r="H42">
        <v>2089535</v>
      </c>
    </row>
    <row r="43" spans="1:8" x14ac:dyDescent="0.2">
      <c r="A43">
        <v>2021</v>
      </c>
      <c r="B43">
        <v>1</v>
      </c>
      <c r="C43" t="s">
        <v>676</v>
      </c>
      <c r="D43">
        <v>2015</v>
      </c>
      <c r="E43" t="s">
        <v>1718</v>
      </c>
      <c r="F43">
        <v>5650240</v>
      </c>
      <c r="G43">
        <v>5537285</v>
      </c>
      <c r="H43">
        <v>660485</v>
      </c>
    </row>
    <row r="44" spans="1:8" x14ac:dyDescent="0.2">
      <c r="A44">
        <v>2021</v>
      </c>
      <c r="B44">
        <v>1</v>
      </c>
      <c r="C44" t="s">
        <v>676</v>
      </c>
      <c r="D44">
        <v>2015</v>
      </c>
      <c r="E44" t="s">
        <v>651</v>
      </c>
      <c r="F44">
        <v>1979565</v>
      </c>
      <c r="G44">
        <v>1938870</v>
      </c>
      <c r="H44">
        <v>263105</v>
      </c>
    </row>
    <row r="45" spans="1:8" x14ac:dyDescent="0.2">
      <c r="A45">
        <v>2021</v>
      </c>
      <c r="B45">
        <v>1</v>
      </c>
      <c r="C45" t="s">
        <v>676</v>
      </c>
      <c r="D45">
        <v>2015</v>
      </c>
      <c r="E45" t="s">
        <v>652</v>
      </c>
      <c r="F45">
        <v>3670675</v>
      </c>
      <c r="G45">
        <v>3598410</v>
      </c>
      <c r="H45">
        <v>397380</v>
      </c>
    </row>
    <row r="46" spans="1:8" x14ac:dyDescent="0.2">
      <c r="A46">
        <v>2021</v>
      </c>
      <c r="B46">
        <v>1</v>
      </c>
      <c r="C46" t="s">
        <v>676</v>
      </c>
      <c r="D46">
        <v>2015</v>
      </c>
      <c r="E46" t="s">
        <v>355</v>
      </c>
      <c r="F46">
        <v>1957045</v>
      </c>
      <c r="G46">
        <v>1923465</v>
      </c>
      <c r="H46">
        <v>168100</v>
      </c>
    </row>
    <row r="47" spans="1:8" x14ac:dyDescent="0.2">
      <c r="A47">
        <v>2021</v>
      </c>
      <c r="B47">
        <v>1</v>
      </c>
      <c r="C47" t="s">
        <v>676</v>
      </c>
      <c r="D47">
        <v>2015</v>
      </c>
      <c r="E47" t="s">
        <v>356</v>
      </c>
      <c r="F47">
        <v>10177150</v>
      </c>
      <c r="G47">
        <v>10053980</v>
      </c>
      <c r="H47">
        <v>884245</v>
      </c>
    </row>
    <row r="48" spans="1:8" x14ac:dyDescent="0.2">
      <c r="A48">
        <v>2021</v>
      </c>
      <c r="B48">
        <v>1</v>
      </c>
      <c r="C48" t="s">
        <v>676</v>
      </c>
      <c r="D48">
        <v>2015</v>
      </c>
      <c r="E48" t="s">
        <v>64</v>
      </c>
      <c r="F48">
        <v>3524245</v>
      </c>
      <c r="G48">
        <v>3492915</v>
      </c>
      <c r="H48">
        <v>239020</v>
      </c>
    </row>
    <row r="49" spans="1:8" x14ac:dyDescent="0.2">
      <c r="A49">
        <v>2021</v>
      </c>
      <c r="B49">
        <v>1</v>
      </c>
      <c r="C49" t="s">
        <v>676</v>
      </c>
      <c r="D49">
        <v>2015</v>
      </c>
      <c r="E49" t="s">
        <v>558</v>
      </c>
      <c r="F49">
        <v>3610590</v>
      </c>
      <c r="G49">
        <v>3585115</v>
      </c>
      <c r="H49">
        <v>137690</v>
      </c>
    </row>
    <row r="50" spans="1:8" x14ac:dyDescent="0.2">
      <c r="A50">
        <v>2021</v>
      </c>
      <c r="B50">
        <v>1</v>
      </c>
      <c r="C50" t="s">
        <v>677</v>
      </c>
      <c r="D50">
        <v>2020</v>
      </c>
      <c r="E50" t="s">
        <v>6</v>
      </c>
      <c r="F50">
        <v>7852080</v>
      </c>
      <c r="G50">
        <v>7796175</v>
      </c>
      <c r="H50">
        <v>301470</v>
      </c>
    </row>
    <row r="51" spans="1:8" x14ac:dyDescent="0.2">
      <c r="A51">
        <v>2021</v>
      </c>
      <c r="B51">
        <v>1</v>
      </c>
      <c r="C51" t="s">
        <v>677</v>
      </c>
      <c r="D51">
        <v>2020</v>
      </c>
      <c r="E51" t="s">
        <v>1718</v>
      </c>
      <c r="F51">
        <v>620</v>
      </c>
      <c r="G51">
        <v>600</v>
      </c>
      <c r="H51">
        <v>300</v>
      </c>
    </row>
    <row r="52" spans="1:8" x14ac:dyDescent="0.2">
      <c r="A52">
        <v>2021</v>
      </c>
      <c r="B52">
        <v>1</v>
      </c>
      <c r="C52" t="s">
        <v>677</v>
      </c>
      <c r="D52">
        <v>2020</v>
      </c>
      <c r="E52" t="s">
        <v>652</v>
      </c>
      <c r="F52">
        <v>620</v>
      </c>
      <c r="G52">
        <v>600</v>
      </c>
      <c r="H52">
        <v>300</v>
      </c>
    </row>
    <row r="53" spans="1:8" x14ac:dyDescent="0.2">
      <c r="A53">
        <v>2021</v>
      </c>
      <c r="B53">
        <v>1</v>
      </c>
      <c r="C53" t="s">
        <v>677</v>
      </c>
      <c r="D53">
        <v>2020</v>
      </c>
      <c r="E53" t="s">
        <v>355</v>
      </c>
      <c r="F53">
        <v>193670</v>
      </c>
      <c r="G53">
        <v>192280</v>
      </c>
      <c r="H53">
        <v>24030</v>
      </c>
    </row>
    <row r="54" spans="1:8" x14ac:dyDescent="0.2">
      <c r="A54">
        <v>2021</v>
      </c>
      <c r="B54">
        <v>1</v>
      </c>
      <c r="C54" t="s">
        <v>677</v>
      </c>
      <c r="D54">
        <v>2020</v>
      </c>
      <c r="E54" t="s">
        <v>356</v>
      </c>
      <c r="F54">
        <v>2369520</v>
      </c>
      <c r="G54">
        <v>2351155</v>
      </c>
      <c r="H54">
        <v>101090</v>
      </c>
    </row>
    <row r="55" spans="1:8" x14ac:dyDescent="0.2">
      <c r="A55">
        <v>2021</v>
      </c>
      <c r="B55">
        <v>1</v>
      </c>
      <c r="C55" t="s">
        <v>677</v>
      </c>
      <c r="D55">
        <v>2020</v>
      </c>
      <c r="E55" t="s">
        <v>64</v>
      </c>
      <c r="F55">
        <v>2004700</v>
      </c>
      <c r="G55">
        <v>1989675</v>
      </c>
      <c r="H55">
        <v>97045</v>
      </c>
    </row>
    <row r="56" spans="1:8" x14ac:dyDescent="0.2">
      <c r="A56">
        <v>2021</v>
      </c>
      <c r="B56">
        <v>1</v>
      </c>
      <c r="C56" t="s">
        <v>677</v>
      </c>
      <c r="D56">
        <v>2020</v>
      </c>
      <c r="E56" t="s">
        <v>558</v>
      </c>
      <c r="F56">
        <v>3283570</v>
      </c>
      <c r="G56">
        <v>3262465</v>
      </c>
      <c r="H56">
        <v>79005</v>
      </c>
    </row>
    <row r="57" spans="1:8" x14ac:dyDescent="0.2">
      <c r="A57">
        <v>2021</v>
      </c>
      <c r="B57">
        <v>1</v>
      </c>
      <c r="C57" t="s">
        <v>677</v>
      </c>
      <c r="D57">
        <v>2015</v>
      </c>
      <c r="E57" t="s">
        <v>6</v>
      </c>
      <c r="F57">
        <v>7412805</v>
      </c>
      <c r="G57">
        <v>7361635</v>
      </c>
      <c r="H57">
        <v>484695</v>
      </c>
    </row>
    <row r="58" spans="1:8" x14ac:dyDescent="0.2">
      <c r="A58">
        <v>2021</v>
      </c>
      <c r="B58">
        <v>1</v>
      </c>
      <c r="C58" t="s">
        <v>677</v>
      </c>
      <c r="D58">
        <v>2015</v>
      </c>
      <c r="E58" t="s">
        <v>1718</v>
      </c>
      <c r="F58">
        <v>975</v>
      </c>
      <c r="G58">
        <v>955</v>
      </c>
      <c r="H58">
        <v>635</v>
      </c>
    </row>
    <row r="59" spans="1:8" x14ac:dyDescent="0.2">
      <c r="A59">
        <v>2021</v>
      </c>
      <c r="B59">
        <v>1</v>
      </c>
      <c r="C59" t="s">
        <v>677</v>
      </c>
      <c r="D59">
        <v>2015</v>
      </c>
      <c r="E59" t="s">
        <v>652</v>
      </c>
      <c r="F59">
        <v>975</v>
      </c>
      <c r="G59">
        <v>955</v>
      </c>
      <c r="H59">
        <v>635</v>
      </c>
    </row>
    <row r="60" spans="1:8" x14ac:dyDescent="0.2">
      <c r="A60">
        <v>2021</v>
      </c>
      <c r="B60">
        <v>1</v>
      </c>
      <c r="C60" t="s">
        <v>677</v>
      </c>
      <c r="D60">
        <v>2015</v>
      </c>
      <c r="E60" t="s">
        <v>355</v>
      </c>
      <c r="F60">
        <v>208540</v>
      </c>
      <c r="G60">
        <v>207030</v>
      </c>
      <c r="H60">
        <v>44525</v>
      </c>
    </row>
    <row r="61" spans="1:8" x14ac:dyDescent="0.2">
      <c r="A61">
        <v>2021</v>
      </c>
      <c r="B61">
        <v>1</v>
      </c>
      <c r="C61" t="s">
        <v>677</v>
      </c>
      <c r="D61">
        <v>2015</v>
      </c>
      <c r="E61" t="s">
        <v>356</v>
      </c>
      <c r="F61">
        <v>2373640</v>
      </c>
      <c r="G61">
        <v>2354335</v>
      </c>
      <c r="H61">
        <v>189500</v>
      </c>
    </row>
    <row r="62" spans="1:8" x14ac:dyDescent="0.2">
      <c r="A62">
        <v>2021</v>
      </c>
      <c r="B62">
        <v>1</v>
      </c>
      <c r="C62" t="s">
        <v>677</v>
      </c>
      <c r="D62">
        <v>2015</v>
      </c>
      <c r="E62" t="s">
        <v>64</v>
      </c>
      <c r="F62">
        <v>2052100</v>
      </c>
      <c r="G62">
        <v>2037795</v>
      </c>
      <c r="H62">
        <v>149585</v>
      </c>
    </row>
    <row r="63" spans="1:8" x14ac:dyDescent="0.2">
      <c r="A63">
        <v>2021</v>
      </c>
      <c r="B63">
        <v>1</v>
      </c>
      <c r="C63" t="s">
        <v>677</v>
      </c>
      <c r="D63">
        <v>2015</v>
      </c>
      <c r="E63" t="s">
        <v>558</v>
      </c>
      <c r="F63">
        <v>2777555</v>
      </c>
      <c r="G63">
        <v>2761515</v>
      </c>
      <c r="H63">
        <v>100450</v>
      </c>
    </row>
    <row r="64" spans="1:8" x14ac:dyDescent="0.2">
      <c r="A64">
        <v>2021</v>
      </c>
      <c r="B64">
        <v>1</v>
      </c>
      <c r="C64" t="s">
        <v>678</v>
      </c>
      <c r="D64">
        <v>2020</v>
      </c>
      <c r="E64" t="s">
        <v>6</v>
      </c>
      <c r="F64">
        <v>17490160</v>
      </c>
      <c r="G64">
        <v>17251205</v>
      </c>
      <c r="H64">
        <v>694990</v>
      </c>
    </row>
    <row r="65" spans="1:8" x14ac:dyDescent="0.2">
      <c r="A65">
        <v>2021</v>
      </c>
      <c r="B65">
        <v>1</v>
      </c>
      <c r="C65" t="s">
        <v>678</v>
      </c>
      <c r="D65">
        <v>2020</v>
      </c>
      <c r="E65" t="s">
        <v>1718</v>
      </c>
      <c r="F65">
        <v>5793050</v>
      </c>
      <c r="G65">
        <v>5695610</v>
      </c>
      <c r="H65">
        <v>294270</v>
      </c>
    </row>
    <row r="66" spans="1:8" x14ac:dyDescent="0.2">
      <c r="A66">
        <v>2021</v>
      </c>
      <c r="B66">
        <v>1</v>
      </c>
      <c r="C66" t="s">
        <v>678</v>
      </c>
      <c r="D66">
        <v>2020</v>
      </c>
      <c r="E66" t="s">
        <v>651</v>
      </c>
      <c r="F66">
        <v>1932175</v>
      </c>
      <c r="G66">
        <v>1898940</v>
      </c>
      <c r="H66">
        <v>116635</v>
      </c>
    </row>
    <row r="67" spans="1:8" x14ac:dyDescent="0.2">
      <c r="A67">
        <v>2021</v>
      </c>
      <c r="B67">
        <v>1</v>
      </c>
      <c r="C67" t="s">
        <v>678</v>
      </c>
      <c r="D67">
        <v>2020</v>
      </c>
      <c r="E67" t="s">
        <v>652</v>
      </c>
      <c r="F67">
        <v>3860875</v>
      </c>
      <c r="G67">
        <v>3796670</v>
      </c>
      <c r="H67">
        <v>177635</v>
      </c>
    </row>
    <row r="68" spans="1:8" x14ac:dyDescent="0.2">
      <c r="A68">
        <v>2021</v>
      </c>
      <c r="B68">
        <v>1</v>
      </c>
      <c r="C68" t="s">
        <v>678</v>
      </c>
      <c r="D68">
        <v>2020</v>
      </c>
      <c r="E68" t="s">
        <v>355</v>
      </c>
      <c r="F68">
        <v>1617010</v>
      </c>
      <c r="G68">
        <v>1592515</v>
      </c>
      <c r="H68">
        <v>39120</v>
      </c>
    </row>
    <row r="69" spans="1:8" x14ac:dyDescent="0.2">
      <c r="A69">
        <v>2021</v>
      </c>
      <c r="B69">
        <v>1</v>
      </c>
      <c r="C69" t="s">
        <v>678</v>
      </c>
      <c r="D69">
        <v>2020</v>
      </c>
      <c r="E69" t="s">
        <v>356</v>
      </c>
      <c r="F69">
        <v>7657770</v>
      </c>
      <c r="G69">
        <v>7567300</v>
      </c>
      <c r="H69">
        <v>305560</v>
      </c>
    </row>
    <row r="70" spans="1:8" x14ac:dyDescent="0.2">
      <c r="A70">
        <v>2021</v>
      </c>
      <c r="B70">
        <v>1</v>
      </c>
      <c r="C70" t="s">
        <v>678</v>
      </c>
      <c r="D70">
        <v>2020</v>
      </c>
      <c r="E70" t="s">
        <v>64</v>
      </c>
      <c r="F70">
        <v>1538470</v>
      </c>
      <c r="G70">
        <v>1521760</v>
      </c>
      <c r="H70">
        <v>38380</v>
      </c>
    </row>
    <row r="71" spans="1:8" x14ac:dyDescent="0.2">
      <c r="A71">
        <v>2021</v>
      </c>
      <c r="B71">
        <v>1</v>
      </c>
      <c r="C71" t="s">
        <v>678</v>
      </c>
      <c r="D71">
        <v>2020</v>
      </c>
      <c r="E71" t="s">
        <v>558</v>
      </c>
      <c r="F71">
        <v>883860</v>
      </c>
      <c r="G71">
        <v>874015</v>
      </c>
      <c r="H71">
        <v>17660</v>
      </c>
    </row>
    <row r="72" spans="1:8" x14ac:dyDescent="0.2">
      <c r="A72">
        <v>2021</v>
      </c>
      <c r="B72">
        <v>1</v>
      </c>
      <c r="C72" t="s">
        <v>678</v>
      </c>
      <c r="D72">
        <v>2015</v>
      </c>
      <c r="E72" t="s">
        <v>6</v>
      </c>
      <c r="F72">
        <v>17023350</v>
      </c>
      <c r="G72">
        <v>16759880</v>
      </c>
      <c r="H72">
        <v>1574765</v>
      </c>
    </row>
    <row r="73" spans="1:8" x14ac:dyDescent="0.2">
      <c r="A73">
        <v>2021</v>
      </c>
      <c r="B73">
        <v>1</v>
      </c>
      <c r="C73" t="s">
        <v>678</v>
      </c>
      <c r="D73">
        <v>2015</v>
      </c>
      <c r="E73" t="s">
        <v>1718</v>
      </c>
      <c r="F73">
        <v>5626050</v>
      </c>
      <c r="G73">
        <v>5515515</v>
      </c>
      <c r="H73">
        <v>655095</v>
      </c>
    </row>
    <row r="74" spans="1:8" x14ac:dyDescent="0.2">
      <c r="A74">
        <v>2021</v>
      </c>
      <c r="B74">
        <v>1</v>
      </c>
      <c r="C74" t="s">
        <v>678</v>
      </c>
      <c r="D74">
        <v>2015</v>
      </c>
      <c r="E74" t="s">
        <v>651</v>
      </c>
      <c r="F74">
        <v>1972080</v>
      </c>
      <c r="G74">
        <v>1932175</v>
      </c>
      <c r="H74">
        <v>262050</v>
      </c>
    </row>
    <row r="75" spans="1:8" x14ac:dyDescent="0.2">
      <c r="A75">
        <v>2021</v>
      </c>
      <c r="B75">
        <v>1</v>
      </c>
      <c r="C75" t="s">
        <v>678</v>
      </c>
      <c r="D75">
        <v>2015</v>
      </c>
      <c r="E75" t="s">
        <v>652</v>
      </c>
      <c r="F75">
        <v>3653975</v>
      </c>
      <c r="G75">
        <v>3583340</v>
      </c>
      <c r="H75">
        <v>393045</v>
      </c>
    </row>
    <row r="76" spans="1:8" x14ac:dyDescent="0.2">
      <c r="A76">
        <v>2021</v>
      </c>
      <c r="B76">
        <v>1</v>
      </c>
      <c r="C76" t="s">
        <v>678</v>
      </c>
      <c r="D76">
        <v>2015</v>
      </c>
      <c r="E76" t="s">
        <v>355</v>
      </c>
      <c r="F76">
        <v>1713400</v>
      </c>
      <c r="G76">
        <v>1683370</v>
      </c>
      <c r="H76">
        <v>120150</v>
      </c>
    </row>
    <row r="77" spans="1:8" x14ac:dyDescent="0.2">
      <c r="A77">
        <v>2021</v>
      </c>
      <c r="B77">
        <v>1</v>
      </c>
      <c r="C77" t="s">
        <v>678</v>
      </c>
      <c r="D77">
        <v>2015</v>
      </c>
      <c r="E77" t="s">
        <v>356</v>
      </c>
      <c r="F77">
        <v>7600205</v>
      </c>
      <c r="G77">
        <v>7501225</v>
      </c>
      <c r="H77">
        <v>682465</v>
      </c>
    </row>
    <row r="78" spans="1:8" x14ac:dyDescent="0.2">
      <c r="A78">
        <v>2021</v>
      </c>
      <c r="B78">
        <v>1</v>
      </c>
      <c r="C78" t="s">
        <v>678</v>
      </c>
      <c r="D78">
        <v>2015</v>
      </c>
      <c r="E78" t="s">
        <v>64</v>
      </c>
      <c r="F78">
        <v>1366895</v>
      </c>
      <c r="G78">
        <v>1351275</v>
      </c>
      <c r="H78">
        <v>83670</v>
      </c>
    </row>
    <row r="79" spans="1:8" x14ac:dyDescent="0.2">
      <c r="A79">
        <v>2021</v>
      </c>
      <c r="B79">
        <v>1</v>
      </c>
      <c r="C79" t="s">
        <v>678</v>
      </c>
      <c r="D79">
        <v>2015</v>
      </c>
      <c r="E79" t="s">
        <v>558</v>
      </c>
      <c r="F79">
        <v>716805</v>
      </c>
      <c r="G79">
        <v>708490</v>
      </c>
      <c r="H79">
        <v>33385</v>
      </c>
    </row>
    <row r="80" spans="1:8" x14ac:dyDescent="0.2">
      <c r="A80">
        <v>2021</v>
      </c>
      <c r="B80">
        <v>1</v>
      </c>
      <c r="C80" t="s">
        <v>92</v>
      </c>
      <c r="D80">
        <v>2020</v>
      </c>
      <c r="E80" t="s">
        <v>6</v>
      </c>
      <c r="F80">
        <v>4141875</v>
      </c>
      <c r="G80">
        <v>4018930</v>
      </c>
      <c r="H80">
        <v>568210</v>
      </c>
    </row>
    <row r="81" spans="1:8" x14ac:dyDescent="0.2">
      <c r="A81">
        <v>2021</v>
      </c>
      <c r="B81">
        <v>1</v>
      </c>
      <c r="C81" t="s">
        <v>92</v>
      </c>
      <c r="D81">
        <v>2020</v>
      </c>
      <c r="E81" t="s">
        <v>1718</v>
      </c>
      <c r="F81">
        <v>1354450</v>
      </c>
      <c r="G81">
        <v>1302740</v>
      </c>
      <c r="H81">
        <v>276985</v>
      </c>
    </row>
    <row r="82" spans="1:8" x14ac:dyDescent="0.2">
      <c r="A82">
        <v>2021</v>
      </c>
      <c r="B82">
        <v>1</v>
      </c>
      <c r="C82" t="s">
        <v>92</v>
      </c>
      <c r="D82">
        <v>2020</v>
      </c>
      <c r="E82" t="s">
        <v>651</v>
      </c>
      <c r="F82">
        <v>283345</v>
      </c>
      <c r="G82">
        <v>268325</v>
      </c>
      <c r="H82">
        <v>80325</v>
      </c>
    </row>
    <row r="83" spans="1:8" x14ac:dyDescent="0.2">
      <c r="A83">
        <v>2021</v>
      </c>
      <c r="B83">
        <v>1</v>
      </c>
      <c r="C83" t="s">
        <v>92</v>
      </c>
      <c r="D83">
        <v>2020</v>
      </c>
      <c r="E83" t="s">
        <v>652</v>
      </c>
      <c r="F83">
        <v>1071105</v>
      </c>
      <c r="G83">
        <v>1034415</v>
      </c>
      <c r="H83">
        <v>196655</v>
      </c>
    </row>
    <row r="84" spans="1:8" x14ac:dyDescent="0.2">
      <c r="A84">
        <v>2021</v>
      </c>
      <c r="B84">
        <v>1</v>
      </c>
      <c r="C84" t="s">
        <v>92</v>
      </c>
      <c r="D84">
        <v>2020</v>
      </c>
      <c r="E84" t="s">
        <v>355</v>
      </c>
      <c r="F84">
        <v>533875</v>
      </c>
      <c r="G84">
        <v>519315</v>
      </c>
      <c r="H84">
        <v>50120</v>
      </c>
    </row>
    <row r="85" spans="1:8" x14ac:dyDescent="0.2">
      <c r="A85">
        <v>2021</v>
      </c>
      <c r="B85">
        <v>1</v>
      </c>
      <c r="C85" t="s">
        <v>92</v>
      </c>
      <c r="D85">
        <v>2020</v>
      </c>
      <c r="E85" t="s">
        <v>356</v>
      </c>
      <c r="F85">
        <v>1508905</v>
      </c>
      <c r="G85">
        <v>1468970</v>
      </c>
      <c r="H85">
        <v>190240</v>
      </c>
    </row>
    <row r="86" spans="1:8" x14ac:dyDescent="0.2">
      <c r="A86">
        <v>2021</v>
      </c>
      <c r="B86">
        <v>1</v>
      </c>
      <c r="C86" t="s">
        <v>92</v>
      </c>
      <c r="D86">
        <v>2020</v>
      </c>
      <c r="E86" t="s">
        <v>64</v>
      </c>
      <c r="F86">
        <v>386025</v>
      </c>
      <c r="G86">
        <v>377220</v>
      </c>
      <c r="H86">
        <v>32435</v>
      </c>
    </row>
    <row r="87" spans="1:8" x14ac:dyDescent="0.2">
      <c r="A87">
        <v>2021</v>
      </c>
      <c r="B87">
        <v>1</v>
      </c>
      <c r="C87" t="s">
        <v>92</v>
      </c>
      <c r="D87">
        <v>2020</v>
      </c>
      <c r="E87" t="s">
        <v>558</v>
      </c>
      <c r="F87">
        <v>358625</v>
      </c>
      <c r="G87">
        <v>350680</v>
      </c>
      <c r="H87">
        <v>18440</v>
      </c>
    </row>
    <row r="88" spans="1:8" x14ac:dyDescent="0.2">
      <c r="A88">
        <v>2021</v>
      </c>
      <c r="B88">
        <v>1</v>
      </c>
      <c r="C88" t="s">
        <v>92</v>
      </c>
      <c r="D88">
        <v>2015</v>
      </c>
      <c r="E88" t="s">
        <v>6</v>
      </c>
      <c r="F88">
        <v>3936700</v>
      </c>
      <c r="G88">
        <v>3825555</v>
      </c>
      <c r="H88">
        <v>1128135</v>
      </c>
    </row>
    <row r="89" spans="1:8" x14ac:dyDescent="0.2">
      <c r="A89">
        <v>2021</v>
      </c>
      <c r="B89">
        <v>1</v>
      </c>
      <c r="C89" t="s">
        <v>92</v>
      </c>
      <c r="D89">
        <v>2015</v>
      </c>
      <c r="E89" t="s">
        <v>1718</v>
      </c>
      <c r="F89">
        <v>1320350</v>
      </c>
      <c r="G89">
        <v>1272655</v>
      </c>
      <c r="H89">
        <v>547320</v>
      </c>
    </row>
    <row r="90" spans="1:8" x14ac:dyDescent="0.2">
      <c r="A90">
        <v>2021</v>
      </c>
      <c r="B90">
        <v>1</v>
      </c>
      <c r="C90" t="s">
        <v>92</v>
      </c>
      <c r="D90">
        <v>2015</v>
      </c>
      <c r="E90" t="s">
        <v>651</v>
      </c>
      <c r="F90">
        <v>302995</v>
      </c>
      <c r="G90">
        <v>288375</v>
      </c>
      <c r="H90">
        <v>164090</v>
      </c>
    </row>
    <row r="91" spans="1:8" x14ac:dyDescent="0.2">
      <c r="A91">
        <v>2021</v>
      </c>
      <c r="B91">
        <v>1</v>
      </c>
      <c r="C91" t="s">
        <v>92</v>
      </c>
      <c r="D91">
        <v>2015</v>
      </c>
      <c r="E91" t="s">
        <v>652</v>
      </c>
      <c r="F91">
        <v>1017355</v>
      </c>
      <c r="G91">
        <v>984280</v>
      </c>
      <c r="H91">
        <v>383230</v>
      </c>
    </row>
    <row r="92" spans="1:8" x14ac:dyDescent="0.2">
      <c r="A92">
        <v>2021</v>
      </c>
      <c r="B92">
        <v>1</v>
      </c>
      <c r="C92" t="s">
        <v>92</v>
      </c>
      <c r="D92">
        <v>2015</v>
      </c>
      <c r="E92" t="s">
        <v>355</v>
      </c>
      <c r="F92">
        <v>558550</v>
      </c>
      <c r="G92">
        <v>543905</v>
      </c>
      <c r="H92">
        <v>119650</v>
      </c>
    </row>
    <row r="93" spans="1:8" x14ac:dyDescent="0.2">
      <c r="A93">
        <v>2021</v>
      </c>
      <c r="B93">
        <v>1</v>
      </c>
      <c r="C93" t="s">
        <v>92</v>
      </c>
      <c r="D93">
        <v>2015</v>
      </c>
      <c r="E93" t="s">
        <v>356</v>
      </c>
      <c r="F93">
        <v>1440275</v>
      </c>
      <c r="G93">
        <v>1404545</v>
      </c>
      <c r="H93">
        <v>379470</v>
      </c>
    </row>
    <row r="94" spans="1:8" x14ac:dyDescent="0.2">
      <c r="A94">
        <v>2021</v>
      </c>
      <c r="B94">
        <v>1</v>
      </c>
      <c r="C94" t="s">
        <v>92</v>
      </c>
      <c r="D94">
        <v>2015</v>
      </c>
      <c r="E94" t="s">
        <v>64</v>
      </c>
      <c r="F94">
        <v>320550</v>
      </c>
      <c r="G94">
        <v>313795</v>
      </c>
      <c r="H94">
        <v>51720</v>
      </c>
    </row>
    <row r="95" spans="1:8" x14ac:dyDescent="0.2">
      <c r="A95">
        <v>2021</v>
      </c>
      <c r="B95">
        <v>1</v>
      </c>
      <c r="C95" t="s">
        <v>92</v>
      </c>
      <c r="D95">
        <v>2015</v>
      </c>
      <c r="E95" t="s">
        <v>558</v>
      </c>
      <c r="F95">
        <v>296970</v>
      </c>
      <c r="G95">
        <v>290660</v>
      </c>
      <c r="H95">
        <v>29970</v>
      </c>
    </row>
    <row r="96" spans="1:8" x14ac:dyDescent="0.2">
      <c r="A96">
        <v>2021</v>
      </c>
      <c r="B96">
        <v>1</v>
      </c>
      <c r="C96" t="s">
        <v>679</v>
      </c>
      <c r="D96">
        <v>2020</v>
      </c>
      <c r="E96" t="s">
        <v>6</v>
      </c>
      <c r="F96">
        <v>901665</v>
      </c>
      <c r="G96">
        <v>868080</v>
      </c>
      <c r="H96">
        <v>116060</v>
      </c>
    </row>
    <row r="97" spans="1:8" x14ac:dyDescent="0.2">
      <c r="A97">
        <v>2021</v>
      </c>
      <c r="B97">
        <v>1</v>
      </c>
      <c r="C97" t="s">
        <v>679</v>
      </c>
      <c r="D97">
        <v>2020</v>
      </c>
      <c r="E97" t="s">
        <v>1718</v>
      </c>
      <c r="F97">
        <v>277015</v>
      </c>
      <c r="G97">
        <v>264515</v>
      </c>
      <c r="H97">
        <v>55125</v>
      </c>
    </row>
    <row r="98" spans="1:8" x14ac:dyDescent="0.2">
      <c r="A98">
        <v>2021</v>
      </c>
      <c r="B98">
        <v>1</v>
      </c>
      <c r="C98" t="s">
        <v>679</v>
      </c>
      <c r="D98">
        <v>2020</v>
      </c>
      <c r="E98" t="s">
        <v>651</v>
      </c>
      <c r="F98">
        <v>47245</v>
      </c>
      <c r="G98">
        <v>43885</v>
      </c>
      <c r="H98">
        <v>12275</v>
      </c>
    </row>
    <row r="99" spans="1:8" x14ac:dyDescent="0.2">
      <c r="A99">
        <v>2021</v>
      </c>
      <c r="B99">
        <v>1</v>
      </c>
      <c r="C99" t="s">
        <v>679</v>
      </c>
      <c r="D99">
        <v>2020</v>
      </c>
      <c r="E99" t="s">
        <v>652</v>
      </c>
      <c r="F99">
        <v>229770</v>
      </c>
      <c r="G99">
        <v>220630</v>
      </c>
      <c r="H99">
        <v>42850</v>
      </c>
    </row>
    <row r="100" spans="1:8" x14ac:dyDescent="0.2">
      <c r="A100">
        <v>2021</v>
      </c>
      <c r="B100">
        <v>1</v>
      </c>
      <c r="C100" t="s">
        <v>679</v>
      </c>
      <c r="D100">
        <v>2020</v>
      </c>
      <c r="E100" t="s">
        <v>355</v>
      </c>
      <c r="F100">
        <v>119455</v>
      </c>
      <c r="G100">
        <v>115400</v>
      </c>
      <c r="H100">
        <v>9575</v>
      </c>
    </row>
    <row r="101" spans="1:8" x14ac:dyDescent="0.2">
      <c r="A101">
        <v>2021</v>
      </c>
      <c r="B101">
        <v>1</v>
      </c>
      <c r="C101" t="s">
        <v>679</v>
      </c>
      <c r="D101">
        <v>2020</v>
      </c>
      <c r="E101" t="s">
        <v>356</v>
      </c>
      <c r="F101">
        <v>321780</v>
      </c>
      <c r="G101">
        <v>310275</v>
      </c>
      <c r="H101">
        <v>38070</v>
      </c>
    </row>
    <row r="102" spans="1:8" x14ac:dyDescent="0.2">
      <c r="A102">
        <v>2021</v>
      </c>
      <c r="B102">
        <v>1</v>
      </c>
      <c r="C102" t="s">
        <v>679</v>
      </c>
      <c r="D102">
        <v>2020</v>
      </c>
      <c r="E102" t="s">
        <v>64</v>
      </c>
      <c r="F102">
        <v>99515</v>
      </c>
      <c r="G102">
        <v>96650</v>
      </c>
      <c r="H102">
        <v>9170</v>
      </c>
    </row>
    <row r="103" spans="1:8" x14ac:dyDescent="0.2">
      <c r="A103">
        <v>2021</v>
      </c>
      <c r="B103">
        <v>1</v>
      </c>
      <c r="C103" t="s">
        <v>679</v>
      </c>
      <c r="D103">
        <v>2020</v>
      </c>
      <c r="E103" t="s">
        <v>558</v>
      </c>
      <c r="F103">
        <v>83895</v>
      </c>
      <c r="G103">
        <v>81235</v>
      </c>
      <c r="H103">
        <v>4115</v>
      </c>
    </row>
    <row r="104" spans="1:8" x14ac:dyDescent="0.2">
      <c r="A104">
        <v>2021</v>
      </c>
      <c r="B104">
        <v>1</v>
      </c>
      <c r="C104" t="s">
        <v>679</v>
      </c>
      <c r="D104">
        <v>2015</v>
      </c>
      <c r="E104" t="s">
        <v>6</v>
      </c>
      <c r="F104">
        <v>811115</v>
      </c>
      <c r="G104">
        <v>783000</v>
      </c>
      <c r="H104">
        <v>167550</v>
      </c>
    </row>
    <row r="105" spans="1:8" x14ac:dyDescent="0.2">
      <c r="A105">
        <v>2021</v>
      </c>
      <c r="B105">
        <v>1</v>
      </c>
      <c r="C105" t="s">
        <v>679</v>
      </c>
      <c r="D105">
        <v>2015</v>
      </c>
      <c r="E105" t="s">
        <v>1718</v>
      </c>
      <c r="F105">
        <v>243885</v>
      </c>
      <c r="G105">
        <v>233750</v>
      </c>
      <c r="H105">
        <v>72595</v>
      </c>
    </row>
    <row r="106" spans="1:8" x14ac:dyDescent="0.2">
      <c r="A106">
        <v>2021</v>
      </c>
      <c r="B106">
        <v>1</v>
      </c>
      <c r="C106" t="s">
        <v>679</v>
      </c>
      <c r="D106">
        <v>2015</v>
      </c>
      <c r="E106" t="s">
        <v>651</v>
      </c>
      <c r="F106">
        <v>41365</v>
      </c>
      <c r="G106">
        <v>38625</v>
      </c>
      <c r="H106">
        <v>15665</v>
      </c>
    </row>
    <row r="107" spans="1:8" x14ac:dyDescent="0.2">
      <c r="A107">
        <v>2021</v>
      </c>
      <c r="B107">
        <v>1</v>
      </c>
      <c r="C107" t="s">
        <v>679</v>
      </c>
      <c r="D107">
        <v>2015</v>
      </c>
      <c r="E107" t="s">
        <v>652</v>
      </c>
      <c r="F107">
        <v>202520</v>
      </c>
      <c r="G107">
        <v>195115</v>
      </c>
      <c r="H107">
        <v>56935</v>
      </c>
    </row>
    <row r="108" spans="1:8" x14ac:dyDescent="0.2">
      <c r="A108">
        <v>2021</v>
      </c>
      <c r="B108">
        <v>1</v>
      </c>
      <c r="C108" t="s">
        <v>679</v>
      </c>
      <c r="D108">
        <v>2015</v>
      </c>
      <c r="E108" t="s">
        <v>355</v>
      </c>
      <c r="F108">
        <v>123670</v>
      </c>
      <c r="G108">
        <v>119730</v>
      </c>
      <c r="H108">
        <v>18400</v>
      </c>
    </row>
    <row r="109" spans="1:8" x14ac:dyDescent="0.2">
      <c r="A109">
        <v>2021</v>
      </c>
      <c r="B109">
        <v>1</v>
      </c>
      <c r="C109" t="s">
        <v>679</v>
      </c>
      <c r="D109">
        <v>2015</v>
      </c>
      <c r="E109" t="s">
        <v>356</v>
      </c>
      <c r="F109">
        <v>296260</v>
      </c>
      <c r="G109">
        <v>286410</v>
      </c>
      <c r="H109">
        <v>57135</v>
      </c>
    </row>
    <row r="110" spans="1:8" x14ac:dyDescent="0.2">
      <c r="A110">
        <v>2021</v>
      </c>
      <c r="B110">
        <v>1</v>
      </c>
      <c r="C110" t="s">
        <v>679</v>
      </c>
      <c r="D110">
        <v>2015</v>
      </c>
      <c r="E110" t="s">
        <v>64</v>
      </c>
      <c r="F110">
        <v>82080</v>
      </c>
      <c r="G110">
        <v>79950</v>
      </c>
      <c r="H110">
        <v>13080</v>
      </c>
    </row>
    <row r="111" spans="1:8" x14ac:dyDescent="0.2">
      <c r="A111">
        <v>2021</v>
      </c>
      <c r="B111">
        <v>1</v>
      </c>
      <c r="C111" t="s">
        <v>679</v>
      </c>
      <c r="D111">
        <v>2015</v>
      </c>
      <c r="E111" t="s">
        <v>558</v>
      </c>
      <c r="F111">
        <v>65220</v>
      </c>
      <c r="G111">
        <v>63160</v>
      </c>
      <c r="H111">
        <v>6335</v>
      </c>
    </row>
    <row r="112" spans="1:8" x14ac:dyDescent="0.2">
      <c r="A112">
        <v>2021</v>
      </c>
      <c r="B112">
        <v>1</v>
      </c>
      <c r="C112" t="s">
        <v>680</v>
      </c>
      <c r="D112">
        <v>2020</v>
      </c>
      <c r="E112" t="s">
        <v>6</v>
      </c>
      <c r="F112">
        <v>3240210</v>
      </c>
      <c r="G112">
        <v>3150850</v>
      </c>
      <c r="H112">
        <v>452150</v>
      </c>
    </row>
    <row r="113" spans="1:8" x14ac:dyDescent="0.2">
      <c r="A113">
        <v>2021</v>
      </c>
      <c r="B113">
        <v>1</v>
      </c>
      <c r="C113" t="s">
        <v>680</v>
      </c>
      <c r="D113">
        <v>2020</v>
      </c>
      <c r="E113" t="s">
        <v>1718</v>
      </c>
      <c r="F113">
        <v>1077435</v>
      </c>
      <c r="G113">
        <v>1038225</v>
      </c>
      <c r="H113">
        <v>221855</v>
      </c>
    </row>
    <row r="114" spans="1:8" x14ac:dyDescent="0.2">
      <c r="A114">
        <v>2021</v>
      </c>
      <c r="B114">
        <v>1</v>
      </c>
      <c r="C114" t="s">
        <v>680</v>
      </c>
      <c r="D114">
        <v>2020</v>
      </c>
      <c r="E114" t="s">
        <v>651</v>
      </c>
      <c r="F114">
        <v>236095</v>
      </c>
      <c r="G114">
        <v>224440</v>
      </c>
      <c r="H114">
        <v>68050</v>
      </c>
    </row>
    <row r="115" spans="1:8" x14ac:dyDescent="0.2">
      <c r="A115">
        <v>2021</v>
      </c>
      <c r="B115">
        <v>1</v>
      </c>
      <c r="C115" t="s">
        <v>680</v>
      </c>
      <c r="D115">
        <v>2020</v>
      </c>
      <c r="E115" t="s">
        <v>652</v>
      </c>
      <c r="F115">
        <v>841335</v>
      </c>
      <c r="G115">
        <v>813785</v>
      </c>
      <c r="H115">
        <v>153805</v>
      </c>
    </row>
    <row r="116" spans="1:8" x14ac:dyDescent="0.2">
      <c r="A116">
        <v>2021</v>
      </c>
      <c r="B116">
        <v>1</v>
      </c>
      <c r="C116" t="s">
        <v>680</v>
      </c>
      <c r="D116">
        <v>2020</v>
      </c>
      <c r="E116" t="s">
        <v>355</v>
      </c>
      <c r="F116">
        <v>414420</v>
      </c>
      <c r="G116">
        <v>403910</v>
      </c>
      <c r="H116">
        <v>40545</v>
      </c>
    </row>
    <row r="117" spans="1:8" x14ac:dyDescent="0.2">
      <c r="A117">
        <v>2021</v>
      </c>
      <c r="B117">
        <v>1</v>
      </c>
      <c r="C117" t="s">
        <v>680</v>
      </c>
      <c r="D117">
        <v>2020</v>
      </c>
      <c r="E117" t="s">
        <v>356</v>
      </c>
      <c r="F117">
        <v>1187120</v>
      </c>
      <c r="G117">
        <v>1158695</v>
      </c>
      <c r="H117">
        <v>152170</v>
      </c>
    </row>
    <row r="118" spans="1:8" x14ac:dyDescent="0.2">
      <c r="A118">
        <v>2021</v>
      </c>
      <c r="B118">
        <v>1</v>
      </c>
      <c r="C118" t="s">
        <v>680</v>
      </c>
      <c r="D118">
        <v>2020</v>
      </c>
      <c r="E118" t="s">
        <v>64</v>
      </c>
      <c r="F118">
        <v>286510</v>
      </c>
      <c r="G118">
        <v>280580</v>
      </c>
      <c r="H118">
        <v>23265</v>
      </c>
    </row>
    <row r="119" spans="1:8" x14ac:dyDescent="0.2">
      <c r="A119">
        <v>2021</v>
      </c>
      <c r="B119">
        <v>1</v>
      </c>
      <c r="C119" t="s">
        <v>680</v>
      </c>
      <c r="D119">
        <v>2020</v>
      </c>
      <c r="E119" t="s">
        <v>558</v>
      </c>
      <c r="F119">
        <v>274730</v>
      </c>
      <c r="G119">
        <v>269445</v>
      </c>
      <c r="H119">
        <v>14325</v>
      </c>
    </row>
    <row r="120" spans="1:8" x14ac:dyDescent="0.2">
      <c r="A120">
        <v>2021</v>
      </c>
      <c r="B120">
        <v>1</v>
      </c>
      <c r="C120" t="s">
        <v>680</v>
      </c>
      <c r="D120">
        <v>2015</v>
      </c>
      <c r="E120" t="s">
        <v>6</v>
      </c>
      <c r="F120">
        <v>3125585</v>
      </c>
      <c r="G120">
        <v>3042560</v>
      </c>
      <c r="H120">
        <v>960585</v>
      </c>
    </row>
    <row r="121" spans="1:8" x14ac:dyDescent="0.2">
      <c r="A121">
        <v>2021</v>
      </c>
      <c r="B121">
        <v>1</v>
      </c>
      <c r="C121" t="s">
        <v>680</v>
      </c>
      <c r="D121">
        <v>2015</v>
      </c>
      <c r="E121" t="s">
        <v>1718</v>
      </c>
      <c r="F121">
        <v>1076460</v>
      </c>
      <c r="G121">
        <v>1038915</v>
      </c>
      <c r="H121">
        <v>474720</v>
      </c>
    </row>
    <row r="122" spans="1:8" x14ac:dyDescent="0.2">
      <c r="A122">
        <v>2021</v>
      </c>
      <c r="B122">
        <v>1</v>
      </c>
      <c r="C122" t="s">
        <v>680</v>
      </c>
      <c r="D122">
        <v>2015</v>
      </c>
      <c r="E122" t="s">
        <v>651</v>
      </c>
      <c r="F122">
        <v>261630</v>
      </c>
      <c r="G122">
        <v>249750</v>
      </c>
      <c r="H122">
        <v>148425</v>
      </c>
    </row>
    <row r="123" spans="1:8" x14ac:dyDescent="0.2">
      <c r="A123">
        <v>2021</v>
      </c>
      <c r="B123">
        <v>1</v>
      </c>
      <c r="C123" t="s">
        <v>680</v>
      </c>
      <c r="D123">
        <v>2015</v>
      </c>
      <c r="E123" t="s">
        <v>652</v>
      </c>
      <c r="F123">
        <v>814830</v>
      </c>
      <c r="G123">
        <v>789165</v>
      </c>
      <c r="H123">
        <v>326295</v>
      </c>
    </row>
    <row r="124" spans="1:8" x14ac:dyDescent="0.2">
      <c r="A124">
        <v>2021</v>
      </c>
      <c r="B124">
        <v>1</v>
      </c>
      <c r="C124" t="s">
        <v>680</v>
      </c>
      <c r="D124">
        <v>2015</v>
      </c>
      <c r="E124" t="s">
        <v>355</v>
      </c>
      <c r="F124">
        <v>434875</v>
      </c>
      <c r="G124">
        <v>424170</v>
      </c>
      <c r="H124">
        <v>101250</v>
      </c>
    </row>
    <row r="125" spans="1:8" x14ac:dyDescent="0.2">
      <c r="A125">
        <v>2021</v>
      </c>
      <c r="B125">
        <v>1</v>
      </c>
      <c r="C125" t="s">
        <v>680</v>
      </c>
      <c r="D125">
        <v>2015</v>
      </c>
      <c r="E125" t="s">
        <v>356</v>
      </c>
      <c r="F125">
        <v>1144015</v>
      </c>
      <c r="G125">
        <v>1118140</v>
      </c>
      <c r="H125">
        <v>322335</v>
      </c>
    </row>
    <row r="126" spans="1:8" x14ac:dyDescent="0.2">
      <c r="A126">
        <v>2021</v>
      </c>
      <c r="B126">
        <v>1</v>
      </c>
      <c r="C126" t="s">
        <v>680</v>
      </c>
      <c r="D126">
        <v>2015</v>
      </c>
      <c r="E126" t="s">
        <v>64</v>
      </c>
      <c r="F126">
        <v>238470</v>
      </c>
      <c r="G126">
        <v>233840</v>
      </c>
      <c r="H126">
        <v>38645</v>
      </c>
    </row>
    <row r="127" spans="1:8" x14ac:dyDescent="0.2">
      <c r="A127">
        <v>2021</v>
      </c>
      <c r="B127">
        <v>1</v>
      </c>
      <c r="C127" t="s">
        <v>680</v>
      </c>
      <c r="D127">
        <v>2015</v>
      </c>
      <c r="E127" t="s">
        <v>558</v>
      </c>
      <c r="F127">
        <v>231760</v>
      </c>
      <c r="G127">
        <v>227500</v>
      </c>
      <c r="H127">
        <v>23640</v>
      </c>
    </row>
    <row r="128" spans="1:8" x14ac:dyDescent="0.2">
      <c r="A128">
        <v>2021</v>
      </c>
      <c r="B128">
        <v>1</v>
      </c>
      <c r="C128" t="s">
        <v>419</v>
      </c>
      <c r="D128">
        <v>2020</v>
      </c>
      <c r="E128" t="s">
        <v>6</v>
      </c>
      <c r="F128">
        <v>4394500</v>
      </c>
      <c r="G128">
        <v>4355510</v>
      </c>
      <c r="H128">
        <v>728760</v>
      </c>
    </row>
    <row r="129" spans="1:8" x14ac:dyDescent="0.2">
      <c r="A129">
        <v>2021</v>
      </c>
      <c r="B129">
        <v>1</v>
      </c>
      <c r="C129" t="s">
        <v>419</v>
      </c>
      <c r="D129">
        <v>2020</v>
      </c>
      <c r="E129" t="s">
        <v>1718</v>
      </c>
      <c r="F129">
        <v>1880</v>
      </c>
      <c r="G129">
        <v>1855</v>
      </c>
      <c r="H129">
        <v>1775</v>
      </c>
    </row>
    <row r="130" spans="1:8" x14ac:dyDescent="0.2">
      <c r="A130">
        <v>2021</v>
      </c>
      <c r="B130">
        <v>1</v>
      </c>
      <c r="C130" t="s">
        <v>419</v>
      </c>
      <c r="D130">
        <v>2020</v>
      </c>
      <c r="E130" t="s">
        <v>652</v>
      </c>
      <c r="F130">
        <v>1880</v>
      </c>
      <c r="G130">
        <v>1855</v>
      </c>
      <c r="H130">
        <v>1775</v>
      </c>
    </row>
    <row r="131" spans="1:8" x14ac:dyDescent="0.2">
      <c r="A131">
        <v>2021</v>
      </c>
      <c r="B131">
        <v>1</v>
      </c>
      <c r="C131" t="s">
        <v>419</v>
      </c>
      <c r="D131">
        <v>2020</v>
      </c>
      <c r="E131" t="s">
        <v>355</v>
      </c>
      <c r="F131">
        <v>159645</v>
      </c>
      <c r="G131">
        <v>158600</v>
      </c>
      <c r="H131">
        <v>67970</v>
      </c>
    </row>
    <row r="132" spans="1:8" x14ac:dyDescent="0.2">
      <c r="A132">
        <v>2021</v>
      </c>
      <c r="B132">
        <v>1</v>
      </c>
      <c r="C132" t="s">
        <v>419</v>
      </c>
      <c r="D132">
        <v>2020</v>
      </c>
      <c r="E132" t="s">
        <v>356</v>
      </c>
      <c r="F132">
        <v>1646335</v>
      </c>
      <c r="G132">
        <v>1631310</v>
      </c>
      <c r="H132">
        <v>279205</v>
      </c>
    </row>
    <row r="133" spans="1:8" x14ac:dyDescent="0.2">
      <c r="A133">
        <v>2021</v>
      </c>
      <c r="B133">
        <v>1</v>
      </c>
      <c r="C133" t="s">
        <v>419</v>
      </c>
      <c r="D133">
        <v>2020</v>
      </c>
      <c r="E133" t="s">
        <v>64</v>
      </c>
      <c r="F133">
        <v>883030</v>
      </c>
      <c r="G133">
        <v>872935</v>
      </c>
      <c r="H133">
        <v>223185</v>
      </c>
    </row>
    <row r="134" spans="1:8" x14ac:dyDescent="0.2">
      <c r="A134">
        <v>2021</v>
      </c>
      <c r="B134">
        <v>1</v>
      </c>
      <c r="C134" t="s">
        <v>419</v>
      </c>
      <c r="D134">
        <v>2020</v>
      </c>
      <c r="E134" t="s">
        <v>558</v>
      </c>
      <c r="F134">
        <v>1703610</v>
      </c>
      <c r="G134">
        <v>1690820</v>
      </c>
      <c r="H134">
        <v>156625</v>
      </c>
    </row>
    <row r="135" spans="1:8" x14ac:dyDescent="0.2">
      <c r="A135">
        <v>2021</v>
      </c>
      <c r="B135">
        <v>1</v>
      </c>
      <c r="C135" t="s">
        <v>419</v>
      </c>
      <c r="D135">
        <v>2015</v>
      </c>
      <c r="E135" t="s">
        <v>6</v>
      </c>
      <c r="F135">
        <v>3967765</v>
      </c>
      <c r="G135">
        <v>3933255</v>
      </c>
      <c r="H135">
        <v>996175</v>
      </c>
    </row>
    <row r="136" spans="1:8" x14ac:dyDescent="0.2">
      <c r="A136">
        <v>2021</v>
      </c>
      <c r="B136">
        <v>1</v>
      </c>
      <c r="C136" t="s">
        <v>419</v>
      </c>
      <c r="D136">
        <v>2015</v>
      </c>
      <c r="E136" t="s">
        <v>1718</v>
      </c>
      <c r="F136">
        <v>1865</v>
      </c>
      <c r="G136">
        <v>1850</v>
      </c>
      <c r="H136">
        <v>1815</v>
      </c>
    </row>
    <row r="137" spans="1:8" x14ac:dyDescent="0.2">
      <c r="A137">
        <v>2021</v>
      </c>
      <c r="B137">
        <v>1</v>
      </c>
      <c r="C137" t="s">
        <v>419</v>
      </c>
      <c r="D137">
        <v>2015</v>
      </c>
      <c r="E137" t="s">
        <v>652</v>
      </c>
      <c r="F137">
        <v>1865</v>
      </c>
      <c r="G137">
        <v>1850</v>
      </c>
      <c r="H137">
        <v>1815</v>
      </c>
    </row>
    <row r="138" spans="1:8" x14ac:dyDescent="0.2">
      <c r="A138">
        <v>2021</v>
      </c>
      <c r="B138">
        <v>1</v>
      </c>
      <c r="C138" t="s">
        <v>419</v>
      </c>
      <c r="D138">
        <v>2015</v>
      </c>
      <c r="E138" t="s">
        <v>355</v>
      </c>
      <c r="F138">
        <v>158090</v>
      </c>
      <c r="G138">
        <v>157140</v>
      </c>
      <c r="H138">
        <v>89280</v>
      </c>
    </row>
    <row r="139" spans="1:8" x14ac:dyDescent="0.2">
      <c r="A139">
        <v>2021</v>
      </c>
      <c r="B139">
        <v>1</v>
      </c>
      <c r="C139" t="s">
        <v>419</v>
      </c>
      <c r="D139">
        <v>2015</v>
      </c>
      <c r="E139" t="s">
        <v>356</v>
      </c>
      <c r="F139">
        <v>1578980</v>
      </c>
      <c r="G139">
        <v>1563835</v>
      </c>
      <c r="H139">
        <v>401725</v>
      </c>
    </row>
    <row r="140" spans="1:8" x14ac:dyDescent="0.2">
      <c r="A140">
        <v>2021</v>
      </c>
      <c r="B140">
        <v>1</v>
      </c>
      <c r="C140" t="s">
        <v>419</v>
      </c>
      <c r="D140">
        <v>2015</v>
      </c>
      <c r="E140" t="s">
        <v>64</v>
      </c>
      <c r="F140">
        <v>816035</v>
      </c>
      <c r="G140">
        <v>807335</v>
      </c>
      <c r="H140">
        <v>267065</v>
      </c>
    </row>
    <row r="141" spans="1:8" x14ac:dyDescent="0.2">
      <c r="A141">
        <v>2021</v>
      </c>
      <c r="B141">
        <v>1</v>
      </c>
      <c r="C141" t="s">
        <v>419</v>
      </c>
      <c r="D141">
        <v>2015</v>
      </c>
      <c r="E141" t="s">
        <v>558</v>
      </c>
      <c r="F141">
        <v>1412795</v>
      </c>
      <c r="G141">
        <v>1403095</v>
      </c>
      <c r="H141">
        <v>236290</v>
      </c>
    </row>
    <row r="142" spans="1:8" x14ac:dyDescent="0.2">
      <c r="A142">
        <v>2021</v>
      </c>
      <c r="B142">
        <v>1</v>
      </c>
      <c r="C142" t="s">
        <v>681</v>
      </c>
      <c r="D142">
        <v>2020</v>
      </c>
      <c r="E142" t="s">
        <v>6</v>
      </c>
      <c r="F142">
        <v>1522400</v>
      </c>
      <c r="G142">
        <v>1509390</v>
      </c>
      <c r="H142">
        <v>534225</v>
      </c>
    </row>
    <row r="143" spans="1:8" x14ac:dyDescent="0.2">
      <c r="A143">
        <v>2021</v>
      </c>
      <c r="B143">
        <v>1</v>
      </c>
      <c r="C143" t="s">
        <v>681</v>
      </c>
      <c r="D143">
        <v>2020</v>
      </c>
      <c r="E143" t="s">
        <v>1718</v>
      </c>
      <c r="F143">
        <v>12725</v>
      </c>
      <c r="G143">
        <v>12450</v>
      </c>
      <c r="H143">
        <v>12035</v>
      </c>
    </row>
    <row r="144" spans="1:8" x14ac:dyDescent="0.2">
      <c r="A144">
        <v>2021</v>
      </c>
      <c r="B144">
        <v>1</v>
      </c>
      <c r="C144" t="s">
        <v>681</v>
      </c>
      <c r="D144">
        <v>2020</v>
      </c>
      <c r="E144" t="s">
        <v>652</v>
      </c>
      <c r="F144">
        <v>12725</v>
      </c>
      <c r="G144">
        <v>12450</v>
      </c>
      <c r="H144">
        <v>12035</v>
      </c>
    </row>
    <row r="145" spans="1:8" x14ac:dyDescent="0.2">
      <c r="A145">
        <v>2021</v>
      </c>
      <c r="B145">
        <v>1</v>
      </c>
      <c r="C145" t="s">
        <v>681</v>
      </c>
      <c r="D145">
        <v>2020</v>
      </c>
      <c r="E145" t="s">
        <v>355</v>
      </c>
      <c r="F145">
        <v>359200</v>
      </c>
      <c r="G145">
        <v>356995</v>
      </c>
      <c r="H145">
        <v>207095</v>
      </c>
    </row>
    <row r="146" spans="1:8" x14ac:dyDescent="0.2">
      <c r="A146">
        <v>2021</v>
      </c>
      <c r="B146">
        <v>1</v>
      </c>
      <c r="C146" t="s">
        <v>681</v>
      </c>
      <c r="D146">
        <v>2020</v>
      </c>
      <c r="E146" t="s">
        <v>356</v>
      </c>
      <c r="F146">
        <v>830755</v>
      </c>
      <c r="G146">
        <v>823300</v>
      </c>
      <c r="H146">
        <v>227765</v>
      </c>
    </row>
    <row r="147" spans="1:8" x14ac:dyDescent="0.2">
      <c r="A147">
        <v>2021</v>
      </c>
      <c r="B147">
        <v>1</v>
      </c>
      <c r="C147" t="s">
        <v>681</v>
      </c>
      <c r="D147">
        <v>2020</v>
      </c>
      <c r="E147" t="s">
        <v>64</v>
      </c>
      <c r="F147">
        <v>171350</v>
      </c>
      <c r="G147">
        <v>169590</v>
      </c>
      <c r="H147">
        <v>59435</v>
      </c>
    </row>
    <row r="148" spans="1:8" x14ac:dyDescent="0.2">
      <c r="A148">
        <v>2021</v>
      </c>
      <c r="B148">
        <v>1</v>
      </c>
      <c r="C148" t="s">
        <v>681</v>
      </c>
      <c r="D148">
        <v>2020</v>
      </c>
      <c r="E148" t="s">
        <v>558</v>
      </c>
      <c r="F148">
        <v>148375</v>
      </c>
      <c r="G148">
        <v>147055</v>
      </c>
      <c r="H148">
        <v>27895</v>
      </c>
    </row>
    <row r="149" spans="1:8" x14ac:dyDescent="0.2">
      <c r="A149">
        <v>2021</v>
      </c>
      <c r="B149">
        <v>1</v>
      </c>
      <c r="C149" t="s">
        <v>681</v>
      </c>
      <c r="D149">
        <v>2015</v>
      </c>
      <c r="E149" t="s">
        <v>6</v>
      </c>
      <c r="F149">
        <v>1331285</v>
      </c>
      <c r="G149">
        <v>1319260</v>
      </c>
      <c r="H149">
        <v>636435</v>
      </c>
    </row>
    <row r="150" spans="1:8" x14ac:dyDescent="0.2">
      <c r="A150">
        <v>2021</v>
      </c>
      <c r="B150">
        <v>1</v>
      </c>
      <c r="C150" t="s">
        <v>681</v>
      </c>
      <c r="D150">
        <v>2015</v>
      </c>
      <c r="E150" t="s">
        <v>1718</v>
      </c>
      <c r="F150">
        <v>16100</v>
      </c>
      <c r="G150">
        <v>15790</v>
      </c>
      <c r="H150">
        <v>15675</v>
      </c>
    </row>
    <row r="151" spans="1:8" x14ac:dyDescent="0.2">
      <c r="A151">
        <v>2021</v>
      </c>
      <c r="B151">
        <v>1</v>
      </c>
      <c r="C151" t="s">
        <v>681</v>
      </c>
      <c r="D151">
        <v>2015</v>
      </c>
      <c r="E151" t="s">
        <v>652</v>
      </c>
      <c r="F151">
        <v>16100</v>
      </c>
      <c r="G151">
        <v>15790</v>
      </c>
      <c r="H151">
        <v>15675</v>
      </c>
    </row>
    <row r="152" spans="1:8" x14ac:dyDescent="0.2">
      <c r="A152">
        <v>2021</v>
      </c>
      <c r="B152">
        <v>1</v>
      </c>
      <c r="C152" t="s">
        <v>681</v>
      </c>
      <c r="D152">
        <v>2015</v>
      </c>
      <c r="E152" t="s">
        <v>355</v>
      </c>
      <c r="F152">
        <v>316035</v>
      </c>
      <c r="G152">
        <v>313645</v>
      </c>
      <c r="H152">
        <v>224970</v>
      </c>
    </row>
    <row r="153" spans="1:8" x14ac:dyDescent="0.2">
      <c r="A153">
        <v>2021</v>
      </c>
      <c r="B153">
        <v>1</v>
      </c>
      <c r="C153" t="s">
        <v>681</v>
      </c>
      <c r="D153">
        <v>2015</v>
      </c>
      <c r="E153" t="s">
        <v>356</v>
      </c>
      <c r="F153">
        <v>742790</v>
      </c>
      <c r="G153">
        <v>735875</v>
      </c>
      <c r="H153">
        <v>294245</v>
      </c>
    </row>
    <row r="154" spans="1:8" x14ac:dyDescent="0.2">
      <c r="A154">
        <v>2021</v>
      </c>
      <c r="B154">
        <v>1</v>
      </c>
      <c r="C154" t="s">
        <v>681</v>
      </c>
      <c r="D154">
        <v>2015</v>
      </c>
      <c r="E154" t="s">
        <v>64</v>
      </c>
      <c r="F154">
        <v>144865</v>
      </c>
      <c r="G154">
        <v>143425</v>
      </c>
      <c r="H154">
        <v>67140</v>
      </c>
    </row>
    <row r="155" spans="1:8" x14ac:dyDescent="0.2">
      <c r="A155">
        <v>2021</v>
      </c>
      <c r="B155">
        <v>1</v>
      </c>
      <c r="C155" t="s">
        <v>681</v>
      </c>
      <c r="D155">
        <v>2015</v>
      </c>
      <c r="E155" t="s">
        <v>558</v>
      </c>
      <c r="F155">
        <v>111485</v>
      </c>
      <c r="G155">
        <v>110520</v>
      </c>
      <c r="H155">
        <v>34415</v>
      </c>
    </row>
  </sheetData>
  <printOptions gridLines="1"/>
  <pageMargins left="0.7" right="0.7" top="0.75" bottom="0.75" header="0.3" footer="0.3"/>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1"/>
  <sheetViews>
    <sheetView workbookViewId="0"/>
  </sheetViews>
  <sheetFormatPr defaultRowHeight="14.25" x14ac:dyDescent="0.2"/>
  <sheetData>
    <row r="1" spans="1:10" x14ac:dyDescent="0.2">
      <c r="A1" t="s">
        <v>1481</v>
      </c>
      <c r="B1" t="s">
        <v>1482</v>
      </c>
      <c r="C1" t="s">
        <v>1480</v>
      </c>
      <c r="D1" t="s">
        <v>496</v>
      </c>
      <c r="E1" t="s">
        <v>1719</v>
      </c>
      <c r="F1" t="s">
        <v>1720</v>
      </c>
      <c r="G1" t="s">
        <v>1721</v>
      </c>
      <c r="H1" t="s">
        <v>510</v>
      </c>
      <c r="I1" t="s">
        <v>511</v>
      </c>
      <c r="J1" t="s">
        <v>1722</v>
      </c>
    </row>
  </sheetData>
  <printOptions gridLines="1"/>
  <pageMargins left="0.7" right="0.7" top="0.75" bottom="0.75" header="0.3" footer="0.3"/>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O1"/>
  <sheetViews>
    <sheetView workbookViewId="0"/>
  </sheetViews>
  <sheetFormatPr defaultRowHeight="14.25" x14ac:dyDescent="0.2"/>
  <sheetData>
    <row r="1" spans="1:15" x14ac:dyDescent="0.2">
      <c r="A1" t="s">
        <v>1405</v>
      </c>
      <c r="B1" t="s">
        <v>1709</v>
      </c>
      <c r="C1" t="s">
        <v>496</v>
      </c>
      <c r="D1" t="s">
        <v>1719</v>
      </c>
      <c r="E1" t="s">
        <v>1723</v>
      </c>
      <c r="F1" t="s">
        <v>1721</v>
      </c>
      <c r="G1" t="s">
        <v>510</v>
      </c>
      <c r="H1" t="s">
        <v>511</v>
      </c>
      <c r="I1" t="s">
        <v>1722</v>
      </c>
      <c r="J1" t="s">
        <v>499</v>
      </c>
      <c r="K1" t="s">
        <v>500</v>
      </c>
      <c r="L1" t="s">
        <v>501</v>
      </c>
      <c r="M1" t="s">
        <v>502</v>
      </c>
      <c r="N1" t="s">
        <v>503</v>
      </c>
      <c r="O1" t="s">
        <v>1724</v>
      </c>
    </row>
  </sheetData>
  <printOptions gridLines="1"/>
  <pageMargins left="0.7" right="0.7" top="0.75" bottom="0.75" header="0.3" footer="0.3"/>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B1"/>
  <sheetViews>
    <sheetView workbookViewId="0"/>
  </sheetViews>
  <sheetFormatPr defaultRowHeight="14.25" x14ac:dyDescent="0.2"/>
  <sheetData>
    <row r="1" spans="1:28" x14ac:dyDescent="0.2">
      <c r="A1" t="s">
        <v>1676</v>
      </c>
      <c r="B1" t="s">
        <v>1677</v>
      </c>
      <c r="C1" t="s">
        <v>51</v>
      </c>
      <c r="D1" t="s">
        <v>1069</v>
      </c>
      <c r="E1" t="s">
        <v>1070</v>
      </c>
      <c r="F1" t="s">
        <v>1071</v>
      </c>
      <c r="G1" t="s">
        <v>1072</v>
      </c>
      <c r="H1" t="s">
        <v>1073</v>
      </c>
      <c r="I1" t="s">
        <v>1074</v>
      </c>
      <c r="J1" t="s">
        <v>1725</v>
      </c>
      <c r="K1" t="s">
        <v>1726</v>
      </c>
      <c r="L1" t="s">
        <v>1727</v>
      </c>
      <c r="M1" t="s">
        <v>1728</v>
      </c>
      <c r="N1" t="s">
        <v>1075</v>
      </c>
      <c r="O1" t="s">
        <v>1729</v>
      </c>
      <c r="P1" t="s">
        <v>1730</v>
      </c>
      <c r="Q1" t="s">
        <v>1731</v>
      </c>
      <c r="R1" t="s">
        <v>1732</v>
      </c>
      <c r="S1" t="s">
        <v>1076</v>
      </c>
      <c r="T1" t="s">
        <v>1733</v>
      </c>
      <c r="U1" t="s">
        <v>1734</v>
      </c>
      <c r="V1" t="s">
        <v>1735</v>
      </c>
      <c r="W1" t="s">
        <v>1736</v>
      </c>
      <c r="X1" t="s">
        <v>1077</v>
      </c>
      <c r="Y1" t="s">
        <v>1737</v>
      </c>
      <c r="Z1" t="s">
        <v>1738</v>
      </c>
      <c r="AA1" t="s">
        <v>1739</v>
      </c>
      <c r="AB1" t="s">
        <v>1740</v>
      </c>
    </row>
  </sheetData>
  <printOptions gridLines="1"/>
  <pageMargins left="0.7" right="0.7" top="0.75" bottom="0.75" header="0.3" footer="0.3"/>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20"/>
  <sheetViews>
    <sheetView workbookViewId="0"/>
  </sheetViews>
  <sheetFormatPr defaultRowHeight="14.25" x14ac:dyDescent="0.2"/>
  <sheetData>
    <row r="1" spans="1:4" x14ac:dyDescent="0.2">
      <c r="A1" t="s">
        <v>1407</v>
      </c>
      <c r="B1" t="s">
        <v>1443</v>
      </c>
      <c r="C1" t="s">
        <v>1444</v>
      </c>
      <c r="D1" t="s">
        <v>1445</v>
      </c>
    </row>
    <row r="2" spans="1:4" x14ac:dyDescent="0.2">
      <c r="A2">
        <v>1</v>
      </c>
      <c r="B2">
        <v>4</v>
      </c>
      <c r="C2">
        <v>16284235</v>
      </c>
      <c r="D2" t="s">
        <v>898</v>
      </c>
    </row>
    <row r="3" spans="1:4" x14ac:dyDescent="0.2">
      <c r="A3">
        <v>1</v>
      </c>
      <c r="B3">
        <v>41</v>
      </c>
      <c r="C3">
        <v>14978940</v>
      </c>
      <c r="D3" t="s">
        <v>1742</v>
      </c>
    </row>
    <row r="4" spans="1:4" x14ac:dyDescent="0.2">
      <c r="A4">
        <v>1</v>
      </c>
      <c r="B4">
        <v>42</v>
      </c>
      <c r="C4">
        <v>7872310</v>
      </c>
      <c r="D4" t="s">
        <v>1743</v>
      </c>
    </row>
    <row r="5" spans="1:4" x14ac:dyDescent="0.2">
      <c r="A5">
        <v>1</v>
      </c>
      <c r="B5">
        <v>43</v>
      </c>
      <c r="C5">
        <v>746560</v>
      </c>
      <c r="D5" t="s">
        <v>1744</v>
      </c>
    </row>
    <row r="6" spans="1:4" x14ac:dyDescent="0.2">
      <c r="A6">
        <v>1</v>
      </c>
      <c r="B6">
        <v>44</v>
      </c>
      <c r="C6">
        <v>980110</v>
      </c>
      <c r="D6" t="s">
        <v>347</v>
      </c>
    </row>
    <row r="7" spans="1:4" x14ac:dyDescent="0.2">
      <c r="A7">
        <v>1</v>
      </c>
      <c r="B7">
        <v>45</v>
      </c>
      <c r="C7">
        <v>821490</v>
      </c>
      <c r="D7" t="s">
        <v>1745</v>
      </c>
    </row>
    <row r="8" spans="1:4" x14ac:dyDescent="0.2">
      <c r="A8">
        <v>1</v>
      </c>
      <c r="B8">
        <v>46</v>
      </c>
      <c r="C8">
        <v>2738020</v>
      </c>
      <c r="D8" t="s">
        <v>1746</v>
      </c>
    </row>
    <row r="9" spans="1:4" x14ac:dyDescent="0.2">
      <c r="A9">
        <v>1</v>
      </c>
      <c r="B9">
        <v>47</v>
      </c>
      <c r="C9">
        <v>1596155</v>
      </c>
      <c r="D9" t="s">
        <v>1747</v>
      </c>
    </row>
    <row r="10" spans="1:4" x14ac:dyDescent="0.2">
      <c r="A10">
        <v>1</v>
      </c>
      <c r="B10">
        <v>48</v>
      </c>
      <c r="C10">
        <v>34880</v>
      </c>
      <c r="D10" t="s">
        <v>1748</v>
      </c>
    </row>
    <row r="11" spans="1:4" x14ac:dyDescent="0.2">
      <c r="A11">
        <v>1</v>
      </c>
      <c r="B11">
        <v>49</v>
      </c>
      <c r="C11">
        <v>189420</v>
      </c>
      <c r="D11" t="s">
        <v>899</v>
      </c>
    </row>
    <row r="12" spans="1:4" x14ac:dyDescent="0.2">
      <c r="A12">
        <v>1</v>
      </c>
      <c r="B12">
        <v>1440</v>
      </c>
      <c r="C12">
        <v>14978940</v>
      </c>
      <c r="D12" t="s">
        <v>1741</v>
      </c>
    </row>
    <row r="13" spans="1:4" x14ac:dyDescent="0.2">
      <c r="A13">
        <v>1</v>
      </c>
      <c r="B13">
        <v>1441</v>
      </c>
      <c r="C13">
        <v>3027045</v>
      </c>
      <c r="D13" t="s">
        <v>897</v>
      </c>
    </row>
    <row r="14" spans="1:4" x14ac:dyDescent="0.2">
      <c r="A14">
        <v>1</v>
      </c>
      <c r="B14">
        <v>1442</v>
      </c>
      <c r="C14">
        <v>4171840</v>
      </c>
      <c r="D14" t="s">
        <v>336</v>
      </c>
    </row>
    <row r="15" spans="1:4" x14ac:dyDescent="0.2">
      <c r="A15">
        <v>1</v>
      </c>
      <c r="B15">
        <v>1443</v>
      </c>
      <c r="C15">
        <v>1982515</v>
      </c>
      <c r="D15" t="s">
        <v>337</v>
      </c>
    </row>
    <row r="16" spans="1:4" x14ac:dyDescent="0.2">
      <c r="A16">
        <v>1</v>
      </c>
      <c r="B16">
        <v>1444</v>
      </c>
      <c r="C16">
        <v>1805985</v>
      </c>
      <c r="D16" t="s">
        <v>333</v>
      </c>
    </row>
    <row r="17" spans="1:4" x14ac:dyDescent="0.2">
      <c r="A17">
        <v>1</v>
      </c>
      <c r="B17">
        <v>1445</v>
      </c>
      <c r="C17">
        <v>959860</v>
      </c>
      <c r="D17" t="s">
        <v>338</v>
      </c>
    </row>
    <row r="18" spans="1:4" x14ac:dyDescent="0.2">
      <c r="A18">
        <v>1</v>
      </c>
      <c r="B18">
        <v>1446</v>
      </c>
      <c r="C18">
        <v>1034925</v>
      </c>
      <c r="D18" t="s">
        <v>339</v>
      </c>
    </row>
    <row r="19" spans="1:4" x14ac:dyDescent="0.2">
      <c r="A19">
        <v>1</v>
      </c>
      <c r="B19">
        <v>1447</v>
      </c>
      <c r="C19">
        <v>967540</v>
      </c>
      <c r="D19" t="s">
        <v>334</v>
      </c>
    </row>
    <row r="20" spans="1:4" x14ac:dyDescent="0.2">
      <c r="A20">
        <v>1</v>
      </c>
      <c r="B20">
        <v>1448</v>
      </c>
      <c r="C20">
        <v>1029220</v>
      </c>
      <c r="D20" t="s">
        <v>335</v>
      </c>
    </row>
  </sheetData>
  <printOptions gridLines="1"/>
  <pageMargins left="0.7" right="0.7" top="0.75" bottom="0.75" header="0.3" footer="0.3"/>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10"/>
  <sheetViews>
    <sheetView workbookViewId="0"/>
  </sheetViews>
  <sheetFormatPr defaultRowHeight="14.25" x14ac:dyDescent="0.2"/>
  <sheetData>
    <row r="1" spans="1:7" x14ac:dyDescent="0.2">
      <c r="A1" t="s">
        <v>1480</v>
      </c>
      <c r="B1" t="s">
        <v>1481</v>
      </c>
      <c r="C1" t="s">
        <v>1482</v>
      </c>
      <c r="D1" t="s">
        <v>496</v>
      </c>
      <c r="E1" t="s">
        <v>497</v>
      </c>
      <c r="F1" t="s">
        <v>498</v>
      </c>
      <c r="G1" t="s">
        <v>1483</v>
      </c>
    </row>
    <row r="2" spans="1:7" x14ac:dyDescent="0.2">
      <c r="A2">
        <v>2021</v>
      </c>
      <c r="B2">
        <v>1</v>
      </c>
      <c r="C2" t="s">
        <v>6</v>
      </c>
      <c r="D2">
        <v>14978940</v>
      </c>
      <c r="E2">
        <v>9955975</v>
      </c>
      <c r="F2">
        <v>4953835</v>
      </c>
      <c r="G2">
        <v>69130</v>
      </c>
    </row>
    <row r="3" spans="1:7" x14ac:dyDescent="0.2">
      <c r="A3">
        <v>2021</v>
      </c>
      <c r="B3">
        <v>1</v>
      </c>
      <c r="C3" t="s">
        <v>76</v>
      </c>
      <c r="D3">
        <v>7872195</v>
      </c>
      <c r="E3">
        <v>7068300</v>
      </c>
      <c r="F3">
        <v>746635</v>
      </c>
      <c r="G3">
        <v>57260</v>
      </c>
    </row>
    <row r="4" spans="1:7" x14ac:dyDescent="0.2">
      <c r="A4">
        <v>2021</v>
      </c>
      <c r="B4">
        <v>1</v>
      </c>
      <c r="C4" t="s">
        <v>348</v>
      </c>
      <c r="D4">
        <v>1595935</v>
      </c>
      <c r="E4">
        <v>483635</v>
      </c>
      <c r="F4">
        <v>1112230</v>
      </c>
      <c r="G4">
        <v>70</v>
      </c>
    </row>
    <row r="5" spans="1:7" x14ac:dyDescent="0.2">
      <c r="A5">
        <v>2021</v>
      </c>
      <c r="B5">
        <v>1</v>
      </c>
      <c r="C5" t="s">
        <v>330</v>
      </c>
      <c r="D5">
        <v>810300</v>
      </c>
      <c r="E5">
        <v>391050</v>
      </c>
      <c r="F5">
        <v>418280</v>
      </c>
      <c r="G5">
        <v>970</v>
      </c>
    </row>
    <row r="6" spans="1:7" x14ac:dyDescent="0.2">
      <c r="A6">
        <v>2021</v>
      </c>
      <c r="B6">
        <v>1</v>
      </c>
      <c r="C6" t="s">
        <v>349</v>
      </c>
      <c r="D6">
        <v>2738085</v>
      </c>
      <c r="E6">
        <v>652965</v>
      </c>
      <c r="F6">
        <v>2083775</v>
      </c>
      <c r="G6">
        <v>1350</v>
      </c>
    </row>
    <row r="7" spans="1:7" x14ac:dyDescent="0.2">
      <c r="A7">
        <v>2021</v>
      </c>
      <c r="B7">
        <v>1</v>
      </c>
      <c r="C7" t="s">
        <v>94</v>
      </c>
      <c r="D7">
        <v>34195</v>
      </c>
      <c r="E7">
        <v>16225</v>
      </c>
      <c r="F7">
        <v>17900</v>
      </c>
      <c r="G7">
        <v>70</v>
      </c>
    </row>
    <row r="8" spans="1:7" x14ac:dyDescent="0.2">
      <c r="A8">
        <v>2021</v>
      </c>
      <c r="B8">
        <v>1</v>
      </c>
      <c r="C8" t="s">
        <v>332</v>
      </c>
      <c r="D8">
        <v>983890</v>
      </c>
      <c r="E8">
        <v>624460</v>
      </c>
      <c r="F8">
        <v>356385</v>
      </c>
      <c r="G8">
        <v>3035</v>
      </c>
    </row>
    <row r="9" spans="1:7" x14ac:dyDescent="0.2">
      <c r="A9">
        <v>2021</v>
      </c>
      <c r="B9">
        <v>1</v>
      </c>
      <c r="C9" t="s">
        <v>345</v>
      </c>
      <c r="D9">
        <v>754235</v>
      </c>
      <c r="E9">
        <v>561985</v>
      </c>
      <c r="F9">
        <v>189125</v>
      </c>
      <c r="G9">
        <v>3125</v>
      </c>
    </row>
    <row r="10" spans="1:7" x14ac:dyDescent="0.2">
      <c r="A10">
        <v>2021</v>
      </c>
      <c r="B10">
        <v>1</v>
      </c>
      <c r="C10" t="s">
        <v>350</v>
      </c>
      <c r="D10">
        <v>190100</v>
      </c>
      <c r="E10">
        <v>157345</v>
      </c>
      <c r="F10">
        <v>29500</v>
      </c>
      <c r="G10">
        <v>3250</v>
      </c>
    </row>
  </sheetData>
  <printOptions gridLines="1"/>
  <pageMargins left="0.7" right="0.7" top="0.75" bottom="0.75" header="0.3" footer="0.3"/>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1"/>
  <sheetViews>
    <sheetView workbookViewId="0"/>
  </sheetViews>
  <sheetFormatPr defaultRowHeight="14.25" x14ac:dyDescent="0.2"/>
  <sheetData>
    <row r="1" spans="1:6" x14ac:dyDescent="0.2">
      <c r="A1" t="s">
        <v>1639</v>
      </c>
      <c r="B1" t="s">
        <v>1405</v>
      </c>
      <c r="C1" t="s">
        <v>1481</v>
      </c>
      <c r="D1" t="s">
        <v>1536</v>
      </c>
      <c r="E1" t="s">
        <v>1749</v>
      </c>
      <c r="F1" t="s">
        <v>20</v>
      </c>
    </row>
  </sheetData>
  <printOptions gridLines="1"/>
  <pageMargins left="0.7" right="0.7" top="0.75" bottom="0.75" header="0.3" footer="0.3"/>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L1"/>
  <sheetViews>
    <sheetView workbookViewId="0"/>
  </sheetViews>
  <sheetFormatPr defaultRowHeight="14.25" x14ac:dyDescent="0.2"/>
  <sheetData>
    <row r="1" spans="1:12" x14ac:dyDescent="0.2">
      <c r="A1" t="s">
        <v>1750</v>
      </c>
      <c r="B1" t="s">
        <v>1481</v>
      </c>
      <c r="C1" t="s">
        <v>1364</v>
      </c>
      <c r="D1" t="s">
        <v>1527</v>
      </c>
      <c r="E1" t="s">
        <v>1528</v>
      </c>
      <c r="F1" t="s">
        <v>1529</v>
      </c>
      <c r="G1" t="s">
        <v>1530</v>
      </c>
      <c r="H1" t="s">
        <v>1532</v>
      </c>
      <c r="I1" t="s">
        <v>1533</v>
      </c>
      <c r="J1" t="s">
        <v>1534</v>
      </c>
      <c r="K1" t="s">
        <v>1535</v>
      </c>
      <c r="L1" t="s">
        <v>1531</v>
      </c>
    </row>
  </sheetData>
  <printOptions gridLines="1"/>
  <pageMargins left="0.7" right="0.7" top="0.75" bottom="0.75" header="0.3" footer="0.3"/>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D8"/>
  <sheetViews>
    <sheetView workbookViewId="0"/>
  </sheetViews>
  <sheetFormatPr defaultRowHeight="14.25" x14ac:dyDescent="0.2"/>
  <sheetData>
    <row r="1" spans="1:4" x14ac:dyDescent="0.2">
      <c r="A1" t="s">
        <v>1751</v>
      </c>
      <c r="B1" t="s">
        <v>1363</v>
      </c>
      <c r="C1" t="s">
        <v>1364</v>
      </c>
      <c r="D1" t="s">
        <v>1481</v>
      </c>
    </row>
    <row r="2" spans="1:4" x14ac:dyDescent="0.2">
      <c r="A2" t="s">
        <v>1365</v>
      </c>
      <c r="B2">
        <v>0</v>
      </c>
      <c r="C2">
        <v>2247</v>
      </c>
      <c r="D2">
        <v>11</v>
      </c>
    </row>
    <row r="3" spans="1:4" x14ac:dyDescent="0.2">
      <c r="A3" t="s">
        <v>1366</v>
      </c>
      <c r="B3">
        <v>0</v>
      </c>
      <c r="C3">
        <v>301</v>
      </c>
      <c r="D3">
        <v>11</v>
      </c>
    </row>
    <row r="4" spans="1:4" x14ac:dyDescent="0.2">
      <c r="A4" t="s">
        <v>1367</v>
      </c>
      <c r="B4">
        <v>109</v>
      </c>
      <c r="C4">
        <v>0</v>
      </c>
      <c r="D4">
        <v>11</v>
      </c>
    </row>
    <row r="5" spans="1:4" x14ac:dyDescent="0.2">
      <c r="A5" t="s">
        <v>1371</v>
      </c>
      <c r="B5">
        <v>0</v>
      </c>
      <c r="C5">
        <v>22</v>
      </c>
      <c r="D5">
        <v>11</v>
      </c>
    </row>
    <row r="6" spans="1:4" x14ac:dyDescent="0.2">
      <c r="A6" t="s">
        <v>1370</v>
      </c>
      <c r="B6">
        <v>0</v>
      </c>
      <c r="C6">
        <v>473</v>
      </c>
      <c r="D6">
        <v>11</v>
      </c>
    </row>
    <row r="7" spans="1:4" x14ac:dyDescent="0.2">
      <c r="A7" t="s">
        <v>1368</v>
      </c>
      <c r="B7">
        <v>0</v>
      </c>
      <c r="C7">
        <v>109</v>
      </c>
      <c r="D7">
        <v>11</v>
      </c>
    </row>
    <row r="8" spans="1:4" x14ac:dyDescent="0.2">
      <c r="A8" t="s">
        <v>1369</v>
      </c>
      <c r="B8">
        <v>18</v>
      </c>
      <c r="C8">
        <v>22</v>
      </c>
      <c r="D8">
        <v>11</v>
      </c>
    </row>
  </sheetData>
  <printOptions gridLines="1"/>
  <pageMargins left="0.7" right="0.7" top="0.75" bottom="0.75" header="0.3" footer="0.3"/>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1"/>
  <sheetViews>
    <sheetView workbookViewId="0"/>
  </sheetViews>
  <sheetFormatPr defaultRowHeight="14.25" x14ac:dyDescent="0.2"/>
  <sheetData>
    <row r="1" spans="1:4" x14ac:dyDescent="0.2">
      <c r="A1" t="s">
        <v>1405</v>
      </c>
      <c r="B1" t="s">
        <v>1481</v>
      </c>
      <c r="C1" t="s">
        <v>1752</v>
      </c>
      <c r="D1" t="s">
        <v>1753</v>
      </c>
    </row>
  </sheetData>
  <printOptions gridLines="1"/>
  <pageMargins left="0.7" right="0.7" top="0.75" bottom="0.75" header="0.3" footer="0.3"/>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4"/>
  <sheetViews>
    <sheetView workbookViewId="0"/>
  </sheetViews>
  <sheetFormatPr defaultRowHeight="14.25" x14ac:dyDescent="0.2"/>
  <sheetData>
    <row r="1" spans="1:3" x14ac:dyDescent="0.2">
      <c r="A1" t="s">
        <v>1481</v>
      </c>
      <c r="B1" t="s">
        <v>1754</v>
      </c>
      <c r="C1" t="s">
        <v>1689</v>
      </c>
    </row>
    <row r="2" spans="1:3" x14ac:dyDescent="0.2">
      <c r="A2">
        <v>1101</v>
      </c>
      <c r="B2">
        <v>13</v>
      </c>
      <c r="C2">
        <v>11</v>
      </c>
    </row>
    <row r="3" spans="1:3" x14ac:dyDescent="0.2">
      <c r="A3">
        <v>1102</v>
      </c>
      <c r="B3">
        <v>137</v>
      </c>
      <c r="C3">
        <v>11</v>
      </c>
    </row>
    <row r="4" spans="1:3" x14ac:dyDescent="0.2">
      <c r="A4">
        <v>1103</v>
      </c>
      <c r="B4">
        <v>60</v>
      </c>
      <c r="C4">
        <v>11</v>
      </c>
    </row>
  </sheetData>
  <printOptions gridLines="1"/>
  <pageMargins left="0.7" right="0.7" top="0.75" bottom="0.75" header="0.3" footer="0.3"/>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E99"/>
  <sheetViews>
    <sheetView workbookViewId="0"/>
  </sheetViews>
  <sheetFormatPr defaultRowHeight="14.25" x14ac:dyDescent="0.2"/>
  <sheetData>
    <row r="1" spans="1:5" x14ac:dyDescent="0.2">
      <c r="A1" t="s">
        <v>1405</v>
      </c>
      <c r="B1" t="s">
        <v>1481</v>
      </c>
      <c r="C1" t="s">
        <v>1755</v>
      </c>
      <c r="D1" t="s">
        <v>1756</v>
      </c>
      <c r="E1" t="s">
        <v>20</v>
      </c>
    </row>
    <row r="2" spans="1:5" x14ac:dyDescent="0.2">
      <c r="A2" t="s">
        <v>735</v>
      </c>
      <c r="B2" t="s">
        <v>1538</v>
      </c>
      <c r="C2" t="s">
        <v>1103</v>
      </c>
      <c r="D2" t="s">
        <v>193</v>
      </c>
      <c r="E2">
        <v>67.599999999999994</v>
      </c>
    </row>
    <row r="3" spans="1:5" x14ac:dyDescent="0.2">
      <c r="A3" t="s">
        <v>735</v>
      </c>
      <c r="B3" t="s">
        <v>1538</v>
      </c>
      <c r="C3" t="s">
        <v>1103</v>
      </c>
      <c r="D3" t="s">
        <v>1508</v>
      </c>
      <c r="E3">
        <v>64.900000000000006</v>
      </c>
    </row>
    <row r="4" spans="1:5" x14ac:dyDescent="0.2">
      <c r="A4" t="s">
        <v>735</v>
      </c>
      <c r="B4" t="s">
        <v>1538</v>
      </c>
      <c r="C4" t="s">
        <v>1103</v>
      </c>
      <c r="D4" t="s">
        <v>1509</v>
      </c>
      <c r="E4">
        <v>68.3</v>
      </c>
    </row>
    <row r="5" spans="1:5" x14ac:dyDescent="0.2">
      <c r="A5" t="s">
        <v>735</v>
      </c>
      <c r="B5" t="s">
        <v>1538</v>
      </c>
      <c r="C5" t="s">
        <v>1103</v>
      </c>
      <c r="D5" t="s">
        <v>1094</v>
      </c>
      <c r="E5">
        <v>64.8</v>
      </c>
    </row>
    <row r="6" spans="1:5" x14ac:dyDescent="0.2">
      <c r="A6" t="s">
        <v>735</v>
      </c>
      <c r="B6" t="s">
        <v>1538</v>
      </c>
      <c r="C6" t="s">
        <v>1103</v>
      </c>
      <c r="D6" t="s">
        <v>1095</v>
      </c>
      <c r="E6">
        <v>71.5</v>
      </c>
    </row>
    <row r="7" spans="1:5" x14ac:dyDescent="0.2">
      <c r="A7" t="s">
        <v>735</v>
      </c>
      <c r="B7" t="s">
        <v>1538</v>
      </c>
      <c r="C7" t="s">
        <v>1103</v>
      </c>
      <c r="D7" t="s">
        <v>409</v>
      </c>
      <c r="E7">
        <v>70.099999999999994</v>
      </c>
    </row>
    <row r="8" spans="1:5" x14ac:dyDescent="0.2">
      <c r="A8" t="s">
        <v>735</v>
      </c>
      <c r="B8" t="s">
        <v>1538</v>
      </c>
      <c r="C8" t="s">
        <v>1103</v>
      </c>
      <c r="D8" t="s">
        <v>746</v>
      </c>
      <c r="E8">
        <v>77.400000000000006</v>
      </c>
    </row>
    <row r="9" spans="1:5" x14ac:dyDescent="0.2">
      <c r="A9" t="s">
        <v>735</v>
      </c>
      <c r="B9" t="s">
        <v>1538</v>
      </c>
      <c r="C9" t="s">
        <v>1103</v>
      </c>
      <c r="D9" t="s">
        <v>95</v>
      </c>
      <c r="E9">
        <v>62</v>
      </c>
    </row>
    <row r="10" spans="1:5" x14ac:dyDescent="0.2">
      <c r="A10" t="s">
        <v>735</v>
      </c>
      <c r="B10" t="s">
        <v>1538</v>
      </c>
      <c r="C10" t="s">
        <v>1103</v>
      </c>
      <c r="D10" t="s">
        <v>96</v>
      </c>
      <c r="E10">
        <v>85.1</v>
      </c>
    </row>
    <row r="11" spans="1:5" x14ac:dyDescent="0.2">
      <c r="A11" t="s">
        <v>735</v>
      </c>
      <c r="B11" t="s">
        <v>1538</v>
      </c>
      <c r="C11" t="s">
        <v>1103</v>
      </c>
      <c r="D11" t="s">
        <v>351</v>
      </c>
      <c r="E11">
        <v>66.099999999999994</v>
      </c>
    </row>
    <row r="12" spans="1:5" x14ac:dyDescent="0.2">
      <c r="A12" t="s">
        <v>735</v>
      </c>
      <c r="B12" t="s">
        <v>1538</v>
      </c>
      <c r="C12" t="s">
        <v>1103</v>
      </c>
      <c r="D12" t="s">
        <v>205</v>
      </c>
      <c r="E12">
        <v>75.8</v>
      </c>
    </row>
    <row r="13" spans="1:5" x14ac:dyDescent="0.2">
      <c r="A13" t="s">
        <v>735</v>
      </c>
      <c r="B13" t="s">
        <v>1538</v>
      </c>
      <c r="C13" t="s">
        <v>1103</v>
      </c>
      <c r="D13" t="s">
        <v>242</v>
      </c>
      <c r="E13">
        <v>71.7</v>
      </c>
    </row>
    <row r="14" spans="1:5" x14ac:dyDescent="0.2">
      <c r="A14" t="s">
        <v>735</v>
      </c>
      <c r="B14" t="s">
        <v>1538</v>
      </c>
      <c r="C14" t="s">
        <v>1103</v>
      </c>
      <c r="D14" t="s">
        <v>1757</v>
      </c>
      <c r="E14">
        <v>68.3</v>
      </c>
    </row>
    <row r="15" spans="1:5" x14ac:dyDescent="0.2">
      <c r="A15" t="s">
        <v>735</v>
      </c>
      <c r="B15" t="s">
        <v>1538</v>
      </c>
      <c r="C15" t="s">
        <v>1103</v>
      </c>
      <c r="D15" t="s">
        <v>1758</v>
      </c>
      <c r="E15">
        <v>67</v>
      </c>
    </row>
    <row r="16" spans="1:5" x14ac:dyDescent="0.2">
      <c r="A16" t="s">
        <v>735</v>
      </c>
      <c r="B16" t="s">
        <v>1538</v>
      </c>
      <c r="C16" t="s">
        <v>1759</v>
      </c>
      <c r="D16" t="s">
        <v>193</v>
      </c>
      <c r="E16">
        <v>67.599999999999994</v>
      </c>
    </row>
    <row r="17" spans="1:5" x14ac:dyDescent="0.2">
      <c r="A17" t="s">
        <v>735</v>
      </c>
      <c r="B17" t="s">
        <v>1538</v>
      </c>
      <c r="C17" t="s">
        <v>1759</v>
      </c>
      <c r="D17" t="s">
        <v>1508</v>
      </c>
      <c r="E17">
        <v>64.900000000000006</v>
      </c>
    </row>
    <row r="18" spans="1:5" x14ac:dyDescent="0.2">
      <c r="A18" t="s">
        <v>735</v>
      </c>
      <c r="B18" t="s">
        <v>1538</v>
      </c>
      <c r="C18" t="s">
        <v>1759</v>
      </c>
      <c r="D18" t="s">
        <v>1509</v>
      </c>
      <c r="E18">
        <v>68.3</v>
      </c>
    </row>
    <row r="19" spans="1:5" x14ac:dyDescent="0.2">
      <c r="A19" t="s">
        <v>735</v>
      </c>
      <c r="B19" t="s">
        <v>1538</v>
      </c>
      <c r="C19" t="s">
        <v>1759</v>
      </c>
      <c r="D19" t="s">
        <v>1094</v>
      </c>
      <c r="E19">
        <v>64.8</v>
      </c>
    </row>
    <row r="20" spans="1:5" x14ac:dyDescent="0.2">
      <c r="A20" t="s">
        <v>735</v>
      </c>
      <c r="B20" t="s">
        <v>1538</v>
      </c>
      <c r="C20" t="s">
        <v>1759</v>
      </c>
      <c r="D20" t="s">
        <v>1095</v>
      </c>
      <c r="E20">
        <v>71.5</v>
      </c>
    </row>
    <row r="21" spans="1:5" x14ac:dyDescent="0.2">
      <c r="A21" t="s">
        <v>735</v>
      </c>
      <c r="B21" t="s">
        <v>1538</v>
      </c>
      <c r="C21" t="s">
        <v>1759</v>
      </c>
      <c r="D21" t="s">
        <v>409</v>
      </c>
      <c r="E21">
        <v>70.099999999999994</v>
      </c>
    </row>
    <row r="22" spans="1:5" x14ac:dyDescent="0.2">
      <c r="A22" t="s">
        <v>735</v>
      </c>
      <c r="B22" t="s">
        <v>1538</v>
      </c>
      <c r="C22" t="s">
        <v>1759</v>
      </c>
      <c r="D22" t="s">
        <v>746</v>
      </c>
      <c r="E22">
        <v>77.3</v>
      </c>
    </row>
    <row r="23" spans="1:5" x14ac:dyDescent="0.2">
      <c r="A23" t="s">
        <v>735</v>
      </c>
      <c r="B23" t="s">
        <v>1538</v>
      </c>
      <c r="C23" t="s">
        <v>1759</v>
      </c>
      <c r="D23" t="s">
        <v>95</v>
      </c>
      <c r="E23">
        <v>61.9</v>
      </c>
    </row>
    <row r="24" spans="1:5" x14ac:dyDescent="0.2">
      <c r="A24" t="s">
        <v>735</v>
      </c>
      <c r="B24" t="s">
        <v>1538</v>
      </c>
      <c r="C24" t="s">
        <v>1759</v>
      </c>
      <c r="D24" t="s">
        <v>96</v>
      </c>
      <c r="E24">
        <v>85.1</v>
      </c>
    </row>
    <row r="25" spans="1:5" x14ac:dyDescent="0.2">
      <c r="A25" t="s">
        <v>735</v>
      </c>
      <c r="B25" t="s">
        <v>1538</v>
      </c>
      <c r="C25" t="s">
        <v>1759</v>
      </c>
      <c r="D25" t="s">
        <v>351</v>
      </c>
      <c r="E25">
        <v>66</v>
      </c>
    </row>
    <row r="26" spans="1:5" x14ac:dyDescent="0.2">
      <c r="A26" t="s">
        <v>735</v>
      </c>
      <c r="B26" t="s">
        <v>1538</v>
      </c>
      <c r="C26" t="s">
        <v>1759</v>
      </c>
      <c r="D26" t="s">
        <v>205</v>
      </c>
      <c r="E26">
        <v>75.8</v>
      </c>
    </row>
    <row r="27" spans="1:5" x14ac:dyDescent="0.2">
      <c r="A27" t="s">
        <v>735</v>
      </c>
      <c r="B27" t="s">
        <v>1538</v>
      </c>
      <c r="C27" t="s">
        <v>1759</v>
      </c>
      <c r="D27" t="s">
        <v>242</v>
      </c>
      <c r="E27">
        <v>71.7</v>
      </c>
    </row>
    <row r="28" spans="1:5" x14ac:dyDescent="0.2">
      <c r="A28" t="s">
        <v>735</v>
      </c>
      <c r="B28" t="s">
        <v>1538</v>
      </c>
      <c r="C28" t="s">
        <v>1759</v>
      </c>
      <c r="D28" t="s">
        <v>1757</v>
      </c>
      <c r="E28">
        <v>68.3</v>
      </c>
    </row>
    <row r="29" spans="1:5" x14ac:dyDescent="0.2">
      <c r="A29" t="s">
        <v>735</v>
      </c>
      <c r="B29" t="s">
        <v>1538</v>
      </c>
      <c r="C29" t="s">
        <v>1759</v>
      </c>
      <c r="D29" t="s">
        <v>1758</v>
      </c>
      <c r="E29">
        <v>67</v>
      </c>
    </row>
    <row r="30" spans="1:5" x14ac:dyDescent="0.2">
      <c r="A30" t="s">
        <v>735</v>
      </c>
      <c r="B30" t="s">
        <v>1538</v>
      </c>
      <c r="C30" t="s">
        <v>1104</v>
      </c>
      <c r="D30" t="s">
        <v>193</v>
      </c>
      <c r="E30">
        <v>74.599999999999994</v>
      </c>
    </row>
    <row r="31" spans="1:5" x14ac:dyDescent="0.2">
      <c r="A31" t="s">
        <v>735</v>
      </c>
      <c r="B31" t="s">
        <v>1538</v>
      </c>
      <c r="C31" t="s">
        <v>1104</v>
      </c>
      <c r="D31" t="s">
        <v>1508</v>
      </c>
      <c r="E31">
        <v>72.5</v>
      </c>
    </row>
    <row r="32" spans="1:5" x14ac:dyDescent="0.2">
      <c r="A32" t="s">
        <v>735</v>
      </c>
      <c r="B32" t="s">
        <v>1538</v>
      </c>
      <c r="C32" t="s">
        <v>1104</v>
      </c>
      <c r="D32" t="s">
        <v>1509</v>
      </c>
      <c r="E32">
        <v>75.3</v>
      </c>
    </row>
    <row r="33" spans="1:5" x14ac:dyDescent="0.2">
      <c r="A33" t="s">
        <v>735</v>
      </c>
      <c r="B33" t="s">
        <v>1538</v>
      </c>
      <c r="C33" t="s">
        <v>1104</v>
      </c>
      <c r="D33" t="s">
        <v>1094</v>
      </c>
      <c r="E33">
        <v>72.7</v>
      </c>
    </row>
    <row r="34" spans="1:5" x14ac:dyDescent="0.2">
      <c r="A34" t="s">
        <v>735</v>
      </c>
      <c r="B34" t="s">
        <v>1538</v>
      </c>
      <c r="C34" t="s">
        <v>1104</v>
      </c>
      <c r="D34" t="s">
        <v>1095</v>
      </c>
      <c r="E34">
        <v>78.5</v>
      </c>
    </row>
    <row r="35" spans="1:5" x14ac:dyDescent="0.2">
      <c r="A35" t="s">
        <v>735</v>
      </c>
      <c r="B35" t="s">
        <v>1538</v>
      </c>
      <c r="C35" t="s">
        <v>1104</v>
      </c>
      <c r="D35" t="s">
        <v>409</v>
      </c>
      <c r="E35">
        <v>76.400000000000006</v>
      </c>
    </row>
    <row r="36" spans="1:5" x14ac:dyDescent="0.2">
      <c r="A36" t="s">
        <v>735</v>
      </c>
      <c r="B36" t="s">
        <v>1538</v>
      </c>
      <c r="C36" t="s">
        <v>1104</v>
      </c>
      <c r="D36" t="s">
        <v>746</v>
      </c>
      <c r="E36">
        <v>82.4</v>
      </c>
    </row>
    <row r="37" spans="1:5" x14ac:dyDescent="0.2">
      <c r="A37" t="s">
        <v>735</v>
      </c>
      <c r="B37" t="s">
        <v>1538</v>
      </c>
      <c r="C37" t="s">
        <v>1104</v>
      </c>
      <c r="D37" t="s">
        <v>95</v>
      </c>
      <c r="E37">
        <v>69.599999999999994</v>
      </c>
    </row>
    <row r="38" spans="1:5" x14ac:dyDescent="0.2">
      <c r="A38" t="s">
        <v>735</v>
      </c>
      <c r="B38" t="s">
        <v>1538</v>
      </c>
      <c r="C38" t="s">
        <v>1104</v>
      </c>
      <c r="D38" t="s">
        <v>96</v>
      </c>
      <c r="E38">
        <v>89</v>
      </c>
    </row>
    <row r="39" spans="1:5" x14ac:dyDescent="0.2">
      <c r="A39" t="s">
        <v>735</v>
      </c>
      <c r="B39" t="s">
        <v>1538</v>
      </c>
      <c r="C39" t="s">
        <v>1104</v>
      </c>
      <c r="D39" t="s">
        <v>351</v>
      </c>
      <c r="E39">
        <v>71.900000000000006</v>
      </c>
    </row>
    <row r="40" spans="1:5" x14ac:dyDescent="0.2">
      <c r="A40" t="s">
        <v>735</v>
      </c>
      <c r="B40" t="s">
        <v>1538</v>
      </c>
      <c r="C40" t="s">
        <v>1104</v>
      </c>
      <c r="D40" t="s">
        <v>205</v>
      </c>
      <c r="E40">
        <v>83.6</v>
      </c>
    </row>
    <row r="41" spans="1:5" x14ac:dyDescent="0.2">
      <c r="A41" t="s">
        <v>735</v>
      </c>
      <c r="B41" t="s">
        <v>1538</v>
      </c>
      <c r="C41" t="s">
        <v>1104</v>
      </c>
      <c r="D41" t="s">
        <v>242</v>
      </c>
      <c r="E41">
        <v>78.599999999999994</v>
      </c>
    </row>
    <row r="42" spans="1:5" x14ac:dyDescent="0.2">
      <c r="A42" t="s">
        <v>735</v>
      </c>
      <c r="B42" t="s">
        <v>1538</v>
      </c>
      <c r="C42" t="s">
        <v>1104</v>
      </c>
      <c r="D42" t="s">
        <v>1757</v>
      </c>
      <c r="E42">
        <v>74.900000000000006</v>
      </c>
    </row>
    <row r="43" spans="1:5" x14ac:dyDescent="0.2">
      <c r="A43" t="s">
        <v>735</v>
      </c>
      <c r="B43" t="s">
        <v>1538</v>
      </c>
      <c r="C43" t="s">
        <v>1104</v>
      </c>
      <c r="D43" t="s">
        <v>1758</v>
      </c>
      <c r="E43">
        <v>74</v>
      </c>
    </row>
    <row r="44" spans="1:5" x14ac:dyDescent="0.2">
      <c r="A44" t="s">
        <v>735</v>
      </c>
      <c r="B44" t="s">
        <v>1538</v>
      </c>
      <c r="C44" t="s">
        <v>1760</v>
      </c>
      <c r="D44" t="s">
        <v>193</v>
      </c>
      <c r="E44">
        <v>74.599999999999994</v>
      </c>
    </row>
    <row r="45" spans="1:5" x14ac:dyDescent="0.2">
      <c r="A45" t="s">
        <v>735</v>
      </c>
      <c r="B45" t="s">
        <v>1538</v>
      </c>
      <c r="C45" t="s">
        <v>1760</v>
      </c>
      <c r="D45" t="s">
        <v>1508</v>
      </c>
      <c r="E45">
        <v>72.400000000000006</v>
      </c>
    </row>
    <row r="46" spans="1:5" x14ac:dyDescent="0.2">
      <c r="A46" t="s">
        <v>735</v>
      </c>
      <c r="B46" t="s">
        <v>1538</v>
      </c>
      <c r="C46" t="s">
        <v>1760</v>
      </c>
      <c r="D46" t="s">
        <v>1509</v>
      </c>
      <c r="E46">
        <v>75.3</v>
      </c>
    </row>
    <row r="47" spans="1:5" x14ac:dyDescent="0.2">
      <c r="A47" t="s">
        <v>735</v>
      </c>
      <c r="B47" t="s">
        <v>1538</v>
      </c>
      <c r="C47" t="s">
        <v>1760</v>
      </c>
      <c r="D47" t="s">
        <v>1094</v>
      </c>
      <c r="E47">
        <v>72.7</v>
      </c>
    </row>
    <row r="48" spans="1:5" x14ac:dyDescent="0.2">
      <c r="A48" t="s">
        <v>735</v>
      </c>
      <c r="B48" t="s">
        <v>1538</v>
      </c>
      <c r="C48" t="s">
        <v>1760</v>
      </c>
      <c r="D48" t="s">
        <v>1095</v>
      </c>
      <c r="E48">
        <v>78.5</v>
      </c>
    </row>
    <row r="49" spans="1:5" x14ac:dyDescent="0.2">
      <c r="A49" t="s">
        <v>735</v>
      </c>
      <c r="B49" t="s">
        <v>1538</v>
      </c>
      <c r="C49" t="s">
        <v>1760</v>
      </c>
      <c r="D49" t="s">
        <v>409</v>
      </c>
      <c r="E49">
        <v>76.400000000000006</v>
      </c>
    </row>
    <row r="50" spans="1:5" x14ac:dyDescent="0.2">
      <c r="A50" t="s">
        <v>735</v>
      </c>
      <c r="B50" t="s">
        <v>1538</v>
      </c>
      <c r="C50" t="s">
        <v>1760</v>
      </c>
      <c r="D50" t="s">
        <v>746</v>
      </c>
      <c r="E50">
        <v>82.4</v>
      </c>
    </row>
    <row r="51" spans="1:5" x14ac:dyDescent="0.2">
      <c r="A51" t="s">
        <v>735</v>
      </c>
      <c r="B51" t="s">
        <v>1538</v>
      </c>
      <c r="C51" t="s">
        <v>1760</v>
      </c>
      <c r="D51" t="s">
        <v>95</v>
      </c>
      <c r="E51">
        <v>69.599999999999994</v>
      </c>
    </row>
    <row r="52" spans="1:5" x14ac:dyDescent="0.2">
      <c r="A52" t="s">
        <v>735</v>
      </c>
      <c r="B52" t="s">
        <v>1538</v>
      </c>
      <c r="C52" t="s">
        <v>1760</v>
      </c>
      <c r="D52" t="s">
        <v>96</v>
      </c>
      <c r="E52">
        <v>89</v>
      </c>
    </row>
    <row r="53" spans="1:5" x14ac:dyDescent="0.2">
      <c r="A53" t="s">
        <v>735</v>
      </c>
      <c r="B53" t="s">
        <v>1538</v>
      </c>
      <c r="C53" t="s">
        <v>1760</v>
      </c>
      <c r="D53" t="s">
        <v>351</v>
      </c>
      <c r="E53">
        <v>71.8</v>
      </c>
    </row>
    <row r="54" spans="1:5" x14ac:dyDescent="0.2">
      <c r="A54" t="s">
        <v>735</v>
      </c>
      <c r="B54" t="s">
        <v>1538</v>
      </c>
      <c r="C54" t="s">
        <v>1760</v>
      </c>
      <c r="D54" t="s">
        <v>205</v>
      </c>
      <c r="E54">
        <v>83.6</v>
      </c>
    </row>
    <row r="55" spans="1:5" x14ac:dyDescent="0.2">
      <c r="A55" t="s">
        <v>735</v>
      </c>
      <c r="B55" t="s">
        <v>1538</v>
      </c>
      <c r="C55" t="s">
        <v>1760</v>
      </c>
      <c r="D55" t="s">
        <v>242</v>
      </c>
      <c r="E55">
        <v>78.599999999999994</v>
      </c>
    </row>
    <row r="56" spans="1:5" x14ac:dyDescent="0.2">
      <c r="A56" t="s">
        <v>735</v>
      </c>
      <c r="B56" t="s">
        <v>1538</v>
      </c>
      <c r="C56" t="s">
        <v>1760</v>
      </c>
      <c r="D56" t="s">
        <v>1757</v>
      </c>
      <c r="E56">
        <v>74.900000000000006</v>
      </c>
    </row>
    <row r="57" spans="1:5" x14ac:dyDescent="0.2">
      <c r="A57" t="s">
        <v>735</v>
      </c>
      <c r="B57" t="s">
        <v>1538</v>
      </c>
      <c r="C57" t="s">
        <v>1760</v>
      </c>
      <c r="D57" t="s">
        <v>1758</v>
      </c>
      <c r="E57">
        <v>74</v>
      </c>
    </row>
    <row r="58" spans="1:5" x14ac:dyDescent="0.2">
      <c r="A58" t="s">
        <v>735</v>
      </c>
      <c r="B58" t="s">
        <v>1538</v>
      </c>
      <c r="C58" t="s">
        <v>1105</v>
      </c>
      <c r="D58" t="s">
        <v>193</v>
      </c>
      <c r="E58">
        <v>6.4</v>
      </c>
    </row>
    <row r="59" spans="1:5" x14ac:dyDescent="0.2">
      <c r="A59" t="s">
        <v>735</v>
      </c>
      <c r="B59" t="s">
        <v>1538</v>
      </c>
      <c r="C59" t="s">
        <v>1105</v>
      </c>
      <c r="D59" t="s">
        <v>1508</v>
      </c>
      <c r="E59">
        <v>4.5</v>
      </c>
    </row>
    <row r="60" spans="1:5" x14ac:dyDescent="0.2">
      <c r="A60" t="s">
        <v>735</v>
      </c>
      <c r="B60" t="s">
        <v>1538</v>
      </c>
      <c r="C60" t="s">
        <v>1105</v>
      </c>
      <c r="D60" t="s">
        <v>1509</v>
      </c>
      <c r="E60">
        <v>7.1</v>
      </c>
    </row>
    <row r="61" spans="1:5" x14ac:dyDescent="0.2">
      <c r="A61" t="s">
        <v>735</v>
      </c>
      <c r="B61" t="s">
        <v>1538</v>
      </c>
      <c r="C61" t="s">
        <v>1105</v>
      </c>
      <c r="D61" t="s">
        <v>1094</v>
      </c>
      <c r="E61">
        <v>4.3</v>
      </c>
    </row>
    <row r="62" spans="1:5" x14ac:dyDescent="0.2">
      <c r="A62" t="s">
        <v>735</v>
      </c>
      <c r="B62" t="s">
        <v>1538</v>
      </c>
      <c r="C62" t="s">
        <v>1105</v>
      </c>
      <c r="D62" t="s">
        <v>1095</v>
      </c>
      <c r="E62">
        <v>8.1</v>
      </c>
    </row>
    <row r="63" spans="1:5" x14ac:dyDescent="0.2">
      <c r="A63" t="s">
        <v>735</v>
      </c>
      <c r="B63" t="s">
        <v>1538</v>
      </c>
      <c r="C63" t="s">
        <v>1105</v>
      </c>
      <c r="D63" t="s">
        <v>409</v>
      </c>
      <c r="E63">
        <v>8</v>
      </c>
    </row>
    <row r="64" spans="1:5" x14ac:dyDescent="0.2">
      <c r="A64" t="s">
        <v>735</v>
      </c>
      <c r="B64" t="s">
        <v>1538</v>
      </c>
      <c r="C64" t="s">
        <v>1105</v>
      </c>
      <c r="D64" t="s">
        <v>746</v>
      </c>
      <c r="E64">
        <v>10.4</v>
      </c>
    </row>
    <row r="65" spans="1:5" x14ac:dyDescent="0.2">
      <c r="A65" t="s">
        <v>735</v>
      </c>
      <c r="B65" t="s">
        <v>1538</v>
      </c>
      <c r="C65" t="s">
        <v>1105</v>
      </c>
      <c r="D65" t="s">
        <v>95</v>
      </c>
      <c r="E65">
        <v>4.8</v>
      </c>
    </row>
    <row r="66" spans="1:5" x14ac:dyDescent="0.2">
      <c r="A66" t="s">
        <v>735</v>
      </c>
      <c r="B66" t="s">
        <v>1538</v>
      </c>
      <c r="C66" t="s">
        <v>1105</v>
      </c>
      <c r="D66" t="s">
        <v>96</v>
      </c>
      <c r="E66">
        <v>13.8</v>
      </c>
    </row>
    <row r="67" spans="1:5" x14ac:dyDescent="0.2">
      <c r="A67" t="s">
        <v>735</v>
      </c>
      <c r="B67" t="s">
        <v>1538</v>
      </c>
      <c r="C67" t="s">
        <v>1105</v>
      </c>
      <c r="D67" t="s">
        <v>351</v>
      </c>
      <c r="E67">
        <v>2.9</v>
      </c>
    </row>
    <row r="68" spans="1:5" x14ac:dyDescent="0.2">
      <c r="A68" t="s">
        <v>735</v>
      </c>
      <c r="B68" t="s">
        <v>1538</v>
      </c>
      <c r="C68" t="s">
        <v>1105</v>
      </c>
      <c r="D68" t="s">
        <v>205</v>
      </c>
      <c r="E68">
        <v>9</v>
      </c>
    </row>
    <row r="69" spans="1:5" x14ac:dyDescent="0.2">
      <c r="A69" t="s">
        <v>735</v>
      </c>
      <c r="B69" t="s">
        <v>1538</v>
      </c>
      <c r="C69" t="s">
        <v>1105</v>
      </c>
      <c r="D69" t="s">
        <v>242</v>
      </c>
      <c r="E69">
        <v>7.7</v>
      </c>
    </row>
    <row r="70" spans="1:5" x14ac:dyDescent="0.2">
      <c r="A70" t="s">
        <v>735</v>
      </c>
      <c r="B70" t="s">
        <v>1538</v>
      </c>
      <c r="C70" t="s">
        <v>1105</v>
      </c>
      <c r="D70" t="s">
        <v>1757</v>
      </c>
      <c r="E70">
        <v>4.7</v>
      </c>
    </row>
    <row r="71" spans="1:5" x14ac:dyDescent="0.2">
      <c r="A71" t="s">
        <v>735</v>
      </c>
      <c r="B71" t="s">
        <v>1538</v>
      </c>
      <c r="C71" t="s">
        <v>1105</v>
      </c>
      <c r="D71" t="s">
        <v>1758</v>
      </c>
      <c r="E71">
        <v>5.0999999999999996</v>
      </c>
    </row>
    <row r="72" spans="1:5" x14ac:dyDescent="0.2">
      <c r="A72" t="s">
        <v>735</v>
      </c>
      <c r="B72" t="s">
        <v>1538</v>
      </c>
      <c r="C72" t="s">
        <v>1106</v>
      </c>
      <c r="D72" t="s">
        <v>193</v>
      </c>
      <c r="E72">
        <v>8.4</v>
      </c>
    </row>
    <row r="73" spans="1:5" x14ac:dyDescent="0.2">
      <c r="A73" t="s">
        <v>735</v>
      </c>
      <c r="B73" t="s">
        <v>1538</v>
      </c>
      <c r="C73" t="s">
        <v>1106</v>
      </c>
      <c r="D73" t="s">
        <v>1508</v>
      </c>
      <c r="E73">
        <v>6.2</v>
      </c>
    </row>
    <row r="74" spans="1:5" x14ac:dyDescent="0.2">
      <c r="A74" t="s">
        <v>735</v>
      </c>
      <c r="B74" t="s">
        <v>1538</v>
      </c>
      <c r="C74" t="s">
        <v>1106</v>
      </c>
      <c r="D74" t="s">
        <v>1509</v>
      </c>
      <c r="E74">
        <v>9.3000000000000007</v>
      </c>
    </row>
    <row r="75" spans="1:5" x14ac:dyDescent="0.2">
      <c r="A75" t="s">
        <v>735</v>
      </c>
      <c r="B75" t="s">
        <v>1538</v>
      </c>
      <c r="C75" t="s">
        <v>1106</v>
      </c>
      <c r="D75" t="s">
        <v>1094</v>
      </c>
      <c r="E75">
        <v>5.9</v>
      </c>
    </row>
    <row r="76" spans="1:5" x14ac:dyDescent="0.2">
      <c r="A76" t="s">
        <v>735</v>
      </c>
      <c r="B76" t="s">
        <v>1538</v>
      </c>
      <c r="C76" t="s">
        <v>1106</v>
      </c>
      <c r="D76" t="s">
        <v>1095</v>
      </c>
      <c r="E76">
        <v>10.4</v>
      </c>
    </row>
    <row r="77" spans="1:5" x14ac:dyDescent="0.2">
      <c r="A77" t="s">
        <v>735</v>
      </c>
      <c r="B77" t="s">
        <v>1538</v>
      </c>
      <c r="C77" t="s">
        <v>1106</v>
      </c>
      <c r="D77" t="s">
        <v>409</v>
      </c>
      <c r="E77">
        <v>10.3</v>
      </c>
    </row>
    <row r="78" spans="1:5" x14ac:dyDescent="0.2">
      <c r="A78" t="s">
        <v>735</v>
      </c>
      <c r="B78" t="s">
        <v>1538</v>
      </c>
      <c r="C78" t="s">
        <v>1106</v>
      </c>
      <c r="D78" t="s">
        <v>746</v>
      </c>
      <c r="E78">
        <v>13.3</v>
      </c>
    </row>
    <row r="79" spans="1:5" x14ac:dyDescent="0.2">
      <c r="A79" t="s">
        <v>735</v>
      </c>
      <c r="B79" t="s">
        <v>1538</v>
      </c>
      <c r="C79" t="s">
        <v>1106</v>
      </c>
      <c r="D79" t="s">
        <v>95</v>
      </c>
      <c r="E79">
        <v>6.4</v>
      </c>
    </row>
    <row r="80" spans="1:5" x14ac:dyDescent="0.2">
      <c r="A80" t="s">
        <v>735</v>
      </c>
      <c r="B80" t="s">
        <v>1538</v>
      </c>
      <c r="C80" t="s">
        <v>1106</v>
      </c>
      <c r="D80" t="s">
        <v>96</v>
      </c>
      <c r="E80">
        <v>17.5</v>
      </c>
    </row>
    <row r="81" spans="1:5" x14ac:dyDescent="0.2">
      <c r="A81" t="s">
        <v>735</v>
      </c>
      <c r="B81" t="s">
        <v>1538</v>
      </c>
      <c r="C81" t="s">
        <v>1106</v>
      </c>
      <c r="D81" t="s">
        <v>351</v>
      </c>
      <c r="E81">
        <v>4.0999999999999996</v>
      </c>
    </row>
    <row r="82" spans="1:5" x14ac:dyDescent="0.2">
      <c r="A82" t="s">
        <v>735</v>
      </c>
      <c r="B82" t="s">
        <v>1538</v>
      </c>
      <c r="C82" t="s">
        <v>1106</v>
      </c>
      <c r="D82" t="s">
        <v>205</v>
      </c>
      <c r="E82">
        <v>11.8</v>
      </c>
    </row>
    <row r="83" spans="1:5" x14ac:dyDescent="0.2">
      <c r="A83" t="s">
        <v>735</v>
      </c>
      <c r="B83" t="s">
        <v>1538</v>
      </c>
      <c r="C83" t="s">
        <v>1106</v>
      </c>
      <c r="D83" t="s">
        <v>242</v>
      </c>
      <c r="E83">
        <v>10.199999999999999</v>
      </c>
    </row>
    <row r="84" spans="1:5" x14ac:dyDescent="0.2">
      <c r="A84" t="s">
        <v>735</v>
      </c>
      <c r="B84" t="s">
        <v>1538</v>
      </c>
      <c r="C84" t="s">
        <v>1106</v>
      </c>
      <c r="D84" t="s">
        <v>1757</v>
      </c>
      <c r="E84">
        <v>6.6</v>
      </c>
    </row>
    <row r="85" spans="1:5" x14ac:dyDescent="0.2">
      <c r="A85" t="s">
        <v>735</v>
      </c>
      <c r="B85" t="s">
        <v>1538</v>
      </c>
      <c r="C85" t="s">
        <v>1106</v>
      </c>
      <c r="D85" t="s">
        <v>1758</v>
      </c>
      <c r="E85">
        <v>6.9</v>
      </c>
    </row>
    <row r="86" spans="1:5" x14ac:dyDescent="0.2">
      <c r="A86" t="s">
        <v>735</v>
      </c>
      <c r="B86" t="s">
        <v>1538</v>
      </c>
      <c r="C86" t="s">
        <v>1107</v>
      </c>
      <c r="D86" t="s">
        <v>193</v>
      </c>
      <c r="E86">
        <v>19.3</v>
      </c>
    </row>
    <row r="87" spans="1:5" x14ac:dyDescent="0.2">
      <c r="A87" t="s">
        <v>735</v>
      </c>
      <c r="B87" t="s">
        <v>1538</v>
      </c>
      <c r="C87" t="s">
        <v>1107</v>
      </c>
      <c r="D87" t="s">
        <v>1508</v>
      </c>
      <c r="E87">
        <v>16.2</v>
      </c>
    </row>
    <row r="88" spans="1:5" x14ac:dyDescent="0.2">
      <c r="A88" t="s">
        <v>735</v>
      </c>
      <c r="B88" t="s">
        <v>1538</v>
      </c>
      <c r="C88" t="s">
        <v>1107</v>
      </c>
      <c r="D88" t="s">
        <v>1509</v>
      </c>
      <c r="E88">
        <v>20.5</v>
      </c>
    </row>
    <row r="89" spans="1:5" x14ac:dyDescent="0.2">
      <c r="A89" t="s">
        <v>735</v>
      </c>
      <c r="B89" t="s">
        <v>1538</v>
      </c>
      <c r="C89" t="s">
        <v>1107</v>
      </c>
      <c r="D89" t="s">
        <v>1094</v>
      </c>
      <c r="E89">
        <v>15.8</v>
      </c>
    </row>
    <row r="90" spans="1:5" x14ac:dyDescent="0.2">
      <c r="A90" t="s">
        <v>735</v>
      </c>
      <c r="B90" t="s">
        <v>1538</v>
      </c>
      <c r="C90" t="s">
        <v>1107</v>
      </c>
      <c r="D90" t="s">
        <v>1095</v>
      </c>
      <c r="E90">
        <v>21.8</v>
      </c>
    </row>
    <row r="91" spans="1:5" x14ac:dyDescent="0.2">
      <c r="A91" t="s">
        <v>735</v>
      </c>
      <c r="B91" t="s">
        <v>1538</v>
      </c>
      <c r="C91" t="s">
        <v>1107</v>
      </c>
      <c r="D91" t="s">
        <v>409</v>
      </c>
      <c r="E91">
        <v>21.8</v>
      </c>
    </row>
    <row r="92" spans="1:5" x14ac:dyDescent="0.2">
      <c r="A92" t="s">
        <v>735</v>
      </c>
      <c r="B92" t="s">
        <v>1538</v>
      </c>
      <c r="C92" t="s">
        <v>1107</v>
      </c>
      <c r="D92" t="s">
        <v>746</v>
      </c>
      <c r="E92">
        <v>26.5</v>
      </c>
    </row>
    <row r="93" spans="1:5" x14ac:dyDescent="0.2">
      <c r="A93" t="s">
        <v>735</v>
      </c>
      <c r="B93" t="s">
        <v>1538</v>
      </c>
      <c r="C93" t="s">
        <v>1107</v>
      </c>
      <c r="D93" t="s">
        <v>95</v>
      </c>
      <c r="E93">
        <v>15.7</v>
      </c>
    </row>
    <row r="94" spans="1:5" x14ac:dyDescent="0.2">
      <c r="A94" t="s">
        <v>735</v>
      </c>
      <c r="B94" t="s">
        <v>1538</v>
      </c>
      <c r="C94" t="s">
        <v>1107</v>
      </c>
      <c r="D94" t="s">
        <v>96</v>
      </c>
      <c r="E94">
        <v>33.1</v>
      </c>
    </row>
    <row r="95" spans="1:5" x14ac:dyDescent="0.2">
      <c r="A95" t="s">
        <v>735</v>
      </c>
      <c r="B95" t="s">
        <v>1538</v>
      </c>
      <c r="C95" t="s">
        <v>1107</v>
      </c>
      <c r="D95" t="s">
        <v>351</v>
      </c>
      <c r="E95">
        <v>10.3</v>
      </c>
    </row>
    <row r="96" spans="1:5" x14ac:dyDescent="0.2">
      <c r="A96" t="s">
        <v>735</v>
      </c>
      <c r="B96" t="s">
        <v>1538</v>
      </c>
      <c r="C96" t="s">
        <v>1107</v>
      </c>
      <c r="D96" t="s">
        <v>205</v>
      </c>
      <c r="E96">
        <v>26.5</v>
      </c>
    </row>
    <row r="97" spans="1:5" x14ac:dyDescent="0.2">
      <c r="A97" t="s">
        <v>735</v>
      </c>
      <c r="B97" t="s">
        <v>1538</v>
      </c>
      <c r="C97" t="s">
        <v>1107</v>
      </c>
      <c r="D97" t="s">
        <v>242</v>
      </c>
      <c r="E97">
        <v>22.5</v>
      </c>
    </row>
    <row r="98" spans="1:5" x14ac:dyDescent="0.2">
      <c r="A98" t="s">
        <v>735</v>
      </c>
      <c r="B98" t="s">
        <v>1538</v>
      </c>
      <c r="C98" t="s">
        <v>1107</v>
      </c>
      <c r="D98" t="s">
        <v>1757</v>
      </c>
      <c r="E98">
        <v>17.3</v>
      </c>
    </row>
    <row r="99" spans="1:5" x14ac:dyDescent="0.2">
      <c r="A99" t="s">
        <v>735</v>
      </c>
      <c r="B99" t="s">
        <v>1538</v>
      </c>
      <c r="C99" t="s">
        <v>1107</v>
      </c>
      <c r="D99" t="s">
        <v>1758</v>
      </c>
      <c r="E99">
        <v>17</v>
      </c>
    </row>
  </sheetData>
  <printOptions gridLines="1"/>
  <pageMargins left="0.7" right="0.7" top="0.75" bottom="0.75" header="0.3" footer="0.3"/>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1"/>
  <sheetViews>
    <sheetView workbookViewId="0"/>
  </sheetViews>
  <sheetFormatPr defaultRowHeight="14.25" x14ac:dyDescent="0.2"/>
  <sheetData>
    <row r="1" spans="1:9" x14ac:dyDescent="0.2">
      <c r="A1" t="s">
        <v>1674</v>
      </c>
      <c r="B1" t="s">
        <v>1405</v>
      </c>
      <c r="C1" t="s">
        <v>1481</v>
      </c>
      <c r="D1" t="s">
        <v>1761</v>
      </c>
      <c r="E1" t="s">
        <v>496</v>
      </c>
      <c r="F1" t="s">
        <v>1762</v>
      </c>
      <c r="G1" t="s">
        <v>1763</v>
      </c>
      <c r="H1" t="s">
        <v>1764</v>
      </c>
      <c r="I1" t="s">
        <v>1765</v>
      </c>
    </row>
  </sheetData>
  <printOptions gridLines="1"/>
  <pageMargins left="0.7" right="0.7" top="0.75" bottom="0.75" header="0.3" footer="0.3"/>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1"/>
  <sheetViews>
    <sheetView workbookViewId="0"/>
  </sheetViews>
  <sheetFormatPr defaultRowHeight="14.25" x14ac:dyDescent="0.2"/>
  <sheetData>
    <row r="1" spans="1:10" x14ac:dyDescent="0.2">
      <c r="A1" t="s">
        <v>1674</v>
      </c>
      <c r="B1" t="s">
        <v>1405</v>
      </c>
      <c r="C1" t="s">
        <v>1481</v>
      </c>
      <c r="D1" t="s">
        <v>1761</v>
      </c>
      <c r="E1" t="s">
        <v>496</v>
      </c>
      <c r="F1" t="s">
        <v>1766</v>
      </c>
      <c r="G1" t="s">
        <v>1767</v>
      </c>
      <c r="H1" t="s">
        <v>1768</v>
      </c>
      <c r="I1" t="s">
        <v>1769</v>
      </c>
      <c r="J1" t="s">
        <v>1770</v>
      </c>
    </row>
  </sheetData>
  <printOptions gridLines="1"/>
  <pageMargins left="0.7" right="0.7" top="0.75" bottom="0.75" header="0.3" footer="0.3"/>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38"/>
  <sheetViews>
    <sheetView workbookViewId="0"/>
  </sheetViews>
  <sheetFormatPr defaultRowHeight="14.25" x14ac:dyDescent="0.2"/>
  <sheetData>
    <row r="1" spans="1:4" x14ac:dyDescent="0.2">
      <c r="A1" t="s">
        <v>1407</v>
      </c>
      <c r="B1" t="s">
        <v>1443</v>
      </c>
      <c r="C1" t="s">
        <v>1444</v>
      </c>
      <c r="D1" t="s">
        <v>1445</v>
      </c>
    </row>
    <row r="2" spans="1:4" x14ac:dyDescent="0.2">
      <c r="A2">
        <v>1</v>
      </c>
      <c r="B2">
        <v>1437</v>
      </c>
      <c r="C2">
        <v>14978940</v>
      </c>
      <c r="D2" t="s">
        <v>1771</v>
      </c>
    </row>
    <row r="3" spans="1:4" x14ac:dyDescent="0.2">
      <c r="A3">
        <v>1</v>
      </c>
      <c r="B3">
        <v>1438</v>
      </c>
      <c r="C3">
        <v>14173290</v>
      </c>
      <c r="D3" t="s">
        <v>1772</v>
      </c>
    </row>
    <row r="4" spans="1:4" x14ac:dyDescent="0.2">
      <c r="A4">
        <v>1</v>
      </c>
      <c r="B4">
        <v>1439</v>
      </c>
      <c r="C4">
        <v>805650</v>
      </c>
      <c r="D4" t="s">
        <v>1773</v>
      </c>
    </row>
    <row r="5" spans="1:4" x14ac:dyDescent="0.2">
      <c r="A5">
        <v>1</v>
      </c>
      <c r="B5">
        <v>1449</v>
      </c>
      <c r="C5">
        <v>14978940</v>
      </c>
      <c r="D5" t="s">
        <v>1774</v>
      </c>
    </row>
    <row r="6" spans="1:4" x14ac:dyDescent="0.2">
      <c r="A6">
        <v>1</v>
      </c>
      <c r="B6">
        <v>1450</v>
      </c>
      <c r="C6">
        <v>14059395</v>
      </c>
      <c r="D6" t="s">
        <v>1775</v>
      </c>
    </row>
    <row r="7" spans="1:4" x14ac:dyDescent="0.2">
      <c r="A7">
        <v>1</v>
      </c>
      <c r="B7">
        <v>1451</v>
      </c>
      <c r="C7">
        <v>919545</v>
      </c>
      <c r="D7" t="s">
        <v>1776</v>
      </c>
    </row>
    <row r="8" spans="1:4" x14ac:dyDescent="0.2">
      <c r="A8">
        <v>1</v>
      </c>
      <c r="B8">
        <v>1465</v>
      </c>
      <c r="C8">
        <v>14687350</v>
      </c>
      <c r="D8" t="s">
        <v>1777</v>
      </c>
    </row>
    <row r="9" spans="1:4" x14ac:dyDescent="0.2">
      <c r="A9">
        <v>1</v>
      </c>
      <c r="B9">
        <v>1467</v>
      </c>
      <c r="C9">
        <v>3074715</v>
      </c>
      <c r="D9" t="s">
        <v>1778</v>
      </c>
    </row>
    <row r="10" spans="1:4" x14ac:dyDescent="0.2">
      <c r="A10">
        <v>1</v>
      </c>
      <c r="B10">
        <v>1469</v>
      </c>
      <c r="C10">
        <v>14978940</v>
      </c>
      <c r="D10" t="s">
        <v>1779</v>
      </c>
    </row>
    <row r="11" spans="1:4" x14ac:dyDescent="0.2">
      <c r="A11">
        <v>1</v>
      </c>
      <c r="B11">
        <v>1470</v>
      </c>
      <c r="C11">
        <v>4379420</v>
      </c>
      <c r="D11" t="s">
        <v>1780</v>
      </c>
    </row>
    <row r="12" spans="1:4" x14ac:dyDescent="0.2">
      <c r="A12">
        <v>1</v>
      </c>
      <c r="B12">
        <v>1471</v>
      </c>
      <c r="C12">
        <v>2728995</v>
      </c>
      <c r="D12" t="s">
        <v>1781</v>
      </c>
    </row>
    <row r="13" spans="1:4" x14ac:dyDescent="0.2">
      <c r="A13">
        <v>1</v>
      </c>
      <c r="B13">
        <v>1472</v>
      </c>
      <c r="C13">
        <v>595110</v>
      </c>
      <c r="D13" t="s">
        <v>1782</v>
      </c>
    </row>
    <row r="14" spans="1:4" x14ac:dyDescent="0.2">
      <c r="A14">
        <v>1</v>
      </c>
      <c r="B14">
        <v>1473</v>
      </c>
      <c r="C14">
        <v>645465</v>
      </c>
      <c r="D14" t="s">
        <v>1783</v>
      </c>
    </row>
    <row r="15" spans="1:4" x14ac:dyDescent="0.2">
      <c r="A15">
        <v>1</v>
      </c>
      <c r="B15">
        <v>1474</v>
      </c>
      <c r="C15">
        <v>135770</v>
      </c>
      <c r="D15" t="s">
        <v>1784</v>
      </c>
    </row>
    <row r="16" spans="1:4" x14ac:dyDescent="0.2">
      <c r="A16">
        <v>1</v>
      </c>
      <c r="B16">
        <v>1475</v>
      </c>
      <c r="C16">
        <v>199355</v>
      </c>
      <c r="D16" t="s">
        <v>1785</v>
      </c>
    </row>
    <row r="17" spans="1:4" x14ac:dyDescent="0.2">
      <c r="A17">
        <v>1</v>
      </c>
      <c r="B17">
        <v>1476</v>
      </c>
      <c r="C17">
        <v>64095</v>
      </c>
      <c r="D17" t="s">
        <v>1786</v>
      </c>
    </row>
    <row r="18" spans="1:4" x14ac:dyDescent="0.2">
      <c r="A18">
        <v>1</v>
      </c>
      <c r="B18">
        <v>1477</v>
      </c>
      <c r="C18">
        <v>10630</v>
      </c>
      <c r="D18" t="s">
        <v>1787</v>
      </c>
    </row>
    <row r="19" spans="1:4" x14ac:dyDescent="0.2">
      <c r="A19">
        <v>1</v>
      </c>
      <c r="B19">
        <v>1478</v>
      </c>
      <c r="C19">
        <v>10599520</v>
      </c>
      <c r="D19" t="s">
        <v>1788</v>
      </c>
    </row>
    <row r="20" spans="1:4" x14ac:dyDescent="0.2">
      <c r="A20">
        <v>1</v>
      </c>
      <c r="B20">
        <v>1479</v>
      </c>
      <c r="C20">
        <v>14355555</v>
      </c>
      <c r="D20" t="s">
        <v>1789</v>
      </c>
    </row>
    <row r="21" spans="1:4" x14ac:dyDescent="0.2">
      <c r="A21">
        <v>1</v>
      </c>
      <c r="B21">
        <v>1480</v>
      </c>
      <c r="C21">
        <v>1451025</v>
      </c>
      <c r="D21" t="s">
        <v>385</v>
      </c>
    </row>
    <row r="22" spans="1:4" x14ac:dyDescent="0.2">
      <c r="A22">
        <v>1</v>
      </c>
      <c r="B22">
        <v>1481</v>
      </c>
      <c r="C22">
        <v>12904530</v>
      </c>
      <c r="D22" t="s">
        <v>1790</v>
      </c>
    </row>
    <row r="23" spans="1:4" x14ac:dyDescent="0.2">
      <c r="A23">
        <v>1</v>
      </c>
      <c r="B23">
        <v>1482</v>
      </c>
      <c r="C23">
        <v>9807720</v>
      </c>
      <c r="D23" t="s">
        <v>1791</v>
      </c>
    </row>
    <row r="24" spans="1:4" x14ac:dyDescent="0.2">
      <c r="A24">
        <v>1</v>
      </c>
      <c r="B24">
        <v>1483</v>
      </c>
      <c r="C24">
        <v>60</v>
      </c>
      <c r="D24" t="s">
        <v>1792</v>
      </c>
    </row>
    <row r="25" spans="1:4" x14ac:dyDescent="0.2">
      <c r="A25">
        <v>1</v>
      </c>
      <c r="B25">
        <v>1484</v>
      </c>
      <c r="C25">
        <v>14.8</v>
      </c>
      <c r="D25" t="s">
        <v>1793</v>
      </c>
    </row>
    <row r="26" spans="1:4" x14ac:dyDescent="0.2">
      <c r="A26">
        <v>1</v>
      </c>
      <c r="B26">
        <v>1485</v>
      </c>
      <c r="C26">
        <v>5.3</v>
      </c>
      <c r="D26" t="s">
        <v>1794</v>
      </c>
    </row>
    <row r="27" spans="1:4" x14ac:dyDescent="0.2">
      <c r="A27">
        <v>1</v>
      </c>
      <c r="B27">
        <v>1486</v>
      </c>
      <c r="C27">
        <v>1240</v>
      </c>
      <c r="D27" t="s">
        <v>1795</v>
      </c>
    </row>
    <row r="28" spans="1:4" x14ac:dyDescent="0.2">
      <c r="A28">
        <v>1</v>
      </c>
      <c r="B28">
        <v>1487</v>
      </c>
      <c r="C28">
        <v>1498</v>
      </c>
      <c r="D28" t="s">
        <v>1796</v>
      </c>
    </row>
    <row r="29" spans="1:4" x14ac:dyDescent="0.2">
      <c r="A29">
        <v>1</v>
      </c>
      <c r="B29">
        <v>1490</v>
      </c>
      <c r="C29">
        <v>4936850</v>
      </c>
      <c r="D29" t="s">
        <v>1797</v>
      </c>
    </row>
    <row r="30" spans="1:4" x14ac:dyDescent="0.2">
      <c r="A30">
        <v>1</v>
      </c>
      <c r="B30">
        <v>1491</v>
      </c>
      <c r="C30">
        <v>11.7</v>
      </c>
      <c r="D30" t="s">
        <v>1798</v>
      </c>
    </row>
    <row r="31" spans="1:4" x14ac:dyDescent="0.2">
      <c r="A31">
        <v>1</v>
      </c>
      <c r="B31">
        <v>1492</v>
      </c>
      <c r="C31">
        <v>33.200000000000003</v>
      </c>
      <c r="D31" t="s">
        <v>1799</v>
      </c>
    </row>
    <row r="32" spans="1:4" x14ac:dyDescent="0.2">
      <c r="A32">
        <v>1</v>
      </c>
      <c r="B32">
        <v>1493</v>
      </c>
      <c r="C32">
        <v>20</v>
      </c>
      <c r="D32" t="s">
        <v>1794</v>
      </c>
    </row>
    <row r="33" spans="1:4" x14ac:dyDescent="0.2">
      <c r="A33">
        <v>1</v>
      </c>
      <c r="B33">
        <v>1494</v>
      </c>
      <c r="C33">
        <v>1070</v>
      </c>
      <c r="D33" t="s">
        <v>1672</v>
      </c>
    </row>
    <row r="34" spans="1:4" x14ac:dyDescent="0.2">
      <c r="A34">
        <v>1</v>
      </c>
      <c r="B34">
        <v>1495</v>
      </c>
      <c r="C34">
        <v>1209</v>
      </c>
      <c r="D34" t="s">
        <v>1800</v>
      </c>
    </row>
    <row r="35" spans="1:4" x14ac:dyDescent="0.2">
      <c r="A35">
        <v>1</v>
      </c>
      <c r="B35">
        <v>1496</v>
      </c>
      <c r="C35">
        <v>69130</v>
      </c>
      <c r="D35" t="s">
        <v>1801</v>
      </c>
    </row>
    <row r="36" spans="1:4" x14ac:dyDescent="0.2">
      <c r="A36">
        <v>1</v>
      </c>
      <c r="B36">
        <v>1497</v>
      </c>
      <c r="C36">
        <v>5.9</v>
      </c>
      <c r="D36" t="s">
        <v>173</v>
      </c>
    </row>
    <row r="37" spans="1:4" x14ac:dyDescent="0.2">
      <c r="A37">
        <v>1</v>
      </c>
      <c r="B37">
        <v>1498</v>
      </c>
      <c r="C37">
        <v>284</v>
      </c>
      <c r="D37" t="s">
        <v>174</v>
      </c>
    </row>
    <row r="38" spans="1:4" x14ac:dyDescent="0.2">
      <c r="A38">
        <v>1</v>
      </c>
      <c r="B38">
        <v>1499</v>
      </c>
      <c r="C38">
        <v>327</v>
      </c>
      <c r="D38" t="s">
        <v>175</v>
      </c>
    </row>
  </sheetData>
  <printOptions gridLines="1"/>
  <pageMargins left="0.7" right="0.7" top="0.75" bottom="0.75" header="0.3" footer="0.3"/>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K1"/>
  <sheetViews>
    <sheetView workbookViewId="0"/>
  </sheetViews>
  <sheetFormatPr defaultRowHeight="14.25" x14ac:dyDescent="0.2"/>
  <sheetData>
    <row r="1" spans="1:11" x14ac:dyDescent="0.2">
      <c r="A1" t="s">
        <v>1405</v>
      </c>
      <c r="B1" t="s">
        <v>1482</v>
      </c>
      <c r="C1" t="s">
        <v>1710</v>
      </c>
      <c r="D1" t="s">
        <v>496</v>
      </c>
      <c r="E1" t="s">
        <v>497</v>
      </c>
      <c r="F1" t="s">
        <v>498</v>
      </c>
      <c r="G1" t="s">
        <v>499</v>
      </c>
      <c r="H1" t="s">
        <v>500</v>
      </c>
      <c r="I1" t="s">
        <v>501</v>
      </c>
      <c r="J1" t="s">
        <v>502</v>
      </c>
      <c r="K1" t="s">
        <v>503</v>
      </c>
    </row>
  </sheetData>
  <printOptions gridLines="1"/>
  <pageMargins left="0.7" right="0.7" top="0.75" bottom="0.75" header="0.3" footer="0.3"/>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67"/>
  <sheetViews>
    <sheetView workbookViewId="0"/>
  </sheetViews>
  <sheetFormatPr defaultRowHeight="14.25" x14ac:dyDescent="0.2"/>
  <sheetData>
    <row r="1" spans="1:7" x14ac:dyDescent="0.2">
      <c r="A1" t="s">
        <v>1407</v>
      </c>
      <c r="B1" t="s">
        <v>1802</v>
      </c>
      <c r="C1" t="s">
        <v>1753</v>
      </c>
      <c r="D1" t="s">
        <v>1443</v>
      </c>
      <c r="E1" t="s">
        <v>6</v>
      </c>
      <c r="F1" t="s">
        <v>136</v>
      </c>
      <c r="G1" t="s">
        <v>353</v>
      </c>
    </row>
    <row r="2" spans="1:7" x14ac:dyDescent="0.2">
      <c r="A2">
        <v>1</v>
      </c>
      <c r="B2" t="s">
        <v>354</v>
      </c>
      <c r="C2" t="s">
        <v>6</v>
      </c>
      <c r="D2">
        <v>1</v>
      </c>
      <c r="E2">
        <v>35534065</v>
      </c>
      <c r="F2">
        <v>25495190</v>
      </c>
      <c r="G2">
        <v>10038875</v>
      </c>
    </row>
    <row r="3" spans="1:7" x14ac:dyDescent="0.2">
      <c r="A3">
        <v>1</v>
      </c>
      <c r="B3" t="s">
        <v>354</v>
      </c>
      <c r="C3" t="s">
        <v>6</v>
      </c>
      <c r="D3">
        <v>2</v>
      </c>
      <c r="E3">
        <v>6989360</v>
      </c>
      <c r="F3">
        <v>5048120</v>
      </c>
      <c r="G3">
        <v>1941240</v>
      </c>
    </row>
    <row r="4" spans="1:7" x14ac:dyDescent="0.2">
      <c r="A4">
        <v>1</v>
      </c>
      <c r="B4" t="s">
        <v>354</v>
      </c>
      <c r="C4" t="s">
        <v>6</v>
      </c>
      <c r="D4">
        <v>3</v>
      </c>
      <c r="E4">
        <v>2162140</v>
      </c>
      <c r="F4">
        <v>1486850</v>
      </c>
      <c r="G4">
        <v>675295</v>
      </c>
    </row>
    <row r="5" spans="1:7" x14ac:dyDescent="0.2">
      <c r="A5">
        <v>1</v>
      </c>
      <c r="B5" t="s">
        <v>354</v>
      </c>
      <c r="C5" t="s">
        <v>6</v>
      </c>
      <c r="D5">
        <v>4</v>
      </c>
      <c r="E5">
        <v>4827220</v>
      </c>
      <c r="F5">
        <v>3561270</v>
      </c>
      <c r="G5">
        <v>1265945</v>
      </c>
    </row>
    <row r="6" spans="1:7" x14ac:dyDescent="0.2">
      <c r="A6">
        <v>1</v>
      </c>
      <c r="B6" t="s">
        <v>354</v>
      </c>
      <c r="C6" t="s">
        <v>6</v>
      </c>
      <c r="D6">
        <v>5</v>
      </c>
      <c r="E6">
        <v>2899325</v>
      </c>
      <c r="F6">
        <v>1813905</v>
      </c>
      <c r="G6">
        <v>1085420</v>
      </c>
    </row>
    <row r="7" spans="1:7" x14ac:dyDescent="0.2">
      <c r="A7">
        <v>1</v>
      </c>
      <c r="B7" t="s">
        <v>354</v>
      </c>
      <c r="C7" t="s">
        <v>6</v>
      </c>
      <c r="D7">
        <v>6</v>
      </c>
      <c r="E7">
        <v>14132960</v>
      </c>
      <c r="F7">
        <v>9556395</v>
      </c>
      <c r="G7">
        <v>4576570</v>
      </c>
    </row>
    <row r="8" spans="1:7" x14ac:dyDescent="0.2">
      <c r="A8">
        <v>1</v>
      </c>
      <c r="B8" t="s">
        <v>354</v>
      </c>
      <c r="C8" t="s">
        <v>6</v>
      </c>
      <c r="D8">
        <v>7</v>
      </c>
      <c r="E8">
        <v>5044365</v>
      </c>
      <c r="F8">
        <v>4020160</v>
      </c>
      <c r="G8">
        <v>1024195</v>
      </c>
    </row>
    <row r="9" spans="1:7" x14ac:dyDescent="0.2">
      <c r="A9">
        <v>1</v>
      </c>
      <c r="B9" t="s">
        <v>354</v>
      </c>
      <c r="C9" t="s">
        <v>6</v>
      </c>
      <c r="D9">
        <v>8</v>
      </c>
      <c r="E9">
        <v>6468050</v>
      </c>
      <c r="F9">
        <v>5056600</v>
      </c>
      <c r="G9">
        <v>1411450</v>
      </c>
    </row>
    <row r="10" spans="1:7" x14ac:dyDescent="0.2">
      <c r="A10">
        <v>1</v>
      </c>
      <c r="B10" t="s">
        <v>354</v>
      </c>
      <c r="C10" t="s">
        <v>6</v>
      </c>
      <c r="D10">
        <v>10</v>
      </c>
      <c r="E10">
        <v>26335115</v>
      </c>
      <c r="F10">
        <v>19486310</v>
      </c>
      <c r="G10">
        <v>6848805</v>
      </c>
    </row>
    <row r="11" spans="1:7" x14ac:dyDescent="0.2">
      <c r="A11">
        <v>1</v>
      </c>
      <c r="B11" t="s">
        <v>354</v>
      </c>
      <c r="C11" t="s">
        <v>6</v>
      </c>
      <c r="D11">
        <v>11</v>
      </c>
      <c r="E11">
        <v>8305025</v>
      </c>
      <c r="F11">
        <v>5815640</v>
      </c>
      <c r="G11">
        <v>2489385</v>
      </c>
    </row>
    <row r="12" spans="1:7" x14ac:dyDescent="0.2">
      <c r="A12">
        <v>1</v>
      </c>
      <c r="B12" t="s">
        <v>354</v>
      </c>
      <c r="C12" t="s">
        <v>6</v>
      </c>
      <c r="D12">
        <v>12</v>
      </c>
      <c r="E12">
        <v>6989755</v>
      </c>
      <c r="F12">
        <v>5245505</v>
      </c>
      <c r="G12">
        <v>1744255</v>
      </c>
    </row>
    <row r="13" spans="1:7" x14ac:dyDescent="0.2">
      <c r="A13">
        <v>1</v>
      </c>
      <c r="B13" t="s">
        <v>354</v>
      </c>
      <c r="C13" t="s">
        <v>6</v>
      </c>
      <c r="D13">
        <v>13</v>
      </c>
      <c r="E13">
        <v>1315265</v>
      </c>
      <c r="F13">
        <v>570135</v>
      </c>
      <c r="G13">
        <v>745130</v>
      </c>
    </row>
    <row r="14" spans="1:7" x14ac:dyDescent="0.2">
      <c r="A14">
        <v>1</v>
      </c>
      <c r="B14" t="s">
        <v>354</v>
      </c>
      <c r="C14" t="s">
        <v>6</v>
      </c>
      <c r="D14">
        <v>14</v>
      </c>
      <c r="E14">
        <v>893920</v>
      </c>
      <c r="F14">
        <v>193240</v>
      </c>
      <c r="G14">
        <v>700685</v>
      </c>
    </row>
    <row r="15" spans="1:7" x14ac:dyDescent="0.2">
      <c r="A15">
        <v>1</v>
      </c>
      <c r="B15" t="s">
        <v>354</v>
      </c>
      <c r="C15" t="s">
        <v>6</v>
      </c>
      <c r="D15">
        <v>16</v>
      </c>
      <c r="E15">
        <v>9579010</v>
      </c>
      <c r="F15">
        <v>6211885</v>
      </c>
      <c r="G15">
        <v>3367125</v>
      </c>
    </row>
    <row r="16" spans="1:7" x14ac:dyDescent="0.2">
      <c r="A16">
        <v>1</v>
      </c>
      <c r="B16" t="s">
        <v>354</v>
      </c>
      <c r="C16" t="s">
        <v>6</v>
      </c>
      <c r="D16">
        <v>31</v>
      </c>
      <c r="E16">
        <v>1471375</v>
      </c>
      <c r="F16">
        <v>833540</v>
      </c>
      <c r="G16">
        <v>637835</v>
      </c>
    </row>
    <row r="17" spans="1:7" x14ac:dyDescent="0.2">
      <c r="A17">
        <v>1</v>
      </c>
      <c r="B17" t="s">
        <v>354</v>
      </c>
      <c r="C17" t="s">
        <v>6</v>
      </c>
      <c r="D17">
        <v>38</v>
      </c>
      <c r="E17">
        <v>34062685</v>
      </c>
      <c r="F17">
        <v>24661645</v>
      </c>
      <c r="G17">
        <v>9401040</v>
      </c>
    </row>
    <row r="18" spans="1:7" x14ac:dyDescent="0.2">
      <c r="A18">
        <v>1</v>
      </c>
      <c r="B18" t="s">
        <v>354</v>
      </c>
      <c r="C18" t="s">
        <v>6</v>
      </c>
      <c r="D18">
        <v>41</v>
      </c>
      <c r="E18">
        <v>35534065</v>
      </c>
      <c r="F18">
        <v>25495190</v>
      </c>
      <c r="G18">
        <v>10038875</v>
      </c>
    </row>
    <row r="19" spans="1:7" x14ac:dyDescent="0.2">
      <c r="A19">
        <v>1</v>
      </c>
      <c r="B19" t="s">
        <v>354</v>
      </c>
      <c r="C19" t="s">
        <v>6</v>
      </c>
      <c r="D19">
        <v>42</v>
      </c>
      <c r="E19">
        <v>32733860</v>
      </c>
      <c r="F19">
        <v>24481975</v>
      </c>
      <c r="G19">
        <v>8251885</v>
      </c>
    </row>
    <row r="20" spans="1:7" x14ac:dyDescent="0.2">
      <c r="A20">
        <v>1</v>
      </c>
      <c r="B20" t="s">
        <v>354</v>
      </c>
      <c r="C20" t="s">
        <v>6</v>
      </c>
      <c r="D20">
        <v>43</v>
      </c>
      <c r="E20">
        <v>2800205</v>
      </c>
      <c r="F20">
        <v>1013210</v>
      </c>
      <c r="G20">
        <v>1786985</v>
      </c>
    </row>
    <row r="21" spans="1:7" x14ac:dyDescent="0.2">
      <c r="A21">
        <v>1</v>
      </c>
      <c r="B21" t="s">
        <v>354</v>
      </c>
      <c r="C21" t="s">
        <v>6</v>
      </c>
      <c r="D21">
        <v>44</v>
      </c>
      <c r="E21">
        <v>28932900</v>
      </c>
      <c r="F21">
        <v>20741970</v>
      </c>
      <c r="G21">
        <v>8190930</v>
      </c>
    </row>
    <row r="22" spans="1:7" x14ac:dyDescent="0.2">
      <c r="A22">
        <v>1</v>
      </c>
      <c r="B22" t="s">
        <v>354</v>
      </c>
      <c r="C22" t="s">
        <v>6</v>
      </c>
      <c r="D22">
        <v>45</v>
      </c>
      <c r="E22">
        <v>28493860</v>
      </c>
      <c r="F22">
        <v>20406145</v>
      </c>
      <c r="G22">
        <v>8087715</v>
      </c>
    </row>
    <row r="23" spans="1:7" x14ac:dyDescent="0.2">
      <c r="A23">
        <v>1</v>
      </c>
      <c r="B23" t="s">
        <v>354</v>
      </c>
      <c r="C23" t="s">
        <v>6</v>
      </c>
      <c r="D23">
        <v>46</v>
      </c>
      <c r="E23">
        <v>439040</v>
      </c>
      <c r="F23">
        <v>335825</v>
      </c>
      <c r="G23">
        <v>103210</v>
      </c>
    </row>
    <row r="24" spans="1:7" x14ac:dyDescent="0.2">
      <c r="A24">
        <v>1</v>
      </c>
      <c r="B24" t="s">
        <v>1803</v>
      </c>
      <c r="C24" t="s">
        <v>6</v>
      </c>
      <c r="D24">
        <v>1</v>
      </c>
      <c r="E24">
        <v>17527395</v>
      </c>
      <c r="F24">
        <v>12627670</v>
      </c>
      <c r="G24">
        <v>4899725</v>
      </c>
    </row>
    <row r="25" spans="1:7" x14ac:dyDescent="0.2">
      <c r="A25">
        <v>1</v>
      </c>
      <c r="B25" t="s">
        <v>1803</v>
      </c>
      <c r="C25" t="s">
        <v>6</v>
      </c>
      <c r="D25">
        <v>2</v>
      </c>
      <c r="E25">
        <v>3592155</v>
      </c>
      <c r="F25">
        <v>2593795</v>
      </c>
      <c r="G25">
        <v>998360</v>
      </c>
    </row>
    <row r="26" spans="1:7" x14ac:dyDescent="0.2">
      <c r="A26">
        <v>1</v>
      </c>
      <c r="B26" t="s">
        <v>1803</v>
      </c>
      <c r="C26" t="s">
        <v>6</v>
      </c>
      <c r="D26">
        <v>3</v>
      </c>
      <c r="E26">
        <v>1109060</v>
      </c>
      <c r="F26">
        <v>763760</v>
      </c>
      <c r="G26">
        <v>345300</v>
      </c>
    </row>
    <row r="27" spans="1:7" x14ac:dyDescent="0.2">
      <c r="A27">
        <v>1</v>
      </c>
      <c r="B27" t="s">
        <v>1803</v>
      </c>
      <c r="C27" t="s">
        <v>6</v>
      </c>
      <c r="D27">
        <v>4</v>
      </c>
      <c r="E27">
        <v>2483095</v>
      </c>
      <c r="F27">
        <v>1830035</v>
      </c>
      <c r="G27">
        <v>653060</v>
      </c>
    </row>
    <row r="28" spans="1:7" x14ac:dyDescent="0.2">
      <c r="A28">
        <v>1</v>
      </c>
      <c r="B28" t="s">
        <v>1803</v>
      </c>
      <c r="C28" t="s">
        <v>6</v>
      </c>
      <c r="D28">
        <v>5</v>
      </c>
      <c r="E28">
        <v>1496805</v>
      </c>
      <c r="F28">
        <v>950370</v>
      </c>
      <c r="G28">
        <v>546430</v>
      </c>
    </row>
    <row r="29" spans="1:7" x14ac:dyDescent="0.2">
      <c r="A29">
        <v>1</v>
      </c>
      <c r="B29" t="s">
        <v>1803</v>
      </c>
      <c r="C29" t="s">
        <v>6</v>
      </c>
      <c r="D29">
        <v>6</v>
      </c>
      <c r="E29">
        <v>6963000</v>
      </c>
      <c r="F29">
        <v>4692795</v>
      </c>
      <c r="G29">
        <v>2270210</v>
      </c>
    </row>
    <row r="30" spans="1:7" x14ac:dyDescent="0.2">
      <c r="A30">
        <v>1</v>
      </c>
      <c r="B30" t="s">
        <v>1803</v>
      </c>
      <c r="C30" t="s">
        <v>6</v>
      </c>
      <c r="D30">
        <v>7</v>
      </c>
      <c r="E30">
        <v>2458210</v>
      </c>
      <c r="F30">
        <v>1958485</v>
      </c>
      <c r="G30">
        <v>499725</v>
      </c>
    </row>
    <row r="31" spans="1:7" x14ac:dyDescent="0.2">
      <c r="A31">
        <v>1</v>
      </c>
      <c r="B31" t="s">
        <v>1803</v>
      </c>
      <c r="C31" t="s">
        <v>6</v>
      </c>
      <c r="D31">
        <v>8</v>
      </c>
      <c r="E31">
        <v>3017230</v>
      </c>
      <c r="F31">
        <v>2432225</v>
      </c>
      <c r="G31">
        <v>585000</v>
      </c>
    </row>
    <row r="32" spans="1:7" x14ac:dyDescent="0.2">
      <c r="A32">
        <v>1</v>
      </c>
      <c r="B32" t="s">
        <v>1803</v>
      </c>
      <c r="C32" t="s">
        <v>6</v>
      </c>
      <c r="D32">
        <v>10</v>
      </c>
      <c r="E32">
        <v>13096125</v>
      </c>
      <c r="F32">
        <v>9770940</v>
      </c>
      <c r="G32">
        <v>3325185</v>
      </c>
    </row>
    <row r="33" spans="1:7" x14ac:dyDescent="0.2">
      <c r="A33">
        <v>1</v>
      </c>
      <c r="B33" t="s">
        <v>1803</v>
      </c>
      <c r="C33" t="s">
        <v>6</v>
      </c>
      <c r="D33">
        <v>11</v>
      </c>
      <c r="E33">
        <v>3948600</v>
      </c>
      <c r="F33">
        <v>2760125</v>
      </c>
      <c r="G33">
        <v>1188470</v>
      </c>
    </row>
    <row r="34" spans="1:7" x14ac:dyDescent="0.2">
      <c r="A34">
        <v>1</v>
      </c>
      <c r="B34" t="s">
        <v>1803</v>
      </c>
      <c r="C34" t="s">
        <v>6</v>
      </c>
      <c r="D34">
        <v>12</v>
      </c>
      <c r="E34">
        <v>3310220</v>
      </c>
      <c r="F34">
        <v>2493480</v>
      </c>
      <c r="G34">
        <v>816740</v>
      </c>
    </row>
    <row r="35" spans="1:7" x14ac:dyDescent="0.2">
      <c r="A35">
        <v>1</v>
      </c>
      <c r="B35" t="s">
        <v>1803</v>
      </c>
      <c r="C35" t="s">
        <v>6</v>
      </c>
      <c r="D35">
        <v>13</v>
      </c>
      <c r="E35">
        <v>638380</v>
      </c>
      <c r="F35">
        <v>266645</v>
      </c>
      <c r="G35">
        <v>371735</v>
      </c>
    </row>
    <row r="36" spans="1:7" x14ac:dyDescent="0.2">
      <c r="A36">
        <v>1</v>
      </c>
      <c r="B36" t="s">
        <v>1803</v>
      </c>
      <c r="C36" t="s">
        <v>6</v>
      </c>
      <c r="D36">
        <v>14</v>
      </c>
      <c r="E36">
        <v>482675</v>
      </c>
      <c r="F36">
        <v>96605</v>
      </c>
      <c r="G36">
        <v>386065</v>
      </c>
    </row>
    <row r="37" spans="1:7" x14ac:dyDescent="0.2">
      <c r="A37">
        <v>1</v>
      </c>
      <c r="B37" t="s">
        <v>1803</v>
      </c>
      <c r="C37" t="s">
        <v>6</v>
      </c>
      <c r="D37">
        <v>16</v>
      </c>
      <c r="E37">
        <v>4681620</v>
      </c>
      <c r="F37">
        <v>3011680</v>
      </c>
      <c r="G37">
        <v>1669950</v>
      </c>
    </row>
    <row r="38" spans="1:7" x14ac:dyDescent="0.2">
      <c r="A38">
        <v>1</v>
      </c>
      <c r="B38" t="s">
        <v>1803</v>
      </c>
      <c r="C38" t="s">
        <v>6</v>
      </c>
      <c r="D38">
        <v>31</v>
      </c>
      <c r="E38">
        <v>709035</v>
      </c>
      <c r="F38">
        <v>411045</v>
      </c>
      <c r="G38">
        <v>297985</v>
      </c>
    </row>
    <row r="39" spans="1:7" x14ac:dyDescent="0.2">
      <c r="A39">
        <v>1</v>
      </c>
      <c r="B39" t="s">
        <v>1803</v>
      </c>
      <c r="C39" t="s">
        <v>6</v>
      </c>
      <c r="D39">
        <v>38</v>
      </c>
      <c r="E39">
        <v>16818365</v>
      </c>
      <c r="F39">
        <v>12216625</v>
      </c>
      <c r="G39">
        <v>4601740</v>
      </c>
    </row>
    <row r="40" spans="1:7" x14ac:dyDescent="0.2">
      <c r="A40">
        <v>1</v>
      </c>
      <c r="B40" t="s">
        <v>1803</v>
      </c>
      <c r="C40" t="s">
        <v>6</v>
      </c>
      <c r="D40">
        <v>41</v>
      </c>
      <c r="E40">
        <v>17527395</v>
      </c>
      <c r="F40">
        <v>12627670</v>
      </c>
      <c r="G40">
        <v>4899725</v>
      </c>
    </row>
    <row r="41" spans="1:7" x14ac:dyDescent="0.2">
      <c r="A41">
        <v>1</v>
      </c>
      <c r="B41" t="s">
        <v>1803</v>
      </c>
      <c r="C41" t="s">
        <v>6</v>
      </c>
      <c r="D41">
        <v>42</v>
      </c>
      <c r="E41">
        <v>16131420</v>
      </c>
      <c r="F41">
        <v>12125080</v>
      </c>
      <c r="G41">
        <v>4006335</v>
      </c>
    </row>
    <row r="42" spans="1:7" x14ac:dyDescent="0.2">
      <c r="A42">
        <v>1</v>
      </c>
      <c r="B42" t="s">
        <v>1803</v>
      </c>
      <c r="C42" t="s">
        <v>6</v>
      </c>
      <c r="D42">
        <v>43</v>
      </c>
      <c r="E42">
        <v>1395985</v>
      </c>
      <c r="F42">
        <v>502595</v>
      </c>
      <c r="G42">
        <v>893390</v>
      </c>
    </row>
    <row r="43" spans="1:7" x14ac:dyDescent="0.2">
      <c r="A43">
        <v>1</v>
      </c>
      <c r="B43" t="s">
        <v>1803</v>
      </c>
      <c r="C43" t="s">
        <v>6</v>
      </c>
      <c r="D43">
        <v>44</v>
      </c>
      <c r="E43">
        <v>14136215</v>
      </c>
      <c r="F43">
        <v>10186635</v>
      </c>
      <c r="G43">
        <v>3949575</v>
      </c>
    </row>
    <row r="44" spans="1:7" x14ac:dyDescent="0.2">
      <c r="A44">
        <v>1</v>
      </c>
      <c r="B44" t="s">
        <v>1803</v>
      </c>
      <c r="C44" t="s">
        <v>6</v>
      </c>
      <c r="D44">
        <v>45</v>
      </c>
      <c r="E44">
        <v>13766900</v>
      </c>
      <c r="F44">
        <v>9903775</v>
      </c>
      <c r="G44">
        <v>3863130</v>
      </c>
    </row>
    <row r="45" spans="1:7" x14ac:dyDescent="0.2">
      <c r="A45">
        <v>1</v>
      </c>
      <c r="B45" t="s">
        <v>1803</v>
      </c>
      <c r="C45" t="s">
        <v>6</v>
      </c>
      <c r="D45">
        <v>46</v>
      </c>
      <c r="E45">
        <v>369305</v>
      </c>
      <c r="F45">
        <v>282860</v>
      </c>
      <c r="G45">
        <v>86450</v>
      </c>
    </row>
    <row r="46" spans="1:7" x14ac:dyDescent="0.2">
      <c r="A46">
        <v>1</v>
      </c>
      <c r="B46" t="s">
        <v>1804</v>
      </c>
      <c r="C46" t="s">
        <v>6</v>
      </c>
      <c r="D46">
        <v>1</v>
      </c>
      <c r="E46">
        <v>18006660</v>
      </c>
      <c r="F46">
        <v>12867515</v>
      </c>
      <c r="G46">
        <v>5139150</v>
      </c>
    </row>
    <row r="47" spans="1:7" x14ac:dyDescent="0.2">
      <c r="A47">
        <v>1</v>
      </c>
      <c r="B47" t="s">
        <v>1804</v>
      </c>
      <c r="C47" t="s">
        <v>6</v>
      </c>
      <c r="D47">
        <v>2</v>
      </c>
      <c r="E47">
        <v>3397210</v>
      </c>
      <c r="F47">
        <v>2454330</v>
      </c>
      <c r="G47">
        <v>942880</v>
      </c>
    </row>
    <row r="48" spans="1:7" x14ac:dyDescent="0.2">
      <c r="A48">
        <v>1</v>
      </c>
      <c r="B48" t="s">
        <v>1804</v>
      </c>
      <c r="C48" t="s">
        <v>6</v>
      </c>
      <c r="D48">
        <v>3</v>
      </c>
      <c r="E48">
        <v>1053085</v>
      </c>
      <c r="F48">
        <v>723090</v>
      </c>
      <c r="G48">
        <v>329990</v>
      </c>
    </row>
    <row r="49" spans="1:7" x14ac:dyDescent="0.2">
      <c r="A49">
        <v>1</v>
      </c>
      <c r="B49" t="s">
        <v>1804</v>
      </c>
      <c r="C49" t="s">
        <v>6</v>
      </c>
      <c r="D49">
        <v>4</v>
      </c>
      <c r="E49">
        <v>2344125</v>
      </c>
      <c r="F49">
        <v>1731240</v>
      </c>
      <c r="G49">
        <v>612885</v>
      </c>
    </row>
    <row r="50" spans="1:7" x14ac:dyDescent="0.2">
      <c r="A50">
        <v>1</v>
      </c>
      <c r="B50" t="s">
        <v>1804</v>
      </c>
      <c r="C50" t="s">
        <v>6</v>
      </c>
      <c r="D50">
        <v>5</v>
      </c>
      <c r="E50">
        <v>1402520</v>
      </c>
      <c r="F50">
        <v>863525</v>
      </c>
      <c r="G50">
        <v>538995</v>
      </c>
    </row>
    <row r="51" spans="1:7" x14ac:dyDescent="0.2">
      <c r="A51">
        <v>1</v>
      </c>
      <c r="B51" t="s">
        <v>1804</v>
      </c>
      <c r="C51" t="s">
        <v>6</v>
      </c>
      <c r="D51">
        <v>6</v>
      </c>
      <c r="E51">
        <v>7169960</v>
      </c>
      <c r="F51">
        <v>4863605</v>
      </c>
      <c r="G51">
        <v>2306355</v>
      </c>
    </row>
    <row r="52" spans="1:7" x14ac:dyDescent="0.2">
      <c r="A52">
        <v>1</v>
      </c>
      <c r="B52" t="s">
        <v>1804</v>
      </c>
      <c r="C52" t="s">
        <v>6</v>
      </c>
      <c r="D52">
        <v>7</v>
      </c>
      <c r="E52">
        <v>2586145</v>
      </c>
      <c r="F52">
        <v>2061675</v>
      </c>
      <c r="G52">
        <v>524470</v>
      </c>
    </row>
    <row r="53" spans="1:7" x14ac:dyDescent="0.2">
      <c r="A53">
        <v>1</v>
      </c>
      <c r="B53" t="s">
        <v>1804</v>
      </c>
      <c r="C53" t="s">
        <v>6</v>
      </c>
      <c r="D53">
        <v>8</v>
      </c>
      <c r="E53">
        <v>3450825</v>
      </c>
      <c r="F53">
        <v>2624380</v>
      </c>
      <c r="G53">
        <v>826445</v>
      </c>
    </row>
    <row r="54" spans="1:7" x14ac:dyDescent="0.2">
      <c r="A54">
        <v>1</v>
      </c>
      <c r="B54" t="s">
        <v>1804</v>
      </c>
      <c r="C54" t="s">
        <v>6</v>
      </c>
      <c r="D54">
        <v>10</v>
      </c>
      <c r="E54">
        <v>13238990</v>
      </c>
      <c r="F54">
        <v>9715370</v>
      </c>
      <c r="G54">
        <v>3523615</v>
      </c>
    </row>
    <row r="55" spans="1:7" x14ac:dyDescent="0.2">
      <c r="A55">
        <v>1</v>
      </c>
      <c r="B55" t="s">
        <v>1804</v>
      </c>
      <c r="C55" t="s">
        <v>6</v>
      </c>
      <c r="D55">
        <v>11</v>
      </c>
      <c r="E55">
        <v>4356425</v>
      </c>
      <c r="F55">
        <v>3055515</v>
      </c>
      <c r="G55">
        <v>1300915</v>
      </c>
    </row>
    <row r="56" spans="1:7" x14ac:dyDescent="0.2">
      <c r="A56">
        <v>1</v>
      </c>
      <c r="B56" t="s">
        <v>1804</v>
      </c>
      <c r="C56" t="s">
        <v>6</v>
      </c>
      <c r="D56">
        <v>12</v>
      </c>
      <c r="E56">
        <v>3679535</v>
      </c>
      <c r="F56">
        <v>2752025</v>
      </c>
      <c r="G56">
        <v>927515</v>
      </c>
    </row>
    <row r="57" spans="1:7" x14ac:dyDescent="0.2">
      <c r="A57">
        <v>1</v>
      </c>
      <c r="B57" t="s">
        <v>1804</v>
      </c>
      <c r="C57" t="s">
        <v>6</v>
      </c>
      <c r="D57">
        <v>13</v>
      </c>
      <c r="E57">
        <v>676890</v>
      </c>
      <c r="F57">
        <v>303490</v>
      </c>
      <c r="G57">
        <v>373400</v>
      </c>
    </row>
    <row r="58" spans="1:7" x14ac:dyDescent="0.2">
      <c r="A58">
        <v>1</v>
      </c>
      <c r="B58" t="s">
        <v>1804</v>
      </c>
      <c r="C58" t="s">
        <v>6</v>
      </c>
      <c r="D58">
        <v>14</v>
      </c>
      <c r="E58">
        <v>411250</v>
      </c>
      <c r="F58">
        <v>96630</v>
      </c>
      <c r="G58">
        <v>314615</v>
      </c>
    </row>
    <row r="59" spans="1:7" x14ac:dyDescent="0.2">
      <c r="A59">
        <v>1</v>
      </c>
      <c r="B59" t="s">
        <v>1804</v>
      </c>
      <c r="C59" t="s">
        <v>6</v>
      </c>
      <c r="D59">
        <v>16</v>
      </c>
      <c r="E59">
        <v>4897390</v>
      </c>
      <c r="F59">
        <v>3200210</v>
      </c>
      <c r="G59">
        <v>1697175</v>
      </c>
    </row>
    <row r="60" spans="1:7" x14ac:dyDescent="0.2">
      <c r="A60">
        <v>1</v>
      </c>
      <c r="B60" t="s">
        <v>1804</v>
      </c>
      <c r="C60" t="s">
        <v>6</v>
      </c>
      <c r="D60">
        <v>31</v>
      </c>
      <c r="E60">
        <v>762345</v>
      </c>
      <c r="F60">
        <v>422500</v>
      </c>
      <c r="G60">
        <v>339850</v>
      </c>
    </row>
    <row r="61" spans="1:7" x14ac:dyDescent="0.2">
      <c r="A61">
        <v>1</v>
      </c>
      <c r="B61" t="s">
        <v>1804</v>
      </c>
      <c r="C61" t="s">
        <v>6</v>
      </c>
      <c r="D61">
        <v>38</v>
      </c>
      <c r="E61">
        <v>17244320</v>
      </c>
      <c r="F61">
        <v>12445020</v>
      </c>
      <c r="G61">
        <v>4799300</v>
      </c>
    </row>
    <row r="62" spans="1:7" x14ac:dyDescent="0.2">
      <c r="A62">
        <v>1</v>
      </c>
      <c r="B62" t="s">
        <v>1804</v>
      </c>
      <c r="C62" t="s">
        <v>6</v>
      </c>
      <c r="D62">
        <v>41</v>
      </c>
      <c r="E62">
        <v>18006660</v>
      </c>
      <c r="F62">
        <v>12867515</v>
      </c>
      <c r="G62">
        <v>5139150</v>
      </c>
    </row>
    <row r="63" spans="1:7" x14ac:dyDescent="0.2">
      <c r="A63">
        <v>1</v>
      </c>
      <c r="B63" t="s">
        <v>1804</v>
      </c>
      <c r="C63" t="s">
        <v>6</v>
      </c>
      <c r="D63">
        <v>42</v>
      </c>
      <c r="E63">
        <v>16602445</v>
      </c>
      <c r="F63">
        <v>12356895</v>
      </c>
      <c r="G63">
        <v>4245545</v>
      </c>
    </row>
    <row r="64" spans="1:7" x14ac:dyDescent="0.2">
      <c r="A64">
        <v>1</v>
      </c>
      <c r="B64" t="s">
        <v>1804</v>
      </c>
      <c r="C64" t="s">
        <v>6</v>
      </c>
      <c r="D64">
        <v>43</v>
      </c>
      <c r="E64">
        <v>1404220</v>
      </c>
      <c r="F64">
        <v>510620</v>
      </c>
      <c r="G64">
        <v>893600</v>
      </c>
    </row>
    <row r="65" spans="1:7" x14ac:dyDescent="0.2">
      <c r="A65">
        <v>1</v>
      </c>
      <c r="B65" t="s">
        <v>1804</v>
      </c>
      <c r="C65" t="s">
        <v>6</v>
      </c>
      <c r="D65">
        <v>44</v>
      </c>
      <c r="E65">
        <v>14796690</v>
      </c>
      <c r="F65">
        <v>10555340</v>
      </c>
      <c r="G65">
        <v>4241355</v>
      </c>
    </row>
    <row r="66" spans="1:7" x14ac:dyDescent="0.2">
      <c r="A66">
        <v>1</v>
      </c>
      <c r="B66" t="s">
        <v>1804</v>
      </c>
      <c r="C66" t="s">
        <v>6</v>
      </c>
      <c r="D66">
        <v>45</v>
      </c>
      <c r="E66">
        <v>14726960</v>
      </c>
      <c r="F66">
        <v>10502370</v>
      </c>
      <c r="G66">
        <v>4224590</v>
      </c>
    </row>
    <row r="67" spans="1:7" x14ac:dyDescent="0.2">
      <c r="A67">
        <v>1</v>
      </c>
      <c r="B67" t="s">
        <v>1804</v>
      </c>
      <c r="C67" t="s">
        <v>6</v>
      </c>
      <c r="D67">
        <v>46</v>
      </c>
      <c r="E67">
        <v>69730</v>
      </c>
      <c r="F67">
        <v>52965</v>
      </c>
      <c r="G67">
        <v>16765</v>
      </c>
    </row>
  </sheetData>
  <printOptions gridLines="1"/>
  <pageMargins left="0.7" right="0.7" top="0.75" bottom="0.75" header="0.3" footer="0.3"/>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253"/>
  <sheetViews>
    <sheetView workbookViewId="0"/>
  </sheetViews>
  <sheetFormatPr defaultRowHeight="14.25" x14ac:dyDescent="0.2"/>
  <sheetData>
    <row r="1" spans="1:7" x14ac:dyDescent="0.2">
      <c r="A1" t="s">
        <v>1407</v>
      </c>
      <c r="B1" t="s">
        <v>1802</v>
      </c>
      <c r="C1" t="s">
        <v>1753</v>
      </c>
      <c r="D1" t="s">
        <v>1443</v>
      </c>
      <c r="E1" t="s">
        <v>6</v>
      </c>
      <c r="F1" t="s">
        <v>136</v>
      </c>
      <c r="G1" t="s">
        <v>353</v>
      </c>
    </row>
    <row r="2" spans="1:7" x14ac:dyDescent="0.2">
      <c r="A2">
        <v>1</v>
      </c>
      <c r="B2" t="s">
        <v>354</v>
      </c>
      <c r="C2" t="s">
        <v>6</v>
      </c>
      <c r="D2">
        <v>1</v>
      </c>
      <c r="E2">
        <v>14687345</v>
      </c>
      <c r="F2">
        <v>9787425</v>
      </c>
      <c r="G2">
        <v>4899925</v>
      </c>
    </row>
    <row r="3" spans="1:7" x14ac:dyDescent="0.2">
      <c r="A3">
        <v>1</v>
      </c>
      <c r="B3" t="s">
        <v>354</v>
      </c>
      <c r="C3" t="s">
        <v>6</v>
      </c>
      <c r="D3">
        <v>2</v>
      </c>
      <c r="E3">
        <v>2945</v>
      </c>
      <c r="F3">
        <v>1000</v>
      </c>
      <c r="G3">
        <v>1940</v>
      </c>
    </row>
    <row r="4" spans="1:7" x14ac:dyDescent="0.2">
      <c r="A4">
        <v>1</v>
      </c>
      <c r="B4" t="s">
        <v>354</v>
      </c>
      <c r="C4" t="s">
        <v>6</v>
      </c>
      <c r="D4">
        <v>4</v>
      </c>
      <c r="E4">
        <v>2945</v>
      </c>
      <c r="F4">
        <v>1000</v>
      </c>
      <c r="G4">
        <v>1940</v>
      </c>
    </row>
    <row r="5" spans="1:7" x14ac:dyDescent="0.2">
      <c r="A5">
        <v>1</v>
      </c>
      <c r="B5" t="s">
        <v>354</v>
      </c>
      <c r="C5" t="s">
        <v>6</v>
      </c>
      <c r="D5">
        <v>5</v>
      </c>
      <c r="E5">
        <v>407570</v>
      </c>
      <c r="F5">
        <v>75250</v>
      </c>
      <c r="G5">
        <v>332325</v>
      </c>
    </row>
    <row r="6" spans="1:7" x14ac:dyDescent="0.2">
      <c r="A6">
        <v>1</v>
      </c>
      <c r="B6" t="s">
        <v>354</v>
      </c>
      <c r="C6" t="s">
        <v>6</v>
      </c>
      <c r="D6">
        <v>6</v>
      </c>
      <c r="E6">
        <v>7191425</v>
      </c>
      <c r="F6">
        <v>4450500</v>
      </c>
      <c r="G6">
        <v>2740930</v>
      </c>
    </row>
    <row r="7" spans="1:7" x14ac:dyDescent="0.2">
      <c r="A7">
        <v>1</v>
      </c>
      <c r="B7" t="s">
        <v>354</v>
      </c>
      <c r="C7" t="s">
        <v>6</v>
      </c>
      <c r="D7">
        <v>7</v>
      </c>
      <c r="E7">
        <v>2977575</v>
      </c>
      <c r="F7">
        <v>2236860</v>
      </c>
      <c r="G7">
        <v>740720</v>
      </c>
    </row>
    <row r="8" spans="1:7" x14ac:dyDescent="0.2">
      <c r="A8">
        <v>1</v>
      </c>
      <c r="B8" t="s">
        <v>354</v>
      </c>
      <c r="C8" t="s">
        <v>6</v>
      </c>
      <c r="D8">
        <v>8</v>
      </c>
      <c r="E8">
        <v>4107835</v>
      </c>
      <c r="F8">
        <v>3023820</v>
      </c>
      <c r="G8">
        <v>1084010</v>
      </c>
    </row>
    <row r="9" spans="1:7" x14ac:dyDescent="0.2">
      <c r="A9">
        <v>1</v>
      </c>
      <c r="B9" t="s">
        <v>354</v>
      </c>
      <c r="C9" t="s">
        <v>6</v>
      </c>
      <c r="D9">
        <v>10</v>
      </c>
      <c r="E9">
        <v>10550295</v>
      </c>
      <c r="F9">
        <v>7178195</v>
      </c>
      <c r="G9">
        <v>3372100</v>
      </c>
    </row>
    <row r="10" spans="1:7" x14ac:dyDescent="0.2">
      <c r="A10">
        <v>1</v>
      </c>
      <c r="B10" t="s">
        <v>354</v>
      </c>
      <c r="C10" t="s">
        <v>6</v>
      </c>
      <c r="D10">
        <v>11</v>
      </c>
      <c r="E10">
        <v>3824520</v>
      </c>
      <c r="F10">
        <v>2573405</v>
      </c>
      <c r="G10">
        <v>1251115</v>
      </c>
    </row>
    <row r="11" spans="1:7" x14ac:dyDescent="0.2">
      <c r="A11">
        <v>1</v>
      </c>
      <c r="B11" t="s">
        <v>354</v>
      </c>
      <c r="C11" t="s">
        <v>6</v>
      </c>
      <c r="D11">
        <v>12</v>
      </c>
      <c r="E11">
        <v>3406600</v>
      </c>
      <c r="F11">
        <v>2421665</v>
      </c>
      <c r="G11">
        <v>984935</v>
      </c>
    </row>
    <row r="12" spans="1:7" x14ac:dyDescent="0.2">
      <c r="A12">
        <v>1</v>
      </c>
      <c r="B12" t="s">
        <v>354</v>
      </c>
      <c r="C12" t="s">
        <v>6</v>
      </c>
      <c r="D12">
        <v>13</v>
      </c>
      <c r="E12">
        <v>417925</v>
      </c>
      <c r="F12">
        <v>151735</v>
      </c>
      <c r="G12">
        <v>266185</v>
      </c>
    </row>
    <row r="13" spans="1:7" x14ac:dyDescent="0.2">
      <c r="A13">
        <v>1</v>
      </c>
      <c r="B13" t="s">
        <v>354</v>
      </c>
      <c r="C13" t="s">
        <v>6</v>
      </c>
      <c r="D13">
        <v>14</v>
      </c>
      <c r="E13">
        <v>312535</v>
      </c>
      <c r="F13">
        <v>35825</v>
      </c>
      <c r="G13">
        <v>276705</v>
      </c>
    </row>
    <row r="14" spans="1:7" x14ac:dyDescent="0.2">
      <c r="A14">
        <v>1</v>
      </c>
      <c r="B14" t="s">
        <v>354</v>
      </c>
      <c r="C14" t="s">
        <v>6</v>
      </c>
      <c r="D14">
        <v>16</v>
      </c>
      <c r="E14">
        <v>3084820</v>
      </c>
      <c r="F14">
        <v>1819050</v>
      </c>
      <c r="G14">
        <v>1265770</v>
      </c>
    </row>
    <row r="15" spans="1:7" x14ac:dyDescent="0.2">
      <c r="A15">
        <v>1</v>
      </c>
      <c r="B15" t="s">
        <v>354</v>
      </c>
      <c r="C15" t="s">
        <v>6</v>
      </c>
      <c r="D15">
        <v>31</v>
      </c>
      <c r="E15">
        <v>534765</v>
      </c>
      <c r="F15">
        <v>273020</v>
      </c>
      <c r="G15">
        <v>261755</v>
      </c>
    </row>
    <row r="16" spans="1:7" x14ac:dyDescent="0.2">
      <c r="A16">
        <v>1</v>
      </c>
      <c r="B16" t="s">
        <v>354</v>
      </c>
      <c r="C16" t="s">
        <v>6</v>
      </c>
      <c r="D16">
        <v>38</v>
      </c>
      <c r="E16">
        <v>14152580</v>
      </c>
      <c r="F16">
        <v>9514405</v>
      </c>
      <c r="G16">
        <v>4638175</v>
      </c>
    </row>
    <row r="17" spans="1:7" x14ac:dyDescent="0.2">
      <c r="A17">
        <v>1</v>
      </c>
      <c r="B17" t="s">
        <v>354</v>
      </c>
      <c r="C17" t="s">
        <v>6</v>
      </c>
      <c r="D17">
        <v>41</v>
      </c>
      <c r="E17">
        <v>14687345</v>
      </c>
      <c r="F17">
        <v>9787425</v>
      </c>
      <c r="G17">
        <v>4899925</v>
      </c>
    </row>
    <row r="18" spans="1:7" x14ac:dyDescent="0.2">
      <c r="A18">
        <v>1</v>
      </c>
      <c r="B18" t="s">
        <v>354</v>
      </c>
      <c r="C18" t="s">
        <v>6</v>
      </c>
      <c r="D18">
        <v>42</v>
      </c>
      <c r="E18">
        <v>13327120</v>
      </c>
      <c r="F18">
        <v>9348120</v>
      </c>
      <c r="G18">
        <v>3979000</v>
      </c>
    </row>
    <row r="19" spans="1:7" x14ac:dyDescent="0.2">
      <c r="A19">
        <v>1</v>
      </c>
      <c r="B19" t="s">
        <v>354</v>
      </c>
      <c r="C19" t="s">
        <v>6</v>
      </c>
      <c r="D19">
        <v>43</v>
      </c>
      <c r="E19">
        <v>1360230</v>
      </c>
      <c r="F19">
        <v>439305</v>
      </c>
      <c r="G19">
        <v>920925</v>
      </c>
    </row>
    <row r="20" spans="1:7" x14ac:dyDescent="0.2">
      <c r="A20">
        <v>1</v>
      </c>
      <c r="B20" t="s">
        <v>354</v>
      </c>
      <c r="C20" t="s">
        <v>6</v>
      </c>
      <c r="D20">
        <v>44</v>
      </c>
      <c r="E20">
        <v>14686030</v>
      </c>
      <c r="F20">
        <v>9786875</v>
      </c>
      <c r="G20">
        <v>4899165</v>
      </c>
    </row>
    <row r="21" spans="1:7" x14ac:dyDescent="0.2">
      <c r="A21">
        <v>1</v>
      </c>
      <c r="B21" t="s">
        <v>354</v>
      </c>
      <c r="C21" t="s">
        <v>6</v>
      </c>
      <c r="D21">
        <v>45</v>
      </c>
      <c r="E21">
        <v>14368260</v>
      </c>
      <c r="F21">
        <v>9550455</v>
      </c>
      <c r="G21">
        <v>4817810</v>
      </c>
    </row>
    <row r="22" spans="1:7" x14ac:dyDescent="0.2">
      <c r="A22">
        <v>1</v>
      </c>
      <c r="B22" t="s">
        <v>354</v>
      </c>
      <c r="C22" t="s">
        <v>6</v>
      </c>
      <c r="D22">
        <v>46</v>
      </c>
      <c r="E22">
        <v>317770</v>
      </c>
      <c r="F22">
        <v>236415</v>
      </c>
      <c r="G22">
        <v>81355</v>
      </c>
    </row>
    <row r="23" spans="1:7" x14ac:dyDescent="0.2">
      <c r="A23">
        <v>1</v>
      </c>
      <c r="B23" t="s">
        <v>1803</v>
      </c>
      <c r="C23" t="s">
        <v>6</v>
      </c>
      <c r="D23">
        <v>1</v>
      </c>
      <c r="E23">
        <v>8358310</v>
      </c>
      <c r="F23">
        <v>5917315</v>
      </c>
      <c r="G23">
        <v>2440995</v>
      </c>
    </row>
    <row r="24" spans="1:7" x14ac:dyDescent="0.2">
      <c r="A24">
        <v>1</v>
      </c>
      <c r="B24" t="s">
        <v>1803</v>
      </c>
      <c r="C24" t="s">
        <v>6</v>
      </c>
      <c r="D24">
        <v>2</v>
      </c>
      <c r="E24">
        <v>1395</v>
      </c>
      <c r="F24">
        <v>520</v>
      </c>
      <c r="G24">
        <v>875</v>
      </c>
    </row>
    <row r="25" spans="1:7" x14ac:dyDescent="0.2">
      <c r="A25">
        <v>1</v>
      </c>
      <c r="B25" t="s">
        <v>1803</v>
      </c>
      <c r="C25" t="s">
        <v>6</v>
      </c>
      <c r="D25">
        <v>4</v>
      </c>
      <c r="E25">
        <v>1395</v>
      </c>
      <c r="F25">
        <v>520</v>
      </c>
      <c r="G25">
        <v>875</v>
      </c>
    </row>
    <row r="26" spans="1:7" x14ac:dyDescent="0.2">
      <c r="A26">
        <v>1</v>
      </c>
      <c r="B26" t="s">
        <v>1803</v>
      </c>
      <c r="C26" t="s">
        <v>6</v>
      </c>
      <c r="D26">
        <v>5</v>
      </c>
      <c r="E26">
        <v>193755</v>
      </c>
      <c r="F26">
        <v>39885</v>
      </c>
      <c r="G26">
        <v>153870</v>
      </c>
    </row>
    <row r="27" spans="1:7" x14ac:dyDescent="0.2">
      <c r="A27">
        <v>1</v>
      </c>
      <c r="B27" t="s">
        <v>1803</v>
      </c>
      <c r="C27" t="s">
        <v>6</v>
      </c>
      <c r="D27">
        <v>6</v>
      </c>
      <c r="E27">
        <v>4033565</v>
      </c>
      <c r="F27">
        <v>2614320</v>
      </c>
      <c r="G27">
        <v>1419240</v>
      </c>
    </row>
    <row r="28" spans="1:7" x14ac:dyDescent="0.2">
      <c r="A28">
        <v>1</v>
      </c>
      <c r="B28" t="s">
        <v>1803</v>
      </c>
      <c r="C28" t="s">
        <v>6</v>
      </c>
      <c r="D28">
        <v>7</v>
      </c>
      <c r="E28">
        <v>1779950</v>
      </c>
      <c r="F28">
        <v>1395130</v>
      </c>
      <c r="G28">
        <v>384820</v>
      </c>
    </row>
    <row r="29" spans="1:7" x14ac:dyDescent="0.2">
      <c r="A29">
        <v>1</v>
      </c>
      <c r="B29" t="s">
        <v>1803</v>
      </c>
      <c r="C29" t="s">
        <v>6</v>
      </c>
      <c r="D29">
        <v>8</v>
      </c>
      <c r="E29">
        <v>2349650</v>
      </c>
      <c r="F29">
        <v>1867460</v>
      </c>
      <c r="G29">
        <v>482190</v>
      </c>
    </row>
    <row r="30" spans="1:7" x14ac:dyDescent="0.2">
      <c r="A30">
        <v>1</v>
      </c>
      <c r="B30" t="s">
        <v>1803</v>
      </c>
      <c r="C30" t="s">
        <v>6</v>
      </c>
      <c r="D30">
        <v>10</v>
      </c>
      <c r="E30">
        <v>5787580</v>
      </c>
      <c r="F30">
        <v>4215380</v>
      </c>
      <c r="G30">
        <v>1572200</v>
      </c>
    </row>
    <row r="31" spans="1:7" x14ac:dyDescent="0.2">
      <c r="A31">
        <v>1</v>
      </c>
      <c r="B31" t="s">
        <v>1803</v>
      </c>
      <c r="C31" t="s">
        <v>6</v>
      </c>
      <c r="D31">
        <v>11</v>
      </c>
      <c r="E31">
        <v>2376045</v>
      </c>
      <c r="F31">
        <v>1680230</v>
      </c>
      <c r="G31">
        <v>695815</v>
      </c>
    </row>
    <row r="32" spans="1:7" x14ac:dyDescent="0.2">
      <c r="A32">
        <v>1</v>
      </c>
      <c r="B32" t="s">
        <v>1803</v>
      </c>
      <c r="C32" t="s">
        <v>6</v>
      </c>
      <c r="D32">
        <v>12</v>
      </c>
      <c r="E32">
        <v>2095835</v>
      </c>
      <c r="F32">
        <v>1574345</v>
      </c>
      <c r="G32">
        <v>521490</v>
      </c>
    </row>
    <row r="33" spans="1:7" x14ac:dyDescent="0.2">
      <c r="A33">
        <v>1</v>
      </c>
      <c r="B33" t="s">
        <v>1803</v>
      </c>
      <c r="C33" t="s">
        <v>6</v>
      </c>
      <c r="D33">
        <v>13</v>
      </c>
      <c r="E33">
        <v>280210</v>
      </c>
      <c r="F33">
        <v>105890</v>
      </c>
      <c r="G33">
        <v>174320</v>
      </c>
    </row>
    <row r="34" spans="1:7" x14ac:dyDescent="0.2">
      <c r="A34">
        <v>1</v>
      </c>
      <c r="B34" t="s">
        <v>1803</v>
      </c>
      <c r="C34" t="s">
        <v>6</v>
      </c>
      <c r="D34">
        <v>14</v>
      </c>
      <c r="E34">
        <v>194690</v>
      </c>
      <c r="F34">
        <v>21705</v>
      </c>
      <c r="G34">
        <v>172985</v>
      </c>
    </row>
    <row r="35" spans="1:7" x14ac:dyDescent="0.2">
      <c r="A35">
        <v>1</v>
      </c>
      <c r="B35" t="s">
        <v>1803</v>
      </c>
      <c r="C35" t="s">
        <v>6</v>
      </c>
      <c r="D35">
        <v>16</v>
      </c>
      <c r="E35">
        <v>1917080</v>
      </c>
      <c r="F35">
        <v>1203630</v>
      </c>
      <c r="G35">
        <v>713445</v>
      </c>
    </row>
    <row r="36" spans="1:7" x14ac:dyDescent="0.2">
      <c r="A36">
        <v>1</v>
      </c>
      <c r="B36" t="s">
        <v>1803</v>
      </c>
      <c r="C36" t="s">
        <v>6</v>
      </c>
      <c r="D36">
        <v>31</v>
      </c>
      <c r="E36">
        <v>255835</v>
      </c>
      <c r="F36">
        <v>149400</v>
      </c>
      <c r="G36">
        <v>106435</v>
      </c>
    </row>
    <row r="37" spans="1:7" x14ac:dyDescent="0.2">
      <c r="A37">
        <v>1</v>
      </c>
      <c r="B37" t="s">
        <v>1803</v>
      </c>
      <c r="C37" t="s">
        <v>6</v>
      </c>
      <c r="D37">
        <v>38</v>
      </c>
      <c r="E37">
        <v>8102475</v>
      </c>
      <c r="F37">
        <v>5767920</v>
      </c>
      <c r="G37">
        <v>2334560</v>
      </c>
    </row>
    <row r="38" spans="1:7" x14ac:dyDescent="0.2">
      <c r="A38">
        <v>1</v>
      </c>
      <c r="B38" t="s">
        <v>1803</v>
      </c>
      <c r="C38" t="s">
        <v>6</v>
      </c>
      <c r="D38">
        <v>41</v>
      </c>
      <c r="E38">
        <v>8358310</v>
      </c>
      <c r="F38">
        <v>5917315</v>
      </c>
      <c r="G38">
        <v>2440995</v>
      </c>
    </row>
    <row r="39" spans="1:7" x14ac:dyDescent="0.2">
      <c r="A39">
        <v>1</v>
      </c>
      <c r="B39" t="s">
        <v>1803</v>
      </c>
      <c r="C39" t="s">
        <v>6</v>
      </c>
      <c r="D39">
        <v>42</v>
      </c>
      <c r="E39">
        <v>7659700</v>
      </c>
      <c r="F39">
        <v>5677915</v>
      </c>
      <c r="G39">
        <v>1981790</v>
      </c>
    </row>
    <row r="40" spans="1:7" x14ac:dyDescent="0.2">
      <c r="A40">
        <v>1</v>
      </c>
      <c r="B40" t="s">
        <v>1803</v>
      </c>
      <c r="C40" t="s">
        <v>6</v>
      </c>
      <c r="D40">
        <v>43</v>
      </c>
      <c r="E40">
        <v>698610</v>
      </c>
      <c r="F40">
        <v>239405</v>
      </c>
      <c r="G40">
        <v>459205</v>
      </c>
    </row>
    <row r="41" spans="1:7" x14ac:dyDescent="0.2">
      <c r="A41">
        <v>1</v>
      </c>
      <c r="B41" t="s">
        <v>1803</v>
      </c>
      <c r="C41" t="s">
        <v>6</v>
      </c>
      <c r="D41">
        <v>44</v>
      </c>
      <c r="E41">
        <v>8357650</v>
      </c>
      <c r="F41">
        <v>5917025</v>
      </c>
      <c r="G41">
        <v>2440620</v>
      </c>
    </row>
    <row r="42" spans="1:7" x14ac:dyDescent="0.2">
      <c r="A42">
        <v>1</v>
      </c>
      <c r="B42" t="s">
        <v>1803</v>
      </c>
      <c r="C42" t="s">
        <v>6</v>
      </c>
      <c r="D42">
        <v>45</v>
      </c>
      <c r="E42">
        <v>8079470</v>
      </c>
      <c r="F42">
        <v>5707635</v>
      </c>
      <c r="G42">
        <v>2371835</v>
      </c>
    </row>
    <row r="43" spans="1:7" x14ac:dyDescent="0.2">
      <c r="A43">
        <v>1</v>
      </c>
      <c r="B43" t="s">
        <v>1803</v>
      </c>
      <c r="C43" t="s">
        <v>6</v>
      </c>
      <c r="D43">
        <v>46</v>
      </c>
      <c r="E43">
        <v>278175</v>
      </c>
      <c r="F43">
        <v>209390</v>
      </c>
      <c r="G43">
        <v>68785</v>
      </c>
    </row>
    <row r="44" spans="1:7" x14ac:dyDescent="0.2">
      <c r="A44">
        <v>1</v>
      </c>
      <c r="B44" t="s">
        <v>1804</v>
      </c>
      <c r="C44" t="s">
        <v>6</v>
      </c>
      <c r="D44">
        <v>1</v>
      </c>
      <c r="E44">
        <v>6329035</v>
      </c>
      <c r="F44">
        <v>3870105</v>
      </c>
      <c r="G44">
        <v>2458930</v>
      </c>
    </row>
    <row r="45" spans="1:7" x14ac:dyDescent="0.2">
      <c r="A45">
        <v>1</v>
      </c>
      <c r="B45" t="s">
        <v>1804</v>
      </c>
      <c r="C45" t="s">
        <v>6</v>
      </c>
      <c r="D45">
        <v>2</v>
      </c>
      <c r="E45">
        <v>1545</v>
      </c>
      <c r="F45">
        <v>480</v>
      </c>
      <c r="G45">
        <v>1070</v>
      </c>
    </row>
    <row r="46" spans="1:7" x14ac:dyDescent="0.2">
      <c r="A46">
        <v>1</v>
      </c>
      <c r="B46" t="s">
        <v>1804</v>
      </c>
      <c r="C46" t="s">
        <v>6</v>
      </c>
      <c r="D46">
        <v>4</v>
      </c>
      <c r="E46">
        <v>1545</v>
      </c>
      <c r="F46">
        <v>480</v>
      </c>
      <c r="G46">
        <v>1070</v>
      </c>
    </row>
    <row r="47" spans="1:7" x14ac:dyDescent="0.2">
      <c r="A47">
        <v>1</v>
      </c>
      <c r="B47" t="s">
        <v>1804</v>
      </c>
      <c r="C47" t="s">
        <v>6</v>
      </c>
      <c r="D47">
        <v>5</v>
      </c>
      <c r="E47">
        <v>213815</v>
      </c>
      <c r="F47">
        <v>35360</v>
      </c>
      <c r="G47">
        <v>178455</v>
      </c>
    </row>
    <row r="48" spans="1:7" x14ac:dyDescent="0.2">
      <c r="A48">
        <v>1</v>
      </c>
      <c r="B48" t="s">
        <v>1804</v>
      </c>
      <c r="C48" t="s">
        <v>6</v>
      </c>
      <c r="D48">
        <v>6</v>
      </c>
      <c r="E48">
        <v>3157860</v>
      </c>
      <c r="F48">
        <v>1836175</v>
      </c>
      <c r="G48">
        <v>1321690</v>
      </c>
    </row>
    <row r="49" spans="1:7" x14ac:dyDescent="0.2">
      <c r="A49">
        <v>1</v>
      </c>
      <c r="B49" t="s">
        <v>1804</v>
      </c>
      <c r="C49" t="s">
        <v>6</v>
      </c>
      <c r="D49">
        <v>7</v>
      </c>
      <c r="E49">
        <v>1197625</v>
      </c>
      <c r="F49">
        <v>841730</v>
      </c>
      <c r="G49">
        <v>355895</v>
      </c>
    </row>
    <row r="50" spans="1:7" x14ac:dyDescent="0.2">
      <c r="A50">
        <v>1</v>
      </c>
      <c r="B50" t="s">
        <v>1804</v>
      </c>
      <c r="C50" t="s">
        <v>6</v>
      </c>
      <c r="D50">
        <v>8</v>
      </c>
      <c r="E50">
        <v>1758190</v>
      </c>
      <c r="F50">
        <v>1156370</v>
      </c>
      <c r="G50">
        <v>601820</v>
      </c>
    </row>
    <row r="51" spans="1:7" x14ac:dyDescent="0.2">
      <c r="A51">
        <v>1</v>
      </c>
      <c r="B51" t="s">
        <v>1804</v>
      </c>
      <c r="C51" t="s">
        <v>6</v>
      </c>
      <c r="D51">
        <v>10</v>
      </c>
      <c r="E51">
        <v>4762715</v>
      </c>
      <c r="F51">
        <v>2962815</v>
      </c>
      <c r="G51">
        <v>1799900</v>
      </c>
    </row>
    <row r="52" spans="1:7" x14ac:dyDescent="0.2">
      <c r="A52">
        <v>1</v>
      </c>
      <c r="B52" t="s">
        <v>1804</v>
      </c>
      <c r="C52" t="s">
        <v>6</v>
      </c>
      <c r="D52">
        <v>11</v>
      </c>
      <c r="E52">
        <v>1448475</v>
      </c>
      <c r="F52">
        <v>893175</v>
      </c>
      <c r="G52">
        <v>555305</v>
      </c>
    </row>
    <row r="53" spans="1:7" x14ac:dyDescent="0.2">
      <c r="A53">
        <v>1</v>
      </c>
      <c r="B53" t="s">
        <v>1804</v>
      </c>
      <c r="C53" t="s">
        <v>6</v>
      </c>
      <c r="D53">
        <v>12</v>
      </c>
      <c r="E53">
        <v>1310760</v>
      </c>
      <c r="F53">
        <v>847320</v>
      </c>
      <c r="G53">
        <v>463440</v>
      </c>
    </row>
    <row r="54" spans="1:7" x14ac:dyDescent="0.2">
      <c r="A54">
        <v>1</v>
      </c>
      <c r="B54" t="s">
        <v>1804</v>
      </c>
      <c r="C54" t="s">
        <v>6</v>
      </c>
      <c r="D54">
        <v>13</v>
      </c>
      <c r="E54">
        <v>137715</v>
      </c>
      <c r="F54">
        <v>45855</v>
      </c>
      <c r="G54">
        <v>91860</v>
      </c>
    </row>
    <row r="55" spans="1:7" x14ac:dyDescent="0.2">
      <c r="A55">
        <v>1</v>
      </c>
      <c r="B55" t="s">
        <v>1804</v>
      </c>
      <c r="C55" t="s">
        <v>6</v>
      </c>
      <c r="D55">
        <v>14</v>
      </c>
      <c r="E55">
        <v>117845</v>
      </c>
      <c r="F55">
        <v>14120</v>
      </c>
      <c r="G55">
        <v>103725</v>
      </c>
    </row>
    <row r="56" spans="1:7" x14ac:dyDescent="0.2">
      <c r="A56">
        <v>1</v>
      </c>
      <c r="B56" t="s">
        <v>1804</v>
      </c>
      <c r="C56" t="s">
        <v>6</v>
      </c>
      <c r="D56">
        <v>16</v>
      </c>
      <c r="E56">
        <v>1167740</v>
      </c>
      <c r="F56">
        <v>615420</v>
      </c>
      <c r="G56">
        <v>552325</v>
      </c>
    </row>
    <row r="57" spans="1:7" x14ac:dyDescent="0.2">
      <c r="A57">
        <v>1</v>
      </c>
      <c r="B57" t="s">
        <v>1804</v>
      </c>
      <c r="C57" t="s">
        <v>6</v>
      </c>
      <c r="D57">
        <v>31</v>
      </c>
      <c r="E57">
        <v>278935</v>
      </c>
      <c r="F57">
        <v>123620</v>
      </c>
      <c r="G57">
        <v>155315</v>
      </c>
    </row>
    <row r="58" spans="1:7" x14ac:dyDescent="0.2">
      <c r="A58">
        <v>1</v>
      </c>
      <c r="B58" t="s">
        <v>1804</v>
      </c>
      <c r="C58" t="s">
        <v>6</v>
      </c>
      <c r="D58">
        <v>38</v>
      </c>
      <c r="E58">
        <v>6050105</v>
      </c>
      <c r="F58">
        <v>3746490</v>
      </c>
      <c r="G58">
        <v>2303610</v>
      </c>
    </row>
    <row r="59" spans="1:7" x14ac:dyDescent="0.2">
      <c r="A59">
        <v>1</v>
      </c>
      <c r="B59" t="s">
        <v>1804</v>
      </c>
      <c r="C59" t="s">
        <v>6</v>
      </c>
      <c r="D59">
        <v>41</v>
      </c>
      <c r="E59">
        <v>6329035</v>
      </c>
      <c r="F59">
        <v>3870105</v>
      </c>
      <c r="G59">
        <v>2458930</v>
      </c>
    </row>
    <row r="60" spans="1:7" x14ac:dyDescent="0.2">
      <c r="A60">
        <v>1</v>
      </c>
      <c r="B60" t="s">
        <v>1804</v>
      </c>
      <c r="C60" t="s">
        <v>6</v>
      </c>
      <c r="D60">
        <v>42</v>
      </c>
      <c r="E60">
        <v>5667420</v>
      </c>
      <c r="F60">
        <v>3670205</v>
      </c>
      <c r="G60">
        <v>1997215</v>
      </c>
    </row>
    <row r="61" spans="1:7" x14ac:dyDescent="0.2">
      <c r="A61">
        <v>1</v>
      </c>
      <c r="B61" t="s">
        <v>1804</v>
      </c>
      <c r="C61" t="s">
        <v>6</v>
      </c>
      <c r="D61">
        <v>43</v>
      </c>
      <c r="E61">
        <v>661615</v>
      </c>
      <c r="F61">
        <v>199900</v>
      </c>
      <c r="G61">
        <v>461715</v>
      </c>
    </row>
    <row r="62" spans="1:7" x14ac:dyDescent="0.2">
      <c r="A62">
        <v>1</v>
      </c>
      <c r="B62" t="s">
        <v>1804</v>
      </c>
      <c r="C62" t="s">
        <v>6</v>
      </c>
      <c r="D62">
        <v>44</v>
      </c>
      <c r="E62">
        <v>6328390</v>
      </c>
      <c r="F62">
        <v>3869845</v>
      </c>
      <c r="G62">
        <v>2458540</v>
      </c>
    </row>
    <row r="63" spans="1:7" x14ac:dyDescent="0.2">
      <c r="A63">
        <v>1</v>
      </c>
      <c r="B63" t="s">
        <v>1804</v>
      </c>
      <c r="C63" t="s">
        <v>6</v>
      </c>
      <c r="D63">
        <v>45</v>
      </c>
      <c r="E63">
        <v>6288795</v>
      </c>
      <c r="F63">
        <v>3842820</v>
      </c>
      <c r="G63">
        <v>2445975</v>
      </c>
    </row>
    <row r="64" spans="1:7" x14ac:dyDescent="0.2">
      <c r="A64">
        <v>1</v>
      </c>
      <c r="B64" t="s">
        <v>1804</v>
      </c>
      <c r="C64" t="s">
        <v>6</v>
      </c>
      <c r="D64">
        <v>46</v>
      </c>
      <c r="E64">
        <v>39595</v>
      </c>
      <c r="F64">
        <v>27025</v>
      </c>
      <c r="G64">
        <v>12570</v>
      </c>
    </row>
    <row r="65" spans="1:7" x14ac:dyDescent="0.2">
      <c r="A65">
        <v>1</v>
      </c>
      <c r="B65" t="s">
        <v>354</v>
      </c>
      <c r="C65" t="s">
        <v>363</v>
      </c>
      <c r="D65">
        <v>1</v>
      </c>
      <c r="E65">
        <v>0.20934416669588701</v>
      </c>
      <c r="F65">
        <v>0.14814877253210099</v>
      </c>
      <c r="G65">
        <v>0.33157956499334201</v>
      </c>
    </row>
    <row r="66" spans="1:7" x14ac:dyDescent="0.2">
      <c r="A66">
        <v>1</v>
      </c>
      <c r="B66" t="s">
        <v>354</v>
      </c>
      <c r="C66" t="s">
        <v>363</v>
      </c>
      <c r="D66">
        <v>2</v>
      </c>
      <c r="E66">
        <v>0.59252971137521204</v>
      </c>
      <c r="F66">
        <v>0.56000000000000005</v>
      </c>
      <c r="G66">
        <v>0.61340206185567003</v>
      </c>
    </row>
    <row r="67" spans="1:7" x14ac:dyDescent="0.2">
      <c r="A67">
        <v>1</v>
      </c>
      <c r="B67" t="s">
        <v>354</v>
      </c>
      <c r="C67" t="s">
        <v>363</v>
      </c>
      <c r="D67">
        <v>4</v>
      </c>
      <c r="E67">
        <v>0.59252971137521204</v>
      </c>
      <c r="F67">
        <v>0.56000000000000005</v>
      </c>
      <c r="G67">
        <v>0.61340206185567003</v>
      </c>
    </row>
    <row r="68" spans="1:7" x14ac:dyDescent="0.2">
      <c r="A68">
        <v>1</v>
      </c>
      <c r="B68" t="s">
        <v>354</v>
      </c>
      <c r="C68" t="s">
        <v>363</v>
      </c>
      <c r="D68">
        <v>5</v>
      </c>
      <c r="E68">
        <v>0.451382584586697</v>
      </c>
      <c r="F68">
        <v>0.36445182724252501</v>
      </c>
      <c r="G68">
        <v>0.47105995636801301</v>
      </c>
    </row>
    <row r="69" spans="1:7" x14ac:dyDescent="0.2">
      <c r="A69">
        <v>1</v>
      </c>
      <c r="B69" t="s">
        <v>354</v>
      </c>
      <c r="C69" t="s">
        <v>363</v>
      </c>
      <c r="D69">
        <v>6</v>
      </c>
      <c r="E69">
        <v>0.20860816875654001</v>
      </c>
      <c r="F69">
        <v>0.164559038310302</v>
      </c>
      <c r="G69">
        <v>0.28012937214741002</v>
      </c>
    </row>
    <row r="70" spans="1:7" x14ac:dyDescent="0.2">
      <c r="A70">
        <v>1</v>
      </c>
      <c r="B70" t="s">
        <v>354</v>
      </c>
      <c r="C70" t="s">
        <v>363</v>
      </c>
      <c r="D70">
        <v>7</v>
      </c>
      <c r="E70">
        <v>0.18320949094481201</v>
      </c>
      <c r="F70">
        <v>0.13937841438445001</v>
      </c>
      <c r="G70">
        <v>0.315571335997408</v>
      </c>
    </row>
    <row r="71" spans="1:7" x14ac:dyDescent="0.2">
      <c r="A71">
        <v>1</v>
      </c>
      <c r="B71" t="s">
        <v>354</v>
      </c>
      <c r="C71" t="s">
        <v>363</v>
      </c>
      <c r="D71">
        <v>8</v>
      </c>
      <c r="E71">
        <v>0.20528940427256701</v>
      </c>
      <c r="F71">
        <v>0.124964448942067</v>
      </c>
      <c r="G71">
        <v>0.42935028274646903</v>
      </c>
    </row>
    <row r="72" spans="1:7" x14ac:dyDescent="0.2">
      <c r="A72">
        <v>1</v>
      </c>
      <c r="B72" t="s">
        <v>354</v>
      </c>
      <c r="C72" t="s">
        <v>363</v>
      </c>
      <c r="D72">
        <v>10</v>
      </c>
      <c r="E72">
        <v>0.18143426321254499</v>
      </c>
      <c r="F72">
        <v>0.115344456370996</v>
      </c>
      <c r="G72">
        <v>0.322119747338454</v>
      </c>
    </row>
    <row r="73" spans="1:7" x14ac:dyDescent="0.2">
      <c r="A73">
        <v>1</v>
      </c>
      <c r="B73" t="s">
        <v>354</v>
      </c>
      <c r="C73" t="s">
        <v>363</v>
      </c>
      <c r="D73">
        <v>11</v>
      </c>
      <c r="E73">
        <v>0.26395207764634498</v>
      </c>
      <c r="F73">
        <v>0.23473763360217301</v>
      </c>
      <c r="G73">
        <v>0.324046950120493</v>
      </c>
    </row>
    <row r="74" spans="1:7" x14ac:dyDescent="0.2">
      <c r="A74">
        <v>1</v>
      </c>
      <c r="B74" t="s">
        <v>354</v>
      </c>
      <c r="C74" t="s">
        <v>363</v>
      </c>
      <c r="D74">
        <v>12</v>
      </c>
      <c r="E74">
        <v>0.25512828039687702</v>
      </c>
      <c r="F74">
        <v>0.22609031389560499</v>
      </c>
      <c r="G74">
        <v>0.32652916182286101</v>
      </c>
    </row>
    <row r="75" spans="1:7" x14ac:dyDescent="0.2">
      <c r="A75">
        <v>1</v>
      </c>
      <c r="B75" t="s">
        <v>354</v>
      </c>
      <c r="C75" t="s">
        <v>363</v>
      </c>
      <c r="D75">
        <v>13</v>
      </c>
      <c r="E75">
        <v>0.33587366154214299</v>
      </c>
      <c r="F75">
        <v>0.37272218011665098</v>
      </c>
      <c r="G75">
        <v>0.31485620902755601</v>
      </c>
    </row>
    <row r="76" spans="1:7" x14ac:dyDescent="0.2">
      <c r="A76">
        <v>1</v>
      </c>
      <c r="B76" t="s">
        <v>354</v>
      </c>
      <c r="C76" t="s">
        <v>363</v>
      </c>
      <c r="D76">
        <v>14</v>
      </c>
      <c r="E76">
        <v>0.48327387332618699</v>
      </c>
      <c r="F76">
        <v>0.50146545708304302</v>
      </c>
      <c r="G76">
        <v>0.48090927160694602</v>
      </c>
    </row>
    <row r="77" spans="1:7" x14ac:dyDescent="0.2">
      <c r="A77">
        <v>1</v>
      </c>
      <c r="B77" t="s">
        <v>354</v>
      </c>
      <c r="C77" t="s">
        <v>363</v>
      </c>
      <c r="D77">
        <v>16</v>
      </c>
      <c r="E77">
        <v>0.30371464137291598</v>
      </c>
      <c r="F77">
        <v>0.27876638904922901</v>
      </c>
      <c r="G77">
        <v>0.339568009986016</v>
      </c>
    </row>
    <row r="78" spans="1:7" x14ac:dyDescent="0.2">
      <c r="A78">
        <v>1</v>
      </c>
      <c r="B78" t="s">
        <v>354</v>
      </c>
      <c r="C78" t="s">
        <v>363</v>
      </c>
      <c r="D78">
        <v>31</v>
      </c>
      <c r="E78">
        <v>0.22395818724112501</v>
      </c>
      <c r="F78">
        <v>0.13039337777452201</v>
      </c>
      <c r="G78">
        <v>0.32152203396305701</v>
      </c>
    </row>
    <row r="79" spans="1:7" x14ac:dyDescent="0.2">
      <c r="A79">
        <v>1</v>
      </c>
      <c r="B79" t="s">
        <v>354</v>
      </c>
      <c r="C79" t="s">
        <v>363</v>
      </c>
      <c r="D79">
        <v>38</v>
      </c>
      <c r="E79">
        <v>0.20879231913898399</v>
      </c>
      <c r="F79">
        <v>0.14865827132647799</v>
      </c>
      <c r="G79">
        <v>0.33214572542002002</v>
      </c>
    </row>
    <row r="80" spans="1:7" x14ac:dyDescent="0.2">
      <c r="A80">
        <v>1</v>
      </c>
      <c r="B80" t="s">
        <v>354</v>
      </c>
      <c r="C80" t="s">
        <v>363</v>
      </c>
      <c r="D80">
        <v>41</v>
      </c>
      <c r="E80">
        <v>0.20934416669588701</v>
      </c>
      <c r="F80">
        <v>0.14814877253210099</v>
      </c>
      <c r="G80">
        <v>0.33157956499334201</v>
      </c>
    </row>
    <row r="81" spans="1:7" x14ac:dyDescent="0.2">
      <c r="A81">
        <v>1</v>
      </c>
      <c r="B81" t="s">
        <v>354</v>
      </c>
      <c r="C81" t="s">
        <v>363</v>
      </c>
      <c r="D81">
        <v>42</v>
      </c>
      <c r="E81">
        <v>0.15347614488351599</v>
      </c>
      <c r="F81">
        <v>0.118922842239937</v>
      </c>
      <c r="G81">
        <v>0.234654435787886</v>
      </c>
    </row>
    <row r="82" spans="1:7" x14ac:dyDescent="0.2">
      <c r="A82">
        <v>1</v>
      </c>
      <c r="B82" t="s">
        <v>354</v>
      </c>
      <c r="C82" t="s">
        <v>363</v>
      </c>
      <c r="D82">
        <v>43</v>
      </c>
      <c r="E82">
        <v>0.75672128978187503</v>
      </c>
      <c r="F82">
        <v>0.77006863113326696</v>
      </c>
      <c r="G82">
        <v>0.75035969270027403</v>
      </c>
    </row>
    <row r="83" spans="1:7" x14ac:dyDescent="0.2">
      <c r="A83">
        <v>1</v>
      </c>
      <c r="B83" t="s">
        <v>354</v>
      </c>
      <c r="C83" t="s">
        <v>363</v>
      </c>
      <c r="D83">
        <v>44</v>
      </c>
      <c r="E83">
        <v>0.209315587670732</v>
      </c>
      <c r="F83">
        <v>0.148130021074143</v>
      </c>
      <c r="G83">
        <v>0.33154221178506899</v>
      </c>
    </row>
    <row r="84" spans="1:7" x14ac:dyDescent="0.2">
      <c r="A84">
        <v>1</v>
      </c>
      <c r="B84" t="s">
        <v>354</v>
      </c>
      <c r="C84" t="s">
        <v>363</v>
      </c>
      <c r="D84">
        <v>45</v>
      </c>
      <c r="E84">
        <v>0.210742288906242</v>
      </c>
      <c r="F84">
        <v>0.14956512543119699</v>
      </c>
      <c r="G84">
        <v>0.33201496115454898</v>
      </c>
    </row>
    <row r="85" spans="1:7" x14ac:dyDescent="0.2">
      <c r="A85">
        <v>1</v>
      </c>
      <c r="B85" t="s">
        <v>354</v>
      </c>
      <c r="C85" t="s">
        <v>363</v>
      </c>
      <c r="D85">
        <v>46</v>
      </c>
      <c r="E85">
        <v>0.144805991755043</v>
      </c>
      <c r="F85">
        <v>9.01804031047099E-2</v>
      </c>
      <c r="G85">
        <v>0.30354618646671999</v>
      </c>
    </row>
    <row r="86" spans="1:7" x14ac:dyDescent="0.2">
      <c r="A86">
        <v>1</v>
      </c>
      <c r="B86" t="s">
        <v>1803</v>
      </c>
      <c r="C86" t="s">
        <v>363</v>
      </c>
      <c r="D86">
        <v>1</v>
      </c>
      <c r="E86">
        <v>0.18452713527016801</v>
      </c>
      <c r="F86">
        <v>0.13466749699821601</v>
      </c>
      <c r="G86">
        <v>0.30539800368292402</v>
      </c>
    </row>
    <row r="87" spans="1:7" x14ac:dyDescent="0.2">
      <c r="A87">
        <v>1</v>
      </c>
      <c r="B87" t="s">
        <v>1803</v>
      </c>
      <c r="C87" t="s">
        <v>363</v>
      </c>
      <c r="D87">
        <v>2</v>
      </c>
      <c r="E87">
        <v>0.57347670250896099</v>
      </c>
      <c r="F87">
        <v>0.53846153846153799</v>
      </c>
      <c r="G87">
        <v>0.59428571428571397</v>
      </c>
    </row>
    <row r="88" spans="1:7" x14ac:dyDescent="0.2">
      <c r="A88">
        <v>1</v>
      </c>
      <c r="B88" t="s">
        <v>1803</v>
      </c>
      <c r="C88" t="s">
        <v>363</v>
      </c>
      <c r="D88">
        <v>4</v>
      </c>
      <c r="E88">
        <v>0.57347670250896099</v>
      </c>
      <c r="F88">
        <v>0.53846153846153799</v>
      </c>
      <c r="G88">
        <v>0.59428571428571397</v>
      </c>
    </row>
    <row r="89" spans="1:7" x14ac:dyDescent="0.2">
      <c r="A89">
        <v>1</v>
      </c>
      <c r="B89" t="s">
        <v>1803</v>
      </c>
      <c r="C89" t="s">
        <v>363</v>
      </c>
      <c r="D89">
        <v>5</v>
      </c>
      <c r="E89">
        <v>0.44156279837939699</v>
      </c>
      <c r="F89">
        <v>0.37432618778989601</v>
      </c>
      <c r="G89">
        <v>0.45899135633976701</v>
      </c>
    </row>
    <row r="90" spans="1:7" x14ac:dyDescent="0.2">
      <c r="A90">
        <v>1</v>
      </c>
      <c r="B90" t="s">
        <v>1803</v>
      </c>
      <c r="C90" t="s">
        <v>363</v>
      </c>
      <c r="D90">
        <v>6</v>
      </c>
      <c r="E90">
        <v>0.19990876557090301</v>
      </c>
      <c r="F90">
        <v>0.16209760090577999</v>
      </c>
      <c r="G90">
        <v>0.26955976438093598</v>
      </c>
    </row>
    <row r="91" spans="1:7" x14ac:dyDescent="0.2">
      <c r="A91">
        <v>1</v>
      </c>
      <c r="B91" t="s">
        <v>1803</v>
      </c>
      <c r="C91" t="s">
        <v>363</v>
      </c>
      <c r="D91">
        <v>7</v>
      </c>
      <c r="E91">
        <v>0.16404112475069499</v>
      </c>
      <c r="F91">
        <v>0.125597614559217</v>
      </c>
      <c r="G91">
        <v>0.30341458344160899</v>
      </c>
    </row>
    <row r="92" spans="1:7" x14ac:dyDescent="0.2">
      <c r="A92">
        <v>1</v>
      </c>
      <c r="B92" t="s">
        <v>1803</v>
      </c>
      <c r="C92" t="s">
        <v>363</v>
      </c>
      <c r="D92">
        <v>8</v>
      </c>
      <c r="E92">
        <v>0.15221415955567899</v>
      </c>
      <c r="F92">
        <v>9.7812001328007006E-2</v>
      </c>
      <c r="G92">
        <v>0.36291710736431698</v>
      </c>
    </row>
    <row r="93" spans="1:7" x14ac:dyDescent="0.2">
      <c r="A93">
        <v>1</v>
      </c>
      <c r="B93" t="s">
        <v>1803</v>
      </c>
      <c r="C93" t="s">
        <v>363</v>
      </c>
      <c r="D93">
        <v>10</v>
      </c>
      <c r="E93">
        <v>0.15391579900407401</v>
      </c>
      <c r="F93">
        <v>0.101930312332459</v>
      </c>
      <c r="G93">
        <v>0.293299198575245</v>
      </c>
    </row>
    <row r="94" spans="1:7" x14ac:dyDescent="0.2">
      <c r="A94">
        <v>1</v>
      </c>
      <c r="B94" t="s">
        <v>1803</v>
      </c>
      <c r="C94" t="s">
        <v>363</v>
      </c>
      <c r="D94">
        <v>11</v>
      </c>
      <c r="E94">
        <v>0.237937412801525</v>
      </c>
      <c r="F94">
        <v>0.21258696726043499</v>
      </c>
      <c r="G94">
        <v>0.29915279204961098</v>
      </c>
    </row>
    <row r="95" spans="1:7" x14ac:dyDescent="0.2">
      <c r="A95">
        <v>1</v>
      </c>
      <c r="B95" t="s">
        <v>1803</v>
      </c>
      <c r="C95" t="s">
        <v>363</v>
      </c>
      <c r="D95">
        <v>12</v>
      </c>
      <c r="E95">
        <v>0.22741294042708499</v>
      </c>
      <c r="F95">
        <v>0.203313123870562</v>
      </c>
      <c r="G95">
        <v>0.30016874724347498</v>
      </c>
    </row>
    <row r="96" spans="1:7" x14ac:dyDescent="0.2">
      <c r="A96">
        <v>1</v>
      </c>
      <c r="B96" t="s">
        <v>1803</v>
      </c>
      <c r="C96" t="s">
        <v>363</v>
      </c>
      <c r="D96">
        <v>13</v>
      </c>
      <c r="E96">
        <v>0.316637521858606</v>
      </c>
      <c r="F96">
        <v>0.35050524128812899</v>
      </c>
      <c r="G96">
        <v>0.29609339146397401</v>
      </c>
    </row>
    <row r="97" spans="1:7" x14ac:dyDescent="0.2">
      <c r="A97">
        <v>1</v>
      </c>
      <c r="B97" t="s">
        <v>1803</v>
      </c>
      <c r="C97" t="s">
        <v>363</v>
      </c>
      <c r="D97">
        <v>14</v>
      </c>
      <c r="E97">
        <v>0.44270378550516198</v>
      </c>
      <c r="F97">
        <v>0.46049297396913202</v>
      </c>
      <c r="G97">
        <v>0.44047171720091299</v>
      </c>
    </row>
    <row r="98" spans="1:7" x14ac:dyDescent="0.2">
      <c r="A98">
        <v>1</v>
      </c>
      <c r="B98" t="s">
        <v>1803</v>
      </c>
      <c r="C98" t="s">
        <v>363</v>
      </c>
      <c r="D98">
        <v>16</v>
      </c>
      <c r="E98">
        <v>0.28149842468754599</v>
      </c>
      <c r="F98">
        <v>0.257795169611924</v>
      </c>
      <c r="G98">
        <v>0.32148939301557899</v>
      </c>
    </row>
    <row r="99" spans="1:7" x14ac:dyDescent="0.2">
      <c r="A99">
        <v>1</v>
      </c>
      <c r="B99" t="s">
        <v>1803</v>
      </c>
      <c r="C99" t="s">
        <v>363</v>
      </c>
      <c r="D99">
        <v>31</v>
      </c>
      <c r="E99">
        <v>0.19502804541989999</v>
      </c>
      <c r="F99">
        <v>0.116599732262383</v>
      </c>
      <c r="G99">
        <v>0.30511579837459502</v>
      </c>
    </row>
    <row r="100" spans="1:7" x14ac:dyDescent="0.2">
      <c r="A100">
        <v>1</v>
      </c>
      <c r="B100" t="s">
        <v>1803</v>
      </c>
      <c r="C100" t="s">
        <v>363</v>
      </c>
      <c r="D100">
        <v>38</v>
      </c>
      <c r="E100">
        <v>0.18419618696756199</v>
      </c>
      <c r="F100">
        <v>0.13513536942259899</v>
      </c>
      <c r="G100">
        <v>0.305408727983003</v>
      </c>
    </row>
    <row r="101" spans="1:7" x14ac:dyDescent="0.2">
      <c r="A101">
        <v>1</v>
      </c>
      <c r="B101" t="s">
        <v>1803</v>
      </c>
      <c r="C101" t="s">
        <v>363</v>
      </c>
      <c r="D101">
        <v>41</v>
      </c>
      <c r="E101">
        <v>0.18452713527016801</v>
      </c>
      <c r="F101">
        <v>0.13466749699821601</v>
      </c>
      <c r="G101">
        <v>0.30539800368292402</v>
      </c>
    </row>
    <row r="102" spans="1:7" x14ac:dyDescent="0.2">
      <c r="A102">
        <v>1</v>
      </c>
      <c r="B102" t="s">
        <v>1803</v>
      </c>
      <c r="C102" t="s">
        <v>363</v>
      </c>
      <c r="D102">
        <v>42</v>
      </c>
      <c r="E102">
        <v>0.13231719257934399</v>
      </c>
      <c r="F102">
        <v>0.10812860002307199</v>
      </c>
      <c r="G102">
        <v>0.201615711049102</v>
      </c>
    </row>
    <row r="103" spans="1:7" x14ac:dyDescent="0.2">
      <c r="A103">
        <v>1</v>
      </c>
      <c r="B103" t="s">
        <v>1803</v>
      </c>
      <c r="C103" t="s">
        <v>363</v>
      </c>
      <c r="D103">
        <v>43</v>
      </c>
      <c r="E103">
        <v>0.75697456377664196</v>
      </c>
      <c r="F103">
        <v>0.76406090098368895</v>
      </c>
      <c r="G103">
        <v>0.753280125434174</v>
      </c>
    </row>
    <row r="104" spans="1:7" x14ac:dyDescent="0.2">
      <c r="A104">
        <v>1</v>
      </c>
      <c r="B104" t="s">
        <v>1803</v>
      </c>
      <c r="C104" t="s">
        <v>363</v>
      </c>
      <c r="D104">
        <v>44</v>
      </c>
      <c r="E104">
        <v>0.18450282076899599</v>
      </c>
      <c r="F104">
        <v>0.134650436663695</v>
      </c>
      <c r="G104">
        <v>0.30536503019724498</v>
      </c>
    </row>
    <row r="105" spans="1:7" x14ac:dyDescent="0.2">
      <c r="A105">
        <v>1</v>
      </c>
      <c r="B105" t="s">
        <v>1803</v>
      </c>
      <c r="C105" t="s">
        <v>363</v>
      </c>
      <c r="D105">
        <v>45</v>
      </c>
      <c r="E105">
        <v>0.186154537364456</v>
      </c>
      <c r="F105">
        <v>0.13647771800404199</v>
      </c>
      <c r="G105">
        <v>0.30569790900294502</v>
      </c>
    </row>
    <row r="106" spans="1:7" x14ac:dyDescent="0.2">
      <c r="A106">
        <v>1</v>
      </c>
      <c r="B106" t="s">
        <v>1803</v>
      </c>
      <c r="C106" t="s">
        <v>363</v>
      </c>
      <c r="D106">
        <v>46</v>
      </c>
      <c r="E106">
        <v>0.13653275815583699</v>
      </c>
      <c r="F106">
        <v>8.4841682983905597E-2</v>
      </c>
      <c r="G106">
        <v>0.29388674856436697</v>
      </c>
    </row>
    <row r="107" spans="1:7" x14ac:dyDescent="0.2">
      <c r="A107">
        <v>1</v>
      </c>
      <c r="B107" t="s">
        <v>1804</v>
      </c>
      <c r="C107" t="s">
        <v>363</v>
      </c>
      <c r="D107">
        <v>1</v>
      </c>
      <c r="E107">
        <v>0.24211826921481699</v>
      </c>
      <c r="F107">
        <v>0.168764154977707</v>
      </c>
      <c r="G107">
        <v>0.35757016263171398</v>
      </c>
    </row>
    <row r="108" spans="1:7" x14ac:dyDescent="0.2">
      <c r="A108">
        <v>1</v>
      </c>
      <c r="B108" t="s">
        <v>1804</v>
      </c>
      <c r="C108" t="s">
        <v>363</v>
      </c>
      <c r="D108">
        <v>2</v>
      </c>
      <c r="E108">
        <v>0.61165048543689304</v>
      </c>
      <c r="F108">
        <v>0.58333333333333304</v>
      </c>
      <c r="G108">
        <v>0.62149532710280397</v>
      </c>
    </row>
    <row r="109" spans="1:7" x14ac:dyDescent="0.2">
      <c r="A109">
        <v>1</v>
      </c>
      <c r="B109" t="s">
        <v>1804</v>
      </c>
      <c r="C109" t="s">
        <v>363</v>
      </c>
      <c r="D109">
        <v>4</v>
      </c>
      <c r="E109">
        <v>0.61165048543689304</v>
      </c>
      <c r="F109">
        <v>0.58333333333333304</v>
      </c>
      <c r="G109">
        <v>0.62149532710280397</v>
      </c>
    </row>
    <row r="110" spans="1:7" x14ac:dyDescent="0.2">
      <c r="A110">
        <v>1</v>
      </c>
      <c r="B110" t="s">
        <v>1804</v>
      </c>
      <c r="C110" t="s">
        <v>363</v>
      </c>
      <c r="D110">
        <v>5</v>
      </c>
      <c r="E110">
        <v>0.46028108411477198</v>
      </c>
      <c r="F110">
        <v>0.35336538461538503</v>
      </c>
      <c r="G110">
        <v>0.48146591577708697</v>
      </c>
    </row>
    <row r="111" spans="1:7" x14ac:dyDescent="0.2">
      <c r="A111">
        <v>1</v>
      </c>
      <c r="B111" t="s">
        <v>1804</v>
      </c>
      <c r="C111" t="s">
        <v>363</v>
      </c>
      <c r="D111">
        <v>6</v>
      </c>
      <c r="E111">
        <v>0.21971841690258601</v>
      </c>
      <c r="F111">
        <v>0.168069492286955</v>
      </c>
      <c r="G111">
        <v>0.29147530812823003</v>
      </c>
    </row>
    <row r="112" spans="1:7" x14ac:dyDescent="0.2">
      <c r="A112">
        <v>1</v>
      </c>
      <c r="B112" t="s">
        <v>1804</v>
      </c>
      <c r="C112" t="s">
        <v>363</v>
      </c>
      <c r="D112">
        <v>7</v>
      </c>
      <c r="E112">
        <v>0.211698152593675</v>
      </c>
      <c r="F112">
        <v>0.16221353640716099</v>
      </c>
      <c r="G112">
        <v>0.328720549600303</v>
      </c>
    </row>
    <row r="113" spans="1:7" x14ac:dyDescent="0.2">
      <c r="A113">
        <v>1</v>
      </c>
      <c r="B113" t="s">
        <v>1804</v>
      </c>
      <c r="C113" t="s">
        <v>363</v>
      </c>
      <c r="D113">
        <v>8</v>
      </c>
      <c r="E113">
        <v>0.27621588110500001</v>
      </c>
      <c r="F113">
        <v>0.16881707411987501</v>
      </c>
      <c r="G113">
        <v>0.48258615532883598</v>
      </c>
    </row>
    <row r="114" spans="1:7" x14ac:dyDescent="0.2">
      <c r="A114">
        <v>1</v>
      </c>
      <c r="B114" t="s">
        <v>1804</v>
      </c>
      <c r="C114" t="s">
        <v>363</v>
      </c>
      <c r="D114">
        <v>10</v>
      </c>
      <c r="E114">
        <v>0.214874289139703</v>
      </c>
      <c r="F114">
        <v>0.13442790049328099</v>
      </c>
      <c r="G114">
        <v>0.34729707205955901</v>
      </c>
    </row>
    <row r="115" spans="1:7" x14ac:dyDescent="0.2">
      <c r="A115">
        <v>1</v>
      </c>
      <c r="B115" t="s">
        <v>1804</v>
      </c>
      <c r="C115" t="s">
        <v>363</v>
      </c>
      <c r="D115">
        <v>11</v>
      </c>
      <c r="E115">
        <v>0.306622482265831</v>
      </c>
      <c r="F115">
        <v>0.276396003022924</v>
      </c>
      <c r="G115">
        <v>0.355237211982604</v>
      </c>
    </row>
    <row r="116" spans="1:7" x14ac:dyDescent="0.2">
      <c r="A116">
        <v>1</v>
      </c>
      <c r="B116" t="s">
        <v>1804</v>
      </c>
      <c r="C116" t="s">
        <v>363</v>
      </c>
      <c r="D116">
        <v>12</v>
      </c>
      <c r="E116">
        <v>0.299444597027679</v>
      </c>
      <c r="F116">
        <v>0.26841098994476698</v>
      </c>
      <c r="G116">
        <v>0.35619497669601202</v>
      </c>
    </row>
    <row r="117" spans="1:7" x14ac:dyDescent="0.2">
      <c r="A117">
        <v>1</v>
      </c>
      <c r="B117" t="s">
        <v>1804</v>
      </c>
      <c r="C117" t="s">
        <v>363</v>
      </c>
      <c r="D117">
        <v>13</v>
      </c>
      <c r="E117">
        <v>0.37497730820898201</v>
      </c>
      <c r="F117">
        <v>0.42405408352415203</v>
      </c>
      <c r="G117">
        <v>0.35042455911169201</v>
      </c>
    </row>
    <row r="118" spans="1:7" x14ac:dyDescent="0.2">
      <c r="A118">
        <v>1</v>
      </c>
      <c r="B118" t="s">
        <v>1804</v>
      </c>
      <c r="C118" t="s">
        <v>363</v>
      </c>
      <c r="D118">
        <v>14</v>
      </c>
      <c r="E118">
        <v>0.55029912172769302</v>
      </c>
      <c r="F118">
        <v>0.56480169971671401</v>
      </c>
      <c r="G118">
        <v>0.54832489756567804</v>
      </c>
    </row>
    <row r="119" spans="1:7" x14ac:dyDescent="0.2">
      <c r="A119">
        <v>1</v>
      </c>
      <c r="B119" t="s">
        <v>1804</v>
      </c>
      <c r="C119" t="s">
        <v>363</v>
      </c>
      <c r="D119">
        <v>16</v>
      </c>
      <c r="E119">
        <v>0.3401870279343</v>
      </c>
      <c r="F119">
        <v>0.31978161255727799</v>
      </c>
      <c r="G119">
        <v>0.36292038202145499</v>
      </c>
    </row>
    <row r="120" spans="1:7" x14ac:dyDescent="0.2">
      <c r="A120">
        <v>1</v>
      </c>
      <c r="B120" t="s">
        <v>1804</v>
      </c>
      <c r="C120" t="s">
        <v>363</v>
      </c>
      <c r="D120">
        <v>31</v>
      </c>
      <c r="E120">
        <v>0.25047053973147898</v>
      </c>
      <c r="F120">
        <v>0.14706358194466901</v>
      </c>
      <c r="G120">
        <v>0.33277532756012002</v>
      </c>
    </row>
    <row r="121" spans="1:7" x14ac:dyDescent="0.2">
      <c r="A121">
        <v>1</v>
      </c>
      <c r="B121" t="s">
        <v>1804</v>
      </c>
      <c r="C121" t="s">
        <v>363</v>
      </c>
      <c r="D121">
        <v>38</v>
      </c>
      <c r="E121">
        <v>0.241731341852745</v>
      </c>
      <c r="F121">
        <v>0.16947729741704901</v>
      </c>
      <c r="G121">
        <v>0.35924266694449097</v>
      </c>
    </row>
    <row r="122" spans="1:7" x14ac:dyDescent="0.2">
      <c r="A122">
        <v>1</v>
      </c>
      <c r="B122" t="s">
        <v>1804</v>
      </c>
      <c r="C122" t="s">
        <v>363</v>
      </c>
      <c r="D122">
        <v>41</v>
      </c>
      <c r="E122">
        <v>0.24211826921481699</v>
      </c>
      <c r="F122">
        <v>0.168764154977707</v>
      </c>
      <c r="G122">
        <v>0.35757016263171398</v>
      </c>
    </row>
    <row r="123" spans="1:7" x14ac:dyDescent="0.2">
      <c r="A123">
        <v>1</v>
      </c>
      <c r="B123" t="s">
        <v>1804</v>
      </c>
      <c r="C123" t="s">
        <v>363</v>
      </c>
      <c r="D123">
        <v>42</v>
      </c>
      <c r="E123">
        <v>0.182073147922688</v>
      </c>
      <c r="F123">
        <v>0.135620489863645</v>
      </c>
      <c r="G123">
        <v>0.26743740658867499</v>
      </c>
    </row>
    <row r="124" spans="1:7" x14ac:dyDescent="0.2">
      <c r="A124">
        <v>1</v>
      </c>
      <c r="B124" t="s">
        <v>1804</v>
      </c>
      <c r="C124" t="s">
        <v>363</v>
      </c>
      <c r="D124">
        <v>43</v>
      </c>
      <c r="E124">
        <v>0.75646712967511298</v>
      </c>
      <c r="F124">
        <v>0.77726363181590796</v>
      </c>
      <c r="G124">
        <v>0.74746326196896395</v>
      </c>
    </row>
    <row r="125" spans="1:7" x14ac:dyDescent="0.2">
      <c r="A125">
        <v>1</v>
      </c>
      <c r="B125" t="s">
        <v>1804</v>
      </c>
      <c r="C125" t="s">
        <v>363</v>
      </c>
      <c r="D125">
        <v>44</v>
      </c>
      <c r="E125">
        <v>0.24208447962277899</v>
      </c>
      <c r="F125">
        <v>0.16874060847398301</v>
      </c>
      <c r="G125">
        <v>0.357529265336338</v>
      </c>
    </row>
    <row r="126" spans="1:7" x14ac:dyDescent="0.2">
      <c r="A126">
        <v>1</v>
      </c>
      <c r="B126" t="s">
        <v>1804</v>
      </c>
      <c r="C126" t="s">
        <v>363</v>
      </c>
      <c r="D126">
        <v>45</v>
      </c>
      <c r="E126">
        <v>0.24233100299818999</v>
      </c>
      <c r="F126">
        <v>0.16900349222706201</v>
      </c>
      <c r="G126">
        <v>0.35753431658132201</v>
      </c>
    </row>
    <row r="127" spans="1:7" x14ac:dyDescent="0.2">
      <c r="A127">
        <v>1</v>
      </c>
      <c r="B127" t="s">
        <v>1804</v>
      </c>
      <c r="C127" t="s">
        <v>363</v>
      </c>
      <c r="D127">
        <v>46</v>
      </c>
      <c r="E127">
        <v>0.202929662836217</v>
      </c>
      <c r="F127">
        <v>0.13154486586493999</v>
      </c>
      <c r="G127">
        <v>0.35640413683373101</v>
      </c>
    </row>
    <row r="128" spans="1:7" x14ac:dyDescent="0.2">
      <c r="A128">
        <v>1</v>
      </c>
      <c r="B128" t="s">
        <v>354</v>
      </c>
      <c r="C128" t="s">
        <v>364</v>
      </c>
      <c r="D128">
        <v>1</v>
      </c>
      <c r="E128">
        <v>14355555</v>
      </c>
      <c r="F128">
        <v>9630390</v>
      </c>
      <c r="G128">
        <v>4725170</v>
      </c>
    </row>
    <row r="129" spans="1:7" x14ac:dyDescent="0.2">
      <c r="A129">
        <v>1</v>
      </c>
      <c r="B129" t="s">
        <v>354</v>
      </c>
      <c r="C129" t="s">
        <v>364</v>
      </c>
      <c r="D129">
        <v>2</v>
      </c>
      <c r="E129">
        <v>1995</v>
      </c>
      <c r="F129">
        <v>635</v>
      </c>
      <c r="G129">
        <v>1360</v>
      </c>
    </row>
    <row r="130" spans="1:7" x14ac:dyDescent="0.2">
      <c r="A130">
        <v>1</v>
      </c>
      <c r="B130" t="s">
        <v>354</v>
      </c>
      <c r="C130" t="s">
        <v>364</v>
      </c>
      <c r="D130">
        <v>4</v>
      </c>
      <c r="E130">
        <v>1995</v>
      </c>
      <c r="F130">
        <v>635</v>
      </c>
      <c r="G130">
        <v>1360</v>
      </c>
    </row>
    <row r="131" spans="1:7" x14ac:dyDescent="0.2">
      <c r="A131">
        <v>1</v>
      </c>
      <c r="B131" t="s">
        <v>354</v>
      </c>
      <c r="C131" t="s">
        <v>364</v>
      </c>
      <c r="D131">
        <v>5</v>
      </c>
      <c r="E131">
        <v>362540</v>
      </c>
      <c r="F131">
        <v>66170</v>
      </c>
      <c r="G131">
        <v>296370</v>
      </c>
    </row>
    <row r="132" spans="1:7" x14ac:dyDescent="0.2">
      <c r="A132">
        <v>1</v>
      </c>
      <c r="B132" t="s">
        <v>354</v>
      </c>
      <c r="C132" t="s">
        <v>364</v>
      </c>
      <c r="D132">
        <v>6</v>
      </c>
      <c r="E132">
        <v>7025695</v>
      </c>
      <c r="F132">
        <v>4374535</v>
      </c>
      <c r="G132">
        <v>2651160</v>
      </c>
    </row>
    <row r="133" spans="1:7" x14ac:dyDescent="0.2">
      <c r="A133">
        <v>1</v>
      </c>
      <c r="B133" t="s">
        <v>354</v>
      </c>
      <c r="C133" t="s">
        <v>364</v>
      </c>
      <c r="D133">
        <v>7</v>
      </c>
      <c r="E133">
        <v>2904655</v>
      </c>
      <c r="F133">
        <v>2191640</v>
      </c>
      <c r="G133">
        <v>713015</v>
      </c>
    </row>
    <row r="134" spans="1:7" x14ac:dyDescent="0.2">
      <c r="A134">
        <v>1</v>
      </c>
      <c r="B134" t="s">
        <v>354</v>
      </c>
      <c r="C134" t="s">
        <v>364</v>
      </c>
      <c r="D134">
        <v>8</v>
      </c>
      <c r="E134">
        <v>4060675</v>
      </c>
      <c r="F134">
        <v>2997410</v>
      </c>
      <c r="G134">
        <v>1063265</v>
      </c>
    </row>
    <row r="135" spans="1:7" x14ac:dyDescent="0.2">
      <c r="A135">
        <v>1</v>
      </c>
      <c r="B135" t="s">
        <v>354</v>
      </c>
      <c r="C135" t="s">
        <v>364</v>
      </c>
      <c r="D135">
        <v>10</v>
      </c>
      <c r="E135">
        <v>10384180</v>
      </c>
      <c r="F135">
        <v>7099855</v>
      </c>
      <c r="G135">
        <v>3284325</v>
      </c>
    </row>
    <row r="136" spans="1:7" x14ac:dyDescent="0.2">
      <c r="A136">
        <v>1</v>
      </c>
      <c r="B136" t="s">
        <v>354</v>
      </c>
      <c r="C136" t="s">
        <v>364</v>
      </c>
      <c r="D136">
        <v>11</v>
      </c>
      <c r="E136">
        <v>3708725</v>
      </c>
      <c r="F136">
        <v>2502230</v>
      </c>
      <c r="G136">
        <v>1206495</v>
      </c>
    </row>
    <row r="137" spans="1:7" x14ac:dyDescent="0.2">
      <c r="A137">
        <v>1</v>
      </c>
      <c r="B137" t="s">
        <v>354</v>
      </c>
      <c r="C137" t="s">
        <v>364</v>
      </c>
      <c r="D137">
        <v>12</v>
      </c>
      <c r="E137">
        <v>3313570</v>
      </c>
      <c r="F137">
        <v>2359860</v>
      </c>
      <c r="G137">
        <v>953710</v>
      </c>
    </row>
    <row r="138" spans="1:7" x14ac:dyDescent="0.2">
      <c r="A138">
        <v>1</v>
      </c>
      <c r="B138" t="s">
        <v>354</v>
      </c>
      <c r="C138" t="s">
        <v>364</v>
      </c>
      <c r="D138">
        <v>13</v>
      </c>
      <c r="E138">
        <v>395155</v>
      </c>
      <c r="F138">
        <v>142370</v>
      </c>
      <c r="G138">
        <v>252790</v>
      </c>
    </row>
    <row r="139" spans="1:7" x14ac:dyDescent="0.2">
      <c r="A139">
        <v>1</v>
      </c>
      <c r="B139" t="s">
        <v>354</v>
      </c>
      <c r="C139" t="s">
        <v>364</v>
      </c>
      <c r="D139">
        <v>14</v>
      </c>
      <c r="E139">
        <v>262650</v>
      </c>
      <c r="F139">
        <v>28300</v>
      </c>
      <c r="G139">
        <v>234350</v>
      </c>
    </row>
    <row r="140" spans="1:7" x14ac:dyDescent="0.2">
      <c r="A140">
        <v>1</v>
      </c>
      <c r="B140" t="s">
        <v>354</v>
      </c>
      <c r="C140" t="s">
        <v>364</v>
      </c>
      <c r="D140">
        <v>16</v>
      </c>
      <c r="E140">
        <v>2941760</v>
      </c>
      <c r="F140">
        <v>1749810</v>
      </c>
      <c r="G140">
        <v>1191950</v>
      </c>
    </row>
    <row r="141" spans="1:7" x14ac:dyDescent="0.2">
      <c r="A141">
        <v>1</v>
      </c>
      <c r="B141" t="s">
        <v>354</v>
      </c>
      <c r="C141" t="s">
        <v>364</v>
      </c>
      <c r="D141">
        <v>31</v>
      </c>
      <c r="E141">
        <v>524400</v>
      </c>
      <c r="F141">
        <v>269490</v>
      </c>
      <c r="G141">
        <v>254910</v>
      </c>
    </row>
    <row r="142" spans="1:7" x14ac:dyDescent="0.2">
      <c r="A142">
        <v>1</v>
      </c>
      <c r="B142" t="s">
        <v>354</v>
      </c>
      <c r="C142" t="s">
        <v>364</v>
      </c>
      <c r="D142">
        <v>38</v>
      </c>
      <c r="E142">
        <v>13831160</v>
      </c>
      <c r="F142">
        <v>9360900</v>
      </c>
      <c r="G142">
        <v>4470260</v>
      </c>
    </row>
    <row r="143" spans="1:7" x14ac:dyDescent="0.2">
      <c r="A143">
        <v>1</v>
      </c>
      <c r="B143" t="s">
        <v>354</v>
      </c>
      <c r="C143" t="s">
        <v>364</v>
      </c>
      <c r="D143">
        <v>41</v>
      </c>
      <c r="E143">
        <v>14355555</v>
      </c>
      <c r="F143">
        <v>9630390</v>
      </c>
      <c r="G143">
        <v>4725170</v>
      </c>
    </row>
    <row r="144" spans="1:7" x14ac:dyDescent="0.2">
      <c r="A144">
        <v>1</v>
      </c>
      <c r="B144" t="s">
        <v>354</v>
      </c>
      <c r="C144" t="s">
        <v>364</v>
      </c>
      <c r="D144">
        <v>42</v>
      </c>
      <c r="E144">
        <v>13289660</v>
      </c>
      <c r="F144">
        <v>9320725</v>
      </c>
      <c r="G144">
        <v>3968935</v>
      </c>
    </row>
    <row r="145" spans="1:7" x14ac:dyDescent="0.2">
      <c r="A145">
        <v>1</v>
      </c>
      <c r="B145" t="s">
        <v>354</v>
      </c>
      <c r="C145" t="s">
        <v>364</v>
      </c>
      <c r="D145">
        <v>43</v>
      </c>
      <c r="E145">
        <v>1065895</v>
      </c>
      <c r="F145">
        <v>309670</v>
      </c>
      <c r="G145">
        <v>756230</v>
      </c>
    </row>
    <row r="146" spans="1:7" x14ac:dyDescent="0.2">
      <c r="A146">
        <v>1</v>
      </c>
      <c r="B146" t="s">
        <v>354</v>
      </c>
      <c r="C146" t="s">
        <v>364</v>
      </c>
      <c r="D146">
        <v>44</v>
      </c>
      <c r="E146">
        <v>14354650</v>
      </c>
      <c r="F146">
        <v>9630015</v>
      </c>
      <c r="G146">
        <v>4724640</v>
      </c>
    </row>
    <row r="147" spans="1:7" x14ac:dyDescent="0.2">
      <c r="A147">
        <v>1</v>
      </c>
      <c r="B147" t="s">
        <v>354</v>
      </c>
      <c r="C147" t="s">
        <v>364</v>
      </c>
      <c r="D147">
        <v>45</v>
      </c>
      <c r="E147">
        <v>14040290</v>
      </c>
      <c r="F147">
        <v>9395320</v>
      </c>
      <c r="G147">
        <v>4644970</v>
      </c>
    </row>
    <row r="148" spans="1:7" x14ac:dyDescent="0.2">
      <c r="A148">
        <v>1</v>
      </c>
      <c r="B148" t="s">
        <v>354</v>
      </c>
      <c r="C148" t="s">
        <v>364</v>
      </c>
      <c r="D148">
        <v>46</v>
      </c>
      <c r="E148">
        <v>314360</v>
      </c>
      <c r="F148">
        <v>234685</v>
      </c>
      <c r="G148">
        <v>79665</v>
      </c>
    </row>
    <row r="149" spans="1:7" x14ac:dyDescent="0.2">
      <c r="A149">
        <v>1</v>
      </c>
      <c r="B149" t="s">
        <v>1803</v>
      </c>
      <c r="C149" t="s">
        <v>364</v>
      </c>
      <c r="D149">
        <v>1</v>
      </c>
      <c r="E149">
        <v>8183085</v>
      </c>
      <c r="F149">
        <v>5832290</v>
      </c>
      <c r="G149">
        <v>2350800</v>
      </c>
    </row>
    <row r="150" spans="1:7" x14ac:dyDescent="0.2">
      <c r="A150">
        <v>1</v>
      </c>
      <c r="B150" t="s">
        <v>1803</v>
      </c>
      <c r="C150" t="s">
        <v>364</v>
      </c>
      <c r="D150">
        <v>2</v>
      </c>
      <c r="E150">
        <v>975</v>
      </c>
      <c r="F150">
        <v>345</v>
      </c>
      <c r="G150">
        <v>635</v>
      </c>
    </row>
    <row r="151" spans="1:7" x14ac:dyDescent="0.2">
      <c r="A151">
        <v>1</v>
      </c>
      <c r="B151" t="s">
        <v>1803</v>
      </c>
      <c r="C151" t="s">
        <v>364</v>
      </c>
      <c r="D151">
        <v>4</v>
      </c>
      <c r="E151">
        <v>975</v>
      </c>
      <c r="F151">
        <v>345</v>
      </c>
      <c r="G151">
        <v>635</v>
      </c>
    </row>
    <row r="152" spans="1:7" x14ac:dyDescent="0.2">
      <c r="A152">
        <v>1</v>
      </c>
      <c r="B152" t="s">
        <v>1803</v>
      </c>
      <c r="C152" t="s">
        <v>364</v>
      </c>
      <c r="D152">
        <v>5</v>
      </c>
      <c r="E152">
        <v>171520</v>
      </c>
      <c r="F152">
        <v>34970</v>
      </c>
      <c r="G152">
        <v>136550</v>
      </c>
    </row>
    <row r="153" spans="1:7" x14ac:dyDescent="0.2">
      <c r="A153">
        <v>1</v>
      </c>
      <c r="B153" t="s">
        <v>1803</v>
      </c>
      <c r="C153" t="s">
        <v>364</v>
      </c>
      <c r="D153">
        <v>6</v>
      </c>
      <c r="E153">
        <v>3941120</v>
      </c>
      <c r="F153">
        <v>2571970</v>
      </c>
      <c r="G153">
        <v>1369150</v>
      </c>
    </row>
    <row r="154" spans="1:7" x14ac:dyDescent="0.2">
      <c r="A154">
        <v>1</v>
      </c>
      <c r="B154" t="s">
        <v>1803</v>
      </c>
      <c r="C154" t="s">
        <v>364</v>
      </c>
      <c r="D154">
        <v>7</v>
      </c>
      <c r="E154">
        <v>1740125</v>
      </c>
      <c r="F154">
        <v>1370575</v>
      </c>
      <c r="G154">
        <v>369550</v>
      </c>
    </row>
    <row r="155" spans="1:7" x14ac:dyDescent="0.2">
      <c r="A155">
        <v>1</v>
      </c>
      <c r="B155" t="s">
        <v>1803</v>
      </c>
      <c r="C155" t="s">
        <v>364</v>
      </c>
      <c r="D155">
        <v>8</v>
      </c>
      <c r="E155">
        <v>2329345</v>
      </c>
      <c r="F155">
        <v>1854430</v>
      </c>
      <c r="G155">
        <v>474910</v>
      </c>
    </row>
    <row r="156" spans="1:7" x14ac:dyDescent="0.2">
      <c r="A156">
        <v>1</v>
      </c>
      <c r="B156" t="s">
        <v>1803</v>
      </c>
      <c r="C156" t="s">
        <v>364</v>
      </c>
      <c r="D156">
        <v>10</v>
      </c>
      <c r="E156">
        <v>5699880</v>
      </c>
      <c r="F156">
        <v>4171665</v>
      </c>
      <c r="G156">
        <v>1528210</v>
      </c>
    </row>
    <row r="157" spans="1:7" x14ac:dyDescent="0.2">
      <c r="A157">
        <v>1</v>
      </c>
      <c r="B157" t="s">
        <v>1803</v>
      </c>
      <c r="C157" t="s">
        <v>364</v>
      </c>
      <c r="D157">
        <v>11</v>
      </c>
      <c r="E157">
        <v>2314960</v>
      </c>
      <c r="F157">
        <v>1642800</v>
      </c>
      <c r="G157">
        <v>672160</v>
      </c>
    </row>
    <row r="158" spans="1:7" x14ac:dyDescent="0.2">
      <c r="A158">
        <v>1</v>
      </c>
      <c r="B158" t="s">
        <v>1803</v>
      </c>
      <c r="C158" t="s">
        <v>364</v>
      </c>
      <c r="D158">
        <v>12</v>
      </c>
      <c r="E158">
        <v>2047705</v>
      </c>
      <c r="F158">
        <v>1541955</v>
      </c>
      <c r="G158">
        <v>505755</v>
      </c>
    </row>
    <row r="159" spans="1:7" x14ac:dyDescent="0.2">
      <c r="A159">
        <v>1</v>
      </c>
      <c r="B159" t="s">
        <v>1803</v>
      </c>
      <c r="C159" t="s">
        <v>364</v>
      </c>
      <c r="D159">
        <v>13</v>
      </c>
      <c r="E159">
        <v>267260</v>
      </c>
      <c r="F159">
        <v>100845</v>
      </c>
      <c r="G159">
        <v>166405</v>
      </c>
    </row>
    <row r="160" spans="1:7" x14ac:dyDescent="0.2">
      <c r="A160">
        <v>1</v>
      </c>
      <c r="B160" t="s">
        <v>1803</v>
      </c>
      <c r="C160" t="s">
        <v>364</v>
      </c>
      <c r="D160">
        <v>14</v>
      </c>
      <c r="E160">
        <v>168250</v>
      </c>
      <c r="F160">
        <v>17825</v>
      </c>
      <c r="G160">
        <v>150430</v>
      </c>
    </row>
    <row r="161" spans="1:7" x14ac:dyDescent="0.2">
      <c r="A161">
        <v>1</v>
      </c>
      <c r="B161" t="s">
        <v>1803</v>
      </c>
      <c r="C161" t="s">
        <v>364</v>
      </c>
      <c r="D161">
        <v>16</v>
      </c>
      <c r="E161">
        <v>1840825</v>
      </c>
      <c r="F161">
        <v>1166690</v>
      </c>
      <c r="G161">
        <v>674135</v>
      </c>
    </row>
    <row r="162" spans="1:7" x14ac:dyDescent="0.2">
      <c r="A162">
        <v>1</v>
      </c>
      <c r="B162" t="s">
        <v>1803</v>
      </c>
      <c r="C162" t="s">
        <v>364</v>
      </c>
      <c r="D162">
        <v>31</v>
      </c>
      <c r="E162">
        <v>250830</v>
      </c>
      <c r="F162">
        <v>147540</v>
      </c>
      <c r="G162">
        <v>103285</v>
      </c>
    </row>
    <row r="163" spans="1:7" x14ac:dyDescent="0.2">
      <c r="A163">
        <v>1</v>
      </c>
      <c r="B163" t="s">
        <v>1803</v>
      </c>
      <c r="C163" t="s">
        <v>364</v>
      </c>
      <c r="D163">
        <v>38</v>
      </c>
      <c r="E163">
        <v>7932260</v>
      </c>
      <c r="F163">
        <v>5684745</v>
      </c>
      <c r="G163">
        <v>2247515</v>
      </c>
    </row>
    <row r="164" spans="1:7" x14ac:dyDescent="0.2">
      <c r="A164">
        <v>1</v>
      </c>
      <c r="B164" t="s">
        <v>1803</v>
      </c>
      <c r="C164" t="s">
        <v>364</v>
      </c>
      <c r="D164">
        <v>41</v>
      </c>
      <c r="E164">
        <v>8183085</v>
      </c>
      <c r="F164">
        <v>5832290</v>
      </c>
      <c r="G164">
        <v>2350800</v>
      </c>
    </row>
    <row r="165" spans="1:7" x14ac:dyDescent="0.2">
      <c r="A165">
        <v>1</v>
      </c>
      <c r="B165" t="s">
        <v>1803</v>
      </c>
      <c r="C165" t="s">
        <v>364</v>
      </c>
      <c r="D165">
        <v>42</v>
      </c>
      <c r="E165">
        <v>7642470</v>
      </c>
      <c r="F165">
        <v>5663985</v>
      </c>
      <c r="G165">
        <v>1978485</v>
      </c>
    </row>
    <row r="166" spans="1:7" x14ac:dyDescent="0.2">
      <c r="A166">
        <v>1</v>
      </c>
      <c r="B166" t="s">
        <v>1803</v>
      </c>
      <c r="C166" t="s">
        <v>364</v>
      </c>
      <c r="D166">
        <v>43</v>
      </c>
      <c r="E166">
        <v>540620</v>
      </c>
      <c r="F166">
        <v>168300</v>
      </c>
      <c r="G166">
        <v>372315</v>
      </c>
    </row>
    <row r="167" spans="1:7" x14ac:dyDescent="0.2">
      <c r="A167">
        <v>1</v>
      </c>
      <c r="B167" t="s">
        <v>1803</v>
      </c>
      <c r="C167" t="s">
        <v>364</v>
      </c>
      <c r="D167">
        <v>44</v>
      </c>
      <c r="E167">
        <v>8182595</v>
      </c>
      <c r="F167">
        <v>5832070</v>
      </c>
      <c r="G167">
        <v>2350520</v>
      </c>
    </row>
    <row r="168" spans="1:7" x14ac:dyDescent="0.2">
      <c r="A168">
        <v>1</v>
      </c>
      <c r="B168" t="s">
        <v>1803</v>
      </c>
      <c r="C168" t="s">
        <v>364</v>
      </c>
      <c r="D168">
        <v>45</v>
      </c>
      <c r="E168">
        <v>7907180</v>
      </c>
      <c r="F168">
        <v>5624110</v>
      </c>
      <c r="G168">
        <v>2283070</v>
      </c>
    </row>
    <row r="169" spans="1:7" x14ac:dyDescent="0.2">
      <c r="A169">
        <v>1</v>
      </c>
      <c r="B169" t="s">
        <v>1803</v>
      </c>
      <c r="C169" t="s">
        <v>364</v>
      </c>
      <c r="D169">
        <v>46</v>
      </c>
      <c r="E169">
        <v>275415</v>
      </c>
      <c r="F169">
        <v>207965</v>
      </c>
      <c r="G169">
        <v>67450</v>
      </c>
    </row>
    <row r="170" spans="1:7" x14ac:dyDescent="0.2">
      <c r="A170">
        <v>1</v>
      </c>
      <c r="B170" t="s">
        <v>1804</v>
      </c>
      <c r="C170" t="s">
        <v>364</v>
      </c>
      <c r="D170">
        <v>1</v>
      </c>
      <c r="E170">
        <v>6172470</v>
      </c>
      <c r="F170">
        <v>3798100</v>
      </c>
      <c r="G170">
        <v>2374370</v>
      </c>
    </row>
    <row r="171" spans="1:7" x14ac:dyDescent="0.2">
      <c r="A171">
        <v>1</v>
      </c>
      <c r="B171" t="s">
        <v>1804</v>
      </c>
      <c r="C171" t="s">
        <v>364</v>
      </c>
      <c r="D171">
        <v>2</v>
      </c>
      <c r="E171">
        <v>1010</v>
      </c>
      <c r="F171">
        <v>290</v>
      </c>
      <c r="G171">
        <v>720</v>
      </c>
    </row>
    <row r="172" spans="1:7" x14ac:dyDescent="0.2">
      <c r="A172">
        <v>1</v>
      </c>
      <c r="B172" t="s">
        <v>1804</v>
      </c>
      <c r="C172" t="s">
        <v>364</v>
      </c>
      <c r="D172">
        <v>4</v>
      </c>
      <c r="E172">
        <v>1010</v>
      </c>
      <c r="F172">
        <v>290</v>
      </c>
      <c r="G172">
        <v>720</v>
      </c>
    </row>
    <row r="173" spans="1:7" x14ac:dyDescent="0.2">
      <c r="A173">
        <v>1</v>
      </c>
      <c r="B173" t="s">
        <v>1804</v>
      </c>
      <c r="C173" t="s">
        <v>364</v>
      </c>
      <c r="D173">
        <v>5</v>
      </c>
      <c r="E173">
        <v>191015</v>
      </c>
      <c r="F173">
        <v>31205</v>
      </c>
      <c r="G173">
        <v>159815</v>
      </c>
    </row>
    <row r="174" spans="1:7" x14ac:dyDescent="0.2">
      <c r="A174">
        <v>1</v>
      </c>
      <c r="B174" t="s">
        <v>1804</v>
      </c>
      <c r="C174" t="s">
        <v>364</v>
      </c>
      <c r="D174">
        <v>6</v>
      </c>
      <c r="E174">
        <v>3084575</v>
      </c>
      <c r="F174">
        <v>1802565</v>
      </c>
      <c r="G174">
        <v>1282010</v>
      </c>
    </row>
    <row r="175" spans="1:7" x14ac:dyDescent="0.2">
      <c r="A175">
        <v>1</v>
      </c>
      <c r="B175" t="s">
        <v>1804</v>
      </c>
      <c r="C175" t="s">
        <v>364</v>
      </c>
      <c r="D175">
        <v>7</v>
      </c>
      <c r="E175">
        <v>1164525</v>
      </c>
      <c r="F175">
        <v>821065</v>
      </c>
      <c r="G175">
        <v>343465</v>
      </c>
    </row>
    <row r="176" spans="1:7" x14ac:dyDescent="0.2">
      <c r="A176">
        <v>1</v>
      </c>
      <c r="B176" t="s">
        <v>1804</v>
      </c>
      <c r="C176" t="s">
        <v>364</v>
      </c>
      <c r="D176">
        <v>8</v>
      </c>
      <c r="E176">
        <v>1731335</v>
      </c>
      <c r="F176">
        <v>1142980</v>
      </c>
      <c r="G176">
        <v>588355</v>
      </c>
    </row>
    <row r="177" spans="1:7" x14ac:dyDescent="0.2">
      <c r="A177">
        <v>1</v>
      </c>
      <c r="B177" t="s">
        <v>1804</v>
      </c>
      <c r="C177" t="s">
        <v>364</v>
      </c>
      <c r="D177">
        <v>10</v>
      </c>
      <c r="E177">
        <v>4684300</v>
      </c>
      <c r="F177">
        <v>2928195</v>
      </c>
      <c r="G177">
        <v>1756115</v>
      </c>
    </row>
    <row r="178" spans="1:7" x14ac:dyDescent="0.2">
      <c r="A178">
        <v>1</v>
      </c>
      <c r="B178" t="s">
        <v>1804</v>
      </c>
      <c r="C178" t="s">
        <v>364</v>
      </c>
      <c r="D178">
        <v>11</v>
      </c>
      <c r="E178">
        <v>1393765</v>
      </c>
      <c r="F178">
        <v>859430</v>
      </c>
      <c r="G178">
        <v>534335</v>
      </c>
    </row>
    <row r="179" spans="1:7" x14ac:dyDescent="0.2">
      <c r="A179">
        <v>1</v>
      </c>
      <c r="B179" t="s">
        <v>1804</v>
      </c>
      <c r="C179" t="s">
        <v>364</v>
      </c>
      <c r="D179">
        <v>12</v>
      </c>
      <c r="E179">
        <v>1265860</v>
      </c>
      <c r="F179">
        <v>817910</v>
      </c>
      <c r="G179">
        <v>447955</v>
      </c>
    </row>
    <row r="180" spans="1:7" x14ac:dyDescent="0.2">
      <c r="A180">
        <v>1</v>
      </c>
      <c r="B180" t="s">
        <v>1804</v>
      </c>
      <c r="C180" t="s">
        <v>364</v>
      </c>
      <c r="D180">
        <v>13</v>
      </c>
      <c r="E180">
        <v>127905</v>
      </c>
      <c r="F180">
        <v>41525</v>
      </c>
      <c r="G180">
        <v>86380</v>
      </c>
    </row>
    <row r="181" spans="1:7" x14ac:dyDescent="0.2">
      <c r="A181">
        <v>1</v>
      </c>
      <c r="B181" t="s">
        <v>1804</v>
      </c>
      <c r="C181" t="s">
        <v>364</v>
      </c>
      <c r="D181">
        <v>14</v>
      </c>
      <c r="E181">
        <v>94405</v>
      </c>
      <c r="F181">
        <v>10475</v>
      </c>
      <c r="G181">
        <v>83920</v>
      </c>
    </row>
    <row r="182" spans="1:7" x14ac:dyDescent="0.2">
      <c r="A182">
        <v>1</v>
      </c>
      <c r="B182" t="s">
        <v>1804</v>
      </c>
      <c r="C182" t="s">
        <v>364</v>
      </c>
      <c r="D182">
        <v>16</v>
      </c>
      <c r="E182">
        <v>1100940</v>
      </c>
      <c r="F182">
        <v>583120</v>
      </c>
      <c r="G182">
        <v>517820</v>
      </c>
    </row>
    <row r="183" spans="1:7" x14ac:dyDescent="0.2">
      <c r="A183">
        <v>1</v>
      </c>
      <c r="B183" t="s">
        <v>1804</v>
      </c>
      <c r="C183" t="s">
        <v>364</v>
      </c>
      <c r="D183">
        <v>31</v>
      </c>
      <c r="E183">
        <v>273570</v>
      </c>
      <c r="F183">
        <v>121950</v>
      </c>
      <c r="G183">
        <v>151625</v>
      </c>
    </row>
    <row r="184" spans="1:7" x14ac:dyDescent="0.2">
      <c r="A184">
        <v>1</v>
      </c>
      <c r="B184" t="s">
        <v>1804</v>
      </c>
      <c r="C184" t="s">
        <v>364</v>
      </c>
      <c r="D184">
        <v>38</v>
      </c>
      <c r="E184">
        <v>5898900</v>
      </c>
      <c r="F184">
        <v>3676155</v>
      </c>
      <c r="G184">
        <v>2222745</v>
      </c>
    </row>
    <row r="185" spans="1:7" x14ac:dyDescent="0.2">
      <c r="A185">
        <v>1</v>
      </c>
      <c r="B185" t="s">
        <v>1804</v>
      </c>
      <c r="C185" t="s">
        <v>364</v>
      </c>
      <c r="D185">
        <v>41</v>
      </c>
      <c r="E185">
        <v>6172470</v>
      </c>
      <c r="F185">
        <v>3798100</v>
      </c>
      <c r="G185">
        <v>2374370</v>
      </c>
    </row>
    <row r="186" spans="1:7" x14ac:dyDescent="0.2">
      <c r="A186">
        <v>1</v>
      </c>
      <c r="B186" t="s">
        <v>1804</v>
      </c>
      <c r="C186" t="s">
        <v>364</v>
      </c>
      <c r="D186">
        <v>42</v>
      </c>
      <c r="E186">
        <v>5647190</v>
      </c>
      <c r="F186">
        <v>3656735</v>
      </c>
      <c r="G186">
        <v>1990450</v>
      </c>
    </row>
    <row r="187" spans="1:7" x14ac:dyDescent="0.2">
      <c r="A187">
        <v>1</v>
      </c>
      <c r="B187" t="s">
        <v>1804</v>
      </c>
      <c r="C187" t="s">
        <v>364</v>
      </c>
      <c r="D187">
        <v>43</v>
      </c>
      <c r="E187">
        <v>525280</v>
      </c>
      <c r="F187">
        <v>141365</v>
      </c>
      <c r="G187">
        <v>383915</v>
      </c>
    </row>
    <row r="188" spans="1:7" x14ac:dyDescent="0.2">
      <c r="A188">
        <v>1</v>
      </c>
      <c r="B188" t="s">
        <v>1804</v>
      </c>
      <c r="C188" t="s">
        <v>364</v>
      </c>
      <c r="D188">
        <v>44</v>
      </c>
      <c r="E188">
        <v>6172055</v>
      </c>
      <c r="F188">
        <v>3797935</v>
      </c>
      <c r="G188">
        <v>2374120</v>
      </c>
    </row>
    <row r="189" spans="1:7" x14ac:dyDescent="0.2">
      <c r="A189">
        <v>1</v>
      </c>
      <c r="B189" t="s">
        <v>1804</v>
      </c>
      <c r="C189" t="s">
        <v>364</v>
      </c>
      <c r="D189">
        <v>45</v>
      </c>
      <c r="E189">
        <v>6133110</v>
      </c>
      <c r="F189">
        <v>3771215</v>
      </c>
      <c r="G189">
        <v>2361900</v>
      </c>
    </row>
    <row r="190" spans="1:7" x14ac:dyDescent="0.2">
      <c r="A190">
        <v>1</v>
      </c>
      <c r="B190" t="s">
        <v>1804</v>
      </c>
      <c r="C190" t="s">
        <v>364</v>
      </c>
      <c r="D190">
        <v>46</v>
      </c>
      <c r="E190">
        <v>38945</v>
      </c>
      <c r="F190">
        <v>26725</v>
      </c>
      <c r="G190">
        <v>12220</v>
      </c>
    </row>
    <row r="191" spans="1:7" x14ac:dyDescent="0.2">
      <c r="A191">
        <v>1</v>
      </c>
      <c r="B191" t="s">
        <v>354</v>
      </c>
      <c r="C191" t="s">
        <v>365</v>
      </c>
      <c r="D191">
        <v>1</v>
      </c>
      <c r="E191">
        <v>0.101077945088156</v>
      </c>
      <c r="F191">
        <v>5.2734624454461303E-2</v>
      </c>
      <c r="G191">
        <v>0.19960551683854799</v>
      </c>
    </row>
    <row r="192" spans="1:7" x14ac:dyDescent="0.2">
      <c r="A192">
        <v>1</v>
      </c>
      <c r="B192" t="s">
        <v>354</v>
      </c>
      <c r="C192" t="s">
        <v>365</v>
      </c>
      <c r="D192">
        <v>2</v>
      </c>
      <c r="E192">
        <v>0.157894736842105</v>
      </c>
      <c r="F192">
        <v>0.102362204724409</v>
      </c>
      <c r="G192">
        <v>0.183823529411765</v>
      </c>
    </row>
    <row r="193" spans="1:7" x14ac:dyDescent="0.2">
      <c r="A193">
        <v>1</v>
      </c>
      <c r="B193" t="s">
        <v>354</v>
      </c>
      <c r="C193" t="s">
        <v>365</v>
      </c>
      <c r="D193">
        <v>4</v>
      </c>
      <c r="E193">
        <v>0.157894736842105</v>
      </c>
      <c r="F193">
        <v>0.102362204724409</v>
      </c>
      <c r="G193">
        <v>0.183823529411765</v>
      </c>
    </row>
    <row r="194" spans="1:7" x14ac:dyDescent="0.2">
      <c r="A194">
        <v>1</v>
      </c>
      <c r="B194" t="s">
        <v>354</v>
      </c>
      <c r="C194" t="s">
        <v>365</v>
      </c>
      <c r="D194">
        <v>5</v>
      </c>
      <c r="E194">
        <v>0.13484029348485699</v>
      </c>
      <c r="F194">
        <v>6.1583799304820899E-2</v>
      </c>
      <c r="G194">
        <v>0.15119613996018499</v>
      </c>
    </row>
    <row r="195" spans="1:7" x14ac:dyDescent="0.2">
      <c r="A195">
        <v>1</v>
      </c>
      <c r="B195" t="s">
        <v>354</v>
      </c>
      <c r="C195" t="s">
        <v>365</v>
      </c>
      <c r="D195">
        <v>6</v>
      </c>
      <c r="E195">
        <v>9.1694131327932707E-2</v>
      </c>
      <c r="F195">
        <v>4.18878806547439E-2</v>
      </c>
      <c r="G195">
        <v>0.173874832148946</v>
      </c>
    </row>
    <row r="196" spans="1:7" x14ac:dyDescent="0.2">
      <c r="A196">
        <v>1</v>
      </c>
      <c r="B196" t="s">
        <v>354</v>
      </c>
      <c r="C196" t="s">
        <v>365</v>
      </c>
      <c r="D196">
        <v>7</v>
      </c>
      <c r="E196">
        <v>9.5670570170984195E-2</v>
      </c>
      <c r="F196">
        <v>5.31360077384972E-2</v>
      </c>
      <c r="G196">
        <v>0.22641879904349799</v>
      </c>
    </row>
    <row r="197" spans="1:7" x14ac:dyDescent="0.2">
      <c r="A197">
        <v>1</v>
      </c>
      <c r="B197" t="s">
        <v>354</v>
      </c>
      <c r="C197" t="s">
        <v>365</v>
      </c>
      <c r="D197">
        <v>8</v>
      </c>
      <c r="E197">
        <v>0.11813922562135599</v>
      </c>
      <c r="F197">
        <v>6.8067097927877698E-2</v>
      </c>
      <c r="G197">
        <v>0.25929566006592902</v>
      </c>
    </row>
    <row r="198" spans="1:7" x14ac:dyDescent="0.2">
      <c r="A198">
        <v>1</v>
      </c>
      <c r="B198" t="s">
        <v>354</v>
      </c>
      <c r="C198" t="s">
        <v>365</v>
      </c>
      <c r="D198">
        <v>10</v>
      </c>
      <c r="E198">
        <v>8.6201317773767397E-2</v>
      </c>
      <c r="F198">
        <v>4.0007859315436697E-2</v>
      </c>
      <c r="G198">
        <v>0.186061062775456</v>
      </c>
    </row>
    <row r="199" spans="1:7" x14ac:dyDescent="0.2">
      <c r="A199">
        <v>1</v>
      </c>
      <c r="B199" t="s">
        <v>354</v>
      </c>
      <c r="C199" t="s">
        <v>365</v>
      </c>
      <c r="D199">
        <v>11</v>
      </c>
      <c r="E199">
        <v>0.13526751107186399</v>
      </c>
      <c r="F199">
        <v>8.7667800322112702E-2</v>
      </c>
      <c r="G199">
        <v>0.23398770819605599</v>
      </c>
    </row>
    <row r="200" spans="1:7" x14ac:dyDescent="0.2">
      <c r="A200">
        <v>1</v>
      </c>
      <c r="B200" t="s">
        <v>354</v>
      </c>
      <c r="C200" t="s">
        <v>365</v>
      </c>
      <c r="D200">
        <v>12</v>
      </c>
      <c r="E200">
        <v>0.132242566174851</v>
      </c>
      <c r="F200">
        <v>8.7416202656089806E-2</v>
      </c>
      <c r="G200">
        <v>0.24316616162145699</v>
      </c>
    </row>
    <row r="201" spans="1:7" x14ac:dyDescent="0.2">
      <c r="A201">
        <v>1</v>
      </c>
      <c r="B201" t="s">
        <v>354</v>
      </c>
      <c r="C201" t="s">
        <v>365</v>
      </c>
      <c r="D201">
        <v>13</v>
      </c>
      <c r="E201">
        <v>0.16062051600005101</v>
      </c>
      <c r="F201">
        <v>9.1838168153403094E-2</v>
      </c>
      <c r="G201">
        <v>0.19935519601250001</v>
      </c>
    </row>
    <row r="202" spans="1:7" x14ac:dyDescent="0.2">
      <c r="A202">
        <v>1</v>
      </c>
      <c r="B202" t="s">
        <v>354</v>
      </c>
      <c r="C202" t="s">
        <v>365</v>
      </c>
      <c r="D202">
        <v>14</v>
      </c>
      <c r="E202">
        <v>0.20647249190938499</v>
      </c>
      <c r="F202">
        <v>0.15706713780918699</v>
      </c>
      <c r="G202">
        <v>0.21243866012374699</v>
      </c>
    </row>
    <row r="203" spans="1:7" x14ac:dyDescent="0.2">
      <c r="A203">
        <v>1</v>
      </c>
      <c r="B203" t="s">
        <v>354</v>
      </c>
      <c r="C203" t="s">
        <v>365</v>
      </c>
      <c r="D203">
        <v>16</v>
      </c>
      <c r="E203">
        <v>0.14514780267594901</v>
      </c>
      <c r="F203">
        <v>9.2381458558357804E-2</v>
      </c>
      <c r="G203">
        <v>0.22261000880909401</v>
      </c>
    </row>
    <row r="204" spans="1:7" x14ac:dyDescent="0.2">
      <c r="A204">
        <v>1</v>
      </c>
      <c r="B204" t="s">
        <v>354</v>
      </c>
      <c r="C204" t="s">
        <v>365</v>
      </c>
      <c r="D204">
        <v>31</v>
      </c>
      <c r="E204">
        <v>0.156130816170862</v>
      </c>
      <c r="F204">
        <v>6.2692493227949106E-2</v>
      </c>
      <c r="G204">
        <v>0.25491349888195802</v>
      </c>
    </row>
    <row r="205" spans="1:7" x14ac:dyDescent="0.2">
      <c r="A205">
        <v>1</v>
      </c>
      <c r="B205" t="s">
        <v>354</v>
      </c>
      <c r="C205" t="s">
        <v>365</v>
      </c>
      <c r="D205">
        <v>38</v>
      </c>
      <c r="E205">
        <v>9.89902509984701E-2</v>
      </c>
      <c r="F205">
        <v>5.24479483810317E-2</v>
      </c>
      <c r="G205">
        <v>0.196451660529813</v>
      </c>
    </row>
    <row r="206" spans="1:7" x14ac:dyDescent="0.2">
      <c r="A206">
        <v>1</v>
      </c>
      <c r="B206" t="s">
        <v>354</v>
      </c>
      <c r="C206" t="s">
        <v>365</v>
      </c>
      <c r="D206">
        <v>41</v>
      </c>
      <c r="E206">
        <v>0.101077945088156</v>
      </c>
      <c r="F206">
        <v>5.2734624454461303E-2</v>
      </c>
      <c r="G206">
        <v>0.19960551683854799</v>
      </c>
    </row>
    <row r="207" spans="1:7" x14ac:dyDescent="0.2">
      <c r="A207">
        <v>1</v>
      </c>
      <c r="B207" t="s">
        <v>354</v>
      </c>
      <c r="C207" t="s">
        <v>365</v>
      </c>
      <c r="D207">
        <v>42</v>
      </c>
      <c r="E207">
        <v>5.8327301074670101E-2</v>
      </c>
      <c r="F207">
        <v>3.37967271859217E-2</v>
      </c>
      <c r="G207">
        <v>0.11593538316954</v>
      </c>
    </row>
    <row r="208" spans="1:7" x14ac:dyDescent="0.2">
      <c r="A208">
        <v>1</v>
      </c>
      <c r="B208" t="s">
        <v>354</v>
      </c>
      <c r="C208" t="s">
        <v>365</v>
      </c>
      <c r="D208">
        <v>43</v>
      </c>
      <c r="E208">
        <v>0.63409153809709196</v>
      </c>
      <c r="F208">
        <v>0.62275971195143198</v>
      </c>
      <c r="G208">
        <v>0.63873424751729002</v>
      </c>
    </row>
    <row r="209" spans="1:7" x14ac:dyDescent="0.2">
      <c r="A209">
        <v>1</v>
      </c>
      <c r="B209" t="s">
        <v>354</v>
      </c>
      <c r="C209" t="s">
        <v>365</v>
      </c>
      <c r="D209">
        <v>44</v>
      </c>
      <c r="E209">
        <v>0.10107247477298301</v>
      </c>
      <c r="F209">
        <v>5.2733562720307298E-2</v>
      </c>
      <c r="G209">
        <v>0.199599334552474</v>
      </c>
    </row>
    <row r="210" spans="1:7" x14ac:dyDescent="0.2">
      <c r="A210">
        <v>1</v>
      </c>
      <c r="B210" t="s">
        <v>354</v>
      </c>
      <c r="C210" t="s">
        <v>365</v>
      </c>
      <c r="D210">
        <v>45</v>
      </c>
      <c r="E210">
        <v>0.101839064577726</v>
      </c>
      <c r="F210">
        <v>5.3278653627550701E-2</v>
      </c>
      <c r="G210">
        <v>0.200060495546796</v>
      </c>
    </row>
    <row r="211" spans="1:7" x14ac:dyDescent="0.2">
      <c r="A211">
        <v>1</v>
      </c>
      <c r="B211" t="s">
        <v>354</v>
      </c>
      <c r="C211" t="s">
        <v>365</v>
      </c>
      <c r="D211">
        <v>46</v>
      </c>
      <c r="E211">
        <v>6.6850108156254001E-2</v>
      </c>
      <c r="F211">
        <v>3.09137780429086E-2</v>
      </c>
      <c r="G211">
        <v>0.17272327872968099</v>
      </c>
    </row>
    <row r="212" spans="1:7" x14ac:dyDescent="0.2">
      <c r="A212">
        <v>1</v>
      </c>
      <c r="B212" t="s">
        <v>1803</v>
      </c>
      <c r="C212" t="s">
        <v>365</v>
      </c>
      <c r="D212">
        <v>1</v>
      </c>
      <c r="E212">
        <v>8.0664565991921094E-2</v>
      </c>
      <c r="F212">
        <v>4.1821480070435499E-2</v>
      </c>
      <c r="G212">
        <v>0.17703122341330599</v>
      </c>
    </row>
    <row r="213" spans="1:7" x14ac:dyDescent="0.2">
      <c r="A213">
        <v>1</v>
      </c>
      <c r="B213" t="s">
        <v>1803</v>
      </c>
      <c r="C213" t="s">
        <v>365</v>
      </c>
      <c r="D213">
        <v>2</v>
      </c>
      <c r="E213">
        <v>0.17435897435897399</v>
      </c>
      <c r="F213">
        <v>0.101449275362319</v>
      </c>
      <c r="G213">
        <v>0.21259842519684999</v>
      </c>
    </row>
    <row r="214" spans="1:7" x14ac:dyDescent="0.2">
      <c r="A214">
        <v>1</v>
      </c>
      <c r="B214" t="s">
        <v>1803</v>
      </c>
      <c r="C214" t="s">
        <v>365</v>
      </c>
      <c r="D214">
        <v>4</v>
      </c>
      <c r="E214">
        <v>0.17435897435897399</v>
      </c>
      <c r="F214">
        <v>0.101449275362319</v>
      </c>
      <c r="G214">
        <v>0.21259842519684999</v>
      </c>
    </row>
    <row r="215" spans="1:7" x14ac:dyDescent="0.2">
      <c r="A215">
        <v>1</v>
      </c>
      <c r="B215" t="s">
        <v>1803</v>
      </c>
      <c r="C215" t="s">
        <v>365</v>
      </c>
      <c r="D215">
        <v>5</v>
      </c>
      <c r="E215">
        <v>0.122114039179104</v>
      </c>
      <c r="F215">
        <v>6.3768944809836997E-2</v>
      </c>
      <c r="G215">
        <v>0.13705602343463899</v>
      </c>
    </row>
    <row r="216" spans="1:7" x14ac:dyDescent="0.2">
      <c r="A216">
        <v>1</v>
      </c>
      <c r="B216" t="s">
        <v>1803</v>
      </c>
      <c r="C216" t="s">
        <v>365</v>
      </c>
      <c r="D216">
        <v>6</v>
      </c>
      <c r="E216">
        <v>7.9002923026956801E-2</v>
      </c>
      <c r="F216">
        <v>3.7383795300878299E-2</v>
      </c>
      <c r="G216">
        <v>0.15718146295146601</v>
      </c>
    </row>
    <row r="217" spans="1:7" x14ac:dyDescent="0.2">
      <c r="A217">
        <v>1</v>
      </c>
      <c r="B217" t="s">
        <v>1803</v>
      </c>
      <c r="C217" t="s">
        <v>365</v>
      </c>
      <c r="D217">
        <v>7</v>
      </c>
      <c r="E217">
        <v>8.1333237554773397E-2</v>
      </c>
      <c r="F217">
        <v>4.4652791711507898E-2</v>
      </c>
      <c r="G217">
        <v>0.21737248004329601</v>
      </c>
    </row>
    <row r="218" spans="1:7" x14ac:dyDescent="0.2">
      <c r="A218">
        <v>1</v>
      </c>
      <c r="B218" t="s">
        <v>1803</v>
      </c>
      <c r="C218" t="s">
        <v>365</v>
      </c>
      <c r="D218">
        <v>8</v>
      </c>
      <c r="E218">
        <v>7.9885117919415105E-2</v>
      </c>
      <c r="F218">
        <v>4.54560161343378E-2</v>
      </c>
      <c r="G218">
        <v>0.21431429112884501</v>
      </c>
    </row>
    <row r="219" spans="1:7" x14ac:dyDescent="0.2">
      <c r="A219">
        <v>1</v>
      </c>
      <c r="B219" t="s">
        <v>1803</v>
      </c>
      <c r="C219" t="s">
        <v>365</v>
      </c>
      <c r="D219">
        <v>10</v>
      </c>
      <c r="E219">
        <v>6.7069833049116803E-2</v>
      </c>
      <c r="F219">
        <v>3.1578518409316199E-2</v>
      </c>
      <c r="G219">
        <v>0.16395325249802101</v>
      </c>
    </row>
    <row r="220" spans="1:7" x14ac:dyDescent="0.2">
      <c r="A220">
        <v>1</v>
      </c>
      <c r="B220" t="s">
        <v>1803</v>
      </c>
      <c r="C220" t="s">
        <v>365</v>
      </c>
      <c r="D220">
        <v>11</v>
      </c>
      <c r="E220">
        <v>0.106578515395514</v>
      </c>
      <c r="F220">
        <v>6.6867543218894598E-2</v>
      </c>
      <c r="G220">
        <v>0.20363455129731001</v>
      </c>
    </row>
    <row r="221" spans="1:7" x14ac:dyDescent="0.2">
      <c r="A221">
        <v>1</v>
      </c>
      <c r="B221" t="s">
        <v>1803</v>
      </c>
      <c r="C221" t="s">
        <v>365</v>
      </c>
      <c r="D221">
        <v>12</v>
      </c>
      <c r="E221">
        <v>0.10175537980324301</v>
      </c>
      <c r="F221">
        <v>6.6292466381963205E-2</v>
      </c>
      <c r="G221">
        <v>0.20987434627438201</v>
      </c>
    </row>
    <row r="222" spans="1:7" x14ac:dyDescent="0.2">
      <c r="A222">
        <v>1</v>
      </c>
      <c r="B222" t="s">
        <v>1803</v>
      </c>
      <c r="C222" t="s">
        <v>365</v>
      </c>
      <c r="D222">
        <v>13</v>
      </c>
      <c r="E222">
        <v>0.14353064431639601</v>
      </c>
      <c r="F222">
        <v>7.5660667360801195E-2</v>
      </c>
      <c r="G222">
        <v>0.18466993179291499</v>
      </c>
    </row>
    <row r="223" spans="1:7" x14ac:dyDescent="0.2">
      <c r="A223">
        <v>1</v>
      </c>
      <c r="B223" t="s">
        <v>1803</v>
      </c>
      <c r="C223" t="s">
        <v>365</v>
      </c>
      <c r="D223">
        <v>14</v>
      </c>
      <c r="E223">
        <v>0.18463595839524499</v>
      </c>
      <c r="F223">
        <v>0.130995792426367</v>
      </c>
      <c r="G223">
        <v>0.19098584059030799</v>
      </c>
    </row>
    <row r="224" spans="1:7" x14ac:dyDescent="0.2">
      <c r="A224">
        <v>1</v>
      </c>
      <c r="B224" t="s">
        <v>1803</v>
      </c>
      <c r="C224" t="s">
        <v>365</v>
      </c>
      <c r="D224">
        <v>16</v>
      </c>
      <c r="E224">
        <v>0.120345497263455</v>
      </c>
      <c r="F224">
        <v>7.5311350915838807E-2</v>
      </c>
      <c r="G224">
        <v>0.19829114346533</v>
      </c>
    </row>
    <row r="225" spans="1:7" x14ac:dyDescent="0.2">
      <c r="A225">
        <v>1</v>
      </c>
      <c r="B225" t="s">
        <v>1803</v>
      </c>
      <c r="C225" t="s">
        <v>365</v>
      </c>
      <c r="D225">
        <v>31</v>
      </c>
      <c r="E225">
        <v>0.12325080731969899</v>
      </c>
      <c r="F225">
        <v>5.1579232750440601E-2</v>
      </c>
      <c r="G225">
        <v>0.22563779832502301</v>
      </c>
    </row>
    <row r="226" spans="1:7" x14ac:dyDescent="0.2">
      <c r="A226">
        <v>1</v>
      </c>
      <c r="B226" t="s">
        <v>1803</v>
      </c>
      <c r="C226" t="s">
        <v>365</v>
      </c>
      <c r="D226">
        <v>38</v>
      </c>
      <c r="E226">
        <v>7.9317874098932706E-2</v>
      </c>
      <c r="F226">
        <v>4.1570026447976097E-2</v>
      </c>
      <c r="G226">
        <v>0.174797498570644</v>
      </c>
    </row>
    <row r="227" spans="1:7" x14ac:dyDescent="0.2">
      <c r="A227">
        <v>1</v>
      </c>
      <c r="B227" t="s">
        <v>1803</v>
      </c>
      <c r="C227" t="s">
        <v>365</v>
      </c>
      <c r="D227">
        <v>41</v>
      </c>
      <c r="E227">
        <v>8.0664565991921094E-2</v>
      </c>
      <c r="F227">
        <v>4.1821480070435499E-2</v>
      </c>
      <c r="G227">
        <v>0.17703122341330599</v>
      </c>
    </row>
    <row r="228" spans="1:7" x14ac:dyDescent="0.2">
      <c r="A228">
        <v>1</v>
      </c>
      <c r="B228" t="s">
        <v>1803</v>
      </c>
      <c r="C228" t="s">
        <v>365</v>
      </c>
      <c r="D228">
        <v>42</v>
      </c>
      <c r="E228">
        <v>4.2026988656808602E-2</v>
      </c>
      <c r="F228">
        <v>2.50106594561956E-2</v>
      </c>
      <c r="G228">
        <v>9.0741147898518296E-2</v>
      </c>
    </row>
    <row r="229" spans="1:7" x14ac:dyDescent="0.2">
      <c r="A229">
        <v>1</v>
      </c>
      <c r="B229" t="s">
        <v>1803</v>
      </c>
      <c r="C229" t="s">
        <v>365</v>
      </c>
      <c r="D229">
        <v>43</v>
      </c>
      <c r="E229">
        <v>0.62686360105064598</v>
      </c>
      <c r="F229">
        <v>0.60760546642899604</v>
      </c>
      <c r="G229">
        <v>0.63557740085680103</v>
      </c>
    </row>
    <row r="230" spans="1:7" x14ac:dyDescent="0.2">
      <c r="A230">
        <v>1</v>
      </c>
      <c r="B230" t="s">
        <v>1803</v>
      </c>
      <c r="C230" t="s">
        <v>365</v>
      </c>
      <c r="D230">
        <v>44</v>
      </c>
      <c r="E230">
        <v>8.0658397488816203E-2</v>
      </c>
      <c r="F230">
        <v>4.1819628365228803E-2</v>
      </c>
      <c r="G230">
        <v>0.17702253118458899</v>
      </c>
    </row>
    <row r="231" spans="1:7" x14ac:dyDescent="0.2">
      <c r="A231">
        <v>1</v>
      </c>
      <c r="B231" t="s">
        <v>1803</v>
      </c>
      <c r="C231" t="s">
        <v>365</v>
      </c>
      <c r="D231">
        <v>45</v>
      </c>
      <c r="E231">
        <v>8.1342526665638099E-2</v>
      </c>
      <c r="F231">
        <v>4.2332031201381203E-2</v>
      </c>
      <c r="G231">
        <v>0.17744309197703101</v>
      </c>
    </row>
    <row r="232" spans="1:7" x14ac:dyDescent="0.2">
      <c r="A232">
        <v>1</v>
      </c>
      <c r="B232" t="s">
        <v>1803</v>
      </c>
      <c r="C232" t="s">
        <v>365</v>
      </c>
      <c r="D232">
        <v>46</v>
      </c>
      <c r="E232">
        <v>6.1017010692954302E-2</v>
      </c>
      <c r="F232">
        <v>2.79854783256798E-2</v>
      </c>
      <c r="G232">
        <v>0.16286137879911</v>
      </c>
    </row>
    <row r="233" spans="1:7" x14ac:dyDescent="0.2">
      <c r="A233">
        <v>1</v>
      </c>
      <c r="B233" t="s">
        <v>1804</v>
      </c>
      <c r="C233" t="s">
        <v>365</v>
      </c>
      <c r="D233">
        <v>1</v>
      </c>
      <c r="E233">
        <v>0.12814076050592399</v>
      </c>
      <c r="F233">
        <v>6.9492641057370796E-2</v>
      </c>
      <c r="G233">
        <v>0.22195571878014</v>
      </c>
    </row>
    <row r="234" spans="1:7" x14ac:dyDescent="0.2">
      <c r="A234">
        <v>1</v>
      </c>
      <c r="B234" t="s">
        <v>1804</v>
      </c>
      <c r="C234" t="s">
        <v>365</v>
      </c>
      <c r="D234">
        <v>2</v>
      </c>
      <c r="E234">
        <v>0.143564356435644</v>
      </c>
      <c r="F234">
        <v>0.10344827586206901</v>
      </c>
      <c r="G234">
        <v>0.16666666666666699</v>
      </c>
    </row>
    <row r="235" spans="1:7" x14ac:dyDescent="0.2">
      <c r="A235">
        <v>1</v>
      </c>
      <c r="B235" t="s">
        <v>1804</v>
      </c>
      <c r="C235" t="s">
        <v>365</v>
      </c>
      <c r="D235">
        <v>4</v>
      </c>
      <c r="E235">
        <v>0.143564356435644</v>
      </c>
      <c r="F235">
        <v>0.10344827586206901</v>
      </c>
      <c r="G235">
        <v>0.16666666666666699</v>
      </c>
    </row>
    <row r="236" spans="1:7" x14ac:dyDescent="0.2">
      <c r="A236">
        <v>1</v>
      </c>
      <c r="B236" t="s">
        <v>1804</v>
      </c>
      <c r="C236" t="s">
        <v>365</v>
      </c>
      <c r="D236">
        <v>5</v>
      </c>
      <c r="E236">
        <v>0.14627123524330499</v>
      </c>
      <c r="F236">
        <v>5.9125140201890698E-2</v>
      </c>
      <c r="G236">
        <v>0.16325125926852899</v>
      </c>
    </row>
    <row r="237" spans="1:7" x14ac:dyDescent="0.2">
      <c r="A237">
        <v>1</v>
      </c>
      <c r="B237" t="s">
        <v>1804</v>
      </c>
      <c r="C237" t="s">
        <v>365</v>
      </c>
      <c r="D237">
        <v>6</v>
      </c>
      <c r="E237">
        <v>0.107909517518621</v>
      </c>
      <c r="F237">
        <v>4.8314485191934799E-2</v>
      </c>
      <c r="G237">
        <v>0.19170287283250501</v>
      </c>
    </row>
    <row r="238" spans="1:7" x14ac:dyDescent="0.2">
      <c r="A238">
        <v>1</v>
      </c>
      <c r="B238" t="s">
        <v>1804</v>
      </c>
      <c r="C238" t="s">
        <v>365</v>
      </c>
      <c r="D238">
        <v>7</v>
      </c>
      <c r="E238">
        <v>0.11709924647388401</v>
      </c>
      <c r="F238">
        <v>6.7296742645223007E-2</v>
      </c>
      <c r="G238">
        <v>0.236166712765493</v>
      </c>
    </row>
    <row r="239" spans="1:7" x14ac:dyDescent="0.2">
      <c r="A239">
        <v>1</v>
      </c>
      <c r="B239" t="s">
        <v>1804</v>
      </c>
      <c r="C239" t="s">
        <v>365</v>
      </c>
      <c r="D239">
        <v>8</v>
      </c>
      <c r="E239">
        <v>0.169606113201662</v>
      </c>
      <c r="F239">
        <v>0.104748114577683</v>
      </c>
      <c r="G239">
        <v>0.29560384461762002</v>
      </c>
    </row>
    <row r="240" spans="1:7" x14ac:dyDescent="0.2">
      <c r="A240">
        <v>1</v>
      </c>
      <c r="B240" t="s">
        <v>1804</v>
      </c>
      <c r="C240" t="s">
        <v>365</v>
      </c>
      <c r="D240">
        <v>10</v>
      </c>
      <c r="E240">
        <v>0.109480605426638</v>
      </c>
      <c r="F240">
        <v>5.2016686047206599E-2</v>
      </c>
      <c r="G240">
        <v>0.20529691962086799</v>
      </c>
    </row>
    <row r="241" spans="1:7" x14ac:dyDescent="0.2">
      <c r="A241">
        <v>1</v>
      </c>
      <c r="B241" t="s">
        <v>1804</v>
      </c>
      <c r="C241" t="s">
        <v>365</v>
      </c>
      <c r="D241">
        <v>11</v>
      </c>
      <c r="E241">
        <v>0.182914623340377</v>
      </c>
      <c r="F241">
        <v>0.12742748100485199</v>
      </c>
      <c r="G241">
        <v>0.27216072314184903</v>
      </c>
    </row>
    <row r="242" spans="1:7" x14ac:dyDescent="0.2">
      <c r="A242">
        <v>1</v>
      </c>
      <c r="B242" t="s">
        <v>1804</v>
      </c>
      <c r="C242" t="s">
        <v>365</v>
      </c>
      <c r="D242">
        <v>12</v>
      </c>
      <c r="E242">
        <v>0.18156431200922701</v>
      </c>
      <c r="F242">
        <v>0.12723893826949201</v>
      </c>
      <c r="G242">
        <v>0.280753647129734</v>
      </c>
    </row>
    <row r="243" spans="1:7" x14ac:dyDescent="0.2">
      <c r="A243">
        <v>1</v>
      </c>
      <c r="B243" t="s">
        <v>1804</v>
      </c>
      <c r="C243" t="s">
        <v>365</v>
      </c>
      <c r="D243">
        <v>13</v>
      </c>
      <c r="E243">
        <v>0.19631757945350101</v>
      </c>
      <c r="F243">
        <v>0.131246237206502</v>
      </c>
      <c r="G243">
        <v>0.22765686501505</v>
      </c>
    </row>
    <row r="244" spans="1:7" x14ac:dyDescent="0.2">
      <c r="A244">
        <v>1</v>
      </c>
      <c r="B244" t="s">
        <v>1804</v>
      </c>
      <c r="C244" t="s">
        <v>365</v>
      </c>
      <c r="D244">
        <v>14</v>
      </c>
      <c r="E244">
        <v>0.24532598908956099</v>
      </c>
      <c r="F244">
        <v>0.20095465393794701</v>
      </c>
      <c r="G244">
        <v>0.25089370829361302</v>
      </c>
    </row>
    <row r="245" spans="1:7" x14ac:dyDescent="0.2">
      <c r="A245">
        <v>1</v>
      </c>
      <c r="B245" t="s">
        <v>1804</v>
      </c>
      <c r="C245" t="s">
        <v>365</v>
      </c>
      <c r="D245">
        <v>16</v>
      </c>
      <c r="E245">
        <v>0.18661779933511399</v>
      </c>
      <c r="F245">
        <v>0.126534847029771</v>
      </c>
      <c r="G245">
        <v>0.25427754818276599</v>
      </c>
    </row>
    <row r="246" spans="1:7" x14ac:dyDescent="0.2">
      <c r="A246">
        <v>1</v>
      </c>
      <c r="B246" t="s">
        <v>1804</v>
      </c>
      <c r="C246" t="s">
        <v>365</v>
      </c>
      <c r="D246">
        <v>31</v>
      </c>
      <c r="E246">
        <v>0.18627773513177601</v>
      </c>
      <c r="F246">
        <v>7.61377613776138E-2</v>
      </c>
      <c r="G246">
        <v>0.27485572959604299</v>
      </c>
    </row>
    <row r="247" spans="1:7" x14ac:dyDescent="0.2">
      <c r="A247">
        <v>1</v>
      </c>
      <c r="B247" t="s">
        <v>1804</v>
      </c>
      <c r="C247" t="s">
        <v>365</v>
      </c>
      <c r="D247">
        <v>38</v>
      </c>
      <c r="E247">
        <v>0.12544372679652099</v>
      </c>
      <c r="F247">
        <v>6.9270746200853897E-2</v>
      </c>
      <c r="G247">
        <v>0.218349383307577</v>
      </c>
    </row>
    <row r="248" spans="1:7" x14ac:dyDescent="0.2">
      <c r="A248">
        <v>1</v>
      </c>
      <c r="B248" t="s">
        <v>1804</v>
      </c>
      <c r="C248" t="s">
        <v>365</v>
      </c>
      <c r="D248">
        <v>41</v>
      </c>
      <c r="E248">
        <v>0.12814076050592399</v>
      </c>
      <c r="F248">
        <v>6.9492641057370796E-2</v>
      </c>
      <c r="G248">
        <v>0.22195571878014</v>
      </c>
    </row>
    <row r="249" spans="1:7" x14ac:dyDescent="0.2">
      <c r="A249">
        <v>1</v>
      </c>
      <c r="B249" t="s">
        <v>1804</v>
      </c>
      <c r="C249" t="s">
        <v>365</v>
      </c>
      <c r="D249">
        <v>42</v>
      </c>
      <c r="E249">
        <v>8.0386882679704397E-2</v>
      </c>
      <c r="F249">
        <v>4.7405677469108398E-2</v>
      </c>
      <c r="G249">
        <v>0.140978170765405</v>
      </c>
    </row>
    <row r="250" spans="1:7" x14ac:dyDescent="0.2">
      <c r="A250">
        <v>1</v>
      </c>
      <c r="B250" t="s">
        <v>1804</v>
      </c>
      <c r="C250" t="s">
        <v>365</v>
      </c>
      <c r="D250">
        <v>43</v>
      </c>
      <c r="E250">
        <v>0.64153403898872996</v>
      </c>
      <c r="F250">
        <v>0.64082340041735897</v>
      </c>
      <c r="G250">
        <v>0.64179570998788804</v>
      </c>
    </row>
    <row r="251" spans="1:7" x14ac:dyDescent="0.2">
      <c r="A251">
        <v>1</v>
      </c>
      <c r="B251" t="s">
        <v>1804</v>
      </c>
      <c r="C251" t="s">
        <v>365</v>
      </c>
      <c r="D251">
        <v>44</v>
      </c>
      <c r="E251">
        <v>0.128136414856964</v>
      </c>
      <c r="F251">
        <v>6.9493027131849294E-2</v>
      </c>
      <c r="G251">
        <v>0.221951712634576</v>
      </c>
    </row>
    <row r="252" spans="1:7" x14ac:dyDescent="0.2">
      <c r="A252">
        <v>1</v>
      </c>
      <c r="B252" t="s">
        <v>1804</v>
      </c>
      <c r="C252" t="s">
        <v>365</v>
      </c>
      <c r="D252">
        <v>45</v>
      </c>
      <c r="E252">
        <v>0.128263637860726</v>
      </c>
      <c r="F252">
        <v>6.9603562777513395E-2</v>
      </c>
      <c r="G252">
        <v>0.221923028070621</v>
      </c>
    </row>
    <row r="253" spans="1:7" x14ac:dyDescent="0.2">
      <c r="A253">
        <v>1</v>
      </c>
      <c r="B253" t="s">
        <v>1804</v>
      </c>
      <c r="C253" t="s">
        <v>365</v>
      </c>
      <c r="D253">
        <v>46</v>
      </c>
      <c r="E253">
        <v>0.108101168314289</v>
      </c>
      <c r="F253">
        <v>5.3695042095416298E-2</v>
      </c>
      <c r="G253">
        <v>0.22708674304418999</v>
      </c>
    </row>
  </sheetData>
  <printOptions gridLines="1"/>
  <pageMargins left="0.7" right="0.7" top="0.75" bottom="0.75" header="0.3" footer="0.3"/>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190"/>
  <sheetViews>
    <sheetView workbookViewId="0"/>
  </sheetViews>
  <sheetFormatPr defaultRowHeight="14.25" x14ac:dyDescent="0.2"/>
  <sheetData>
    <row r="1" spans="1:7" x14ac:dyDescent="0.2">
      <c r="A1" t="s">
        <v>1407</v>
      </c>
      <c r="B1" t="s">
        <v>1802</v>
      </c>
      <c r="C1" t="s">
        <v>1753</v>
      </c>
      <c r="D1" t="s">
        <v>1443</v>
      </c>
      <c r="E1" t="s">
        <v>6</v>
      </c>
      <c r="F1" t="s">
        <v>136</v>
      </c>
      <c r="G1" t="s">
        <v>353</v>
      </c>
    </row>
    <row r="2" spans="1:7" x14ac:dyDescent="0.2">
      <c r="A2">
        <v>1</v>
      </c>
      <c r="B2" t="s">
        <v>354</v>
      </c>
      <c r="C2" t="s">
        <v>6</v>
      </c>
      <c r="D2">
        <v>1</v>
      </c>
      <c r="E2">
        <v>14978940</v>
      </c>
      <c r="F2">
        <v>9955970</v>
      </c>
      <c r="G2">
        <v>4953835</v>
      </c>
    </row>
    <row r="3" spans="1:7" x14ac:dyDescent="0.2">
      <c r="A3">
        <v>1</v>
      </c>
      <c r="B3" t="s">
        <v>354</v>
      </c>
      <c r="C3" t="s">
        <v>6</v>
      </c>
      <c r="D3">
        <v>2</v>
      </c>
      <c r="E3">
        <v>4640</v>
      </c>
      <c r="F3">
        <v>1430</v>
      </c>
      <c r="G3">
        <v>2655</v>
      </c>
    </row>
    <row r="4" spans="1:7" x14ac:dyDescent="0.2">
      <c r="A4">
        <v>1</v>
      </c>
      <c r="B4" t="s">
        <v>354</v>
      </c>
      <c r="C4" t="s">
        <v>6</v>
      </c>
      <c r="D4">
        <v>4</v>
      </c>
      <c r="E4">
        <v>4640</v>
      </c>
      <c r="F4">
        <v>1430</v>
      </c>
      <c r="G4">
        <v>2655</v>
      </c>
    </row>
    <row r="5" spans="1:7" x14ac:dyDescent="0.2">
      <c r="A5">
        <v>1</v>
      </c>
      <c r="B5" t="s">
        <v>354</v>
      </c>
      <c r="C5" t="s">
        <v>6</v>
      </c>
      <c r="D5">
        <v>5</v>
      </c>
      <c r="E5">
        <v>420055</v>
      </c>
      <c r="F5">
        <v>77410</v>
      </c>
      <c r="G5">
        <v>339935</v>
      </c>
    </row>
    <row r="6" spans="1:7" x14ac:dyDescent="0.2">
      <c r="A6">
        <v>1</v>
      </c>
      <c r="B6" t="s">
        <v>354</v>
      </c>
      <c r="C6" t="s">
        <v>6</v>
      </c>
      <c r="D6">
        <v>6</v>
      </c>
      <c r="E6">
        <v>7324845</v>
      </c>
      <c r="F6">
        <v>4512195</v>
      </c>
      <c r="G6">
        <v>2773660</v>
      </c>
    </row>
    <row r="7" spans="1:7" x14ac:dyDescent="0.2">
      <c r="A7">
        <v>1</v>
      </c>
      <c r="B7" t="s">
        <v>354</v>
      </c>
      <c r="C7" t="s">
        <v>6</v>
      </c>
      <c r="D7">
        <v>7</v>
      </c>
      <c r="E7">
        <v>3046560</v>
      </c>
      <c r="F7">
        <v>2284020</v>
      </c>
      <c r="G7">
        <v>747980</v>
      </c>
    </row>
    <row r="8" spans="1:7" x14ac:dyDescent="0.2">
      <c r="A8">
        <v>1</v>
      </c>
      <c r="B8" t="s">
        <v>354</v>
      </c>
      <c r="C8" t="s">
        <v>6</v>
      </c>
      <c r="D8">
        <v>8</v>
      </c>
      <c r="E8">
        <v>4182845</v>
      </c>
      <c r="F8">
        <v>3080915</v>
      </c>
      <c r="G8">
        <v>1089610</v>
      </c>
    </row>
    <row r="9" spans="1:7" x14ac:dyDescent="0.2">
      <c r="A9">
        <v>1</v>
      </c>
      <c r="B9" t="s">
        <v>354</v>
      </c>
      <c r="C9" t="s">
        <v>6</v>
      </c>
      <c r="D9">
        <v>10</v>
      </c>
      <c r="E9">
        <v>10793755</v>
      </c>
      <c r="F9">
        <v>7325625</v>
      </c>
      <c r="G9">
        <v>3399845</v>
      </c>
    </row>
    <row r="10" spans="1:7" x14ac:dyDescent="0.2">
      <c r="A10">
        <v>1</v>
      </c>
      <c r="B10" t="s">
        <v>354</v>
      </c>
      <c r="C10" t="s">
        <v>6</v>
      </c>
      <c r="D10">
        <v>11</v>
      </c>
      <c r="E10">
        <v>3855010</v>
      </c>
      <c r="F10">
        <v>2592580</v>
      </c>
      <c r="G10">
        <v>1261610</v>
      </c>
    </row>
    <row r="11" spans="1:7" x14ac:dyDescent="0.2">
      <c r="A11">
        <v>1</v>
      </c>
      <c r="B11" t="s">
        <v>354</v>
      </c>
      <c r="C11" t="s">
        <v>6</v>
      </c>
      <c r="D11">
        <v>12</v>
      </c>
      <c r="E11">
        <v>3432025</v>
      </c>
      <c r="F11">
        <v>2439915</v>
      </c>
      <c r="G11">
        <v>991370</v>
      </c>
    </row>
    <row r="12" spans="1:7" x14ac:dyDescent="0.2">
      <c r="A12">
        <v>1</v>
      </c>
      <c r="B12" t="s">
        <v>354</v>
      </c>
      <c r="C12" t="s">
        <v>6</v>
      </c>
      <c r="D12">
        <v>13</v>
      </c>
      <c r="E12">
        <v>422980</v>
      </c>
      <c r="F12">
        <v>152665</v>
      </c>
      <c r="G12">
        <v>270240</v>
      </c>
    </row>
    <row r="13" spans="1:7" x14ac:dyDescent="0.2">
      <c r="A13">
        <v>1</v>
      </c>
      <c r="B13" t="s">
        <v>354</v>
      </c>
      <c r="C13" t="s">
        <v>6</v>
      </c>
      <c r="D13">
        <v>14</v>
      </c>
      <c r="E13">
        <v>330180</v>
      </c>
      <c r="F13">
        <v>37765</v>
      </c>
      <c r="G13">
        <v>292385</v>
      </c>
    </row>
    <row r="14" spans="1:7" x14ac:dyDescent="0.2">
      <c r="A14">
        <v>1</v>
      </c>
      <c r="B14" t="s">
        <v>354</v>
      </c>
      <c r="C14" t="s">
        <v>6</v>
      </c>
      <c r="D14">
        <v>16</v>
      </c>
      <c r="E14">
        <v>3114185</v>
      </c>
      <c r="F14">
        <v>1827785</v>
      </c>
      <c r="G14">
        <v>1286100</v>
      </c>
    </row>
    <row r="15" spans="1:7" x14ac:dyDescent="0.2">
      <c r="A15">
        <v>1</v>
      </c>
      <c r="B15" t="s">
        <v>354</v>
      </c>
      <c r="C15" t="s">
        <v>6</v>
      </c>
      <c r="D15">
        <v>31</v>
      </c>
      <c r="E15">
        <v>633530</v>
      </c>
      <c r="F15">
        <v>297385</v>
      </c>
      <c r="G15">
        <v>269605</v>
      </c>
    </row>
    <row r="16" spans="1:7" x14ac:dyDescent="0.2">
      <c r="A16">
        <v>1</v>
      </c>
      <c r="B16" t="s">
        <v>354</v>
      </c>
      <c r="C16" t="s">
        <v>6</v>
      </c>
      <c r="D16">
        <v>38</v>
      </c>
      <c r="E16">
        <v>14345410</v>
      </c>
      <c r="F16">
        <v>9658585</v>
      </c>
      <c r="G16">
        <v>4684230</v>
      </c>
    </row>
    <row r="17" spans="1:7" x14ac:dyDescent="0.2">
      <c r="A17">
        <v>1</v>
      </c>
      <c r="B17" t="s">
        <v>354</v>
      </c>
      <c r="C17" t="s">
        <v>6</v>
      </c>
      <c r="D17">
        <v>41</v>
      </c>
      <c r="E17">
        <v>14859990</v>
      </c>
      <c r="F17">
        <v>9916695</v>
      </c>
      <c r="G17">
        <v>4942710</v>
      </c>
    </row>
    <row r="18" spans="1:7" x14ac:dyDescent="0.2">
      <c r="A18">
        <v>1</v>
      </c>
      <c r="B18" t="s">
        <v>354</v>
      </c>
      <c r="C18" t="s">
        <v>6</v>
      </c>
      <c r="D18">
        <v>42</v>
      </c>
      <c r="E18">
        <v>13432890</v>
      </c>
      <c r="F18">
        <v>9448245</v>
      </c>
      <c r="G18">
        <v>3984155</v>
      </c>
    </row>
    <row r="19" spans="1:7" x14ac:dyDescent="0.2">
      <c r="A19">
        <v>1</v>
      </c>
      <c r="B19" t="s">
        <v>354</v>
      </c>
      <c r="C19" t="s">
        <v>6</v>
      </c>
      <c r="D19">
        <v>43</v>
      </c>
      <c r="E19">
        <v>1427105</v>
      </c>
      <c r="F19">
        <v>468440</v>
      </c>
      <c r="G19">
        <v>958555</v>
      </c>
    </row>
    <row r="20" spans="1:7" x14ac:dyDescent="0.2">
      <c r="A20">
        <v>1</v>
      </c>
      <c r="B20" t="s">
        <v>354</v>
      </c>
      <c r="C20" t="s">
        <v>6</v>
      </c>
      <c r="D20">
        <v>44</v>
      </c>
      <c r="E20">
        <v>14976525</v>
      </c>
      <c r="F20">
        <v>9955115</v>
      </c>
      <c r="G20">
        <v>4952675</v>
      </c>
    </row>
    <row r="21" spans="1:7" x14ac:dyDescent="0.2">
      <c r="A21">
        <v>1</v>
      </c>
      <c r="B21" t="s">
        <v>354</v>
      </c>
      <c r="C21" t="s">
        <v>6</v>
      </c>
      <c r="D21">
        <v>45</v>
      </c>
      <c r="E21">
        <v>14654930</v>
      </c>
      <c r="F21">
        <v>9716080</v>
      </c>
      <c r="G21">
        <v>4870790</v>
      </c>
    </row>
    <row r="22" spans="1:7" x14ac:dyDescent="0.2">
      <c r="A22">
        <v>1</v>
      </c>
      <c r="B22" t="s">
        <v>354</v>
      </c>
      <c r="C22" t="s">
        <v>6</v>
      </c>
      <c r="D22">
        <v>46</v>
      </c>
      <c r="E22">
        <v>321590</v>
      </c>
      <c r="F22">
        <v>239035</v>
      </c>
      <c r="G22">
        <v>81885</v>
      </c>
    </row>
    <row r="23" spans="1:7" x14ac:dyDescent="0.2">
      <c r="A23">
        <v>1</v>
      </c>
      <c r="B23" t="s">
        <v>1803</v>
      </c>
      <c r="C23" t="s">
        <v>6</v>
      </c>
      <c r="D23">
        <v>1</v>
      </c>
      <c r="E23">
        <v>8540265</v>
      </c>
      <c r="F23">
        <v>6035050</v>
      </c>
      <c r="G23">
        <v>2473575</v>
      </c>
    </row>
    <row r="24" spans="1:7" x14ac:dyDescent="0.2">
      <c r="A24">
        <v>1</v>
      </c>
      <c r="B24" t="s">
        <v>1803</v>
      </c>
      <c r="C24" t="s">
        <v>6</v>
      </c>
      <c r="D24">
        <v>2</v>
      </c>
      <c r="E24">
        <v>2335</v>
      </c>
      <c r="F24">
        <v>760</v>
      </c>
      <c r="G24">
        <v>1285</v>
      </c>
    </row>
    <row r="25" spans="1:7" x14ac:dyDescent="0.2">
      <c r="A25">
        <v>1</v>
      </c>
      <c r="B25" t="s">
        <v>1803</v>
      </c>
      <c r="C25" t="s">
        <v>6</v>
      </c>
      <c r="D25">
        <v>4</v>
      </c>
      <c r="E25">
        <v>2335</v>
      </c>
      <c r="F25">
        <v>760</v>
      </c>
      <c r="G25">
        <v>1285</v>
      </c>
    </row>
    <row r="26" spans="1:7" x14ac:dyDescent="0.2">
      <c r="A26">
        <v>1</v>
      </c>
      <c r="B26" t="s">
        <v>1803</v>
      </c>
      <c r="C26" t="s">
        <v>6</v>
      </c>
      <c r="D26">
        <v>5</v>
      </c>
      <c r="E26">
        <v>200530</v>
      </c>
      <c r="F26">
        <v>41200</v>
      </c>
      <c r="G26">
        <v>158200</v>
      </c>
    </row>
    <row r="27" spans="1:7" x14ac:dyDescent="0.2">
      <c r="A27">
        <v>1</v>
      </c>
      <c r="B27" t="s">
        <v>1803</v>
      </c>
      <c r="C27" t="s">
        <v>6</v>
      </c>
      <c r="D27">
        <v>6</v>
      </c>
      <c r="E27">
        <v>4111640</v>
      </c>
      <c r="F27">
        <v>2655320</v>
      </c>
      <c r="G27">
        <v>1439410</v>
      </c>
    </row>
    <row r="28" spans="1:7" x14ac:dyDescent="0.2">
      <c r="A28">
        <v>1</v>
      </c>
      <c r="B28" t="s">
        <v>1803</v>
      </c>
      <c r="C28" t="s">
        <v>6</v>
      </c>
      <c r="D28">
        <v>7</v>
      </c>
      <c r="E28">
        <v>1825870</v>
      </c>
      <c r="F28">
        <v>1429000</v>
      </c>
      <c r="G28">
        <v>389570</v>
      </c>
    </row>
    <row r="29" spans="1:7" x14ac:dyDescent="0.2">
      <c r="A29">
        <v>1</v>
      </c>
      <c r="B29" t="s">
        <v>1803</v>
      </c>
      <c r="C29" t="s">
        <v>6</v>
      </c>
      <c r="D29">
        <v>8</v>
      </c>
      <c r="E29">
        <v>2399890</v>
      </c>
      <c r="F29">
        <v>1908775</v>
      </c>
      <c r="G29">
        <v>485120</v>
      </c>
    </row>
    <row r="30" spans="1:7" x14ac:dyDescent="0.2">
      <c r="A30">
        <v>1</v>
      </c>
      <c r="B30" t="s">
        <v>1803</v>
      </c>
      <c r="C30" t="s">
        <v>6</v>
      </c>
      <c r="D30">
        <v>10</v>
      </c>
      <c r="E30">
        <v>5940115</v>
      </c>
      <c r="F30">
        <v>4319830</v>
      </c>
      <c r="G30">
        <v>1589065</v>
      </c>
    </row>
    <row r="31" spans="1:7" x14ac:dyDescent="0.2">
      <c r="A31">
        <v>1</v>
      </c>
      <c r="B31" t="s">
        <v>1803</v>
      </c>
      <c r="C31" t="s">
        <v>6</v>
      </c>
      <c r="D31">
        <v>11</v>
      </c>
      <c r="E31">
        <v>2394840</v>
      </c>
      <c r="F31">
        <v>1692350</v>
      </c>
      <c r="G31">
        <v>702085</v>
      </c>
    </row>
    <row r="32" spans="1:7" x14ac:dyDescent="0.2">
      <c r="A32">
        <v>1</v>
      </c>
      <c r="B32" t="s">
        <v>1803</v>
      </c>
      <c r="C32" t="s">
        <v>6</v>
      </c>
      <c r="D32">
        <v>12</v>
      </c>
      <c r="E32">
        <v>2111350</v>
      </c>
      <c r="F32">
        <v>1585935</v>
      </c>
      <c r="G32">
        <v>525060</v>
      </c>
    </row>
    <row r="33" spans="1:7" x14ac:dyDescent="0.2">
      <c r="A33">
        <v>1</v>
      </c>
      <c r="B33" t="s">
        <v>1803</v>
      </c>
      <c r="C33" t="s">
        <v>6</v>
      </c>
      <c r="D33">
        <v>13</v>
      </c>
      <c r="E33">
        <v>283485</v>
      </c>
      <c r="F33">
        <v>106415</v>
      </c>
      <c r="G33">
        <v>177030</v>
      </c>
    </row>
    <row r="34" spans="1:7" x14ac:dyDescent="0.2">
      <c r="A34">
        <v>1</v>
      </c>
      <c r="B34" t="s">
        <v>1803</v>
      </c>
      <c r="C34" t="s">
        <v>6</v>
      </c>
      <c r="D34">
        <v>14</v>
      </c>
      <c r="E34">
        <v>205315</v>
      </c>
      <c r="F34">
        <v>22870</v>
      </c>
      <c r="G34">
        <v>182425</v>
      </c>
    </row>
    <row r="35" spans="1:7" x14ac:dyDescent="0.2">
      <c r="A35">
        <v>1</v>
      </c>
      <c r="B35" t="s">
        <v>1803</v>
      </c>
      <c r="C35" t="s">
        <v>6</v>
      </c>
      <c r="D35">
        <v>16</v>
      </c>
      <c r="E35">
        <v>1934905</v>
      </c>
      <c r="F35">
        <v>1208935</v>
      </c>
      <c r="G35">
        <v>725805</v>
      </c>
    </row>
    <row r="36" spans="1:7" x14ac:dyDescent="0.2">
      <c r="A36">
        <v>1</v>
      </c>
      <c r="B36" t="s">
        <v>1803</v>
      </c>
      <c r="C36" t="s">
        <v>6</v>
      </c>
      <c r="D36">
        <v>31</v>
      </c>
      <c r="E36">
        <v>302290</v>
      </c>
      <c r="F36">
        <v>161830</v>
      </c>
      <c r="G36">
        <v>110210</v>
      </c>
    </row>
    <row r="37" spans="1:7" x14ac:dyDescent="0.2">
      <c r="A37">
        <v>1</v>
      </c>
      <c r="B37" t="s">
        <v>1803</v>
      </c>
      <c r="C37" t="s">
        <v>6</v>
      </c>
      <c r="D37">
        <v>38</v>
      </c>
      <c r="E37">
        <v>8237975</v>
      </c>
      <c r="F37">
        <v>5873220</v>
      </c>
      <c r="G37">
        <v>2363365</v>
      </c>
    </row>
    <row r="38" spans="1:7" x14ac:dyDescent="0.2">
      <c r="A38">
        <v>1</v>
      </c>
      <c r="B38" t="s">
        <v>1803</v>
      </c>
      <c r="C38" t="s">
        <v>6</v>
      </c>
      <c r="D38">
        <v>41</v>
      </c>
      <c r="E38">
        <v>8483160</v>
      </c>
      <c r="F38">
        <v>6014590</v>
      </c>
      <c r="G38">
        <v>2468295</v>
      </c>
    </row>
    <row r="39" spans="1:7" x14ac:dyDescent="0.2">
      <c r="A39">
        <v>1</v>
      </c>
      <c r="B39" t="s">
        <v>1803</v>
      </c>
      <c r="C39" t="s">
        <v>6</v>
      </c>
      <c r="D39">
        <v>42</v>
      </c>
      <c r="E39">
        <v>7741985</v>
      </c>
      <c r="F39">
        <v>5756040</v>
      </c>
      <c r="G39">
        <v>1985725</v>
      </c>
    </row>
    <row r="40" spans="1:7" x14ac:dyDescent="0.2">
      <c r="A40">
        <v>1</v>
      </c>
      <c r="B40" t="s">
        <v>1803</v>
      </c>
      <c r="C40" t="s">
        <v>6</v>
      </c>
      <c r="D40">
        <v>43</v>
      </c>
      <c r="E40">
        <v>741170</v>
      </c>
      <c r="F40">
        <v>258555</v>
      </c>
      <c r="G40">
        <v>482565</v>
      </c>
    </row>
    <row r="41" spans="1:7" x14ac:dyDescent="0.2">
      <c r="A41">
        <v>1</v>
      </c>
      <c r="B41" t="s">
        <v>1803</v>
      </c>
      <c r="C41" t="s">
        <v>6</v>
      </c>
      <c r="D41">
        <v>44</v>
      </c>
      <c r="E41">
        <v>8538990</v>
      </c>
      <c r="F41">
        <v>6034605</v>
      </c>
      <c r="G41">
        <v>2472965</v>
      </c>
    </row>
    <row r="42" spans="1:7" x14ac:dyDescent="0.2">
      <c r="A42">
        <v>1</v>
      </c>
      <c r="B42" t="s">
        <v>1803</v>
      </c>
      <c r="C42" t="s">
        <v>6</v>
      </c>
      <c r="D42">
        <v>45</v>
      </c>
      <c r="E42">
        <v>8257520</v>
      </c>
      <c r="F42">
        <v>5822890</v>
      </c>
      <c r="G42">
        <v>2403730</v>
      </c>
    </row>
    <row r="43" spans="1:7" x14ac:dyDescent="0.2">
      <c r="A43">
        <v>1</v>
      </c>
      <c r="B43" t="s">
        <v>1803</v>
      </c>
      <c r="C43" t="s">
        <v>6</v>
      </c>
      <c r="D43">
        <v>46</v>
      </c>
      <c r="E43">
        <v>281470</v>
      </c>
      <c r="F43">
        <v>211710</v>
      </c>
      <c r="G43">
        <v>69240</v>
      </c>
    </row>
    <row r="44" spans="1:7" x14ac:dyDescent="0.2">
      <c r="A44">
        <v>1</v>
      </c>
      <c r="B44" t="s">
        <v>1804</v>
      </c>
      <c r="C44" t="s">
        <v>6</v>
      </c>
      <c r="D44">
        <v>1</v>
      </c>
      <c r="E44">
        <v>6438675</v>
      </c>
      <c r="F44">
        <v>3920920</v>
      </c>
      <c r="G44">
        <v>2480260</v>
      </c>
    </row>
    <row r="45" spans="1:7" x14ac:dyDescent="0.2">
      <c r="A45">
        <v>1</v>
      </c>
      <c r="B45" t="s">
        <v>1804</v>
      </c>
      <c r="C45" t="s">
        <v>6</v>
      </c>
      <c r="D45">
        <v>2</v>
      </c>
      <c r="E45">
        <v>2305</v>
      </c>
      <c r="F45">
        <v>680</v>
      </c>
      <c r="G45">
        <v>1365</v>
      </c>
    </row>
    <row r="46" spans="1:7" x14ac:dyDescent="0.2">
      <c r="A46">
        <v>1</v>
      </c>
      <c r="B46" t="s">
        <v>1804</v>
      </c>
      <c r="C46" t="s">
        <v>6</v>
      </c>
      <c r="D46">
        <v>4</v>
      </c>
      <c r="E46">
        <v>2305</v>
      </c>
      <c r="F46">
        <v>680</v>
      </c>
      <c r="G46">
        <v>1365</v>
      </c>
    </row>
    <row r="47" spans="1:7" x14ac:dyDescent="0.2">
      <c r="A47">
        <v>1</v>
      </c>
      <c r="B47" t="s">
        <v>1804</v>
      </c>
      <c r="C47" t="s">
        <v>6</v>
      </c>
      <c r="D47">
        <v>5</v>
      </c>
      <c r="E47">
        <v>219525</v>
      </c>
      <c r="F47">
        <v>36210</v>
      </c>
      <c r="G47">
        <v>181740</v>
      </c>
    </row>
    <row r="48" spans="1:7" x14ac:dyDescent="0.2">
      <c r="A48">
        <v>1</v>
      </c>
      <c r="B48" t="s">
        <v>1804</v>
      </c>
      <c r="C48" t="s">
        <v>6</v>
      </c>
      <c r="D48">
        <v>6</v>
      </c>
      <c r="E48">
        <v>3213205</v>
      </c>
      <c r="F48">
        <v>1856875</v>
      </c>
      <c r="G48">
        <v>1334255</v>
      </c>
    </row>
    <row r="49" spans="1:7" x14ac:dyDescent="0.2">
      <c r="A49">
        <v>1</v>
      </c>
      <c r="B49" t="s">
        <v>1804</v>
      </c>
      <c r="C49" t="s">
        <v>6</v>
      </c>
      <c r="D49">
        <v>7</v>
      </c>
      <c r="E49">
        <v>1220695</v>
      </c>
      <c r="F49">
        <v>855025</v>
      </c>
      <c r="G49">
        <v>358410</v>
      </c>
    </row>
    <row r="50" spans="1:7" x14ac:dyDescent="0.2">
      <c r="A50">
        <v>1</v>
      </c>
      <c r="B50" t="s">
        <v>1804</v>
      </c>
      <c r="C50" t="s">
        <v>6</v>
      </c>
      <c r="D50">
        <v>8</v>
      </c>
      <c r="E50">
        <v>1782950</v>
      </c>
      <c r="F50">
        <v>1172140</v>
      </c>
      <c r="G50">
        <v>604495</v>
      </c>
    </row>
    <row r="51" spans="1:7" x14ac:dyDescent="0.2">
      <c r="A51">
        <v>1</v>
      </c>
      <c r="B51" t="s">
        <v>1804</v>
      </c>
      <c r="C51" t="s">
        <v>6</v>
      </c>
      <c r="D51">
        <v>10</v>
      </c>
      <c r="E51">
        <v>4853640</v>
      </c>
      <c r="F51">
        <v>3005795</v>
      </c>
      <c r="G51">
        <v>1810785</v>
      </c>
    </row>
    <row r="52" spans="1:7" x14ac:dyDescent="0.2">
      <c r="A52">
        <v>1</v>
      </c>
      <c r="B52" t="s">
        <v>1804</v>
      </c>
      <c r="C52" t="s">
        <v>6</v>
      </c>
      <c r="D52">
        <v>11</v>
      </c>
      <c r="E52">
        <v>1460175</v>
      </c>
      <c r="F52">
        <v>900235</v>
      </c>
      <c r="G52">
        <v>559520</v>
      </c>
    </row>
    <row r="53" spans="1:7" x14ac:dyDescent="0.2">
      <c r="A53">
        <v>1</v>
      </c>
      <c r="B53" t="s">
        <v>1804</v>
      </c>
      <c r="C53" t="s">
        <v>6</v>
      </c>
      <c r="D53">
        <v>12</v>
      </c>
      <c r="E53">
        <v>1320675</v>
      </c>
      <c r="F53">
        <v>853980</v>
      </c>
      <c r="G53">
        <v>466310</v>
      </c>
    </row>
    <row r="54" spans="1:7" x14ac:dyDescent="0.2">
      <c r="A54">
        <v>1</v>
      </c>
      <c r="B54" t="s">
        <v>1804</v>
      </c>
      <c r="C54" t="s">
        <v>6</v>
      </c>
      <c r="D54">
        <v>13</v>
      </c>
      <c r="E54">
        <v>139495</v>
      </c>
      <c r="F54">
        <v>46255</v>
      </c>
      <c r="G54">
        <v>93210</v>
      </c>
    </row>
    <row r="55" spans="1:7" x14ac:dyDescent="0.2">
      <c r="A55">
        <v>1</v>
      </c>
      <c r="B55" t="s">
        <v>1804</v>
      </c>
      <c r="C55" t="s">
        <v>6</v>
      </c>
      <c r="D55">
        <v>14</v>
      </c>
      <c r="E55">
        <v>124865</v>
      </c>
      <c r="F55">
        <v>14895</v>
      </c>
      <c r="G55">
        <v>109955</v>
      </c>
    </row>
    <row r="56" spans="1:7" x14ac:dyDescent="0.2">
      <c r="A56">
        <v>1</v>
      </c>
      <c r="B56" t="s">
        <v>1804</v>
      </c>
      <c r="C56" t="s">
        <v>6</v>
      </c>
      <c r="D56">
        <v>16</v>
      </c>
      <c r="E56">
        <v>1179275</v>
      </c>
      <c r="F56">
        <v>618855</v>
      </c>
      <c r="G56">
        <v>560300</v>
      </c>
    </row>
    <row r="57" spans="1:7" x14ac:dyDescent="0.2">
      <c r="A57">
        <v>1</v>
      </c>
      <c r="B57" t="s">
        <v>1804</v>
      </c>
      <c r="C57" t="s">
        <v>6</v>
      </c>
      <c r="D57">
        <v>31</v>
      </c>
      <c r="E57">
        <v>331240</v>
      </c>
      <c r="F57">
        <v>135555</v>
      </c>
      <c r="G57">
        <v>159395</v>
      </c>
    </row>
    <row r="58" spans="1:7" x14ac:dyDescent="0.2">
      <c r="A58">
        <v>1</v>
      </c>
      <c r="B58" t="s">
        <v>1804</v>
      </c>
      <c r="C58" t="s">
        <v>6</v>
      </c>
      <c r="D58">
        <v>38</v>
      </c>
      <c r="E58">
        <v>6107440</v>
      </c>
      <c r="F58">
        <v>3785365</v>
      </c>
      <c r="G58">
        <v>2320865</v>
      </c>
    </row>
    <row r="59" spans="1:7" x14ac:dyDescent="0.2">
      <c r="A59">
        <v>1</v>
      </c>
      <c r="B59" t="s">
        <v>1804</v>
      </c>
      <c r="C59" t="s">
        <v>6</v>
      </c>
      <c r="D59">
        <v>41</v>
      </c>
      <c r="E59">
        <v>6376835</v>
      </c>
      <c r="F59">
        <v>3902105</v>
      </c>
      <c r="G59">
        <v>2474420</v>
      </c>
    </row>
    <row r="60" spans="1:7" x14ac:dyDescent="0.2">
      <c r="A60">
        <v>1</v>
      </c>
      <c r="B60" t="s">
        <v>1804</v>
      </c>
      <c r="C60" t="s">
        <v>6</v>
      </c>
      <c r="D60">
        <v>42</v>
      </c>
      <c r="E60">
        <v>5690905</v>
      </c>
      <c r="F60">
        <v>3692215</v>
      </c>
      <c r="G60">
        <v>1998430</v>
      </c>
    </row>
    <row r="61" spans="1:7" x14ac:dyDescent="0.2">
      <c r="A61">
        <v>1</v>
      </c>
      <c r="B61" t="s">
        <v>1804</v>
      </c>
      <c r="C61" t="s">
        <v>6</v>
      </c>
      <c r="D61">
        <v>43</v>
      </c>
      <c r="E61">
        <v>685930</v>
      </c>
      <c r="F61">
        <v>209890</v>
      </c>
      <c r="G61">
        <v>475990</v>
      </c>
    </row>
    <row r="62" spans="1:7" x14ac:dyDescent="0.2">
      <c r="A62">
        <v>1</v>
      </c>
      <c r="B62" t="s">
        <v>1804</v>
      </c>
      <c r="C62" t="s">
        <v>6</v>
      </c>
      <c r="D62">
        <v>44</v>
      </c>
      <c r="E62">
        <v>6437540</v>
      </c>
      <c r="F62">
        <v>3920515</v>
      </c>
      <c r="G62">
        <v>2479715</v>
      </c>
    </row>
    <row r="63" spans="1:7" x14ac:dyDescent="0.2">
      <c r="A63">
        <v>1</v>
      </c>
      <c r="B63" t="s">
        <v>1804</v>
      </c>
      <c r="C63" t="s">
        <v>6</v>
      </c>
      <c r="D63">
        <v>45</v>
      </c>
      <c r="E63">
        <v>6397410</v>
      </c>
      <c r="F63">
        <v>3893190</v>
      </c>
      <c r="G63">
        <v>2467065</v>
      </c>
    </row>
    <row r="64" spans="1:7" x14ac:dyDescent="0.2">
      <c r="A64">
        <v>1</v>
      </c>
      <c r="B64" t="s">
        <v>1804</v>
      </c>
      <c r="C64" t="s">
        <v>6</v>
      </c>
      <c r="D64">
        <v>46</v>
      </c>
      <c r="E64">
        <v>40125</v>
      </c>
      <c r="F64">
        <v>27325</v>
      </c>
      <c r="G64">
        <v>12645</v>
      </c>
    </row>
    <row r="65" spans="1:7" x14ac:dyDescent="0.2">
      <c r="A65">
        <v>1</v>
      </c>
      <c r="B65" t="s">
        <v>354</v>
      </c>
      <c r="C65" t="s">
        <v>366</v>
      </c>
      <c r="D65">
        <v>1</v>
      </c>
      <c r="E65">
        <v>5.3785181060876097E-2</v>
      </c>
      <c r="F65">
        <v>3.00061169328554E-2</v>
      </c>
      <c r="G65">
        <v>9.9334152227516695E-2</v>
      </c>
    </row>
    <row r="66" spans="1:7" x14ac:dyDescent="0.2">
      <c r="A66">
        <v>1</v>
      </c>
      <c r="B66" t="s">
        <v>354</v>
      </c>
      <c r="C66" t="s">
        <v>366</v>
      </c>
      <c r="D66">
        <v>2</v>
      </c>
      <c r="E66">
        <v>0.139008620689655</v>
      </c>
      <c r="F66">
        <v>7.69230769230769E-2</v>
      </c>
      <c r="G66">
        <v>0.120527306967985</v>
      </c>
    </row>
    <row r="67" spans="1:7" x14ac:dyDescent="0.2">
      <c r="A67">
        <v>1</v>
      </c>
      <c r="B67" t="s">
        <v>354</v>
      </c>
      <c r="C67" t="s">
        <v>366</v>
      </c>
      <c r="D67">
        <v>4</v>
      </c>
      <c r="E67">
        <v>0.139008620689655</v>
      </c>
      <c r="F67">
        <v>7.69230769230769E-2</v>
      </c>
      <c r="G67">
        <v>0.120527306967985</v>
      </c>
    </row>
    <row r="68" spans="1:7" x14ac:dyDescent="0.2">
      <c r="A68">
        <v>1</v>
      </c>
      <c r="B68" t="s">
        <v>354</v>
      </c>
      <c r="C68" t="s">
        <v>366</v>
      </c>
      <c r="D68">
        <v>5</v>
      </c>
      <c r="E68">
        <v>0.10599802406827701</v>
      </c>
      <c r="F68">
        <v>4.8184989019506498E-2</v>
      </c>
      <c r="G68">
        <v>0.117963728359834</v>
      </c>
    </row>
    <row r="69" spans="1:7" x14ac:dyDescent="0.2">
      <c r="A69">
        <v>1</v>
      </c>
      <c r="B69" t="s">
        <v>354</v>
      </c>
      <c r="C69" t="s">
        <v>366</v>
      </c>
      <c r="D69">
        <v>6</v>
      </c>
      <c r="E69">
        <v>7.7620755114954698E-2</v>
      </c>
      <c r="F69">
        <v>4.3323703873613603E-2</v>
      </c>
      <c r="G69">
        <v>0.13106689356301801</v>
      </c>
    </row>
    <row r="70" spans="1:7" x14ac:dyDescent="0.2">
      <c r="A70">
        <v>1</v>
      </c>
      <c r="B70" t="s">
        <v>354</v>
      </c>
      <c r="C70" t="s">
        <v>366</v>
      </c>
      <c r="D70">
        <v>7</v>
      </c>
      <c r="E70">
        <v>4.0673743500866499E-2</v>
      </c>
      <c r="F70">
        <v>2.7712104097161998E-2</v>
      </c>
      <c r="G70">
        <v>7.7535495601486704E-2</v>
      </c>
    </row>
    <row r="71" spans="1:7" x14ac:dyDescent="0.2">
      <c r="A71">
        <v>1</v>
      </c>
      <c r="B71" t="s">
        <v>354</v>
      </c>
      <c r="C71" t="s">
        <v>366</v>
      </c>
      <c r="D71">
        <v>8</v>
      </c>
      <c r="E71">
        <v>1.62592685122207E-2</v>
      </c>
      <c r="F71">
        <v>1.17221669536485E-2</v>
      </c>
      <c r="G71">
        <v>2.76520957039675E-2</v>
      </c>
    </row>
    <row r="72" spans="1:7" x14ac:dyDescent="0.2">
      <c r="A72">
        <v>1</v>
      </c>
      <c r="B72" t="s">
        <v>354</v>
      </c>
      <c r="C72" t="s">
        <v>366</v>
      </c>
      <c r="D72">
        <v>10</v>
      </c>
      <c r="E72">
        <v>2.8572540325401099E-2</v>
      </c>
      <c r="F72">
        <v>1.65910758467708E-2</v>
      </c>
      <c r="G72">
        <v>5.0624366699070097E-2</v>
      </c>
    </row>
    <row r="73" spans="1:7" x14ac:dyDescent="0.2">
      <c r="A73">
        <v>1</v>
      </c>
      <c r="B73" t="s">
        <v>354</v>
      </c>
      <c r="C73" t="s">
        <v>366</v>
      </c>
      <c r="D73">
        <v>11</v>
      </c>
      <c r="E73">
        <v>0.10990892371226001</v>
      </c>
      <c r="F73">
        <v>6.6611252111795999E-2</v>
      </c>
      <c r="G73">
        <v>0.19889268474409699</v>
      </c>
    </row>
    <row r="74" spans="1:7" x14ac:dyDescent="0.2">
      <c r="A74">
        <v>1</v>
      </c>
      <c r="B74" t="s">
        <v>354</v>
      </c>
      <c r="C74" t="s">
        <v>366</v>
      </c>
      <c r="D74">
        <v>12</v>
      </c>
      <c r="E74">
        <v>9.8192757919886894E-2</v>
      </c>
      <c r="F74">
        <v>6.4998165919714398E-2</v>
      </c>
      <c r="G74">
        <v>0.17989751555927699</v>
      </c>
    </row>
    <row r="75" spans="1:7" x14ac:dyDescent="0.2">
      <c r="A75">
        <v>1</v>
      </c>
      <c r="B75" t="s">
        <v>354</v>
      </c>
      <c r="C75" t="s">
        <v>366</v>
      </c>
      <c r="D75">
        <v>13</v>
      </c>
      <c r="E75">
        <v>0.20496240957019199</v>
      </c>
      <c r="F75">
        <v>9.2424589788098102E-2</v>
      </c>
      <c r="G75">
        <v>0.268576080521018</v>
      </c>
    </row>
    <row r="76" spans="1:7" x14ac:dyDescent="0.2">
      <c r="A76">
        <v>1</v>
      </c>
      <c r="B76" t="s">
        <v>354</v>
      </c>
      <c r="C76" t="s">
        <v>366</v>
      </c>
      <c r="D76">
        <v>14</v>
      </c>
      <c r="E76">
        <v>0.222757283905748</v>
      </c>
      <c r="F76">
        <v>0.11915795048325201</v>
      </c>
      <c r="G76">
        <v>0.23616122578107601</v>
      </c>
    </row>
    <row r="77" spans="1:7" x14ac:dyDescent="0.2">
      <c r="A77">
        <v>1</v>
      </c>
      <c r="B77" t="s">
        <v>354</v>
      </c>
      <c r="C77" t="s">
        <v>366</v>
      </c>
      <c r="D77">
        <v>16</v>
      </c>
      <c r="E77">
        <v>0.14698709293121601</v>
      </c>
      <c r="F77">
        <v>8.7140993059905802E-2</v>
      </c>
      <c r="G77">
        <v>0.23205427260710701</v>
      </c>
    </row>
    <row r="78" spans="1:7" x14ac:dyDescent="0.2">
      <c r="A78">
        <v>1</v>
      </c>
      <c r="B78" t="s">
        <v>354</v>
      </c>
      <c r="C78" t="s">
        <v>366</v>
      </c>
      <c r="D78">
        <v>31</v>
      </c>
      <c r="E78">
        <v>9.1234827080012001E-2</v>
      </c>
      <c r="F78">
        <v>3.9696016947727703E-2</v>
      </c>
      <c r="G78">
        <v>0.116336863188739</v>
      </c>
    </row>
    <row r="79" spans="1:7" x14ac:dyDescent="0.2">
      <c r="A79">
        <v>1</v>
      </c>
      <c r="B79" t="s">
        <v>354</v>
      </c>
      <c r="C79" t="s">
        <v>366</v>
      </c>
      <c r="D79">
        <v>38</v>
      </c>
      <c r="E79">
        <v>5.2131308899501697E-2</v>
      </c>
      <c r="F79">
        <v>2.9707250078557099E-2</v>
      </c>
      <c r="G79">
        <v>9.8356613573629001E-2</v>
      </c>
    </row>
    <row r="80" spans="1:7" x14ac:dyDescent="0.2">
      <c r="A80">
        <v>1</v>
      </c>
      <c r="B80" t="s">
        <v>354</v>
      </c>
      <c r="C80" t="s">
        <v>366</v>
      </c>
      <c r="D80">
        <v>41</v>
      </c>
      <c r="E80">
        <v>5.2910870061150798E-2</v>
      </c>
      <c r="F80">
        <v>2.98466374129687E-2</v>
      </c>
      <c r="G80">
        <v>9.9184455491016094E-2</v>
      </c>
    </row>
    <row r="81" spans="1:7" x14ac:dyDescent="0.2">
      <c r="A81">
        <v>1</v>
      </c>
      <c r="B81" t="s">
        <v>354</v>
      </c>
      <c r="C81" t="s">
        <v>366</v>
      </c>
      <c r="D81">
        <v>42</v>
      </c>
      <c r="E81">
        <v>4.8969730266532403E-2</v>
      </c>
      <c r="F81">
        <v>2.9392231043966401E-2</v>
      </c>
      <c r="G81">
        <v>9.5395384968707295E-2</v>
      </c>
    </row>
    <row r="82" spans="1:7" x14ac:dyDescent="0.2">
      <c r="A82">
        <v>1</v>
      </c>
      <c r="B82" t="s">
        <v>354</v>
      </c>
      <c r="C82" t="s">
        <v>366</v>
      </c>
      <c r="D82">
        <v>43</v>
      </c>
      <c r="E82">
        <v>9.0007392588492094E-2</v>
      </c>
      <c r="F82">
        <v>3.9023140637007903E-2</v>
      </c>
      <c r="G82">
        <v>0.114928199216529</v>
      </c>
    </row>
    <row r="83" spans="1:7" x14ac:dyDescent="0.2">
      <c r="A83">
        <v>1</v>
      </c>
      <c r="B83" t="s">
        <v>354</v>
      </c>
      <c r="C83" t="s">
        <v>366</v>
      </c>
      <c r="D83">
        <v>44</v>
      </c>
      <c r="E83">
        <v>5.3766477871201798E-2</v>
      </c>
      <c r="F83">
        <v>2.9999653444485599E-2</v>
      </c>
      <c r="G83">
        <v>9.93241026314063E-2</v>
      </c>
    </row>
    <row r="84" spans="1:7" x14ac:dyDescent="0.2">
      <c r="A84">
        <v>1</v>
      </c>
      <c r="B84" t="s">
        <v>354</v>
      </c>
      <c r="C84" t="s">
        <v>366</v>
      </c>
      <c r="D84">
        <v>45</v>
      </c>
      <c r="E84">
        <v>5.4552631776473903E-2</v>
      </c>
      <c r="F84">
        <v>3.0445920577022799E-2</v>
      </c>
      <c r="G84">
        <v>0.100408763260169</v>
      </c>
    </row>
    <row r="85" spans="1:7" x14ac:dyDescent="0.2">
      <c r="A85">
        <v>1</v>
      </c>
      <c r="B85" t="s">
        <v>354</v>
      </c>
      <c r="C85" t="s">
        <v>366</v>
      </c>
      <c r="D85">
        <v>46</v>
      </c>
      <c r="E85">
        <v>1.7942100189682501E-2</v>
      </c>
      <c r="F85">
        <v>1.18811052774698E-2</v>
      </c>
      <c r="G85">
        <v>3.4804909324052002E-2</v>
      </c>
    </row>
    <row r="86" spans="1:7" x14ac:dyDescent="0.2">
      <c r="A86">
        <v>1</v>
      </c>
      <c r="B86" t="s">
        <v>1803</v>
      </c>
      <c r="C86" t="s">
        <v>366</v>
      </c>
      <c r="D86">
        <v>1</v>
      </c>
      <c r="E86">
        <v>5.2111380618751299E-2</v>
      </c>
      <c r="F86">
        <v>3.0657575330776E-2</v>
      </c>
      <c r="G86">
        <v>0.10273996139191301</v>
      </c>
    </row>
    <row r="87" spans="1:7" x14ac:dyDescent="0.2">
      <c r="A87">
        <v>1</v>
      </c>
      <c r="B87" t="s">
        <v>1803</v>
      </c>
      <c r="C87" t="s">
        <v>366</v>
      </c>
      <c r="D87">
        <v>2</v>
      </c>
      <c r="E87">
        <v>0.14132762312633801</v>
      </c>
      <c r="F87">
        <v>9.2105263157894704E-2</v>
      </c>
      <c r="G87">
        <v>0.124513618677043</v>
      </c>
    </row>
    <row r="88" spans="1:7" x14ac:dyDescent="0.2">
      <c r="A88">
        <v>1</v>
      </c>
      <c r="B88" t="s">
        <v>1803</v>
      </c>
      <c r="C88" t="s">
        <v>366</v>
      </c>
      <c r="D88">
        <v>4</v>
      </c>
      <c r="E88">
        <v>0.14132762312633801</v>
      </c>
      <c r="F88">
        <v>9.2105263157894704E-2</v>
      </c>
      <c r="G88">
        <v>0.124513618677043</v>
      </c>
    </row>
    <row r="89" spans="1:7" x14ac:dyDescent="0.2">
      <c r="A89">
        <v>1</v>
      </c>
      <c r="B89" t="s">
        <v>1803</v>
      </c>
      <c r="C89" t="s">
        <v>366</v>
      </c>
      <c r="D89">
        <v>5</v>
      </c>
      <c r="E89">
        <v>0.11509499825462501</v>
      </c>
      <c r="F89">
        <v>4.84223300970874E-2</v>
      </c>
      <c r="G89">
        <v>0.13154235145385601</v>
      </c>
    </row>
    <row r="90" spans="1:7" x14ac:dyDescent="0.2">
      <c r="A90">
        <v>1</v>
      </c>
      <c r="B90" t="s">
        <v>1803</v>
      </c>
      <c r="C90" t="s">
        <v>366</v>
      </c>
      <c r="D90">
        <v>6</v>
      </c>
      <c r="E90">
        <v>7.54966388107908E-2</v>
      </c>
      <c r="F90">
        <v>4.5084961511230301E-2</v>
      </c>
      <c r="G90">
        <v>0.12996991823038601</v>
      </c>
    </row>
    <row r="91" spans="1:7" x14ac:dyDescent="0.2">
      <c r="A91">
        <v>1</v>
      </c>
      <c r="B91" t="s">
        <v>1803</v>
      </c>
      <c r="C91" t="s">
        <v>366</v>
      </c>
      <c r="D91">
        <v>7</v>
      </c>
      <c r="E91">
        <v>4.1194060913427602E-2</v>
      </c>
      <c r="F91">
        <v>2.9625612316305099E-2</v>
      </c>
      <c r="G91">
        <v>8.1615627486716094E-2</v>
      </c>
    </row>
    <row r="92" spans="1:7" x14ac:dyDescent="0.2">
      <c r="A92">
        <v>1</v>
      </c>
      <c r="B92" t="s">
        <v>1803</v>
      </c>
      <c r="C92" t="s">
        <v>366</v>
      </c>
      <c r="D92">
        <v>8</v>
      </c>
      <c r="E92">
        <v>1.50027709603357E-2</v>
      </c>
      <c r="F92">
        <v>1.0952050398816001E-2</v>
      </c>
      <c r="G92">
        <v>2.9466936015831099E-2</v>
      </c>
    </row>
    <row r="93" spans="1:7" x14ac:dyDescent="0.2">
      <c r="A93">
        <v>1</v>
      </c>
      <c r="B93" t="s">
        <v>1803</v>
      </c>
      <c r="C93" t="s">
        <v>366</v>
      </c>
      <c r="D93">
        <v>10</v>
      </c>
      <c r="E93">
        <v>2.32975287515477E-2</v>
      </c>
      <c r="F93">
        <v>1.5434635159253999E-2</v>
      </c>
      <c r="G93">
        <v>4.1445755837552299E-2</v>
      </c>
    </row>
    <row r="94" spans="1:7" x14ac:dyDescent="0.2">
      <c r="A94">
        <v>1</v>
      </c>
      <c r="B94" t="s">
        <v>1803</v>
      </c>
      <c r="C94" t="s">
        <v>366</v>
      </c>
      <c r="D94">
        <v>11</v>
      </c>
      <c r="E94">
        <v>0.10830368625879</v>
      </c>
      <c r="F94">
        <v>6.8366472656365404E-2</v>
      </c>
      <c r="G94">
        <v>0.20458349060299</v>
      </c>
    </row>
    <row r="95" spans="1:7" x14ac:dyDescent="0.2">
      <c r="A95">
        <v>1</v>
      </c>
      <c r="B95" t="s">
        <v>1803</v>
      </c>
      <c r="C95" t="s">
        <v>366</v>
      </c>
      <c r="D95">
        <v>12</v>
      </c>
      <c r="E95">
        <v>9.4884789352783799E-2</v>
      </c>
      <c r="F95">
        <v>6.6638922780567905E-2</v>
      </c>
      <c r="G95">
        <v>0.180217498952501</v>
      </c>
    </row>
    <row r="96" spans="1:7" x14ac:dyDescent="0.2">
      <c r="A96">
        <v>1</v>
      </c>
      <c r="B96" t="s">
        <v>1803</v>
      </c>
      <c r="C96" t="s">
        <v>366</v>
      </c>
      <c r="D96">
        <v>13</v>
      </c>
      <c r="E96">
        <v>0.20824734994796901</v>
      </c>
      <c r="F96">
        <v>9.4112672085702204E-2</v>
      </c>
      <c r="G96">
        <v>0.27687397616223203</v>
      </c>
    </row>
    <row r="97" spans="1:7" x14ac:dyDescent="0.2">
      <c r="A97">
        <v>1</v>
      </c>
      <c r="B97" t="s">
        <v>1803</v>
      </c>
      <c r="C97" t="s">
        <v>366</v>
      </c>
      <c r="D97">
        <v>14</v>
      </c>
      <c r="E97">
        <v>0.23030465382461099</v>
      </c>
      <c r="F97">
        <v>0.115653694796677</v>
      </c>
      <c r="G97">
        <v>0.24470330272714799</v>
      </c>
    </row>
    <row r="98" spans="1:7" x14ac:dyDescent="0.2">
      <c r="A98">
        <v>1</v>
      </c>
      <c r="B98" t="s">
        <v>1803</v>
      </c>
      <c r="C98" t="s">
        <v>366</v>
      </c>
      <c r="D98">
        <v>16</v>
      </c>
      <c r="E98">
        <v>0.14361687007889301</v>
      </c>
      <c r="F98">
        <v>8.7543995334736793E-2</v>
      </c>
      <c r="G98">
        <v>0.23704025185828101</v>
      </c>
    </row>
    <row r="99" spans="1:7" x14ac:dyDescent="0.2">
      <c r="A99">
        <v>1</v>
      </c>
      <c r="B99" t="s">
        <v>1803</v>
      </c>
      <c r="C99" t="s">
        <v>366</v>
      </c>
      <c r="D99">
        <v>31</v>
      </c>
      <c r="E99">
        <v>7.0098250024810599E-2</v>
      </c>
      <c r="F99">
        <v>3.3182969783105698E-2</v>
      </c>
      <c r="G99">
        <v>9.0826603756464896E-2</v>
      </c>
    </row>
    <row r="100" spans="1:7" x14ac:dyDescent="0.2">
      <c r="A100">
        <v>1</v>
      </c>
      <c r="B100" t="s">
        <v>1803</v>
      </c>
      <c r="C100" t="s">
        <v>366</v>
      </c>
      <c r="D100">
        <v>38</v>
      </c>
      <c r="E100">
        <v>5.1451964833590803E-2</v>
      </c>
      <c r="F100">
        <v>3.0587139592932001E-2</v>
      </c>
      <c r="G100">
        <v>0.103295512965623</v>
      </c>
    </row>
    <row r="101" spans="1:7" x14ac:dyDescent="0.2">
      <c r="A101">
        <v>1</v>
      </c>
      <c r="B101" t="s">
        <v>1803</v>
      </c>
      <c r="C101" t="s">
        <v>366</v>
      </c>
      <c r="D101">
        <v>41</v>
      </c>
      <c r="E101">
        <v>5.1538577605514897E-2</v>
      </c>
      <c r="F101">
        <v>3.0563180532671399E-2</v>
      </c>
      <c r="G101">
        <v>0.102651830514586</v>
      </c>
    </row>
    <row r="102" spans="1:7" x14ac:dyDescent="0.2">
      <c r="A102">
        <v>1</v>
      </c>
      <c r="B102" t="s">
        <v>1803</v>
      </c>
      <c r="C102" t="s">
        <v>366</v>
      </c>
      <c r="D102">
        <v>42</v>
      </c>
      <c r="E102">
        <v>4.7919881012427702E-2</v>
      </c>
      <c r="F102">
        <v>3.0165704199414899E-2</v>
      </c>
      <c r="G102">
        <v>9.9384355839806607E-2</v>
      </c>
    </row>
    <row r="103" spans="1:7" x14ac:dyDescent="0.2">
      <c r="A103">
        <v>1</v>
      </c>
      <c r="B103" t="s">
        <v>1803</v>
      </c>
      <c r="C103" t="s">
        <v>366</v>
      </c>
      <c r="D103">
        <v>43</v>
      </c>
      <c r="E103">
        <v>8.9338478351795106E-2</v>
      </c>
      <c r="F103">
        <v>3.9411343814662297E-2</v>
      </c>
      <c r="G103">
        <v>0.11610871074362999</v>
      </c>
    </row>
    <row r="104" spans="1:7" x14ac:dyDescent="0.2">
      <c r="A104">
        <v>1</v>
      </c>
      <c r="B104" t="s">
        <v>1803</v>
      </c>
      <c r="C104" t="s">
        <v>366</v>
      </c>
      <c r="D104">
        <v>44</v>
      </c>
      <c r="E104">
        <v>5.2093397462697602E-2</v>
      </c>
      <c r="F104">
        <v>3.0649893406445E-2</v>
      </c>
      <c r="G104">
        <v>0.102732954166355</v>
      </c>
    </row>
    <row r="105" spans="1:7" x14ac:dyDescent="0.2">
      <c r="A105">
        <v>1</v>
      </c>
      <c r="B105" t="s">
        <v>1803</v>
      </c>
      <c r="C105" t="s">
        <v>366</v>
      </c>
      <c r="D105">
        <v>45</v>
      </c>
      <c r="E105">
        <v>5.3296873637605498E-2</v>
      </c>
      <c r="F105">
        <v>3.1355563989702698E-2</v>
      </c>
      <c r="G105">
        <v>0.10474138110353499</v>
      </c>
    </row>
    <row r="106" spans="1:7" x14ac:dyDescent="0.2">
      <c r="A106">
        <v>1</v>
      </c>
      <c r="B106" t="s">
        <v>1803</v>
      </c>
      <c r="C106" t="s">
        <v>366</v>
      </c>
      <c r="D106">
        <v>46</v>
      </c>
      <c r="E106">
        <v>1.6769105055600999E-2</v>
      </c>
      <c r="F106">
        <v>1.12417930187521E-2</v>
      </c>
      <c r="G106">
        <v>3.3001155401502003E-2</v>
      </c>
    </row>
    <row r="107" spans="1:7" x14ac:dyDescent="0.2">
      <c r="A107">
        <v>1</v>
      </c>
      <c r="B107" t="s">
        <v>1804</v>
      </c>
      <c r="C107" t="s">
        <v>366</v>
      </c>
      <c r="D107">
        <v>1</v>
      </c>
      <c r="E107">
        <v>5.6005311651853802E-2</v>
      </c>
      <c r="F107">
        <v>2.9003397161890598E-2</v>
      </c>
      <c r="G107">
        <v>9.5937522679074003E-2</v>
      </c>
    </row>
    <row r="108" spans="1:7" x14ac:dyDescent="0.2">
      <c r="A108">
        <v>1</v>
      </c>
      <c r="B108" t="s">
        <v>1804</v>
      </c>
      <c r="C108" t="s">
        <v>366</v>
      </c>
      <c r="D108">
        <v>2</v>
      </c>
      <c r="E108">
        <v>0.134490238611714</v>
      </c>
      <c r="F108">
        <v>5.8823529411764698E-2</v>
      </c>
      <c r="G108">
        <v>0.120879120879121</v>
      </c>
    </row>
    <row r="109" spans="1:7" x14ac:dyDescent="0.2">
      <c r="A109">
        <v>1</v>
      </c>
      <c r="B109" t="s">
        <v>1804</v>
      </c>
      <c r="C109" t="s">
        <v>366</v>
      </c>
      <c r="D109">
        <v>4</v>
      </c>
      <c r="E109">
        <v>0.134490238611714</v>
      </c>
      <c r="F109">
        <v>5.8823529411764698E-2</v>
      </c>
      <c r="G109">
        <v>0.120879120879121</v>
      </c>
    </row>
    <row r="110" spans="1:7" x14ac:dyDescent="0.2">
      <c r="A110">
        <v>1</v>
      </c>
      <c r="B110" t="s">
        <v>1804</v>
      </c>
      <c r="C110" t="s">
        <v>366</v>
      </c>
      <c r="D110">
        <v>5</v>
      </c>
      <c r="E110">
        <v>9.7710966860266493E-2</v>
      </c>
      <c r="F110">
        <v>4.7914940624137002E-2</v>
      </c>
      <c r="G110">
        <v>0.106113128645317</v>
      </c>
    </row>
    <row r="111" spans="1:7" x14ac:dyDescent="0.2">
      <c r="A111">
        <v>1</v>
      </c>
      <c r="B111" t="s">
        <v>1804</v>
      </c>
      <c r="C111" t="s">
        <v>366</v>
      </c>
      <c r="D111">
        <v>6</v>
      </c>
      <c r="E111">
        <v>8.0337233385358198E-2</v>
      </c>
      <c r="F111">
        <v>4.0807808818579601E-2</v>
      </c>
      <c r="G111">
        <v>0.13224983230342</v>
      </c>
    </row>
    <row r="112" spans="1:7" x14ac:dyDescent="0.2">
      <c r="A112">
        <v>1</v>
      </c>
      <c r="B112" t="s">
        <v>1804</v>
      </c>
      <c r="C112" t="s">
        <v>366</v>
      </c>
      <c r="D112">
        <v>7</v>
      </c>
      <c r="E112">
        <v>3.9891209515890501E-2</v>
      </c>
      <c r="F112">
        <v>2.4519750884477099E-2</v>
      </c>
      <c r="G112">
        <v>7.3100638933065495E-2</v>
      </c>
    </row>
    <row r="113" spans="1:7" x14ac:dyDescent="0.2">
      <c r="A113">
        <v>1</v>
      </c>
      <c r="B113" t="s">
        <v>1804</v>
      </c>
      <c r="C113" t="s">
        <v>366</v>
      </c>
      <c r="D113">
        <v>8</v>
      </c>
      <c r="E113">
        <v>1.7947783168344601E-2</v>
      </c>
      <c r="F113">
        <v>1.2976265633797999E-2</v>
      </c>
      <c r="G113">
        <v>2.6203690683959301E-2</v>
      </c>
    </row>
    <row r="114" spans="1:7" x14ac:dyDescent="0.2">
      <c r="A114">
        <v>1</v>
      </c>
      <c r="B114" t="s">
        <v>1804</v>
      </c>
      <c r="C114" t="s">
        <v>366</v>
      </c>
      <c r="D114">
        <v>10</v>
      </c>
      <c r="E114">
        <v>3.5027319702326497E-2</v>
      </c>
      <c r="F114">
        <v>1.8253074477800401E-2</v>
      </c>
      <c r="G114">
        <v>5.8678970722642401E-2</v>
      </c>
    </row>
    <row r="115" spans="1:7" x14ac:dyDescent="0.2">
      <c r="A115">
        <v>1</v>
      </c>
      <c r="B115" t="s">
        <v>1804</v>
      </c>
      <c r="C115" t="s">
        <v>366</v>
      </c>
      <c r="D115">
        <v>11</v>
      </c>
      <c r="E115">
        <v>0.112537880733474</v>
      </c>
      <c r="F115">
        <v>6.33112465078563E-2</v>
      </c>
      <c r="G115">
        <v>0.19174470975121499</v>
      </c>
    </row>
    <row r="116" spans="1:7" x14ac:dyDescent="0.2">
      <c r="A116">
        <v>1</v>
      </c>
      <c r="B116" t="s">
        <v>1804</v>
      </c>
      <c r="C116" t="s">
        <v>366</v>
      </c>
      <c r="D116">
        <v>12</v>
      </c>
      <c r="E116">
        <v>0.10348117439945501</v>
      </c>
      <c r="F116">
        <v>6.1951099557366697E-2</v>
      </c>
      <c r="G116">
        <v>0.179537217730694</v>
      </c>
    </row>
    <row r="117" spans="1:7" x14ac:dyDescent="0.2">
      <c r="A117">
        <v>1</v>
      </c>
      <c r="B117" t="s">
        <v>1804</v>
      </c>
      <c r="C117" t="s">
        <v>366</v>
      </c>
      <c r="D117">
        <v>13</v>
      </c>
      <c r="E117">
        <v>0.19832252052044899</v>
      </c>
      <c r="F117">
        <v>8.8530969624905406E-2</v>
      </c>
      <c r="G117">
        <v>0.25276257912241201</v>
      </c>
    </row>
    <row r="118" spans="1:7" x14ac:dyDescent="0.2">
      <c r="A118">
        <v>1</v>
      </c>
      <c r="B118" t="s">
        <v>1804</v>
      </c>
      <c r="C118" t="s">
        <v>366</v>
      </c>
      <c r="D118">
        <v>14</v>
      </c>
      <c r="E118">
        <v>0.210347174948945</v>
      </c>
      <c r="F118">
        <v>0.12487411883182301</v>
      </c>
      <c r="G118">
        <v>0.22195443590559799</v>
      </c>
    </row>
    <row r="119" spans="1:7" x14ac:dyDescent="0.2">
      <c r="A119">
        <v>1</v>
      </c>
      <c r="B119" t="s">
        <v>1804</v>
      </c>
      <c r="C119" t="s">
        <v>366</v>
      </c>
      <c r="D119">
        <v>16</v>
      </c>
      <c r="E119">
        <v>0.15251319666744401</v>
      </c>
      <c r="F119">
        <v>8.6361102358387704E-2</v>
      </c>
      <c r="G119">
        <v>0.225593432089952</v>
      </c>
    </row>
    <row r="120" spans="1:7" x14ac:dyDescent="0.2">
      <c r="A120">
        <v>1</v>
      </c>
      <c r="B120" t="s">
        <v>1804</v>
      </c>
      <c r="C120" t="s">
        <v>366</v>
      </c>
      <c r="D120">
        <v>31</v>
      </c>
      <c r="E120">
        <v>0.110524091293322</v>
      </c>
      <c r="F120">
        <v>4.7471506030762403E-2</v>
      </c>
      <c r="G120">
        <v>0.13394397565795699</v>
      </c>
    </row>
    <row r="121" spans="1:7" x14ac:dyDescent="0.2">
      <c r="A121">
        <v>1</v>
      </c>
      <c r="B121" t="s">
        <v>1804</v>
      </c>
      <c r="C121" t="s">
        <v>366</v>
      </c>
      <c r="D121">
        <v>38</v>
      </c>
      <c r="E121">
        <v>5.3048413083059402E-2</v>
      </c>
      <c r="F121">
        <v>2.8342048917343501E-2</v>
      </c>
      <c r="G121">
        <v>9.3327272374739603E-2</v>
      </c>
    </row>
    <row r="122" spans="1:7" x14ac:dyDescent="0.2">
      <c r="A122">
        <v>1</v>
      </c>
      <c r="B122" t="s">
        <v>1804</v>
      </c>
      <c r="C122" t="s">
        <v>366</v>
      </c>
      <c r="D122">
        <v>41</v>
      </c>
      <c r="E122">
        <v>5.4735617277222898E-2</v>
      </c>
      <c r="F122">
        <v>2.87434602605517E-2</v>
      </c>
      <c r="G122">
        <v>9.5723442261216804E-2</v>
      </c>
    </row>
    <row r="123" spans="1:7" x14ac:dyDescent="0.2">
      <c r="A123">
        <v>1</v>
      </c>
      <c r="B123" t="s">
        <v>1804</v>
      </c>
      <c r="C123" t="s">
        <v>366</v>
      </c>
      <c r="D123">
        <v>42</v>
      </c>
      <c r="E123">
        <v>5.03979595512489E-2</v>
      </c>
      <c r="F123">
        <v>2.81849783937284E-2</v>
      </c>
      <c r="G123">
        <v>9.1431773942544897E-2</v>
      </c>
    </row>
    <row r="124" spans="1:7" x14ac:dyDescent="0.2">
      <c r="A124">
        <v>1</v>
      </c>
      <c r="B124" t="s">
        <v>1804</v>
      </c>
      <c r="C124" t="s">
        <v>366</v>
      </c>
      <c r="D124">
        <v>43</v>
      </c>
      <c r="E124">
        <v>9.0723543218695801E-2</v>
      </c>
      <c r="F124">
        <v>3.8520177235694897E-2</v>
      </c>
      <c r="G124">
        <v>0.11374188533372501</v>
      </c>
    </row>
    <row r="125" spans="1:7" x14ac:dyDescent="0.2">
      <c r="A125">
        <v>1</v>
      </c>
      <c r="B125" t="s">
        <v>1804</v>
      </c>
      <c r="C125" t="s">
        <v>366</v>
      </c>
      <c r="D125">
        <v>44</v>
      </c>
      <c r="E125">
        <v>5.5986448239544899E-2</v>
      </c>
      <c r="F125">
        <v>2.8998741236801798E-2</v>
      </c>
      <c r="G125">
        <v>9.5926346374482593E-2</v>
      </c>
    </row>
    <row r="126" spans="1:7" x14ac:dyDescent="0.2">
      <c r="A126">
        <v>1</v>
      </c>
      <c r="B126" t="s">
        <v>1804</v>
      </c>
      <c r="C126" t="s">
        <v>366</v>
      </c>
      <c r="D126">
        <v>45</v>
      </c>
      <c r="E126">
        <v>5.6173513968934302E-2</v>
      </c>
      <c r="F126">
        <v>2.9085402972883399E-2</v>
      </c>
      <c r="G126">
        <v>9.6189196474353103E-2</v>
      </c>
    </row>
    <row r="127" spans="1:7" x14ac:dyDescent="0.2">
      <c r="A127">
        <v>1</v>
      </c>
      <c r="B127" t="s">
        <v>1804</v>
      </c>
      <c r="C127" t="s">
        <v>366</v>
      </c>
      <c r="D127">
        <v>46</v>
      </c>
      <c r="E127">
        <v>2.6168224299065401E-2</v>
      </c>
      <c r="F127">
        <v>1.6651418115278999E-2</v>
      </c>
      <c r="G127">
        <v>4.4681692368525101E-2</v>
      </c>
    </row>
    <row r="128" spans="1:7" x14ac:dyDescent="0.2">
      <c r="A128">
        <v>1</v>
      </c>
      <c r="B128" t="s">
        <v>354</v>
      </c>
      <c r="C128" t="s">
        <v>367</v>
      </c>
      <c r="D128">
        <v>1</v>
      </c>
      <c r="E128">
        <v>6.1389524225345701E-2</v>
      </c>
      <c r="F128">
        <v>5.3405645055177899E-2</v>
      </c>
      <c r="G128">
        <v>7.3156453535493202E-2</v>
      </c>
    </row>
    <row r="129" spans="1:7" x14ac:dyDescent="0.2">
      <c r="A129">
        <v>1</v>
      </c>
      <c r="B129" t="s">
        <v>354</v>
      </c>
      <c r="C129" t="s">
        <v>367</v>
      </c>
      <c r="D129">
        <v>2</v>
      </c>
      <c r="E129">
        <v>0.11530172413793099</v>
      </c>
      <c r="F129">
        <v>6.2937062937062901E-2</v>
      </c>
      <c r="G129">
        <v>7.9096045197740106E-2</v>
      </c>
    </row>
    <row r="130" spans="1:7" x14ac:dyDescent="0.2">
      <c r="A130">
        <v>1</v>
      </c>
      <c r="B130" t="s">
        <v>354</v>
      </c>
      <c r="C130" t="s">
        <v>367</v>
      </c>
      <c r="D130">
        <v>4</v>
      </c>
      <c r="E130">
        <v>0.11530172413793099</v>
      </c>
      <c r="F130">
        <v>6.2937062937062901E-2</v>
      </c>
      <c r="G130">
        <v>7.9096045197740106E-2</v>
      </c>
    </row>
    <row r="131" spans="1:7" x14ac:dyDescent="0.2">
      <c r="A131">
        <v>1</v>
      </c>
      <c r="B131" t="s">
        <v>354</v>
      </c>
      <c r="C131" t="s">
        <v>367</v>
      </c>
      <c r="D131">
        <v>5</v>
      </c>
      <c r="E131">
        <v>6.4182071395412502E-2</v>
      </c>
      <c r="F131">
        <v>5.1931275029065999E-2</v>
      </c>
      <c r="G131">
        <v>6.4600585406033501E-2</v>
      </c>
    </row>
    <row r="132" spans="1:7" x14ac:dyDescent="0.2">
      <c r="A132">
        <v>1</v>
      </c>
      <c r="B132" t="s">
        <v>354</v>
      </c>
      <c r="C132" t="s">
        <v>367</v>
      </c>
      <c r="D132">
        <v>6</v>
      </c>
      <c r="E132">
        <v>6.6761822263815801E-2</v>
      </c>
      <c r="F132">
        <v>5.48358393198876E-2</v>
      </c>
      <c r="G132">
        <v>8.1857545625635394E-2</v>
      </c>
    </row>
    <row r="133" spans="1:7" x14ac:dyDescent="0.2">
      <c r="A133">
        <v>1</v>
      </c>
      <c r="B133" t="s">
        <v>354</v>
      </c>
      <c r="C133" t="s">
        <v>367</v>
      </c>
      <c r="D133">
        <v>7</v>
      </c>
      <c r="E133">
        <v>6.4279055721863307E-2</v>
      </c>
      <c r="F133">
        <v>5.7519198605966701E-2</v>
      </c>
      <c r="G133">
        <v>7.8812267707692701E-2</v>
      </c>
    </row>
    <row r="134" spans="1:7" x14ac:dyDescent="0.2">
      <c r="A134">
        <v>1</v>
      </c>
      <c r="B134" t="s">
        <v>354</v>
      </c>
      <c r="C134" t="s">
        <v>367</v>
      </c>
      <c r="D134">
        <v>8</v>
      </c>
      <c r="E134">
        <v>4.95368582866446E-2</v>
      </c>
      <c r="F134">
        <v>4.8294094449214002E-2</v>
      </c>
      <c r="G134">
        <v>4.97792788245335E-2</v>
      </c>
    </row>
    <row r="135" spans="1:7" x14ac:dyDescent="0.2">
      <c r="A135">
        <v>1</v>
      </c>
      <c r="B135" t="s">
        <v>354</v>
      </c>
      <c r="C135" t="s">
        <v>367</v>
      </c>
      <c r="D135">
        <v>10</v>
      </c>
      <c r="E135">
        <v>6.4973218310032096E-2</v>
      </c>
      <c r="F135">
        <v>5.56020817336405E-2</v>
      </c>
      <c r="G135">
        <v>7.9049191948456499E-2</v>
      </c>
    </row>
    <row r="136" spans="1:7" x14ac:dyDescent="0.2">
      <c r="A136">
        <v>1</v>
      </c>
      <c r="B136" t="s">
        <v>354</v>
      </c>
      <c r="C136" t="s">
        <v>367</v>
      </c>
      <c r="D136">
        <v>11</v>
      </c>
      <c r="E136">
        <v>5.3176256352123599E-2</v>
      </c>
      <c r="F136">
        <v>4.7402587383995901E-2</v>
      </c>
      <c r="G136">
        <v>6.4909124055769998E-2</v>
      </c>
    </row>
    <row r="137" spans="1:7" x14ac:dyDescent="0.2">
      <c r="A137">
        <v>1</v>
      </c>
      <c r="B137" t="s">
        <v>354</v>
      </c>
      <c r="C137" t="s">
        <v>367</v>
      </c>
      <c r="D137">
        <v>12</v>
      </c>
      <c r="E137">
        <v>5.4411025560711201E-2</v>
      </c>
      <c r="F137">
        <v>4.8016016951410202E-2</v>
      </c>
      <c r="G137">
        <v>7.0004135691013394E-2</v>
      </c>
    </row>
    <row r="138" spans="1:7" x14ac:dyDescent="0.2">
      <c r="A138">
        <v>1</v>
      </c>
      <c r="B138" t="s">
        <v>354</v>
      </c>
      <c r="C138" t="s">
        <v>367</v>
      </c>
      <c r="D138">
        <v>13</v>
      </c>
      <c r="E138">
        <v>4.31462480495532E-2</v>
      </c>
      <c r="F138">
        <v>3.7598663740870501E-2</v>
      </c>
      <c r="G138">
        <v>4.6218176435760802E-2</v>
      </c>
    </row>
    <row r="139" spans="1:7" x14ac:dyDescent="0.2">
      <c r="A139">
        <v>1</v>
      </c>
      <c r="B139" t="s">
        <v>354</v>
      </c>
      <c r="C139" t="s">
        <v>367</v>
      </c>
      <c r="D139">
        <v>14</v>
      </c>
      <c r="E139">
        <v>4.0129626264461801E-2</v>
      </c>
      <c r="F139">
        <v>3.9586919104991403E-2</v>
      </c>
      <c r="G139">
        <v>4.0220941566769801E-2</v>
      </c>
    </row>
    <row r="140" spans="1:7" x14ac:dyDescent="0.2">
      <c r="A140">
        <v>1</v>
      </c>
      <c r="B140" t="s">
        <v>354</v>
      </c>
      <c r="C140" t="s">
        <v>367</v>
      </c>
      <c r="D140">
        <v>16</v>
      </c>
      <c r="E140">
        <v>5.3824676440224303E-2</v>
      </c>
      <c r="F140">
        <v>4.7122610153820098E-2</v>
      </c>
      <c r="G140">
        <v>6.3319337532073694E-2</v>
      </c>
    </row>
    <row r="141" spans="1:7" x14ac:dyDescent="0.2">
      <c r="A141">
        <v>1</v>
      </c>
      <c r="B141" t="s">
        <v>354</v>
      </c>
      <c r="C141" t="s">
        <v>367</v>
      </c>
      <c r="D141">
        <v>31</v>
      </c>
      <c r="E141">
        <v>0.14798036399223399</v>
      </c>
      <c r="F141">
        <v>0.11525463624594399</v>
      </c>
      <c r="G141">
        <v>0.12792789451234199</v>
      </c>
    </row>
    <row r="142" spans="1:7" x14ac:dyDescent="0.2">
      <c r="A142">
        <v>1</v>
      </c>
      <c r="B142" t="s">
        <v>354</v>
      </c>
      <c r="C142" t="s">
        <v>367</v>
      </c>
      <c r="D142">
        <v>38</v>
      </c>
      <c r="E142">
        <v>5.7565451248866403E-2</v>
      </c>
      <c r="F142">
        <v>5.1501850426330598E-2</v>
      </c>
      <c r="G142">
        <v>7.0002967403393901E-2</v>
      </c>
    </row>
    <row r="143" spans="1:7" x14ac:dyDescent="0.2">
      <c r="A143">
        <v>1</v>
      </c>
      <c r="B143" t="s">
        <v>354</v>
      </c>
      <c r="C143" t="s">
        <v>367</v>
      </c>
      <c r="D143">
        <v>41</v>
      </c>
      <c r="E143">
        <v>5.9597281021050497E-2</v>
      </c>
      <c r="F143">
        <v>5.2930941205714198E-2</v>
      </c>
      <c r="G143">
        <v>7.29407551727696E-2</v>
      </c>
    </row>
    <row r="144" spans="1:7" x14ac:dyDescent="0.2">
      <c r="A144">
        <v>1</v>
      </c>
      <c r="B144" t="s">
        <v>354</v>
      </c>
      <c r="C144" t="s">
        <v>367</v>
      </c>
      <c r="D144">
        <v>42</v>
      </c>
      <c r="E144">
        <v>5.7081164217082099E-2</v>
      </c>
      <c r="F144">
        <v>5.1261901019713202E-2</v>
      </c>
      <c r="G144">
        <v>7.0851912136952494E-2</v>
      </c>
    </row>
    <row r="145" spans="1:7" x14ac:dyDescent="0.2">
      <c r="A145">
        <v>1</v>
      </c>
      <c r="B145" t="s">
        <v>354</v>
      </c>
      <c r="C145" t="s">
        <v>367</v>
      </c>
      <c r="D145">
        <v>43</v>
      </c>
      <c r="E145">
        <v>8.3280487420337002E-2</v>
      </c>
      <c r="F145">
        <v>8.6595935445307803E-2</v>
      </c>
      <c r="G145">
        <v>8.1622859408171697E-2</v>
      </c>
    </row>
    <row r="146" spans="1:7" x14ac:dyDescent="0.2">
      <c r="A146">
        <v>1</v>
      </c>
      <c r="B146" t="s">
        <v>354</v>
      </c>
      <c r="C146" t="s">
        <v>367</v>
      </c>
      <c r="D146">
        <v>44</v>
      </c>
      <c r="E146">
        <v>6.1377722802853099E-2</v>
      </c>
      <c r="F146">
        <v>5.3404707027492899E-2</v>
      </c>
      <c r="G146">
        <v>7.3151377790789798E-2</v>
      </c>
    </row>
    <row r="147" spans="1:7" x14ac:dyDescent="0.2">
      <c r="A147">
        <v>1</v>
      </c>
      <c r="B147" t="s">
        <v>354</v>
      </c>
      <c r="C147" t="s">
        <v>367</v>
      </c>
      <c r="D147">
        <v>45</v>
      </c>
      <c r="E147">
        <v>6.1246624855935801E-2</v>
      </c>
      <c r="F147">
        <v>5.3176280969279802E-2</v>
      </c>
      <c r="G147">
        <v>7.3056937375661907E-2</v>
      </c>
    </row>
    <row r="148" spans="1:7" x14ac:dyDescent="0.2">
      <c r="A148">
        <v>1</v>
      </c>
      <c r="B148" t="s">
        <v>354</v>
      </c>
      <c r="C148" t="s">
        <v>367</v>
      </c>
      <c r="D148">
        <v>46</v>
      </c>
      <c r="E148">
        <v>6.7352840573400893E-2</v>
      </c>
      <c r="F148">
        <v>6.2710481728617207E-2</v>
      </c>
      <c r="G148">
        <v>7.8830066556756395E-2</v>
      </c>
    </row>
    <row r="149" spans="1:7" x14ac:dyDescent="0.2">
      <c r="A149">
        <v>1</v>
      </c>
      <c r="B149" t="s">
        <v>1803</v>
      </c>
      <c r="C149" t="s">
        <v>367</v>
      </c>
      <c r="D149">
        <v>1</v>
      </c>
      <c r="E149">
        <v>5.4634136060180798E-2</v>
      </c>
      <c r="F149">
        <v>4.8351712081921398E-2</v>
      </c>
      <c r="G149">
        <v>6.5971316818774398E-2</v>
      </c>
    </row>
    <row r="150" spans="1:7" x14ac:dyDescent="0.2">
      <c r="A150">
        <v>1</v>
      </c>
      <c r="B150" t="s">
        <v>1803</v>
      </c>
      <c r="C150" t="s">
        <v>367</v>
      </c>
      <c r="D150">
        <v>2</v>
      </c>
      <c r="E150">
        <v>0.109207708779443</v>
      </c>
      <c r="F150">
        <v>5.9210526315789498E-2</v>
      </c>
      <c r="G150">
        <v>6.6147859922179003E-2</v>
      </c>
    </row>
    <row r="151" spans="1:7" x14ac:dyDescent="0.2">
      <c r="A151">
        <v>1</v>
      </c>
      <c r="B151" t="s">
        <v>1803</v>
      </c>
      <c r="C151" t="s">
        <v>367</v>
      </c>
      <c r="D151">
        <v>4</v>
      </c>
      <c r="E151">
        <v>0.109207708779443</v>
      </c>
      <c r="F151">
        <v>5.9210526315789498E-2</v>
      </c>
      <c r="G151">
        <v>6.6147859922179003E-2</v>
      </c>
    </row>
    <row r="152" spans="1:7" x14ac:dyDescent="0.2">
      <c r="A152">
        <v>1</v>
      </c>
      <c r="B152" t="s">
        <v>1803</v>
      </c>
      <c r="C152" t="s">
        <v>367</v>
      </c>
      <c r="D152">
        <v>5</v>
      </c>
      <c r="E152">
        <v>5.70238867002444E-2</v>
      </c>
      <c r="F152">
        <v>4.7451456310679603E-2</v>
      </c>
      <c r="G152">
        <v>5.7300884955752203E-2</v>
      </c>
    </row>
    <row r="153" spans="1:7" x14ac:dyDescent="0.2">
      <c r="A153">
        <v>1</v>
      </c>
      <c r="B153" t="s">
        <v>1803</v>
      </c>
      <c r="C153" t="s">
        <v>367</v>
      </c>
      <c r="D153">
        <v>6</v>
      </c>
      <c r="E153">
        <v>5.8153194345808498E-2</v>
      </c>
      <c r="F153">
        <v>4.9491210098971103E-2</v>
      </c>
      <c r="G153">
        <v>7.0473318929283504E-2</v>
      </c>
    </row>
    <row r="154" spans="1:7" x14ac:dyDescent="0.2">
      <c r="A154">
        <v>1</v>
      </c>
      <c r="B154" t="s">
        <v>1803</v>
      </c>
      <c r="C154" t="s">
        <v>367</v>
      </c>
      <c r="D154">
        <v>7</v>
      </c>
      <c r="E154">
        <v>5.8046301215311097E-2</v>
      </c>
      <c r="F154">
        <v>5.22743177046886E-2</v>
      </c>
      <c r="G154">
        <v>7.3311599969196797E-2</v>
      </c>
    </row>
    <row r="155" spans="1:7" x14ac:dyDescent="0.2">
      <c r="A155">
        <v>1</v>
      </c>
      <c r="B155" t="s">
        <v>1803</v>
      </c>
      <c r="C155" t="s">
        <v>367</v>
      </c>
      <c r="D155">
        <v>8</v>
      </c>
      <c r="E155">
        <v>4.5756263828758803E-2</v>
      </c>
      <c r="F155">
        <v>4.3847493811475902E-2</v>
      </c>
      <c r="G155">
        <v>4.9554749340369401E-2</v>
      </c>
    </row>
    <row r="156" spans="1:7" x14ac:dyDescent="0.2">
      <c r="A156">
        <v>1</v>
      </c>
      <c r="B156" t="s">
        <v>1803</v>
      </c>
      <c r="C156" t="s">
        <v>367</v>
      </c>
      <c r="D156">
        <v>10</v>
      </c>
      <c r="E156">
        <v>5.8318736253422702E-2</v>
      </c>
      <c r="F156">
        <v>5.0716116143459299E-2</v>
      </c>
      <c r="G156">
        <v>7.2907653242630099E-2</v>
      </c>
    </row>
    <row r="157" spans="1:7" x14ac:dyDescent="0.2">
      <c r="A157">
        <v>1</v>
      </c>
      <c r="B157" t="s">
        <v>1803</v>
      </c>
      <c r="C157" t="s">
        <v>367</v>
      </c>
      <c r="D157">
        <v>11</v>
      </c>
      <c r="E157">
        <v>4.6932154131382499E-2</v>
      </c>
      <c r="F157">
        <v>4.2488255975418797E-2</v>
      </c>
      <c r="G157">
        <v>5.7507281881823399E-2</v>
      </c>
    </row>
    <row r="158" spans="1:7" x14ac:dyDescent="0.2">
      <c r="A158">
        <v>1</v>
      </c>
      <c r="B158" t="s">
        <v>1803</v>
      </c>
      <c r="C158" t="s">
        <v>367</v>
      </c>
      <c r="D158">
        <v>12</v>
      </c>
      <c r="E158">
        <v>4.7876950766097499E-2</v>
      </c>
      <c r="F158">
        <v>4.2971496309747899E-2</v>
      </c>
      <c r="G158">
        <v>6.2526187483335202E-2</v>
      </c>
    </row>
    <row r="159" spans="1:7" x14ac:dyDescent="0.2">
      <c r="A159">
        <v>1</v>
      </c>
      <c r="B159" t="s">
        <v>1803</v>
      </c>
      <c r="C159" t="s">
        <v>367</v>
      </c>
      <c r="D159">
        <v>13</v>
      </c>
      <c r="E159">
        <v>3.9896290809037498E-2</v>
      </c>
      <c r="F159">
        <v>3.5239392942724199E-2</v>
      </c>
      <c r="G159">
        <v>4.2619894933062202E-2</v>
      </c>
    </row>
    <row r="160" spans="1:7" x14ac:dyDescent="0.2">
      <c r="A160">
        <v>1</v>
      </c>
      <c r="B160" t="s">
        <v>1803</v>
      </c>
      <c r="C160" t="s">
        <v>367</v>
      </c>
      <c r="D160">
        <v>14</v>
      </c>
      <c r="E160">
        <v>3.7868640868908801E-2</v>
      </c>
      <c r="F160">
        <v>3.6073458679492798E-2</v>
      </c>
      <c r="G160">
        <v>3.8125256954912999E-2</v>
      </c>
    </row>
    <row r="161" spans="1:7" x14ac:dyDescent="0.2">
      <c r="A161">
        <v>1</v>
      </c>
      <c r="B161" t="s">
        <v>1803</v>
      </c>
      <c r="C161" t="s">
        <v>367</v>
      </c>
      <c r="D161">
        <v>16</v>
      </c>
      <c r="E161">
        <v>4.6821420173083397E-2</v>
      </c>
      <c r="F161">
        <v>4.23182387804142E-2</v>
      </c>
      <c r="G161">
        <v>5.42845530135505E-2</v>
      </c>
    </row>
    <row r="162" spans="1:7" x14ac:dyDescent="0.2">
      <c r="A162">
        <v>1</v>
      </c>
      <c r="B162" t="s">
        <v>1803</v>
      </c>
      <c r="C162" t="s">
        <v>367</v>
      </c>
      <c r="D162">
        <v>31</v>
      </c>
      <c r="E162">
        <v>0.135002811869397</v>
      </c>
      <c r="F162">
        <v>0.10248408824074599</v>
      </c>
      <c r="G162">
        <v>0.116822429906542</v>
      </c>
    </row>
    <row r="163" spans="1:7" x14ac:dyDescent="0.2">
      <c r="A163">
        <v>1</v>
      </c>
      <c r="B163" t="s">
        <v>1803</v>
      </c>
      <c r="C163" t="s">
        <v>367</v>
      </c>
      <c r="D163">
        <v>38</v>
      </c>
      <c r="E163">
        <v>5.1684424873831299E-2</v>
      </c>
      <c r="F163">
        <v>4.6861006398534397E-2</v>
      </c>
      <c r="G163">
        <v>6.3599994076243005E-2</v>
      </c>
    </row>
    <row r="164" spans="1:7" x14ac:dyDescent="0.2">
      <c r="A164">
        <v>1</v>
      </c>
      <c r="B164" t="s">
        <v>1803</v>
      </c>
      <c r="C164" t="s">
        <v>367</v>
      </c>
      <c r="D164">
        <v>41</v>
      </c>
      <c r="E164">
        <v>5.31612040796118E-2</v>
      </c>
      <c r="F164">
        <v>4.7978332687681098E-2</v>
      </c>
      <c r="G164">
        <v>6.5759967913073605E-2</v>
      </c>
    </row>
    <row r="165" spans="1:7" x14ac:dyDescent="0.2">
      <c r="A165">
        <v>1</v>
      </c>
      <c r="B165" t="s">
        <v>1803</v>
      </c>
      <c r="C165" t="s">
        <v>367</v>
      </c>
      <c r="D165">
        <v>42</v>
      </c>
      <c r="E165">
        <v>5.0848716446751097E-2</v>
      </c>
      <c r="F165">
        <v>4.63904003446814E-2</v>
      </c>
      <c r="G165">
        <v>6.3742461821249194E-2</v>
      </c>
    </row>
    <row r="166" spans="1:7" x14ac:dyDescent="0.2">
      <c r="A166">
        <v>1</v>
      </c>
      <c r="B166" t="s">
        <v>1803</v>
      </c>
      <c r="C166" t="s">
        <v>367</v>
      </c>
      <c r="D166">
        <v>43</v>
      </c>
      <c r="E166">
        <v>7.7316944830470705E-2</v>
      </c>
      <c r="F166">
        <v>8.3309160526773798E-2</v>
      </c>
      <c r="G166">
        <v>7.4072922818687603E-2</v>
      </c>
    </row>
    <row r="167" spans="1:7" x14ac:dyDescent="0.2">
      <c r="A167">
        <v>1</v>
      </c>
      <c r="B167" t="s">
        <v>1803</v>
      </c>
      <c r="C167" t="s">
        <v>367</v>
      </c>
      <c r="D167">
        <v>44</v>
      </c>
      <c r="E167">
        <v>5.4621213984323701E-2</v>
      </c>
      <c r="F167">
        <v>4.8350306275224297E-2</v>
      </c>
      <c r="G167">
        <v>6.59673711516338E-2</v>
      </c>
    </row>
    <row r="168" spans="1:7" x14ac:dyDescent="0.2">
      <c r="A168">
        <v>1</v>
      </c>
      <c r="B168" t="s">
        <v>1803</v>
      </c>
      <c r="C168" t="s">
        <v>367</v>
      </c>
      <c r="D168">
        <v>45</v>
      </c>
      <c r="E168">
        <v>5.4288696848448399E-2</v>
      </c>
      <c r="F168">
        <v>4.7916069168402603E-2</v>
      </c>
      <c r="G168">
        <v>6.5706214924305104E-2</v>
      </c>
    </row>
    <row r="169" spans="1:7" x14ac:dyDescent="0.2">
      <c r="A169">
        <v>1</v>
      </c>
      <c r="B169" t="s">
        <v>1803</v>
      </c>
      <c r="C169" t="s">
        <v>367</v>
      </c>
      <c r="D169">
        <v>46</v>
      </c>
      <c r="E169">
        <v>6.4376310086332503E-2</v>
      </c>
      <c r="F169">
        <v>6.0271125596334602E-2</v>
      </c>
      <c r="G169">
        <v>7.5028885037550494E-2</v>
      </c>
    </row>
    <row r="170" spans="1:7" x14ac:dyDescent="0.2">
      <c r="A170">
        <v>1</v>
      </c>
      <c r="B170" t="s">
        <v>1804</v>
      </c>
      <c r="C170" t="s">
        <v>367</v>
      </c>
      <c r="D170">
        <v>1</v>
      </c>
      <c r="E170">
        <v>7.0350654443654903E-2</v>
      </c>
      <c r="F170">
        <v>6.1184619936137399E-2</v>
      </c>
      <c r="G170">
        <v>8.0320208365251999E-2</v>
      </c>
    </row>
    <row r="171" spans="1:7" x14ac:dyDescent="0.2">
      <c r="A171">
        <v>1</v>
      </c>
      <c r="B171" t="s">
        <v>1804</v>
      </c>
      <c r="C171" t="s">
        <v>367</v>
      </c>
      <c r="D171">
        <v>2</v>
      </c>
      <c r="E171">
        <v>0.121475054229935</v>
      </c>
      <c r="F171">
        <v>5.8823529411764698E-2</v>
      </c>
      <c r="G171">
        <v>9.5238095238095205E-2</v>
      </c>
    </row>
    <row r="172" spans="1:7" x14ac:dyDescent="0.2">
      <c r="A172">
        <v>1</v>
      </c>
      <c r="B172" t="s">
        <v>1804</v>
      </c>
      <c r="C172" t="s">
        <v>367</v>
      </c>
      <c r="D172">
        <v>4</v>
      </c>
      <c r="E172">
        <v>0.121475054229935</v>
      </c>
      <c r="F172">
        <v>5.8823529411764698E-2</v>
      </c>
      <c r="G172">
        <v>9.5238095238095205E-2</v>
      </c>
    </row>
    <row r="173" spans="1:7" x14ac:dyDescent="0.2">
      <c r="A173">
        <v>1</v>
      </c>
      <c r="B173" t="s">
        <v>1804</v>
      </c>
      <c r="C173" t="s">
        <v>367</v>
      </c>
      <c r="D173">
        <v>5</v>
      </c>
      <c r="E173">
        <v>7.0720874615647397E-2</v>
      </c>
      <c r="F173">
        <v>5.7166528583264299E-2</v>
      </c>
      <c r="G173">
        <v>7.0980521624298507E-2</v>
      </c>
    </row>
    <row r="174" spans="1:7" x14ac:dyDescent="0.2">
      <c r="A174">
        <v>1</v>
      </c>
      <c r="B174" t="s">
        <v>1804</v>
      </c>
      <c r="C174" t="s">
        <v>367</v>
      </c>
      <c r="D174">
        <v>6</v>
      </c>
      <c r="E174">
        <v>7.7775927773048995E-2</v>
      </c>
      <c r="F174">
        <v>6.2478626725008403E-2</v>
      </c>
      <c r="G174">
        <v>9.4138676639772795E-2</v>
      </c>
    </row>
    <row r="175" spans="1:7" x14ac:dyDescent="0.2">
      <c r="A175">
        <v>1</v>
      </c>
      <c r="B175" t="s">
        <v>1804</v>
      </c>
      <c r="C175" t="s">
        <v>367</v>
      </c>
      <c r="D175">
        <v>7</v>
      </c>
      <c r="E175">
        <v>7.3605609918939593E-2</v>
      </c>
      <c r="F175">
        <v>6.6284611561065507E-2</v>
      </c>
      <c r="G175">
        <v>8.4777210457297497E-2</v>
      </c>
    </row>
    <row r="176" spans="1:7" x14ac:dyDescent="0.2">
      <c r="A176">
        <v>1</v>
      </c>
      <c r="B176" t="s">
        <v>1804</v>
      </c>
      <c r="C176" t="s">
        <v>367</v>
      </c>
      <c r="D176">
        <v>8</v>
      </c>
      <c r="E176">
        <v>5.4628565018648899E-2</v>
      </c>
      <c r="F176">
        <v>5.5535174979098101E-2</v>
      </c>
      <c r="G176">
        <v>4.9959056733306299E-2</v>
      </c>
    </row>
    <row r="177" spans="1:7" x14ac:dyDescent="0.2">
      <c r="A177">
        <v>1</v>
      </c>
      <c r="B177" t="s">
        <v>1804</v>
      </c>
      <c r="C177" t="s">
        <v>367</v>
      </c>
      <c r="D177">
        <v>10</v>
      </c>
      <c r="E177">
        <v>7.3117289292160104E-2</v>
      </c>
      <c r="F177">
        <v>6.2624031246309206E-2</v>
      </c>
      <c r="G177">
        <v>8.4438516996772101E-2</v>
      </c>
    </row>
    <row r="178" spans="1:7" x14ac:dyDescent="0.2">
      <c r="A178">
        <v>1</v>
      </c>
      <c r="B178" t="s">
        <v>1804</v>
      </c>
      <c r="C178" t="s">
        <v>367</v>
      </c>
      <c r="D178">
        <v>11</v>
      </c>
      <c r="E178">
        <v>6.3417056174773598E-2</v>
      </c>
      <c r="F178">
        <v>5.6640766022205302E-2</v>
      </c>
      <c r="G178">
        <v>7.4197526451243903E-2</v>
      </c>
    </row>
    <row r="179" spans="1:7" x14ac:dyDescent="0.2">
      <c r="A179">
        <v>1</v>
      </c>
      <c r="B179" t="s">
        <v>1804</v>
      </c>
      <c r="C179" t="s">
        <v>367</v>
      </c>
      <c r="D179">
        <v>12</v>
      </c>
      <c r="E179">
        <v>6.4864557896530201E-2</v>
      </c>
      <c r="F179">
        <v>5.7378392936602698E-2</v>
      </c>
      <c r="G179">
        <v>7.8413501747764403E-2</v>
      </c>
    </row>
    <row r="180" spans="1:7" x14ac:dyDescent="0.2">
      <c r="A180">
        <v>1</v>
      </c>
      <c r="B180" t="s">
        <v>1804</v>
      </c>
      <c r="C180" t="s">
        <v>367</v>
      </c>
      <c r="D180">
        <v>13</v>
      </c>
      <c r="E180">
        <v>4.9750887128570898E-2</v>
      </c>
      <c r="F180">
        <v>4.3022375959355701E-2</v>
      </c>
      <c r="G180">
        <v>5.3052247612917103E-2</v>
      </c>
    </row>
    <row r="181" spans="1:7" x14ac:dyDescent="0.2">
      <c r="A181">
        <v>1</v>
      </c>
      <c r="B181" t="s">
        <v>1804</v>
      </c>
      <c r="C181" t="s">
        <v>367</v>
      </c>
      <c r="D181">
        <v>14</v>
      </c>
      <c r="E181">
        <v>4.3847355143554999E-2</v>
      </c>
      <c r="F181">
        <v>4.5317220543806602E-2</v>
      </c>
      <c r="G181">
        <v>4.3699695329907702E-2</v>
      </c>
    </row>
    <row r="182" spans="1:7" x14ac:dyDescent="0.2">
      <c r="A182">
        <v>1</v>
      </c>
      <c r="B182" t="s">
        <v>1804</v>
      </c>
      <c r="C182" t="s">
        <v>367</v>
      </c>
      <c r="D182">
        <v>16</v>
      </c>
      <c r="E182">
        <v>6.5311314154883296E-2</v>
      </c>
      <c r="F182">
        <v>5.6499503114622998E-2</v>
      </c>
      <c r="G182">
        <v>7.5022309477065896E-2</v>
      </c>
    </row>
    <row r="183" spans="1:7" x14ac:dyDescent="0.2">
      <c r="A183">
        <v>1</v>
      </c>
      <c r="B183" t="s">
        <v>1804</v>
      </c>
      <c r="C183" t="s">
        <v>367</v>
      </c>
      <c r="D183">
        <v>31</v>
      </c>
      <c r="E183">
        <v>0.159808597995411</v>
      </c>
      <c r="F183">
        <v>0.13050053483825799</v>
      </c>
      <c r="G183">
        <v>0.13563788073653499</v>
      </c>
    </row>
    <row r="184" spans="1:7" x14ac:dyDescent="0.2">
      <c r="A184">
        <v>1</v>
      </c>
      <c r="B184" t="s">
        <v>1804</v>
      </c>
      <c r="C184" t="s">
        <v>367</v>
      </c>
      <c r="D184">
        <v>38</v>
      </c>
      <c r="E184">
        <v>6.54979827882059E-2</v>
      </c>
      <c r="F184">
        <v>5.8702397258916898E-2</v>
      </c>
      <c r="G184">
        <v>7.6523192861282299E-2</v>
      </c>
    </row>
    <row r="185" spans="1:7" x14ac:dyDescent="0.2">
      <c r="A185">
        <v>1</v>
      </c>
      <c r="B185" t="s">
        <v>1804</v>
      </c>
      <c r="C185" t="s">
        <v>367</v>
      </c>
      <c r="D185">
        <v>41</v>
      </c>
      <c r="E185">
        <v>6.8158420282161902E-2</v>
      </c>
      <c r="F185">
        <v>6.0563465104091302E-2</v>
      </c>
      <c r="G185">
        <v>8.0101599566767198E-2</v>
      </c>
    </row>
    <row r="186" spans="1:7" x14ac:dyDescent="0.2">
      <c r="A186">
        <v>1</v>
      </c>
      <c r="B186" t="s">
        <v>1804</v>
      </c>
      <c r="C186" t="s">
        <v>367</v>
      </c>
      <c r="D186">
        <v>42</v>
      </c>
      <c r="E186">
        <v>6.5560750003734E-2</v>
      </c>
      <c r="F186">
        <v>5.8854915003595402E-2</v>
      </c>
      <c r="G186">
        <v>7.7918666152930097E-2</v>
      </c>
    </row>
    <row r="187" spans="1:7" x14ac:dyDescent="0.2">
      <c r="A187">
        <v>1</v>
      </c>
      <c r="B187" t="s">
        <v>1804</v>
      </c>
      <c r="C187" t="s">
        <v>367</v>
      </c>
      <c r="D187">
        <v>43</v>
      </c>
      <c r="E187">
        <v>8.9717609668625103E-2</v>
      </c>
      <c r="F187">
        <v>9.0618895611987202E-2</v>
      </c>
      <c r="G187">
        <v>8.9266581230698097E-2</v>
      </c>
    </row>
    <row r="188" spans="1:7" x14ac:dyDescent="0.2">
      <c r="A188">
        <v>1</v>
      </c>
      <c r="B188" t="s">
        <v>1804</v>
      </c>
      <c r="C188" t="s">
        <v>367</v>
      </c>
      <c r="D188">
        <v>44</v>
      </c>
      <c r="E188">
        <v>7.0339757112188803E-2</v>
      </c>
      <c r="F188">
        <v>6.1184563762668898E-2</v>
      </c>
      <c r="G188">
        <v>8.0315681439197706E-2</v>
      </c>
    </row>
    <row r="189" spans="1:7" x14ac:dyDescent="0.2">
      <c r="A189">
        <v>1</v>
      </c>
      <c r="B189" t="s">
        <v>1804</v>
      </c>
      <c r="C189" t="s">
        <v>367</v>
      </c>
      <c r="D189">
        <v>45</v>
      </c>
      <c r="E189">
        <v>7.0227638997656897E-2</v>
      </c>
      <c r="F189">
        <v>6.1043771303224303E-2</v>
      </c>
      <c r="G189">
        <v>8.0218802504190195E-2</v>
      </c>
    </row>
    <row r="190" spans="1:7" x14ac:dyDescent="0.2">
      <c r="A190">
        <v>1</v>
      </c>
      <c r="B190" t="s">
        <v>1804</v>
      </c>
      <c r="C190" t="s">
        <v>367</v>
      </c>
      <c r="D190">
        <v>46</v>
      </c>
      <c r="E190">
        <v>8.8099688473520205E-2</v>
      </c>
      <c r="F190">
        <v>8.14272644098811E-2</v>
      </c>
      <c r="G190">
        <v>9.9644128113879002E-2</v>
      </c>
    </row>
  </sheetData>
  <printOptions gridLines="1"/>
  <pageMargins left="0.7" right="0.7" top="0.75" bottom="0.75" header="0.3" footer="0.3"/>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M7"/>
  <sheetViews>
    <sheetView workbookViewId="0"/>
  </sheetViews>
  <sheetFormatPr defaultRowHeight="14.25" x14ac:dyDescent="0.2"/>
  <sheetData>
    <row r="1" spans="1:13" x14ac:dyDescent="0.2">
      <c r="A1" t="s">
        <v>1639</v>
      </c>
      <c r="B1" t="s">
        <v>1405</v>
      </c>
      <c r="C1" t="s">
        <v>1481</v>
      </c>
      <c r="D1" t="s">
        <v>1805</v>
      </c>
      <c r="E1" t="s">
        <v>1806</v>
      </c>
      <c r="F1" t="s">
        <v>496</v>
      </c>
      <c r="G1" t="s">
        <v>1719</v>
      </c>
      <c r="H1" t="s">
        <v>1720</v>
      </c>
      <c r="I1" t="s">
        <v>1721</v>
      </c>
      <c r="J1" t="s">
        <v>510</v>
      </c>
      <c r="K1" t="s">
        <v>511</v>
      </c>
      <c r="L1" t="s">
        <v>1722</v>
      </c>
      <c r="M1" t="s">
        <v>1483</v>
      </c>
    </row>
    <row r="2" spans="1:13" x14ac:dyDescent="0.2">
      <c r="A2">
        <v>2021</v>
      </c>
      <c r="B2" t="s">
        <v>735</v>
      </c>
      <c r="C2">
        <v>1</v>
      </c>
      <c r="D2" t="s">
        <v>6</v>
      </c>
      <c r="E2" t="s">
        <v>6</v>
      </c>
      <c r="F2">
        <v>14745155</v>
      </c>
      <c r="G2">
        <v>9807720</v>
      </c>
      <c r="H2">
        <v>5881675</v>
      </c>
      <c r="I2">
        <v>3926045</v>
      </c>
      <c r="J2">
        <v>4936850</v>
      </c>
      <c r="K2">
        <v>579190</v>
      </c>
      <c r="L2">
        <v>4357660</v>
      </c>
      <c r="M2">
        <v>585</v>
      </c>
    </row>
    <row r="3" spans="1:13" x14ac:dyDescent="0.2">
      <c r="A3">
        <v>2021</v>
      </c>
      <c r="B3" t="s">
        <v>735</v>
      </c>
      <c r="C3">
        <v>1</v>
      </c>
      <c r="D3" t="s">
        <v>6</v>
      </c>
      <c r="E3" t="s">
        <v>407</v>
      </c>
      <c r="F3">
        <v>14355560</v>
      </c>
      <c r="G3">
        <v>9630390</v>
      </c>
      <c r="H3">
        <v>5745650</v>
      </c>
      <c r="I3">
        <v>3884740</v>
      </c>
      <c r="J3">
        <v>4725165</v>
      </c>
      <c r="K3">
        <v>564345</v>
      </c>
      <c r="L3">
        <v>4160825</v>
      </c>
      <c r="M3">
        <v>0</v>
      </c>
    </row>
    <row r="4" spans="1:13" x14ac:dyDescent="0.2">
      <c r="A4">
        <v>2021</v>
      </c>
      <c r="B4" t="s">
        <v>735</v>
      </c>
      <c r="C4">
        <v>1</v>
      </c>
      <c r="D4" t="s">
        <v>6</v>
      </c>
      <c r="E4" t="s">
        <v>385</v>
      </c>
      <c r="F4">
        <v>1451025</v>
      </c>
      <c r="G4">
        <v>507855</v>
      </c>
      <c r="H4">
        <v>305710</v>
      </c>
      <c r="I4">
        <v>202145</v>
      </c>
      <c r="J4">
        <v>943170</v>
      </c>
      <c r="K4">
        <v>164100</v>
      </c>
      <c r="L4">
        <v>779070</v>
      </c>
      <c r="M4">
        <v>0</v>
      </c>
    </row>
    <row r="5" spans="1:13" x14ac:dyDescent="0.2">
      <c r="A5">
        <v>2021</v>
      </c>
      <c r="B5" t="s">
        <v>735</v>
      </c>
      <c r="C5">
        <v>1</v>
      </c>
      <c r="D5" t="s">
        <v>1807</v>
      </c>
      <c r="E5" t="s">
        <v>6</v>
      </c>
      <c r="F5">
        <v>1130460</v>
      </c>
      <c r="G5">
        <v>510560</v>
      </c>
      <c r="H5">
        <v>429205</v>
      </c>
      <c r="I5">
        <v>81355</v>
      </c>
      <c r="J5">
        <v>619890</v>
      </c>
      <c r="K5">
        <v>57175</v>
      </c>
      <c r="L5">
        <v>562715</v>
      </c>
      <c r="M5">
        <v>15</v>
      </c>
    </row>
    <row r="6" spans="1:13" x14ac:dyDescent="0.2">
      <c r="A6">
        <v>2021</v>
      </c>
      <c r="B6" t="s">
        <v>735</v>
      </c>
      <c r="C6">
        <v>1</v>
      </c>
      <c r="D6" t="s">
        <v>1807</v>
      </c>
      <c r="E6" t="s">
        <v>407</v>
      </c>
      <c r="F6">
        <v>798660</v>
      </c>
      <c r="G6">
        <v>353525</v>
      </c>
      <c r="H6">
        <v>303975</v>
      </c>
      <c r="I6">
        <v>49550</v>
      </c>
      <c r="J6">
        <v>445135</v>
      </c>
      <c r="K6">
        <v>44895</v>
      </c>
      <c r="L6">
        <v>400235</v>
      </c>
      <c r="M6">
        <v>0</v>
      </c>
    </row>
    <row r="7" spans="1:13" x14ac:dyDescent="0.2">
      <c r="A7">
        <v>2021</v>
      </c>
      <c r="B7" t="s">
        <v>735</v>
      </c>
      <c r="C7">
        <v>1</v>
      </c>
      <c r="D7" t="s">
        <v>1807</v>
      </c>
      <c r="E7" t="s">
        <v>385</v>
      </c>
      <c r="F7">
        <v>559090</v>
      </c>
      <c r="G7">
        <v>211920</v>
      </c>
      <c r="H7">
        <v>167595</v>
      </c>
      <c r="I7">
        <v>44320</v>
      </c>
      <c r="J7">
        <v>347165</v>
      </c>
      <c r="K7">
        <v>38105</v>
      </c>
      <c r="L7">
        <v>309065</v>
      </c>
      <c r="M7">
        <v>0</v>
      </c>
    </row>
  </sheetData>
  <printOptions gridLines="1"/>
  <pageMargins left="0.7" right="0.7" top="0.75" bottom="0.75" header="0.3" footer="0.3"/>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P1"/>
  <sheetViews>
    <sheetView workbookViewId="0"/>
  </sheetViews>
  <sheetFormatPr defaultRowHeight="14.25" x14ac:dyDescent="0.2"/>
  <sheetData>
    <row r="1" spans="1:16" x14ac:dyDescent="0.2">
      <c r="A1" t="s">
        <v>1407</v>
      </c>
      <c r="B1" t="s">
        <v>1808</v>
      </c>
      <c r="C1" t="s">
        <v>1809</v>
      </c>
      <c r="D1" t="s">
        <v>1810</v>
      </c>
      <c r="E1" t="s">
        <v>1811</v>
      </c>
      <c r="F1" t="s">
        <v>1812</v>
      </c>
      <c r="G1" t="s">
        <v>1813</v>
      </c>
      <c r="H1" t="s">
        <v>1814</v>
      </c>
      <c r="I1" t="s">
        <v>1815</v>
      </c>
      <c r="J1" t="s">
        <v>1816</v>
      </c>
      <c r="K1" t="s">
        <v>1817</v>
      </c>
      <c r="L1" t="s">
        <v>1818</v>
      </c>
      <c r="M1" t="s">
        <v>1819</v>
      </c>
      <c r="N1" t="s">
        <v>1820</v>
      </c>
      <c r="O1" t="s">
        <v>1821</v>
      </c>
      <c r="P1" t="s">
        <v>1822</v>
      </c>
    </row>
  </sheetData>
  <printOptions gridLines="1"/>
  <pageMargins left="0.7" right="0.7" top="0.75" bottom="0.75" header="0.3" footer="0.3"/>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K1"/>
  <sheetViews>
    <sheetView workbookViewId="0"/>
  </sheetViews>
  <sheetFormatPr defaultRowHeight="14.25" x14ac:dyDescent="0.2"/>
  <sheetData>
    <row r="1" spans="1:11" x14ac:dyDescent="0.2">
      <c r="A1" t="s">
        <v>1823</v>
      </c>
      <c r="B1" t="s">
        <v>1407</v>
      </c>
      <c r="C1" t="s">
        <v>1824</v>
      </c>
      <c r="D1" t="s">
        <v>1825</v>
      </c>
      <c r="E1" t="s">
        <v>1826</v>
      </c>
      <c r="F1" t="s">
        <v>1827</v>
      </c>
      <c r="G1" t="s">
        <v>1828</v>
      </c>
      <c r="H1" t="s">
        <v>1829</v>
      </c>
      <c r="I1" t="s">
        <v>1830</v>
      </c>
      <c r="J1" t="s">
        <v>1831</v>
      </c>
      <c r="K1" t="s">
        <v>1832</v>
      </c>
    </row>
  </sheetData>
  <printOptions gridLines="1"/>
  <pageMargins left="0.7" right="0.7" top="0.75" bottom="0.75" header="0.3" footer="0.3"/>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C1"/>
  <sheetViews>
    <sheetView workbookViewId="0"/>
  </sheetViews>
  <sheetFormatPr defaultRowHeight="14.25" x14ac:dyDescent="0.2"/>
  <sheetData>
    <row r="1" spans="1:29" x14ac:dyDescent="0.2">
      <c r="A1" t="s">
        <v>1833</v>
      </c>
      <c r="B1" t="s">
        <v>1834</v>
      </c>
      <c r="C1" t="s">
        <v>1835</v>
      </c>
      <c r="D1" t="s">
        <v>1836</v>
      </c>
      <c r="E1" t="s">
        <v>1837</v>
      </c>
      <c r="F1" t="s">
        <v>1135</v>
      </c>
      <c r="G1" t="s">
        <v>1136</v>
      </c>
      <c r="H1" t="s">
        <v>1137</v>
      </c>
      <c r="I1" t="s">
        <v>1138</v>
      </c>
      <c r="J1" t="s">
        <v>1139</v>
      </c>
      <c r="K1" t="s">
        <v>1140</v>
      </c>
      <c r="L1" t="s">
        <v>1838</v>
      </c>
      <c r="M1" t="s">
        <v>1839</v>
      </c>
      <c r="N1" t="s">
        <v>1840</v>
      </c>
      <c r="O1" t="s">
        <v>1841</v>
      </c>
      <c r="P1" t="s">
        <v>1842</v>
      </c>
      <c r="Q1" t="s">
        <v>1843</v>
      </c>
      <c r="R1" t="s">
        <v>1844</v>
      </c>
      <c r="S1" t="s">
        <v>1845</v>
      </c>
      <c r="T1" t="s">
        <v>1846</v>
      </c>
      <c r="U1" t="s">
        <v>1847</v>
      </c>
      <c r="V1" t="s">
        <v>1848</v>
      </c>
      <c r="W1" t="s">
        <v>1849</v>
      </c>
      <c r="X1" t="s">
        <v>1850</v>
      </c>
      <c r="Y1" t="s">
        <v>1851</v>
      </c>
      <c r="Z1" t="s">
        <v>1852</v>
      </c>
      <c r="AA1" t="s">
        <v>1853</v>
      </c>
      <c r="AB1" t="s">
        <v>1854</v>
      </c>
      <c r="AC1" t="s">
        <v>1855</v>
      </c>
    </row>
  </sheetData>
  <printOptions gridLines="1"/>
  <pageMargins left="0.7" right="0.7" top="0.75" bottom="0.75" header="0.3" footer="0.3"/>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C1"/>
  <sheetViews>
    <sheetView workbookViewId="0"/>
  </sheetViews>
  <sheetFormatPr defaultRowHeight="14.25" x14ac:dyDescent="0.2"/>
  <sheetData>
    <row r="1" spans="1:29" x14ac:dyDescent="0.2">
      <c r="A1" t="s">
        <v>1833</v>
      </c>
      <c r="B1" t="s">
        <v>1834</v>
      </c>
      <c r="C1" t="s">
        <v>1835</v>
      </c>
      <c r="D1" t="s">
        <v>1836</v>
      </c>
      <c r="E1" t="s">
        <v>1856</v>
      </c>
      <c r="F1" t="s">
        <v>1141</v>
      </c>
      <c r="G1" t="s">
        <v>1142</v>
      </c>
      <c r="H1" t="s">
        <v>1143</v>
      </c>
      <c r="I1" t="s">
        <v>1144</v>
      </c>
      <c r="J1" t="s">
        <v>1145</v>
      </c>
      <c r="K1" t="s">
        <v>1146</v>
      </c>
      <c r="L1" t="s">
        <v>1857</v>
      </c>
      <c r="M1" t="s">
        <v>1858</v>
      </c>
      <c r="N1" t="s">
        <v>1859</v>
      </c>
      <c r="O1" t="s">
        <v>1860</v>
      </c>
      <c r="P1" t="s">
        <v>1861</v>
      </c>
      <c r="Q1" t="s">
        <v>1862</v>
      </c>
      <c r="R1" t="s">
        <v>1863</v>
      </c>
      <c r="S1" t="s">
        <v>1864</v>
      </c>
      <c r="T1" t="s">
        <v>1865</v>
      </c>
      <c r="U1" t="s">
        <v>1866</v>
      </c>
      <c r="V1" t="s">
        <v>1867</v>
      </c>
      <c r="W1" t="s">
        <v>1868</v>
      </c>
      <c r="X1" t="s">
        <v>1869</v>
      </c>
      <c r="Y1" t="s">
        <v>1870</v>
      </c>
      <c r="Z1" t="s">
        <v>1871</v>
      </c>
      <c r="AA1" t="s">
        <v>1872</v>
      </c>
      <c r="AB1" t="s">
        <v>1873</v>
      </c>
      <c r="AC1" t="s">
        <v>1874</v>
      </c>
    </row>
  </sheetData>
  <printOptions gridLines="1"/>
  <pageMargins left="0.7" right="0.7" top="0.75" bottom="0.75" header="0.3" footer="0.3"/>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C1"/>
  <sheetViews>
    <sheetView workbookViewId="0"/>
  </sheetViews>
  <sheetFormatPr defaultRowHeight="14.25" x14ac:dyDescent="0.2"/>
  <sheetData>
    <row r="1" spans="1:29" x14ac:dyDescent="0.2">
      <c r="A1" t="s">
        <v>1833</v>
      </c>
      <c r="B1" t="s">
        <v>1834</v>
      </c>
      <c r="C1" t="s">
        <v>1835</v>
      </c>
      <c r="D1" t="s">
        <v>1836</v>
      </c>
      <c r="E1" t="s">
        <v>1875</v>
      </c>
      <c r="F1" t="s">
        <v>1147</v>
      </c>
      <c r="G1" t="s">
        <v>1148</v>
      </c>
      <c r="H1" t="s">
        <v>1173</v>
      </c>
      <c r="I1" t="s">
        <v>1174</v>
      </c>
      <c r="J1" t="s">
        <v>1175</v>
      </c>
      <c r="K1" t="s">
        <v>1176</v>
      </c>
      <c r="L1" t="s">
        <v>1876</v>
      </c>
      <c r="M1" t="s">
        <v>1877</v>
      </c>
      <c r="N1" t="s">
        <v>1878</v>
      </c>
      <c r="O1" t="s">
        <v>1879</v>
      </c>
      <c r="P1" t="s">
        <v>1880</v>
      </c>
      <c r="Q1" t="s">
        <v>1881</v>
      </c>
      <c r="R1" t="s">
        <v>1882</v>
      </c>
      <c r="S1" t="s">
        <v>1883</v>
      </c>
      <c r="T1" t="s">
        <v>1884</v>
      </c>
      <c r="U1" t="s">
        <v>1885</v>
      </c>
      <c r="V1" t="s">
        <v>1886</v>
      </c>
      <c r="W1" t="s">
        <v>1887</v>
      </c>
      <c r="X1" t="s">
        <v>1888</v>
      </c>
      <c r="Y1" t="s">
        <v>1889</v>
      </c>
      <c r="Z1" t="s">
        <v>1890</v>
      </c>
      <c r="AA1" t="s">
        <v>1891</v>
      </c>
      <c r="AB1" t="s">
        <v>1892</v>
      </c>
      <c r="AC1" t="s">
        <v>1893</v>
      </c>
    </row>
  </sheetData>
  <printOptions gridLines="1"/>
  <pageMargins left="0.7" right="0.7" top="0.75" bottom="0.75" header="0.3" footer="0.3"/>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BA1"/>
  <sheetViews>
    <sheetView workbookViewId="0"/>
  </sheetViews>
  <sheetFormatPr defaultRowHeight="14.25" x14ac:dyDescent="0.2"/>
  <sheetData>
    <row r="1" spans="1:53" x14ac:dyDescent="0.2">
      <c r="A1" t="s">
        <v>1833</v>
      </c>
      <c r="B1" t="s">
        <v>1834</v>
      </c>
      <c r="C1" t="s">
        <v>1835</v>
      </c>
      <c r="D1" t="s">
        <v>1836</v>
      </c>
      <c r="E1" t="s">
        <v>1894</v>
      </c>
      <c r="F1" t="s">
        <v>1149</v>
      </c>
      <c r="G1" t="s">
        <v>1150</v>
      </c>
      <c r="H1" t="s">
        <v>1151</v>
      </c>
      <c r="I1" t="s">
        <v>1152</v>
      </c>
      <c r="J1" t="s">
        <v>1200</v>
      </c>
      <c r="K1" t="s">
        <v>1201</v>
      </c>
      <c r="L1" t="s">
        <v>1153</v>
      </c>
      <c r="M1" t="s">
        <v>1154</v>
      </c>
      <c r="N1" t="s">
        <v>1155</v>
      </c>
      <c r="O1" t="s">
        <v>1156</v>
      </c>
      <c r="P1" t="s">
        <v>1157</v>
      </c>
      <c r="Q1" t="s">
        <v>1158</v>
      </c>
      <c r="R1" t="s">
        <v>1895</v>
      </c>
      <c r="S1" t="s">
        <v>1896</v>
      </c>
      <c r="T1" t="s">
        <v>1897</v>
      </c>
      <c r="U1" t="s">
        <v>1898</v>
      </c>
      <c r="V1" t="s">
        <v>1899</v>
      </c>
      <c r="W1" t="s">
        <v>1900</v>
      </c>
      <c r="X1" t="s">
        <v>1901</v>
      </c>
      <c r="Y1" t="s">
        <v>1902</v>
      </c>
      <c r="Z1" t="s">
        <v>1903</v>
      </c>
      <c r="AA1" t="s">
        <v>1904</v>
      </c>
      <c r="AB1" t="s">
        <v>1905</v>
      </c>
      <c r="AC1" t="s">
        <v>1906</v>
      </c>
      <c r="AD1" t="s">
        <v>1907</v>
      </c>
      <c r="AE1" t="s">
        <v>1908</v>
      </c>
      <c r="AF1" t="s">
        <v>1909</v>
      </c>
      <c r="AG1" t="s">
        <v>1910</v>
      </c>
      <c r="AH1" t="s">
        <v>1911</v>
      </c>
      <c r="AI1" t="s">
        <v>1912</v>
      </c>
      <c r="AJ1" t="s">
        <v>1913</v>
      </c>
      <c r="AK1" t="s">
        <v>1914</v>
      </c>
      <c r="AL1" t="s">
        <v>1915</v>
      </c>
      <c r="AM1" t="s">
        <v>1916</v>
      </c>
      <c r="AN1" t="s">
        <v>1917</v>
      </c>
      <c r="AO1" t="s">
        <v>1918</v>
      </c>
      <c r="AP1" t="s">
        <v>1919</v>
      </c>
      <c r="AQ1" t="s">
        <v>1920</v>
      </c>
      <c r="AR1" t="s">
        <v>1921</v>
      </c>
      <c r="AS1" t="s">
        <v>1922</v>
      </c>
      <c r="AT1" t="s">
        <v>1923</v>
      </c>
      <c r="AU1" t="s">
        <v>1924</v>
      </c>
      <c r="AV1" t="s">
        <v>1925</v>
      </c>
      <c r="AW1" t="s">
        <v>1926</v>
      </c>
      <c r="AX1" t="s">
        <v>1927</v>
      </c>
      <c r="AY1" t="s">
        <v>1928</v>
      </c>
      <c r="AZ1" t="s">
        <v>1929</v>
      </c>
      <c r="BA1" t="s">
        <v>1930</v>
      </c>
    </row>
  </sheetData>
  <printOptions gridLines="1"/>
  <pageMargins left="0.7" right="0.7" top="0.75" bottom="0.75" header="0.3" footer="0.3"/>
  <pageSetup paperSize="9"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K1"/>
  <sheetViews>
    <sheetView workbookViewId="0">
      <selection activeCell="R32" sqref="R32"/>
    </sheetView>
  </sheetViews>
  <sheetFormatPr defaultRowHeight="14.25" x14ac:dyDescent="0.2"/>
  <sheetData>
    <row r="1" spans="1:11" x14ac:dyDescent="0.2">
      <c r="A1" t="s">
        <v>1407</v>
      </c>
      <c r="B1" t="s">
        <v>1187</v>
      </c>
      <c r="C1" t="s">
        <v>1188</v>
      </c>
      <c r="D1" t="s">
        <v>1189</v>
      </c>
      <c r="E1" t="s">
        <v>1190</v>
      </c>
      <c r="F1" t="s">
        <v>1191</v>
      </c>
      <c r="G1" t="s">
        <v>1931</v>
      </c>
      <c r="H1" t="s">
        <v>1932</v>
      </c>
      <c r="I1" t="s">
        <v>1933</v>
      </c>
      <c r="J1" t="s">
        <v>1934</v>
      </c>
      <c r="K1" t="s">
        <v>1935</v>
      </c>
    </row>
  </sheetData>
  <printOptions gridLines="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81</vt:i4>
      </vt:variant>
    </vt:vector>
  </HeadingPairs>
  <TitlesOfParts>
    <vt:vector size="81" baseType="lpstr">
      <vt:lpstr>cover</vt:lpstr>
      <vt:lpstr>priorities</vt:lpstr>
      <vt:lpstr>summary</vt:lpstr>
      <vt:lpstr>projection</vt:lpstr>
      <vt:lpstr>federal_req</vt:lpstr>
      <vt:lpstr>popn_now</vt:lpstr>
      <vt:lpstr>popn_fut</vt:lpstr>
      <vt:lpstr>hh</vt:lpstr>
      <vt:lpstr>econ</vt:lpstr>
      <vt:lpstr>income</vt:lpstr>
      <vt:lpstr>dwell</vt:lpstr>
      <vt:lpstr>rental</vt:lpstr>
      <vt:lpstr>sales</vt:lpstr>
      <vt:lpstr>need</vt:lpstr>
      <vt:lpstr>vuln</vt:lpstr>
      <vt:lpstr>vuln_profile</vt:lpstr>
      <vt:lpstr>textlib</vt:lpstr>
      <vt:lpstr>dem</vt:lpstr>
      <vt:lpstr>nos</vt:lpstr>
      <vt:lpstr>df_geo</vt:lpstr>
      <vt:lpstr>df_wfh</vt:lpstr>
      <vt:lpstr>df_commute</vt:lpstr>
      <vt:lpstr>df_commute_infl</vt:lpstr>
      <vt:lpstr>df_lf</vt:lpstr>
      <vt:lpstr>df_naics</vt:lpstr>
      <vt:lpstr>df_hh_ten</vt:lpstr>
      <vt:lpstr>df_pop</vt:lpstr>
      <vt:lpstr>df_est_csd</vt:lpstr>
      <vt:lpstr>df_est_cd</vt:lpstr>
      <vt:lpstr>df_est_pr</vt:lpstr>
      <vt:lpstr>df_comp_cd</vt:lpstr>
      <vt:lpstr>df_disa</vt:lpstr>
      <vt:lpstr>df_proj</vt:lpstr>
      <vt:lpstr>df_proj_in</vt:lpstr>
      <vt:lpstr>df_proj_out</vt:lpstr>
      <vt:lpstr>df_comm_latent</vt:lpstr>
      <vt:lpstr>df_census_misc</vt:lpstr>
      <vt:lpstr>df_main</vt:lpstr>
      <vt:lpstr>df_cost_index</vt:lpstr>
      <vt:lpstr>df_cmhc_rms</vt:lpstr>
      <vt:lpstr>df_avg_rent</vt:lpstr>
      <vt:lpstr>df_sales</vt:lpstr>
      <vt:lpstr>df_cimd</vt:lpstr>
      <vt:lpstr>df_cisr</vt:lpstr>
      <vt:lpstr>df_cisv</vt:lpstr>
      <vt:lpstr>df_msdi</vt:lpstr>
      <vt:lpstr>df_permits</vt:lpstr>
      <vt:lpstr>df_wage</vt:lpstr>
      <vt:lpstr>df_inc_char</vt:lpstr>
      <vt:lpstr>df_inc_source</vt:lpstr>
      <vt:lpstr>df_inc_hart</vt:lpstr>
      <vt:lpstr>df_inc_cat</vt:lpstr>
      <vt:lpstr>df_lwage</vt:lpstr>
      <vt:lpstr>df_incdist</vt:lpstr>
      <vt:lpstr>df_mbm</vt:lpstr>
      <vt:lpstr>df_dwell_aff</vt:lpstr>
      <vt:lpstr>df_dwell16_aff</vt:lpstr>
      <vt:lpstr>df_cmhc_scss</vt:lpstr>
      <vt:lpstr>df_dwell</vt:lpstr>
      <vt:lpstr>df_dwell_ten</vt:lpstr>
      <vt:lpstr>df_dwell_coll</vt:lpstr>
      <vt:lpstr>df_dwell_str</vt:lpstr>
      <vt:lpstr>df_nm</vt:lpstr>
      <vt:lpstr>df_shelter</vt:lpstr>
      <vt:lpstr>df_unhoused</vt:lpstr>
      <vt:lpstr>df_transit</vt:lpstr>
      <vt:lpstr>df_prop_res</vt:lpstr>
      <vt:lpstr>df_prop_own</vt:lpstr>
      <vt:lpstr>df_chn_census</vt:lpstr>
      <vt:lpstr>df_chn_hart</vt:lpstr>
      <vt:lpstr>df_stir_ppl</vt:lpstr>
      <vt:lpstr>df_stir</vt:lpstr>
      <vt:lpstr>df_cond</vt:lpstr>
      <vt:lpstr>df_echn</vt:lpstr>
      <vt:lpstr>df_flood</vt:lpstr>
      <vt:lpstr>df_coastal</vt:lpstr>
      <vt:lpstr>df_humid</vt:lpstr>
      <vt:lpstr>df_hot</vt:lpstr>
      <vt:lpstr>df_cold</vt:lpstr>
      <vt:lpstr>df_rain</vt:lpstr>
      <vt:lpstr>df_clim_vuln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Scanlan Dickie</dc:creator>
  <cp:lastModifiedBy>Andrew Scanlan Dickie</cp:lastModifiedBy>
  <dcterms:created xsi:type="dcterms:W3CDTF">2025-01-23T19:39:34Z</dcterms:created>
  <dcterms:modified xsi:type="dcterms:W3CDTF">2026-05-12T15:26:55Z</dcterms:modified>
</cp:coreProperties>
</file>